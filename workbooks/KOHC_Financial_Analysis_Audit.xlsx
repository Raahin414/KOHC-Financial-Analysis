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5.xml" ContentType="application/vnd.openxmlformats-officedocument.drawingml.chart+xml"/>
  <Override PartName="/xl/drawings/charts/chart6.xml" ContentType="application/vnd.openxmlformats-officedocument.drawingml.chart+xml"/>
  <Override PartName="/xl/drawings/charts/chart7.xml" ContentType="application/vnd.openxmlformats-officedocument.drawingml.chart+xml"/>
  <Override PartName="/xl/drawings/charts/chart8.xml" ContentType="application/vnd.openxmlformats-officedocument.drawingml.chart+xml"/>
  <Override PartName="/xl/worksheets/sheet5.xml" ContentType="application/vnd.openxmlformats-officedocument.spreadsheetml.worksheet+xml"/>
  <Override PartName="/xl/drawings/drawing3.xml" ContentType="application/vnd.openxmlformats-officedocument.drawing+xml"/>
  <Override PartName="/xl/drawings/charts/chart9.xml" ContentType="application/vnd.openxmlformats-officedocument.drawingml.chart+xml"/>
  <Override PartName="/xl/drawings/charts/chart10.xml" ContentType="application/vnd.openxmlformats-officedocument.drawingml.chart+xml"/>
  <Override PartName="/xl/drawings/charts/chart11.xml" ContentType="application/vnd.openxmlformats-officedocument.drawingml.chart+xml"/>
  <Override PartName="/xl/drawings/charts/chart12.xml" ContentType="application/vnd.openxmlformats-officedocument.drawingml.chart+xml"/>
  <Override PartName="/xl/worksheets/sheet6.xml" ContentType="application/vnd.openxmlformats-officedocument.spreadsheetml.worksheet+xml"/>
  <Override PartName="/xl/drawings/drawing4.xml" ContentType="application/vnd.openxmlformats-officedocument.drawing+xml"/>
  <Override PartName="/xl/drawings/charts/chart13.xml" ContentType="application/vnd.openxmlformats-officedocument.drawingml.chart+xml"/>
  <Override PartName="/xl/drawings/charts/chart14.xml" ContentType="application/vnd.openxmlformats-officedocument.drawingml.chart+xml"/>
  <Override PartName="/xl/drawings/charts/chart15.xml" ContentType="application/vnd.openxmlformats-officedocument.drawingml.chart+xml"/>
  <Override PartName="/xl/drawings/charts/chart16.xml" ContentType="application/vnd.openxmlformats-officedocument.drawingml.chart+xml"/>
  <Override PartName="/xl/worksheets/sheet7.xml" ContentType="application/vnd.openxmlformats-officedocument.spreadsheetml.worksheet+xml"/>
  <Override PartName="/xl/drawings/drawing5.xml" ContentType="application/vnd.openxmlformats-officedocument.drawing+xml"/>
  <Override PartName="/xl/drawings/charts/chart17.xml" ContentType="application/vnd.openxmlformats-officedocument.drawingml.chart+xml"/>
  <Override PartName="/xl/drawings/charts/chart18.xml" ContentType="application/vnd.openxmlformats-officedocument.drawingml.chart+xml"/>
  <Override PartName="/xl/drawings/charts/chart19.xml" ContentType="application/vnd.openxmlformats-officedocument.drawingml.chart+xml"/>
  <Override PartName="/xl/drawings/charts/chart20.xml" ContentType="application/vnd.openxmlformats-officedocument.drawingml.chart+xml"/>
  <Override PartName="/xl/worksheets/sheet8.xml" ContentType="application/vnd.openxmlformats-officedocument.spreadsheetml.worksheet+xml"/>
  <Override PartName="/xl/drawings/drawing6.xml" ContentType="application/vnd.openxmlformats-officedocument.drawing+xml"/>
  <Override PartName="/xl/drawings/charts/chart21.xml" ContentType="application/vnd.openxmlformats-officedocument.drawingml.chart+xml"/>
  <Override PartName="/xl/drawings/charts/chart22.xml" ContentType="application/vnd.openxmlformats-officedocument.drawingml.chart+xml"/>
  <Override PartName="/xl/drawings/charts/chart23.xml" ContentType="application/vnd.openxmlformats-officedocument.drawingml.chart+xml"/>
  <Override PartName="/xl/drawings/charts/chart24.xml" ContentType="application/vnd.openxmlformats-officedocument.drawingml.chart+xml"/>
  <Override PartName="/xl/drawings/charts/chart25.xml" ContentType="application/vnd.openxmlformats-officedocument.drawingml.chart+xml"/>
  <Override PartName="/xl/drawings/charts/chart26.xml" ContentType="application/vnd.openxmlformats-officedocument.drawingml.chart+xml"/>
  <Override PartName="/xl/drawings/charts/chart27.xml" ContentType="application/vnd.openxmlformats-officedocument.drawingml.chart+xml"/>
  <Override PartName="/xl/drawings/charts/chart28.xml" ContentType="application/vnd.openxmlformats-officedocument.drawingml.chart+xml"/>
  <Override PartName="/xl/drawings/charts/chart29.xml" ContentType="application/vnd.openxmlformats-officedocument.drawingml.chart+xml"/>
  <Override PartName="/xl/drawings/charts/chart30.xml" ContentType="application/vnd.openxmlformats-officedocument.drawingml.chart+xml"/>
  <Override PartName="/xl/drawings/charts/chart31.xml" ContentType="application/vnd.openxmlformats-officedocument.drawingml.char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7a275c6a69c43c4" /></Relationships>
</file>

<file path=xl/workbook.xml><?xml version="1.0" encoding="utf-8"?>
<x:workbook xmlns:x="http://schemas.openxmlformats.org/spreadsheetml/2006/main">
  <x:sheets>
    <x:sheet xmlns:r="http://schemas.openxmlformats.org/officeDocument/2006/relationships" name="Overview &amp; Methodology" sheetId="1" r:id="Rdaa8b2a577e04949"/>
    <x:sheet xmlns:r="http://schemas.openxmlformats.org/officeDocument/2006/relationships" name="Published Ratio Reconciliation" sheetId="2" r:id="R9d8e758e82d14b2c"/>
    <x:sheet xmlns:r="http://schemas.openxmlformats.org/officeDocument/2006/relationships" name="KOHC" sheetId="3" r:id="R0b64a4f67d244c2f"/>
    <x:sheet xmlns:r="http://schemas.openxmlformats.org/officeDocument/2006/relationships" name="LUCK" sheetId="4" r:id="Rd22e336297d74d0c"/>
    <x:sheet xmlns:r="http://schemas.openxmlformats.org/officeDocument/2006/relationships" name="DGKC" sheetId="5" r:id="Re30079c842884627"/>
    <x:sheet xmlns:r="http://schemas.openxmlformats.org/officeDocument/2006/relationships" name="MLCF" sheetId="6" r:id="R8236dcd95ae44eca"/>
    <x:sheet xmlns:r="http://schemas.openxmlformats.org/officeDocument/2006/relationships" name="FCCL" sheetId="7" r:id="R59a5d432db1c492c"/>
    <x:sheet xmlns:r="http://schemas.openxmlformats.org/officeDocument/2006/relationships" name="Industry Comparison" sheetId="8" r:id="Rbbb415df50f04553"/>
    <x:sheet xmlns:r="http://schemas.openxmlformats.org/officeDocument/2006/relationships" name="Sources &amp; Validation" sheetId="9" r:id="Rb858449f095f421a"/>
    <x:sheet xmlns:r="http://schemas.openxmlformats.org/officeDocument/2006/relationships" name="PSX Prices" sheetId="10" r:id="R7646a1fd60ff4c61"/>
    <x:sheet xmlns:r="http://schemas.openxmlformats.org/officeDocument/2006/relationships" name="Share Basis" sheetId="11" r:id="R1e05a914dfa44a09"/>
    <x:sheet xmlns:r="http://schemas.openxmlformats.org/officeDocument/2006/relationships" name="Corporate Actions" sheetId="12" r:id="Rf9f8be8ee1ac4d45"/>
    <x:sheet xmlns:r="http://schemas.openxmlformats.org/officeDocument/2006/relationships" name="Price Evidence" sheetId="13" r:id="Re388be3e352d42bd"/>
  </x:sheets>
</x:workbook>
</file>

<file path=xl/sharedStrings.xml><?xml version="1.0" encoding="utf-8"?>
<x:sst xmlns:x="http://schemas.openxmlformats.org/spreadsheetml/2006/main">
  <x:si>
    <x:t xml:space="preserve">Five-Year Financial Ratio Analysis: Kohat Cement Company Limited and Peer Group, FY2021-FY2025</x:t>
  </x:si>
  <x:si>
    <x:t xml:space="preserve">Course</x:t>
  </x:si>
  <x:si>
    <x:t xml:space="preserve">Introduction to Business Finance, IBA Karachi</x:t>
  </x:si>
  <x:si>
    <x:t xml:space="preserve">Instructor</x:t>
  </x:si>
  <x:si>
    <x:t xml:space="preserve">Dr. Noureen Ayaz</x:t>
  </x:si>
  <x:si>
    <x:t xml:space="preserve">Group members / IDs</x:t>
  </x:si>
  <x:si>
    <x:t xml:space="preserve">(to be completed by students)</x:t>
  </x:si>
  <x:si>
    <x:t xml:space="preserve">Submission</x:t>
  </x:si>
  <x:si>
    <x:t xml:space="preserve">Calculation workbook supporting the final report (report prepared separately)</x:t>
  </x:si>
  <x:si>
    <x:t xml:space="preserve">Financial period</x:t>
  </x:si>
  <x:si>
    <x:t xml:space="preserve">FY2021-FY2025 (years ended 30 June). FY2020 closing balances used only as opening balances for FY2021 averages.</x:t>
  </x:si>
  <x:si>
    <x:t xml:space="preserve">Main company</x:t>
  </x:si>
  <x:si>
    <x:t xml:space="preserve">Kohat Cement Company Limited (KOHC)</x:t>
  </x:si>
  <x:si>
    <x:t xml:space="preserve">Competitors</x:t>
  </x:si>
  <x:si>
    <x:t xml:space="preserve">Lucky Cement (LUCK), D.G. Khan Cement (DGKC), Maple Leaf Cement (MLCF), Fauji Cement (FCCL)</x:t>
  </x:si>
  <x:si>
    <x:t xml:space="preserve">AI-use disclosure</x:t>
  </x:si>
  <x:si>
    <x:t xml:space="preserve">Prepared with assistance from an AI tool (Claude). Declare AI use per the course AI policy; students remain responsible for every figure.</x:t>
  </x:si>
  <x:si>
    <x:t xml:space="preserve">Company selection and reporting basis</x:t>
  </x:si>
  <x:si>
    <x:t xml:space="preserve">Symbol</x:t>
  </x:si>
  <x:si>
    <x:t xml:space="preserve">Company</x:t>
  </x:si>
  <x:si>
    <x:t xml:space="preserve">Role</x:t>
  </x:si>
  <x:si>
    <x:t xml:space="preserve">FY-end</x:t>
  </x:si>
  <x:si>
    <x:t xml:space="preserve">Basis used</x:t>
  </x:si>
  <x:si>
    <x:t xml:space="preserve">Original units</x:t>
  </x:si>
  <x:si>
    <x:t xml:space="preserve">Navigate</x:t>
  </x:si>
  <x:si>
    <x:t xml:space="preserve">KOHC</x:t>
  </x:si>
  <x:si>
    <x:t xml:space="preserve">Kohat Cement Company Limited</x:t>
  </x:si>
  <x:si>
    <x:t xml:space="preserve">30 June</x:t>
  </x:si>
  <x:si>
    <x:t xml:space="preserve">Standalone</x:t>
  </x:si>
  <x:si>
    <x:t xml:space="preserve">Rupees</x:t>
  </x:si>
  <x:si>
    <x:t xml:space="preserve">Go to KOHC sheet</x:t>
  </x:si>
  <x:si>
    <x:t xml:space="preserve">LUCK</x:t>
  </x:si>
  <x:si>
    <x:t xml:space="preserve">Lucky Cement Limited</x:t>
  </x:si>
  <x:si>
    <x:t xml:space="preserve">Competitor 1</x:t>
  </x:si>
  <x:si>
    <x:t xml:space="preserve">Unconsolidated</x:t>
  </x:si>
  <x:si>
    <x:t xml:space="preserve">PKR '000</x:t>
  </x:si>
  <x:si>
    <x:t xml:space="preserve">Go to LUCK sheet</x:t>
  </x:si>
  <x:si>
    <x:t xml:space="preserve">DGKC</x:t>
  </x:si>
  <x:si>
    <x:t xml:space="preserve">D.G. Khan Cement Company Limited</x:t>
  </x:si>
  <x:si>
    <x:t xml:space="preserve">Competitor 2</x:t>
  </x:si>
  <x:si>
    <x:t xml:space="preserve">Rs '000</x:t>
  </x:si>
  <x:si>
    <x:t xml:space="preserve">Go to DGKC sheet</x:t>
  </x:si>
  <x:si>
    <x:t xml:space="preserve">MLCF</x:t>
  </x:si>
  <x:si>
    <x:t xml:space="preserve">Maple Leaf Cement Factory Limited</x:t>
  </x:si>
  <x:si>
    <x:t xml:space="preserve">Competitor 3</x:t>
  </x:si>
  <x:si>
    <x:t xml:space="preserve">Go to MLCF sheet</x:t>
  </x:si>
  <x:si>
    <x:t xml:space="preserve">FCCL</x:t>
  </x:si>
  <x:si>
    <x:t xml:space="preserve">Fauji Cement Company Limited</x:t>
  </x:si>
  <x:si>
    <x:t xml:space="preserve">Competitor 4</x:t>
  </x:si>
  <x:si>
    <x:t xml:space="preserve">Go to FCCL sheet</x:t>
  </x:si>
  <x:si>
    <x:t xml:space="preserve">Go to Industry Comparison</x:t>
  </x:si>
  <x:si>
    <x:t xml:space="preserve">Go to Sources &amp; Validation</x:t>
  </x:si>
  <x:si>
    <x:t xml:space="preserve">Calculation conventions</x:t>
  </x:si>
  <x:si>
    <x:t xml:space="preserve">Benchmark</x:t>
  </x:si>
  <x:si>
    <x:t xml:space="preserve">Five-company sample average = equally weighted arithmetic mean of the five company ratios (KOHC included). Not an all-industry average. Valid-observation count shown; n/m values excluded, never treated as zero. Median and four-competitor average shown as supplementary statistics.</x:t>
  </x:si>
  <x:si>
    <x:t xml:space="preserve">Average balances</x:t>
  </x:si>
  <x:si>
    <x:t xml:space="preserve">Flow / stock ratios use (opening + closing) / 2: inventory, receivables, payables, total assets, operating fixed assets, equity, invested capital, capital employed, current liabilities (OCF ratio).</x:t>
  </x:si>
  <x:si>
    <x:t xml:space="preserve">Year-end balances</x:t>
  </x:si>
  <x:si>
    <x:t xml:space="preserve">Current, quick and cash ratios, NWC, NOWC, debt ratio, debt-to-equity, debt-to-capital, long-term debt ratio, BVPS.</x:t>
  </x:si>
  <x:si>
    <x:t xml:space="preserve">Market data</x:t>
  </x:si>
  <x:si>
    <x:t xml:space="preserve">Restatements</x:t>
  </x:si>
  <x:si>
    <x:t xml:space="preserve">Latest audited presentation used for every year (FY2020-FY2024 from the following year's comparatives). All differences against original figures are logged on Sources &amp; Validation.</x:t>
  </x:si>
  <x:si>
    <x:t xml:space="preserve">Levies</x:t>
  </x:si>
  <x:si>
    <x:t xml:space="preserve">From FY2023 comparatives onward companies present final / minimum taxes as "levies" above income tax. Profit before levies and income tax is used throughout so EBIT is comparable across years.</x:t>
  </x:si>
  <x:si>
    <x:t xml:space="preserve">EBIT / EBITDA</x:t>
  </x:si>
  <x:si>
    <x:t xml:space="preserve">EBIT = profit before levies and income tax + finance cost (includes other income). EBITDA = EBIT + depreciation and amortisation from the cash-flow reconciliation. Core operating profit excludes other income.</x:t>
  </x:si>
  <x:si>
    <x:t xml:space="preserve">Interest-bearing debt</x:t>
  </x:si>
  <x:si>
    <x:t xml:space="preserve">Long-term financing (incl. loans from subsidiary / parent), lease liabilities, short-term borrowings and current maturities. Excludes trade payables, accrued mark-up, deferred government grants and employee obligations.</x:t>
  </x:si>
  <x:si>
    <x:t xml:space="preserve">Tax rate for NOPAT</x:t>
  </x:si>
  <x:si>
    <x:t xml:space="preserve">Effective tax rate (levies + income tax) / profit before levies and tax where between 0% and 60%; otherwise the statutory fallback below.</x:t>
  </x:si>
  <x:si>
    <x:t xml:space="preserve">Missing / undefined</x:t>
  </x:si>
  <x:si>
    <x:t xml:space="preserve">Displayed as n/m with explanation; never replaced by zero. Genuine zeros (e.g., no dividend declared) are shown as zero.</x:t>
  </x:si>
  <x:si>
    <x:t xml:space="preserve">Parameter: statutory tax fallback</x:t>
  </x:si>
  <x:si>
    <x:t xml:space="preserve">FY2021</x:t>
  </x:si>
  <x:si>
    <x:t xml:space="preserve">FY2022</x:t>
  </x:si>
  <x:si>
    <x:t xml:space="preserve">FY2023</x:t>
  </x:si>
  <x:si>
    <x:t xml:space="preserve">FY2024</x:t>
  </x:si>
  <x:si>
    <x:t xml:space="preserve">FY2025</x:t>
  </x:si>
  <x:si>
    <x:t xml:space="preserve">Corporate tax + super tax (top slab)</x:t>
  </x:si>
  <x:si>
    <x:t xml:space="preserve">not required</x:t>
  </x:si>
  <x:si>
    <x:t xml:space="preserve">29% per DGKC FY2024 AR p205 / KOHC FY2023 AR p92; super tax 10% per DGKC FY2023 AR p114 and FY2025 AR p210. Used only where ETR is outside 0-60% (DGKC FY2023-24).</x:t>
  </x:si>
  <x:si>
    <x:t xml:space="preserve">Ratio definitions (formulas as implemented on company sheets)</x:t>
  </x:si>
  <x:si>
    <x:t xml:space="preserve">Measure</x:t>
  </x:si>
  <x:si>
    <x:t xml:space="preserve">Formula</x:t>
  </x:si>
  <x:si>
    <x:t xml:space="preserve">Units</x:t>
  </x:si>
  <x:si>
    <x:t xml:space="preserve">Favourable direction</x:t>
  </x:si>
  <x:si>
    <x:t xml:space="preserve">Category</x:t>
  </x:si>
  <x:si>
    <x:t xml:space="preserve">1. Current ratio</x:t>
  </x:si>
  <x:si>
    <x:t xml:space="preserve">Current assets / current liabilities (year-end)</x:t>
  </x:si>
  <x:si>
    <x:t xml:space="preserve">x</x:t>
  </x:si>
  <x:si>
    <x:t xml:space="preserve">Higher</x:t>
  </x:si>
  <x:si>
    <x:t xml:space="preserve">Liquidity</x:t>
  </x:si>
  <x:si>
    <x:t xml:space="preserve">2. Quick (acid-test) ratio</x:t>
  </x:si>
  <x:si>
    <x:t xml:space="preserve">(Current assets - inventories) / current liabilities; inventories = stores, spares + stock-in-trade</x:t>
  </x:si>
  <x:si>
    <x:t xml:space="preserve">3. Cash ratio</x:t>
  </x:si>
  <x:si>
    <x:t xml:space="preserve">Cash and bank balances / current liabilities (short-term investments excluded)</x:t>
  </x:si>
  <x:si>
    <x:t xml:space="preserve">4. Net working capital (PKR m)</x:t>
  </x:si>
  <x:si>
    <x:t xml:space="preserve">Current assets - current liabilities</x:t>
  </x:si>
  <x:si>
    <x:t xml:space="preserve">PKR m</x:t>
  </x:si>
  <x:si>
    <x:t xml:space="preserve">Context</x:t>
  </x:si>
  <x:si>
    <x:t xml:space="preserve">5. Net operating working capital (PKR m)</x:t>
  </x:si>
  <x:si>
    <x:t xml:space="preserve">(CA - cash - ST investments) - (CL - ST borrowings - current portions of debt/leases/grant - accrued mark-up - dividends payable)</x:t>
  </x:si>
  <x:si>
    <x:t xml:space="preserve">6. Inventory turnover</x:t>
  </x:si>
  <x:si>
    <x:t xml:space="preserve">Cost of sales / average inventories (stores, spares + stock-in-trade)</x:t>
  </x:si>
  <x:si>
    <x:t xml:space="preserve">Asset management</x:t>
  </x:si>
  <x:si>
    <x:t xml:space="preserve">7. Receivables turnover (revenue proxy)</x:t>
  </x:si>
  <x:si>
    <x:t xml:space="preserve">Net revenue / average trade debts. Credit sales not disclosed: total net revenue used as proxy</x:t>
  </x:si>
  <x:si>
    <x:t xml:space="preserve">8. Payables turnover</x:t>
  </x:si>
  <x:si>
    <x:t xml:space="preserve">Cost of sales / average trade creditors (and bills payable) per payables note</x:t>
  </x:si>
  <x:si>
    <x:t xml:space="preserve">9. Days inventory outstanding (DIO)</x:t>
  </x:si>
  <x:si>
    <x:t xml:space="preserve">365 / inventory turnover</x:t>
  </x:si>
  <x:si>
    <x:t xml:space="preserve">days</x:t>
  </x:si>
  <x:si>
    <x:t xml:space="preserve">Lower</x:t>
  </x:si>
  <x:si>
    <x:t xml:space="preserve">10. Days sales outstanding (DSO)</x:t>
  </x:si>
  <x:si>
    <x:t xml:space="preserve">365 / receivables turnover</x:t>
  </x:si>
  <x:si>
    <x:t xml:space="preserve">11. Days payables outstanding (DPO)</x:t>
  </x:si>
  <x:si>
    <x:t xml:space="preserve">365 / payables turnover</x:t>
  </x:si>
  <x:si>
    <x:t xml:space="preserve">12. Operating cycle</x:t>
  </x:si>
  <x:si>
    <x:t xml:space="preserve">DIO + DSO</x:t>
  </x:si>
  <x:si>
    <x:t xml:space="preserve">13. Cash conversion cycle</x:t>
  </x:si>
  <x:si>
    <x:t xml:space="preserve">DIO + DSO - DPO</x:t>
  </x:si>
  <x:si>
    <x:t xml:space="preserve">14. Total asset turnover</x:t>
  </x:si>
  <x:si>
    <x:t xml:space="preserve">Revenue / average total assets</x:t>
  </x:si>
  <x:si>
    <x:t xml:space="preserve">15. Fixed asset turnover</x:t>
  </x:si>
  <x:si>
    <x:t xml:space="preserve">Revenue / average operating fixed assets (PPE excl. CWIP; investment property and separately presented ROU excluded)</x:t>
  </x:si>
  <x:si>
    <x:t xml:space="preserve">16. Debt ratio (total liabilities / total assets)</x:t>
  </x:si>
  <x:si>
    <x:t xml:space="preserve">Total liabilities / total assets (year-end)</x:t>
  </x:si>
  <x:si>
    <x:t xml:space="preserve">%</x:t>
  </x:si>
  <x:si>
    <x:t xml:space="preserve">Debt management</x:t>
  </x:si>
  <x:si>
    <x:t xml:space="preserve">17. Debt-to-equity (total liabilities / equity)</x:t>
  </x:si>
  <x:si>
    <x:t xml:space="preserve">Total liabilities / total equity (year-end)</x:t>
  </x:si>
  <x:si>
    <x:t xml:space="preserve">18. Total debt-to-capital</x:t>
  </x:si>
  <x:si>
    <x:t xml:space="preserve">Interest-bearing debt / (interest-bearing debt + equity)</x:t>
  </x:si>
  <x:si>
    <x:t xml:space="preserve">19. Long-term debt ratio</x:t>
  </x:si>
  <x:si>
    <x:t xml:space="preserve">Non-current interest-bearing financing and leases / total assets</x:t>
  </x:si>
  <x:si>
    <x:t xml:space="preserve">20. Times interest earned</x:t>
  </x:si>
  <x:si>
    <x:t xml:space="preserve">EBIT / interest charges (finance cost excl. bank charges and exchange differences)</x:t>
  </x:si>
  <x:si>
    <x:t xml:space="preserve">21. Net debt / EBITDA</x:t>
  </x:si>
  <x:si>
    <x:t xml:space="preserve">(Interest-bearing debt - cash and bank) / EBITDA; negative = net cash</x:t>
  </x:si>
  <x:si>
    <x:t xml:space="preserve">22. Gross profit margin</x:t>
  </x:si>
  <x:si>
    <x:t xml:space="preserve">Gross profit / revenue</x:t>
  </x:si>
  <x:si>
    <x:t xml:space="preserve">Profitability</x:t>
  </x:si>
  <x:si>
    <x:t xml:space="preserve">23. Operating margin</x:t>
  </x:si>
  <x:si>
    <x:t xml:space="preserve">Core operating profit (before other income and finance cost) / revenue</x:t>
  </x:si>
  <x:si>
    <x:t xml:space="preserve">24. Net profit margin</x:t>
  </x:si>
  <x:si>
    <x:t xml:space="preserve">Profit after tax / revenue</x:t>
  </x:si>
  <x:si>
    <x:t xml:space="preserve">25. Return on assets (ROA)</x:t>
  </x:si>
  <x:si>
    <x:t xml:space="preserve">Profit after tax / average total assets</x:t>
  </x:si>
  <x:si>
    <x:t xml:space="preserve">26. Return on equity (ROE)</x:t>
  </x:si>
  <x:si>
    <x:t xml:space="preserve">Profit after tax / average ordinary equity</x:t>
  </x:si>
  <x:si>
    <x:t xml:space="preserve">27. Return on invested capital (ROIC)</x:t>
  </x:si>
  <x:si>
    <x:t xml:space="preserve">NOPAT / average (interest-bearing debt + equity)</x:t>
  </x:si>
  <x:si>
    <x:t xml:space="preserve">28. Basic earning power (BEP)</x:t>
  </x:si>
  <x:si>
    <x:t xml:space="preserve">EBIT / average total assets</x:t>
  </x:si>
  <x:si>
    <x:t xml:space="preserve">29. EBITDA margin</x:t>
  </x:si>
  <x:si>
    <x:t xml:space="preserve">EBITDA / revenue</x:t>
  </x:si>
  <x:si>
    <x:t xml:space="preserve">30. Book value per share (Rs)</x:t>
  </x:si>
  <x:si>
    <x:t xml:space="preserve">Total equity / ordinary shares outstanding at FY-end</x:t>
  </x:si>
  <x:si>
    <x:t xml:space="preserve">Rs</x:t>
  </x:si>
  <x:si>
    <x:t xml:space="preserve">Market value</x:t>
  </x:si>
  <x:si>
    <x:t xml:space="preserve">31. Market-to-book ratio</x:t>
  </x:si>
  <x:si>
    <x:t xml:space="preserve">FY-end share price / BVPS</x:t>
  </x:si>
  <x:si>
    <x:t xml:space="preserve">32. Earnings per share (Rs)</x:t>
  </x:si>
  <x:si>
    <x:t xml:space="preserve">Profit after tax / weighted average ordinary shares</x:t>
  </x:si>
  <x:si>
    <x:t xml:space="preserve">33. Price-to-earnings ratio</x:t>
  </x:si>
  <x:si>
    <x:t xml:space="preserve">FY-end share price / EPS; n/m when EPS &lt;= 0</x:t>
  </x:si>
  <x:si>
    <x:t xml:space="preserve">34. Dividend yield</x:t>
  </x:si>
  <x:si>
    <x:t xml:space="preserve">DPS declared for the FY / FY-end share price</x:t>
  </x:si>
  <x:si>
    <x:t xml:space="preserve">35. Dividend payout ratio</x:t>
  </x:si>
  <x:si>
    <x:t xml:space="preserve">DPS / EPS; n/m when EPS &lt;= 0</x:t>
  </x:si>
  <x:si>
    <x:t xml:space="preserve">36. Operating cash flow ratio</x:t>
  </x:si>
  <x:si>
    <x:t xml:space="preserve">Net cash from operating activities (as reported) / average current liabilities</x:t>
  </x:si>
  <x:si>
    <x:t xml:space="preserve">Cash flow</x:t>
  </x:si>
  <x:si>
    <x:t xml:space="preserve">S1. Return on capital employed (ROCE)</x:t>
  </x:si>
  <x:si>
    <x:t xml:space="preserve">EBIT / average (total assets - current liabilities)</x:t>
  </x:si>
  <x:si>
    <x:t xml:space="preserve">Supplementary</x:t>
  </x:si>
  <x:si>
    <x:t xml:space="preserve">S2. Operating cash flow to sales</x:t>
  </x:si>
  <x:si>
    <x:t xml:space="preserve">Net cash from operating activities / revenue</x:t>
  </x:si>
  <x:si>
    <x:t xml:space="preserve">S3. Interest-bearing debt to equity (gearing)</x:t>
  </x:si>
  <x:si>
    <x:t xml:space="preserve">Interest-bearing debt / total equity</x:t>
  </x:si>
  <x:si>
    <x:t xml:space="preserve">Key limitations</x:t>
  </x:si>
  <x:si>
    <x:t xml:space="preserve">- Five-company sample average is not an all-industry average; equal weights give small and large firms the same influence.</x:t>
  </x:si>
  <x:si>
    <x:t xml:space="preserve">- Standalone/unconsolidated statements exclude subsidiaries; LUCK and MLCF standalone other income includes large dividends from investees, which raises EBIT, ROA and ROIC relative to core cement operations.</x:t>
  </x:si>
  <x:si>
    <x:t xml:space="preserve">- Credit sales are not disclosed: receivables turnover uses total net revenue (proxy). Cement is sold largely on advance/cash terms, so DSO is short.</x:t>
  </x:si>
  <x:si>
    <x:t xml:space="preserve">- Purchases are not disclosed: payables turnover uses cost of sales, which includes depreciation and in-house costs, so DPO is understated relative to a purchases basis.</x:t>
  </x:si>
  <x:si>
    <x:t xml:space="preserve">- Classification differences: MLCF and FCCL report finance cost paid under financing activities (KOHC, LUCK, DGKC under operating). Memo ratio M4 adjusts for this.</x:t>
  </x:si>
  <x:si>
    <x:t xml:space="preserve">- Reclassifications: MLCF FY2023 and FCCL FY2022 moved freight/distribution costs out of cost of sales in restated comparatives; earlier years were not restated, creating gross-margin breaks.</x:t>
  </x:si>
  <x:si>
    <x:t xml:space="preserve">- Per-share measures are not comparable across companies (different share bases); sample averages of EPS, BVPS and DPS are descriptive only.</x:t>
  </x:si>
  <x:si>
    <x:t xml:space="preserve">Published ratio reconciliation - company-published values vs workbook (industry-standard) and reconstructed company convention</x:t>
  </x:si>
  <x:si>
    <x:t xml:space="preserve">FY</x:t>
  </x:si>
  <x:si>
    <x:t xml:space="preserve">Published</x:t>
  </x:si>
  <x:si>
    <x:t xml:space="preserve">Workbook (uniform method)</x:t>
  </x:si>
  <x:si>
    <x:t xml:space="preserve">Reconstructed (company convention)</x:t>
  </x:si>
  <x:si>
    <x:t xml:space="preserve">Company convention identified</x:t>
  </x:si>
  <x:si>
    <x:t xml:space="preserve">Status</x:t>
  </x:si>
  <x:si>
    <x:t xml:space="preserve">Explanation</x:t>
  </x:si>
  <x:si>
    <x:t xml:space="preserve">Source</x:t>
  </x:si>
  <x:si>
    <x:t xml:space="preserve">Current ratio</x:t>
  </x:si>
  <x:si>
    <x:t xml:space="preserve">Year-end CA / CL</x:t>
  </x:si>
  <x:si>
    <x:t xml:space="preserve">Agrees (same convention)</x:t>
  </x:si>
  <x:si>
    <x:t xml:space="preserve">FY2025 AR p53 "Key financial data for the last six years" (per-share items split-adjusted 5:1)</x:t>
  </x:si>
  <x:si>
    <x:t xml:space="preserve">Quick ratio</x:t>
  </x:si>
  <x:si>
    <x:t xml:space="preserve">(CA - stores - stock) / CL, year-end</x:t>
  </x:si>
  <x:si>
    <x:t xml:space="preserve">Inventory turnover</x:t>
  </x:si>
  <x:si>
    <x:t xml:space="preserve">Not identified</x:t>
  </x:si>
  <x:si>
    <x:t xml:space="preserve">Not reproduced</x:t>
  </x:si>
  <x:si>
    <x:t xml:space="preserve">Company convention not disclosed; standard alternatives tested (closing vs average, bases, EBIT vs EBITDA, finance-cost definition)</x:t>
  </x:si>
  <x:si>
    <x:t xml:space="preserve">Days in receivables</x:t>
  </x:si>
  <x:si>
    <x:t xml:space="preserve">365 x closing trade debts / revenue</x:t>
  </x:si>
  <x:si>
    <x:t xml:space="preserve">Reconciled (company convention)</x:t>
  </x:si>
  <x:si>
    <x:t xml:space="preserve">Days in payables</x:t>
  </x:si>
  <x:si>
    <x:t xml:space="preserve">Cash conversion cycle</x:t>
  </x:si>
  <x:si>
    <x:t xml:space="preserve">See components</x:t>
  </x:si>
  <x:si>
    <x:t xml:space="preserve">CCC = DIO + DSO - DPO; reconciles only to the extent its components reconcile</x:t>
  </x:si>
  <x:si>
    <x:t xml:space="preserve">Total assets turnover</x:t>
  </x:si>
  <x:si>
    <x:t xml:space="preserve">Revenue / closing total assets</x:t>
  </x:si>
  <x:si>
    <x:t xml:space="preserve">Fixed assets turnover</x:t>
  </x:si>
  <x:si>
    <x:t xml:space="preserve">Revenue / closing PPE excl. CWIP</x:t>
  </x:si>
  <x:si>
    <x:t xml:space="preserve">Interest coverage</x:t>
  </x:si>
  <x:si>
    <x:t xml:space="preserve">EBIT / total finance cost</x:t>
  </x:si>
  <x:si>
    <x:t xml:space="preserve">Gross profit ratio</x:t>
  </x:si>
  <x:si>
    <x:t xml:space="preserve">GP / revenue</x:t>
  </x:si>
  <x:si>
    <x:t xml:space="preserve">Net profit to sales</x:t>
  </x:si>
  <x:si>
    <x:t xml:space="preserve">PAT / revenue</x:t>
  </x:si>
  <x:si>
    <x:t xml:space="preserve">Return on equity</x:t>
  </x:si>
  <x:si>
    <x:t xml:space="preserve">PAT / closing equity</x:t>
  </x:si>
  <x:si>
    <x:t xml:space="preserve">EBITDA to sales</x:t>
  </x:si>
  <x:si>
    <x:t xml:space="preserve">Price earning ratio</x:t>
  </x:si>
  <x:si>
    <x:t xml:space="preserve">Price to book ratio</x:t>
  </x:si>
  <x:si>
    <x:t xml:space="preserve">Debt : equity (debt share of debt + equity)</x:t>
  </x:si>
  <x:si>
    <x:t xml:space="preserve">IBD / (IBD + equity)</x:t>
  </x:si>
  <x:si>
    <x:t xml:space="preserve">Agrees (company shows whole-number ratio, e.g. 21:79)</x:t>
  </x:si>
  <x:si>
    <x:t xml:space="preserve">Return on capital employed</x:t>
  </x:si>
  <x:si>
    <x:t xml:space="preserve">COGS / average (stores + stock)</x:t>
  </x:si>
  <x:si>
    <x:t xml:space="preserve">FY2025 AR p166 "Horizontal / key ratio analysis" (per-share split-adjusted to Rs 2 basis)</x:t>
  </x:si>
  <x:si>
    <x:t xml:space="preserve">No. of days in receivables</x:t>
  </x:si>
  <x:si>
    <x:t xml:space="preserve">365 / (revenue / avg trade debts)</x:t>
  </x:si>
  <x:si>
    <x:t xml:space="preserve">Agrees within 0.01 (rounding of inputs)</x:t>
  </x:si>
  <x:si>
    <x:t xml:space="preserve">No. of days in payables</x:t>
  </x:si>
  <x:si>
    <x:t xml:space="preserve">Revenue / closing total PPE</x:t>
  </x:si>
  <x:si>
    <x:t xml:space="preserve">EPS (FY2025 share basis)</x:t>
  </x:si>
  <x:si>
    <x:t xml:space="preserve">PAT / weighted shares (FY2025 basis)</x:t>
  </x:si>
  <x:si>
    <x:t xml:space="preserve">Explained difference</x:t>
  </x:si>
  <x:si>
    <x:t xml:space="preserve">Explained: audited FY2023 EPS 43.06 / 5 = 8.61; summary value 8.49 not reproducible from the audited statements</x:t>
  </x:si>
  <x:si>
    <x:t xml:space="preserve">FY2025 AR p108 "Six years at a glance"</x:t>
  </x:si>
  <x:si>
    <x:t xml:space="preserve">Quick / acid test ratio</x:t>
  </x:si>
  <x:si>
    <x:t xml:space="preserve">No. of days in inventory (incl. stores and spares)</x:t>
  </x:si>
  <x:si>
    <x:t xml:space="preserve">365 x closing (stores + stock) / COGS</x:t>
  </x:si>
  <x:si>
    <x:t xml:space="preserve">Total assets turnover (based on average total assets)</x:t>
  </x:si>
  <x:si>
    <x:t xml:space="preserve">Revenue / avg total PPE</x:t>
  </x:si>
  <x:si>
    <x:t xml:space="preserve">Interest cover</x:t>
  </x:si>
  <x:si>
    <x:t xml:space="preserve">EBITDA / total finance cost</x:t>
  </x:si>
  <x:si>
    <x:t xml:space="preserve">Return on equity (average)</x:t>
  </x:si>
  <x:si>
    <x:t xml:space="preserve">PAT / average equity</x:t>
  </x:si>
  <x:si>
    <x:t xml:space="preserve">EBITDA margin</x:t>
  </x:si>
  <x:si>
    <x:t xml:space="preserve">Price earnings ratio</x:t>
  </x:si>
  <x:si>
    <x:t xml:space="preserve">Dividend yield</x:t>
  </x:si>
  <x:si>
    <x:t xml:space="preserve">FY2025 AR p175 "Six years' financial summary / key ratios"</x:t>
  </x:si>
  <x:si>
    <x:t xml:space="preserve">No. of days in inventory (stock-in-trade)</x:t>
  </x:si>
  <x:si>
    <x:t xml:space="preserve">No. of days in creditors</x:t>
  </x:si>
  <x:si>
    <x:t xml:space="preserve">365 / (COGS / avg trade creditors)</x:t>
  </x:si>
  <x:si>
    <x:t xml:space="preserve">Net borrowing / EBITDA</x:t>
  </x:si>
  <x:si>
    <x:t xml:space="preserve">Cash flow from operations to sales</x:t>
  </x:si>
  <x:si>
    <x:t xml:space="preserve">Net CFO / revenue</x:t>
  </x:si>
  <x:si>
    <x:t xml:space="preserve">Interest cover ratio</x:t>
  </x:si>
  <x:si>
    <x:t xml:space="preserve">FY2025 AR p216 "Six years at a glance"</x:t>
  </x:si>
  <x:si>
    <x:t xml:space="preserve">Break-up value per share</x:t>
  </x:si>
  <x:si>
    <x:t xml:space="preserve">Earnings per share</x:t>
  </x:si>
  <x:si>
    <x:t xml:space="preserve">Dividend payout ratio</x:t>
  </x:si>
  <x:si>
    <x:t xml:space="preserve">Debt to equity ratio - as per books</x:t>
  </x:si>
  <x:si>
    <x:t xml:space="preserve">Summary</x:t>
  </x:si>
  <x:si>
    <x:t xml:space="preserve">Kohat Cement Company Limited (KOHC) - five-year financial analysis, FY2021-FY2025</x:t>
  </x:si>
  <x:si>
    <x:t xml:space="preserve">Main company | PSX: KOHC | Standalone (single-entity financial statements; no consolidated statements published) | All amounts PKR million unless stated</x:t>
  </x:si>
  <x:si>
    <x:t xml:space="preserve">Blue = audited input (see Sources &amp; Validation register) | Black = formula | n/m = not meaningful</x:t>
  </x:si>
  <x:si>
    <x:t xml:space="preserve">A. COMPANY AND DATA INFORMATION</x:t>
  </x:si>
  <x:si>
    <x:t xml:space="preserve">PSX symbol</x:t>
  </x:si>
  <x:si>
    <x:t xml:space="preserve">Role in project</x:t>
  </x:si>
  <x:si>
    <x:t xml:space="preserve">Financial year-end</x:t>
  </x:si>
  <x:si>
    <x:t xml:space="preserve">30 June (FY2021 = year ended 30 June 2021, etc.)</x:t>
  </x:si>
  <x:si>
    <x:t xml:space="preserve">Reporting basis</x:t>
  </x:si>
  <x:si>
    <x:t xml:space="preserve">Standalone (single-entity financial statements; no consolidated statements published)</x:t>
  </x:si>
  <x:si>
    <x:t xml:space="preserve">Original audited units</x:t>
  </x:si>
  <x:si>
    <x:t xml:space="preserve">Rupees - normalised here to PKR million (full precision retained)</x:t>
  </x:si>
  <x:si>
    <x:t xml:space="preserve">Annual reports used</x:t>
  </x:si>
  <x:si>
    <x:t xml:space="preserve">FY2021: KOHC_AR_2021.pdf; FY2022: Kohat_Cement_AR_2022.pdf; FY2023: Financial_Statements-30-06-2023.pdf; FY2024: Kohat_Cement_Annual_Report-2024.pdf; FY2025: Kohat_Cement_Annual_Report_2025.pdf</x:t>
  </x:si>
  <x:si>
    <x:t xml:space="preserve">Year selection rule</x:t>
  </x:si>
  <x:si>
    <x:t xml:space="preserve">Each year taken from the most recent audited presentation: FY2025 from FY2025 AR; FY2020-FY2024 from the comparative column of the following year's AR (captures restatements). FY2020 = opening balances only.</x:t>
  </x:si>
  <x:si>
    <x:t xml:space="preserve">Per-share basis</x:t>
  </x:si>
  <x:si>
    <x:t xml:space="preserve">Source register</x:t>
  </x:si>
  <x:si>
    <x:t xml:space="preserve">Every blue input is listed with report, statement, PDF page, printed page and remarks on the Sources &amp; Validation sheet.</x:t>
  </x:si>
  <x:si>
    <x:t xml:space="preserve">Item</x:t>
  </x:si>
  <x:si>
    <x:t xml:space="preserve">Definition / formula / source note</x:t>
  </x:si>
  <x:si>
    <x:t xml:space="preserve">FY2020*</x:t>
  </x:si>
  <x:si>
    <x:t xml:space="preserve">Comments</x:t>
  </x:si>
  <x:si>
    <x:t xml:space="preserve">B. STATEMENT OF FINANCIAL POSITION (PKR million; FY2020 = opening balances only)</x:t>
  </x:si>
  <x:si>
    <x:t xml:space="preserve">Non-current assets</x:t>
  </x:si>
  <x:si>
    <x:t xml:space="preserve">Property, plant and equipment (as presented)</x:t>
  </x:si>
  <x:si>
    <x:t xml:space="preserve">Input - see register KOHC|ppe</x:t>
  </x:si>
  <x:si>
    <x:t xml:space="preserve">   of which: capital work-in-progress (note)</x:t>
  </x:si>
  <x:si>
    <x:t xml:space="preserve">Input - see register KOHC|cwip</x:t>
  </x:si>
  <x:si>
    <x:t xml:space="preserve">   Operating fixed assets = PPE less CWIP</x:t>
  </x:si>
  <x:si>
    <x:t xml:space="preserve">PPE - CWIP</x:t>
  </x:si>
  <x:si>
    <x:t xml:space="preserve">Right-of-use assets (presented separately)</x:t>
  </x:si>
  <x:si>
    <x:t xml:space="preserve">Input - see register KOHC|rou</x:t>
  </x:si>
  <x:si>
    <x:t xml:space="preserve">Intangible assets</x:t>
  </x:si>
  <x:si>
    <x:t xml:space="preserve">Input - see register KOHC|intang</x:t>
  </x:si>
  <x:si>
    <x:t xml:space="preserve">Investment property</x:t>
  </x:si>
  <x:si>
    <x:t xml:space="preserve">Input - see register KOHC|inv_prop</x:t>
  </x:si>
  <x:si>
    <x:t xml:space="preserve">Long-term investments</x:t>
  </x:si>
  <x:si>
    <x:t xml:space="preserve">Input - see register KOHC|lt_inv</x:t>
  </x:si>
  <x:si>
    <x:t xml:space="preserve">Other non-current assets</x:t>
  </x:si>
  <x:si>
    <x:t xml:space="preserve">Input - see register KOHC|nca_other</x:t>
  </x:si>
  <x:si>
    <x:t xml:space="preserve">Total non-current assets</x:t>
  </x:si>
  <x:si>
    <x:t xml:space="preserve">Sum of above (excl. memo)</x:t>
  </x:si>
  <x:si>
    <x:t xml:space="preserve">Current assets</x:t>
  </x:si>
  <x:si>
    <x:t xml:space="preserve">Stores, spares and loose tools</x:t>
  </x:si>
  <x:si>
    <x:t xml:space="preserve">Input - see register KOHC|stores</x:t>
  </x:si>
  <x:si>
    <x:t xml:space="preserve">Stock-in-trade</x:t>
  </x:si>
  <x:si>
    <x:t xml:space="preserve">Input - see register KOHC|sit</x:t>
  </x:si>
  <x:si>
    <x:t xml:space="preserve">Trade debts</x:t>
  </x:si>
  <x:si>
    <x:t xml:space="preserve">Input - see register KOHC|debts</x:t>
  </x:si>
  <x:si>
    <x:t xml:space="preserve">Short-term investments</x:t>
  </x:si>
  <x:si>
    <x:t xml:space="preserve">Input - see register KOHC|st_inv</x:t>
  </x:si>
  <x:si>
    <x:t xml:space="preserve">Cash and bank balances</x:t>
  </x:si>
  <x:si>
    <x:t xml:space="preserve">Input - see register KOHC|cash</x:t>
  </x:si>
  <x:si>
    <x:t xml:space="preserve">Other current assets</x:t>
  </x:si>
  <x:si>
    <x:t xml:space="preserve">Input - see register KOHC|ca_other</x:t>
  </x:si>
  <x:si>
    <x:t xml:space="preserve">Total current assets</x:t>
  </x:si>
  <x:si>
    <x:t xml:space="preserve">stores+sit+debts+st_inv+cash+ca_other</x:t>
  </x:si>
  <x:si>
    <x:t xml:space="preserve">TOTAL ASSETS</x:t>
  </x:si>
  <x:si>
    <x:t xml:space="preserve">tot_nca+tot_ca</x:t>
  </x:si>
  <x:si>
    <x:t xml:space="preserve">Equity</x:t>
  </x:si>
  <x:si>
    <x:t xml:space="preserve">Issued, subscribed and paid-up share capital</x:t>
  </x:si>
  <x:si>
    <x:t xml:space="preserve">Input - see register KOHC|share_cap</x:t>
  </x:si>
  <x:si>
    <x:t xml:space="preserve">Reserves, retained earnings and revaluation surplus</x:t>
  </x:si>
  <x:si>
    <x:t xml:space="preserve">Input - see register KOHC|eq_other</x:t>
  </x:si>
  <x:si>
    <x:t xml:space="preserve">Total equity</x:t>
  </x:si>
  <x:si>
    <x:t xml:space="preserve">share_cap+eq_other</x:t>
  </x:si>
  <x:si>
    <x:t xml:space="preserve">Non-current liabilities</x:t>
  </x:si>
  <x:si>
    <x:t xml:space="preserve">Long-term financing (non-current, interest-bearing)</x:t>
  </x:si>
  <x:si>
    <x:t xml:space="preserve">Input - see register KOHC|ltf_nc</x:t>
  </x:si>
  <x:si>
    <x:t xml:space="preserve">Lease liabilities (non-current)</x:t>
  </x:si>
  <x:si>
    <x:t xml:space="preserve">Input - see register KOHC|lease_nc</x:t>
  </x:si>
  <x:si>
    <x:t xml:space="preserve">Deferred government grant (non-current)</x:t>
  </x:si>
  <x:si>
    <x:t xml:space="preserve">Input - see register KOHC|grant_nc</x:t>
  </x:si>
  <x:si>
    <x:t xml:space="preserve">Deferred tax liability</x:t>
  </x:si>
  <x:si>
    <x:t xml:space="preserve">Input - see register KOHC|def_tax</x:t>
  </x:si>
  <x:si>
    <x:t xml:space="preserve">Other non-current liabilities</x:t>
  </x:si>
  <x:si>
    <x:t xml:space="preserve">Input - see register KOHC|ncl_other</x:t>
  </x:si>
  <x:si>
    <x:t xml:space="preserve">Total non-current liabilities</x:t>
  </x:si>
  <x:si>
    <x:t xml:space="preserve">ltf_nc+lease_nc+grant_nc+def_tax+ncl_other</x:t>
  </x:si>
  <x:si>
    <x:t xml:space="preserve">Current liabilities</x:t>
  </x:si>
  <x:si>
    <x:t xml:space="preserve">Trade and other payables</x:t>
  </x:si>
  <x:si>
    <x:t xml:space="preserve">Input - see register KOHC|tap</x:t>
  </x:si>
  <x:si>
    <x:t xml:space="preserve">   memo: trade creditors / bills payable (note)</x:t>
  </x:si>
  <x:si>
    <x:t xml:space="preserve">Input - see register KOHC|trade_cred</x:t>
  </x:si>
  <x:si>
    <x:t xml:space="preserve">Contract liabilities / advances from customers</x:t>
  </x:si>
  <x:si>
    <x:t xml:space="preserve">Input - see register KOHC|contract</x:t>
  </x:si>
  <x:si>
    <x:t xml:space="preserve">Accrued mark-up / interest</x:t>
  </x:si>
  <x:si>
    <x:t xml:space="preserve">Input - see register KOHC|acc_markup</x:t>
  </x:si>
  <x:si>
    <x:t xml:space="preserve">Short-term borrowings (incl. running finance; FCCL parent loan)</x:t>
  </x:si>
  <x:si>
    <x:t xml:space="preserve">Input - see register KOHC|stb</x:t>
  </x:si>
  <x:si>
    <x:t xml:space="preserve">Current portion of long-term financing</x:t>
  </x:si>
  <x:si>
    <x:t xml:space="preserve">Input - see register KOHC|cp_ltf</x:t>
  </x:si>
  <x:si>
    <x:t xml:space="preserve">Current portion of lease liabilities</x:t>
  </x:si>
  <x:si>
    <x:t xml:space="preserve">Input - see register KOHC|cp_lease</x:t>
  </x:si>
  <x:si>
    <x:t xml:space="preserve">Current portion of deferred government grant</x:t>
  </x:si>
  <x:si>
    <x:t xml:space="preserve">Input - see register KOHC|cp_grant</x:t>
  </x:si>
  <x:si>
    <x:t xml:space="preserve">Unclaimed / unpaid dividends</x:t>
  </x:si>
  <x:si>
    <x:t xml:space="preserve">Input - see register KOHC|div_liab</x:t>
  </x:si>
  <x:si>
    <x:t xml:space="preserve">Taxation payable (net)</x:t>
  </x:si>
  <x:si>
    <x:t xml:space="preserve">Input - see register KOHC|tax_liab</x:t>
  </x:si>
  <x:si>
    <x:t xml:space="preserve">Other current liabilities</x:t>
  </x:si>
  <x:si>
    <x:t xml:space="preserve">Input - see register KOHC|cl_other</x:t>
  </x:si>
  <x:si>
    <x:t xml:space="preserve">Total current liabilities</x:t>
  </x:si>
  <x:si>
    <x:t xml:space="preserve">tap+contract+acc_markup+stb+cp_ltf+cp_lease+cp_grant+div_liab+tax_liab+cl_other</x:t>
  </x:si>
  <x:si>
    <x:t xml:space="preserve">Trade creditors memo line excluded (already inside trade and other payables)</x:t>
  </x:si>
  <x:si>
    <x:t xml:space="preserve">Total liabilities</x:t>
  </x:si>
  <x:si>
    <x:t xml:space="preserve">tot_ncl+tot_cl</x:t>
  </x:si>
  <x:si>
    <x:t xml:space="preserve">TOTAL EQUITY AND LIABILITIES</x:t>
  </x:si>
  <x:si>
    <x:t xml:space="preserve">tot_eq+tot_liab</x:t>
  </x:si>
  <x:si>
    <x:t xml:space="preserve">Derived balances used in ratios</x:t>
  </x:si>
  <x:si>
    <x:t xml:space="preserve">Inventories = stores and spares + stock-in-trade</x:t>
  </x:si>
  <x:si>
    <x:t xml:space="preserve">stores+sit</x:t>
  </x:si>
  <x:si>
    <x:t xml:space="preserve">Interest-bearing debt = LT financing + leases + ST borrowings + current portions</x:t>
  </x:si>
  <x:si>
    <x:t xml:space="preserve">ltf_nc+lease_nc+stb+cp_ltf+cp_lease</x:t>
  </x:si>
  <x:si>
    <x:t xml:space="preserve">Long-term interest-bearing debt (non-current financing + non-current leases)</x:t>
  </x:si>
  <x:si>
    <x:t xml:space="preserve">ltf_nc+lease_nc</x:t>
  </x:si>
  <x:si>
    <x:t xml:space="preserve">Net debt = interest-bearing debt - cash and bank</x:t>
  </x:si>
  <x:si>
    <x:t xml:space="preserve">ibd-cash</x:t>
  </x:si>
  <x:si>
    <x:t xml:space="preserve">Net debt incl. short-term investments (memo)</x:t>
  </x:si>
  <x:si>
    <x:t xml:space="preserve">ibd-cash-st_inv</x:t>
  </x:si>
  <x:si>
    <x:t xml:space="preserve">Invested capital = interest-bearing debt + equity</x:t>
  </x:si>
  <x:si>
    <x:t xml:space="preserve">ibd+tot_eq</x:t>
  </x:si>
  <x:si>
    <x:t xml:space="preserve">Capital employed = total assets - current liabilities</x:t>
  </x:si>
  <x:si>
    <x:t xml:space="preserve">tot_assets-tot_cl</x:t>
  </x:si>
  <x:si>
    <x:t xml:space="preserve">Operating current assets = CA - cash - ST investments</x:t>
  </x:si>
  <x:si>
    <x:t xml:space="preserve">tot_ca-cash-st_inv</x:t>
  </x:si>
  <x:si>
    <x:t xml:space="preserve">Operating current liabilities = CL - ST borrowings - current portions - accrued mark-up - dividends</x:t>
  </x:si>
  <x:si>
    <x:t xml:space="preserve">tot_cl-stb-cp_ltf-cp_lease-cp_grant-acc_markup-div_liab</x:t>
  </x:si>
  <x:si>
    <x:t xml:space="preserve">Source totals (as printed in audited statements) and checks</x:t>
  </x:si>
  <x:si>
    <x:t xml:space="preserve">Printed total assets</x:t>
  </x:si>
  <x:si>
    <x:t xml:space="preserve">Input - see register KOHC|pr_TA</x:t>
  </x:si>
  <x:si>
    <x:t xml:space="preserve">Printed total equity</x:t>
  </x:si>
  <x:si>
    <x:t xml:space="preserve">Input - see register KOHC|pr_EQ</x:t>
  </x:si>
  <x:si>
    <x:t xml:space="preserve">Printed total current assets</x:t>
  </x:si>
  <x:si>
    <x:t xml:space="preserve">Input - see register KOHC|pr_CA</x:t>
  </x:si>
  <x:si>
    <x:t xml:space="preserve">Printed total current liabilities</x:t>
  </x:si>
  <x:si>
    <x:t xml:space="preserve">Input - see register KOHC|pr_CL</x:t>
  </x:si>
  <x:si>
    <x:t xml:space="preserve">Check: total assets = equity + liabilities</x:t>
  </x:si>
  <x:si>
    <x:t xml:space="preserve">Validation formula</x:t>
  </x:si>
  <x:si>
    <x:t xml:space="preserve">Check: total assets = printed total</x:t>
  </x:si>
  <x:si>
    <x:t xml:space="preserve">Check: equity, CA and CL = printed subtotals</x:t>
  </x:si>
  <x:si>
    <x:t xml:space="preserve">C. STATEMENT OF PROFIT OR LOSS (PKR million)</x:t>
  </x:si>
  <x:si>
    <x:t xml:space="preserve">Revenue / net sales</x:t>
  </x:si>
  <x:si>
    <x:t xml:space="preserve">Input - see register KOHC|rev</x:t>
  </x:si>
  <x:si>
    <x:t xml:space="preserve">Cost of sales</x:t>
  </x:si>
  <x:si>
    <x:t xml:space="preserve">Input - see register KOHC|cogs</x:t>
  </x:si>
  <x:si>
    <x:t xml:space="preserve">Gross profit</x:t>
  </x:si>
  <x:si>
    <x:t xml:space="preserve">rev+cogs</x:t>
  </x:si>
  <x:si>
    <x:t xml:space="preserve">Selling and distribution expenses</x:t>
  </x:si>
  <x:si>
    <x:t xml:space="preserve">Input - see register KOHC|selling</x:t>
  </x:si>
  <x:si>
    <x:t xml:space="preserve">Administrative expenses</x:t>
  </x:si>
  <x:si>
    <x:t xml:space="preserve">Input - see register KOHC|admin</x:t>
  </x:si>
  <x:si>
    <x:t xml:space="preserve">Impairment / expected credit loss on financial assets</x:t>
  </x:si>
  <x:si>
    <x:t xml:space="preserve">Input - see register KOHC|impair</x:t>
  </x:si>
  <x:si>
    <x:t xml:space="preserve">Other operating expenses (incl. WPPF/WWF)</x:t>
  </x:si>
  <x:si>
    <x:t xml:space="preserve">Input - see register KOHC|oth_exp</x:t>
  </x:si>
  <x:si>
    <x:t xml:space="preserve">Operating profit (core) = GP - operating expenses, excl. other income</x:t>
  </x:si>
  <x:si>
    <x:t xml:space="preserve">gp+selling+admin+impair+oth_exp</x:t>
  </x:si>
  <x:si>
    <x:t xml:space="preserve">Other income</x:t>
  </x:si>
  <x:si>
    <x:t xml:space="preserve">Input - see register KOHC|oth_inc</x:t>
  </x:si>
  <x:si>
    <x:t xml:space="preserve">Finance income (where presented separately)</x:t>
  </x:si>
  <x:si>
    <x:t xml:space="preserve">Input - see register KOHC|fin_inc</x:t>
  </x:si>
  <x:si>
    <x:t xml:space="preserve">Share of profit of associate</x:t>
  </x:si>
  <x:si>
    <x:t xml:space="preserve">Input - see register KOHC|assoc</x:t>
  </x:si>
  <x:si>
    <x:t xml:space="preserve">Finance cost</x:t>
  </x:si>
  <x:si>
    <x:t xml:space="preserve">Input - see register KOHC|fin_cost</x:t>
  </x:si>
  <x:si>
    <x:t xml:space="preserve">Profit before levies and income tax</x:t>
  </x:si>
  <x:si>
    <x:t xml:space="preserve">core_op+oth_inc+fin_inc+assoc+fin_cost</x:t>
  </x:si>
  <x:si>
    <x:t xml:space="preserve">Levies (final / minimum taxes presented separately)</x:t>
  </x:si>
  <x:si>
    <x:t xml:space="preserve">Input - see register KOHC|levy</x:t>
  </x:si>
  <x:si>
    <x:t xml:space="preserve">Income tax</x:t>
  </x:si>
  <x:si>
    <x:t xml:space="preserve">Input - see register KOHC|tax</x:t>
  </x:si>
  <x:si>
    <x:t xml:space="preserve">Profit after tax (attributable to ordinary shareholders)</x:t>
  </x:si>
  <x:si>
    <x:t xml:space="preserve">pbt_pre+levy+tax</x:t>
  </x:si>
  <x:si>
    <x:t xml:space="preserve">Printed gross profit</x:t>
  </x:si>
  <x:si>
    <x:t xml:space="preserve">Input - see register KOHC|pr_gp</x:t>
  </x:si>
  <x:si>
    <x:t xml:space="preserve">Printed profit before levies and income tax</x:t>
  </x:si>
  <x:si>
    <x:t xml:space="preserve">Input - see register KOHC|pr_pbt</x:t>
  </x:si>
  <x:si>
    <x:t xml:space="preserve">Printed profit after tax</x:t>
  </x:si>
  <x:si>
    <x:t xml:space="preserve">Input - see register KOHC|pr_pat</x:t>
  </x:si>
  <x:si>
    <x:t xml:space="preserve">Check: GP, PBT and PAT agree to printed statement</x:t>
  </x:si>
  <x:si>
    <x:t xml:space="preserve">Derived profit measures</x:t>
  </x:si>
  <x:si>
    <x:t xml:space="preserve">Non-interest finance costs (bank charges, commission, exchange loss) (note)</x:t>
  </x:si>
  <x:si>
    <x:t xml:space="preserve">Input - see register KOHC|fc_nonint</x:t>
  </x:si>
  <x:si>
    <x:t xml:space="preserve">Interest charges = finance cost - non-interest items</x:t>
  </x:si>
  <x:si>
    <x:t xml:space="preserve">-fin_cost-fc_nonint</x:t>
  </x:si>
  <x:si>
    <x:t xml:space="preserve">Depreciation and amortisation (cash flow reconciliation)</x:t>
  </x:si>
  <x:si>
    <x:t xml:space="preserve">Input - see register KOHC|da</x:t>
  </x:si>
  <x:si>
    <x:t xml:space="preserve">EBIT = profit before levies and tax + finance cost</x:t>
  </x:si>
  <x:si>
    <x:t xml:space="preserve">pbt_pre-fin_cost</x:t>
  </x:si>
  <x:si>
    <x:t xml:space="preserve">EBITDA = EBIT + depreciation and amortisation</x:t>
  </x:si>
  <x:si>
    <x:t xml:space="preserve">ebit+da</x:t>
  </x:si>
  <x:si>
    <x:t xml:space="preserve">Total tax charge (levies + income tax)</x:t>
  </x:si>
  <x:si>
    <x:t xml:space="preserve">-(levy+tax)</x:t>
  </x:si>
  <x:si>
    <x:t xml:space="preserve">Effective tax rate = total tax / profit before levies and tax</x:t>
  </x:si>
  <x:si>
    <x:t xml:space="preserve">IF(pbt_pre&lt;=0,"n/m",tot_tax/pbt_pre)</x:t>
  </x:si>
  <x:si>
    <x:t xml:space="preserve">Tax rate applied to NOPAT (ETR if 0-60%, else statutory)</x:t>
  </x:si>
  <x:si>
    <x:t xml:space="preserve">IF(AND(ISNUMBER(etr),etr&gt;=0,etr&lt;=0.6),etr,P:stat)</x:t>
  </x:si>
  <x:si>
    <x:t xml:space="preserve">NOPAT = EBIT x (1 - tax rate applied)</x:t>
  </x:si>
  <x:si>
    <x:t xml:space="preserve">ebit*(1-tax_used)</x:t>
  </x:si>
  <x:si>
    <x:t xml:space="preserve">D. STATEMENT OF CASH FLOWS (PKR million)</x:t>
  </x:si>
  <x:si>
    <x:t xml:space="preserve">Cash generated from operations (before interest, tax and other items)</x:t>
  </x:si>
  <x:si>
    <x:t xml:space="preserve">Input - see register KOHC|cgo</x:t>
  </x:si>
  <x:si>
    <x:t xml:space="preserve">Net cash from operating activities (as reported)</x:t>
  </x:si>
  <x:si>
    <x:t xml:space="preserve">Input - see register KOHC|cfo</x:t>
  </x:si>
  <x:si>
    <x:t xml:space="preserve">Finance cost / mark-up paid</x:t>
  </x:si>
  <x:si>
    <x:t xml:space="preserve">Input - see register KOHC|fin_paid</x:t>
  </x:si>
  <x:si>
    <x:t xml:space="preserve">Classification of finance cost paid</x:t>
  </x:si>
  <x:si>
    <x:t xml:space="preserve">Input - see register KOHC|fin_paid_cls</x:t>
  </x:si>
  <x:si>
    <x:t xml:space="preserve">Operating</x:t>
  </x:si>
  <x:si>
    <x:t xml:space="preserve">text</x:t>
  </x:si>
  <x:si>
    <x:t xml:space="preserve">CFO with interest paid treated as operating (comparability memo)</x:t>
  </x:si>
  <x:si>
    <x:t xml:space="preserve">IF(fin_paid_cls="Financing",cfo+fin_paid,cfo)</x:t>
  </x:si>
  <x:si>
    <x:t xml:space="preserve">Purchase of property, plant and equipment</x:t>
  </x:si>
  <x:si>
    <x:t xml:space="preserve">Input - see register KOHC|capex</x:t>
  </x:si>
  <x:si>
    <x:t xml:space="preserve">Net cash from investing activities</x:t>
  </x:si>
  <x:si>
    <x:t xml:space="preserve">Input - see register KOHC|cfi</x:t>
  </x:si>
  <x:si>
    <x:t xml:space="preserve">Net cash from financing activities</x:t>
  </x:si>
  <x:si>
    <x:t xml:space="preserve">Input - see register KOHC|cff</x:t>
  </x:si>
  <x:si>
    <x:t xml:space="preserve">Dividends paid</x:t>
  </x:si>
  <x:si>
    <x:t xml:space="preserve">Input - see register KOHC|div_paid</x:t>
  </x:si>
  <x:si>
    <x:t xml:space="preserve">E. MARKET AND SHAREHOLDER DATA (share basis in force at each FY-end)</x:t>
  </x:si>
  <x:si>
    <x:t xml:space="preserve">Par value per share (Rs)</x:t>
  </x:si>
  <x:si>
    <x:t xml:space="preserve">Input - see register KOHC|par</x:t>
  </x:si>
  <x:si>
    <x:t xml:space="preserve">Ordinary shares outstanding at FY-end (million) = share capital / par</x:t>
  </x:si>
  <x:si>
    <x:t xml:space="preserve">share_cap/par</x:t>
  </x:si>
  <x:si>
    <x:t xml:space="preserve">m shares</x:t>
  </x:si>
  <x:si>
    <x:t xml:space="preserve">Weighted average ordinary shares (million) - audited EPS note</x:t>
  </x:si>
  <x:si>
    <x:t xml:space="preserve">Input - see register KOHC|wavg</x:t>
  </x:si>
  <x:si>
    <x:t xml:space="preserve">Input - see register KOHC|price</x:t>
  </x:si>
  <x:si>
    <x:t xml:space="preserve">Cash dividend per share declared for the FY (Rs)</x:t>
  </x:si>
  <x:si>
    <x:t xml:space="preserve">Input - see register KOHC|dps</x:t>
  </x:si>
  <x:si>
    <x:t xml:space="preserve">Input - see register KOHC|eps_rep</x:t>
  </x:si>
  <x:si>
    <x:t xml:space="preserve">Market capitalisation = price x FY-end shares</x:t>
  </x:si>
  <x:si>
    <x:t xml:space="preserve">price*shares_ye</x:t>
  </x:si>
  <x:si>
    <x:t xml:space="preserve">Input - see register KOHC|adj</x:t>
  </x:si>
  <x:si>
    <x:t xml:space="preserve">factor</x:t>
  </x:si>
  <x:si>
    <x:t xml:space="preserve">F. FINANCIAL RATIO ANALYSIS - 36 MEASURES</x:t>
  </x:si>
  <x:si>
    <x:t xml:space="preserve">A. Liquidity</x:t>
  </x:si>
  <x:si>
    <x:t xml:space="preserve">B. Asset management</x:t>
  </x:si>
  <x:si>
    <x:t xml:space="preserve">C. Debt management</x:t>
  </x:si>
  <x:si>
    <x:t xml:space="preserve">D. Profitability</x:t>
  </x:si>
  <x:si>
    <x:t xml:space="preserve">E. Market value</x:t>
  </x:si>
  <x:si>
    <x:t xml:space="preserve">F. Cash flow</x:t>
  </x:si>
  <x:si>
    <x:t xml:space="preserve">Other company-disclosed ratios (supplementary)</x:t>
  </x:si>
  <x:si>
    <x:t xml:space="preserve">Comparability memo ratios (not part of the 36)</x:t>
  </x:si>
  <x:si>
    <x:t xml:space="preserve">M1. Cash + short-term investments ratio</x:t>
  </x:si>
  <x:si>
    <x:t xml:space="preserve">(Cash and bank + short-term investments) / current liabilities</x:t>
  </x:si>
  <x:si>
    <x:t xml:space="preserve">M2. Net debt incl. ST investments / EBITDA</x:t>
  </x:si>
  <x:si>
    <x:t xml:space="preserve">Negative = net cash including short-term investments</x:t>
  </x:si>
  <x:si>
    <x:t xml:space="preserve">M3. DIO - stock-in-trade only</x:t>
  </x:si>
  <x:si>
    <x:t xml:space="preserve">365 / (cost of sales / average stock-in-trade)</x:t>
  </x:si>
  <x:si>
    <x:t xml:space="preserve">M4. OCF ratio, interest paid treated as operating</x:t>
  </x:si>
  <x:si>
    <x:t xml:space="preserve">Adjusted CFO / average current liabilities</x:t>
  </x:si>
  <x:si>
    <x:t xml:space="preserve">EPS / split factor, for trend comparison only</x:t>
  </x:si>
  <x:si>
    <x:t xml:space="preserve">M6. Operating margin incl. other income (EBIT margin)</x:t>
  </x:si>
  <x:si>
    <x:t xml:space="preserve">EBIT / revenue</x:t>
  </x:si>
  <x:si>
    <x:t xml:space="preserve">G. VERTICAL (COMMON-SIZE) ANALYSIS</x:t>
  </x:si>
  <x:si>
    <x:t xml:space="preserve">Statement of financial position - % of total assets</x:t>
  </x:si>
  <x:si>
    <x:t xml:space="preserve">Operating fixed assets</x:t>
  </x:si>
  <x:si>
    <x:t xml:space="preserve">ofa / total assets</x:t>
  </x:si>
  <x:si>
    <x:t xml:space="preserve">Capital work-in-progress</x:t>
  </x:si>
  <x:si>
    <x:t xml:space="preserve">cwip / total assets</x:t>
  </x:si>
  <x:si>
    <x:t xml:space="preserve">tot_nca / total assets</x:t>
  </x:si>
  <x:si>
    <x:t xml:space="preserve">Inventories</x:t>
  </x:si>
  <x:si>
    <x:t xml:space="preserve">inventories / total assets</x:t>
  </x:si>
  <x:si>
    <x:t xml:space="preserve">debts / total assets</x:t>
  </x:si>
  <x:si>
    <x:t xml:space="preserve">st_inv / total assets</x:t>
  </x:si>
  <x:si>
    <x:t xml:space="preserve">Cash and bank</x:t>
  </x:si>
  <x:si>
    <x:t xml:space="preserve">cash / total assets</x:t>
  </x:si>
  <x:si>
    <x:t xml:space="preserve">tot_ca / total assets</x:t>
  </x:si>
  <x:si>
    <x:t xml:space="preserve">tot_eq / total assets</x:t>
  </x:si>
  <x:si>
    <x:t xml:space="preserve">Long-term interest-bearing debt</x:t>
  </x:si>
  <x:si>
    <x:t xml:space="preserve">lt_ibd / total assets</x:t>
  </x:si>
  <x:si>
    <x:t xml:space="preserve">tot_ncl / total assets</x:t>
  </x:si>
  <x:si>
    <x:t xml:space="preserve">tap / total assets</x:t>
  </x:si>
  <x:si>
    <x:t xml:space="preserve">Interest-bearing debt (total)</x:t>
  </x:si>
  <x:si>
    <x:t xml:space="preserve">ibd / total assets</x:t>
  </x:si>
  <x:si>
    <x:t xml:space="preserve">tot_cl / total assets</x:t>
  </x:si>
  <x:si>
    <x:t xml:space="preserve">tot_liab / total assets</x:t>
  </x:si>
  <x:si>
    <x:t xml:space="preserve">Statement of profit or loss - % of revenue</x:t>
  </x:si>
  <x:si>
    <x:t xml:space="preserve">cogs / revenue (costs shown negative)</x:t>
  </x:si>
  <x:si>
    <x:t xml:space="preserve">gp / revenue (costs shown negative)</x:t>
  </x:si>
  <x:si>
    <x:t xml:space="preserve">Selling and distribution</x:t>
  </x:si>
  <x:si>
    <x:t xml:space="preserve">selling / revenue (costs shown negative)</x:t>
  </x:si>
  <x:si>
    <x:t xml:space="preserve">Administrative</x:t>
  </x:si>
  <x:si>
    <x:t xml:space="preserve">admin / revenue (costs shown negative)</x:t>
  </x:si>
  <x:si>
    <x:t xml:space="preserve">Other operating expenses</x:t>
  </x:si>
  <x:si>
    <x:t xml:space="preserve">oth_exp / revenue (costs shown negative)</x:t>
  </x:si>
  <x:si>
    <x:t xml:space="preserve">Operating profit (core)</x:t>
  </x:si>
  <x:si>
    <x:t xml:space="preserve">core_op / revenue (costs shown negative)</x:t>
  </x:si>
  <x:si>
    <x:t xml:space="preserve">oth_inc / revenue (costs shown negative)</x:t>
  </x:si>
  <x:si>
    <x:t xml:space="preserve">fin_cost / revenue (costs shown negative)</x:t>
  </x:si>
  <x:si>
    <x:t xml:space="preserve">Profit before levies and tax</x:t>
  </x:si>
  <x:si>
    <x:t xml:space="preserve">pbt_pre / revenue (costs shown negative)</x:t>
  </x:si>
  <x:si>
    <x:t xml:space="preserve">Total tax charge</x:t>
  </x:si>
  <x:si>
    <x:t xml:space="preserve">tot_tax / revenue (costs shown negative)</x:t>
  </x:si>
  <x:si>
    <x:t xml:space="preserve">Profit after tax</x:t>
  </x:si>
  <x:si>
    <x:t xml:space="preserve">pat / revenue (costs shown negative)</x:t>
  </x:si>
  <x:si>
    <x:t xml:space="preserve">EBITDA</x:t>
  </x:si>
  <x:si>
    <x:t xml:space="preserve">ebitda / revenue (costs shown negative)</x:t>
  </x:si>
  <x:si>
    <x:t xml:space="preserve">H. HORIZONTAL ANALYSIS - year-on-year change</x:t>
  </x:si>
  <x:si>
    <x:t xml:space="preserve">Revenue - change (PKR m)</x:t>
  </x:si>
  <x:si>
    <x:t xml:space="preserve">Current - prior year</x:t>
  </x:si>
  <x:si>
    <x:t xml:space="preserve">n/a</x:t>
  </x:si>
  <x:si>
    <x:t xml:space="preserve">Revenue - change (%)</x:t>
  </x:si>
  <x:si>
    <x:t xml:space="preserve">n/m where prior-year value &lt;= 0 (sign change)</x:t>
  </x:si>
  <x:si>
    <x:t xml:space="preserve">Gross profit - change (PKR m)</x:t>
  </x:si>
  <x:si>
    <x:t xml:space="preserve">Gross profit - change (%)</x:t>
  </x:si>
  <x:si>
    <x:t xml:space="preserve">Operating profit (core) - change (PKR m)</x:t>
  </x:si>
  <x:si>
    <x:t xml:space="preserve">Operating profit (core) - change (%)</x:t>
  </x:si>
  <x:si>
    <x:t xml:space="preserve">EBITDA - change (PKR m)</x:t>
  </x:si>
  <x:si>
    <x:t xml:space="preserve">EBITDA - change (%)</x:t>
  </x:si>
  <x:si>
    <x:t xml:space="preserve">Profit after tax - change (PKR m)</x:t>
  </x:si>
  <x:si>
    <x:t xml:space="preserve">Profit after tax - change (%)</x:t>
  </x:si>
  <x:si>
    <x:t xml:space="preserve">Net cash from operating activities - change (PKR m)</x:t>
  </x:si>
  <x:si>
    <x:t xml:space="preserve">Net cash from operating activities - change (%)</x:t>
  </x:si>
  <x:si>
    <x:t xml:space="preserve">Total assets - change (PKR m)</x:t>
  </x:si>
  <x:si>
    <x:t xml:space="preserve">Total assets - change (%)</x:t>
  </x:si>
  <x:si>
    <x:t xml:space="preserve">Total equity - change (PKR m)</x:t>
  </x:si>
  <x:si>
    <x:t xml:space="preserve">Total equity - change (%)</x:t>
  </x:si>
  <x:si>
    <x:t xml:space="preserve">Interest-bearing debt - change (PKR m)</x:t>
  </x:si>
  <x:si>
    <x:t xml:space="preserve">Interest-bearing debt - change (%)</x:t>
  </x:si>
  <x:si>
    <x:t xml:space="preserve">Inventories - change (PKR m)</x:t>
  </x:si>
  <x:si>
    <x:t xml:space="preserve">Inventories - change (%)</x:t>
  </x:si>
  <x:si>
    <x:t xml:space="preserve">Trade debts - change (PKR m)</x:t>
  </x:si>
  <x:si>
    <x:t xml:space="preserve">Trade debts - change (%)</x:t>
  </x:si>
  <x:si>
    <x:t xml:space="preserve">Cash and bank - change (PKR m)</x:t>
  </x:si>
  <x:si>
    <x:t xml:space="preserve">Cash and bank - change (%)</x:t>
  </x:si>
  <x:si>
    <x:t xml:space="preserve">I. COMPANY FINANCIAL TRENDS - charts are placed to the right of the statements (columns L onward)</x:t>
  </x:si>
  <x:si>
    <x:t xml:space="preserve">J. COMPANY-DISCLOSED RATIO CROSS-CHECKS</x:t>
  </x:si>
  <x:si>
    <x:t xml:space="preserve">Source: FY2025 AR p53 "Key financial data for the last six years" (per-share items split-adjusted 5:1). Differences are not errors; they usually reflect closing vs average balances or different bases.</x:t>
  </x:si>
  <x:si>
    <x:t xml:space="preserve">Apparent company convention</x:t>
  </x:si>
  <x:si>
    <x:t xml:space="preserve">Likely reason for difference / review note</x:t>
  </x:si>
  <x:si>
    <x:t xml:space="preserve">Current ratio - workbook</x:t>
  </x:si>
  <x:si>
    <x:t xml:space="preserve">Year-end balances, same convention</x:t>
  </x:si>
  <x:si>
    <x:t xml:space="preserve">Current ratio - company-disclosed</x:t>
  </x:si>
  <x:si>
    <x:t xml:space="preserve">Difference (workbook - disclosed)</x:t>
  </x:si>
  <x:si>
    <x:t xml:space="preserve">Quick ratio - workbook</x:t>
  </x:si>
  <x:si>
    <x:t xml:space="preserve">Excludes stores, spares and stock-in-trade, same as workbook</x:t>
  </x:si>
  <x:si>
    <x:t xml:space="preserve">Quick ratio - company-disclosed</x:t>
  </x:si>
  <x:si>
    <x:t xml:space="preserve">Inventory turnover - workbook</x:t>
  </x:si>
  <x:si>
    <x:t xml:space="preserve">Company basis not stated; appears to exclude part of stores and spares</x:t>
  </x:si>
  <x:si>
    <x:t xml:space="preserve">Workbook uses cost of sales / average (stores + stock-in-trade)</x:t>
  </x:si>
  <x:si>
    <x:t xml:space="preserve">Inventory turnover - company-disclosed</x:t>
  </x:si>
  <x:si>
    <x:t xml:space="preserve">Days in receivables - workbook</x:t>
  </x:si>
  <x:si>
    <x:t xml:space="preserve">Company appears to use closing trade debts</x:t>
  </x:si>
  <x:si>
    <x:t xml:space="preserve">Workbook uses average balances</x:t>
  </x:si>
  <x:si>
    <x:t xml:space="preserve">Days in receivables - company-disclosed</x:t>
  </x:si>
  <x:si>
    <x:t xml:space="preserve">Days in payables - workbook</x:t>
  </x:si>
  <x:si>
    <x:t xml:space="preserve">Company payables base not disclosed</x:t>
  </x:si>
  <x:si>
    <x:t xml:space="preserve">Workbook uses trade creditors and import bills only</x:t>
  </x:si>
  <x:si>
    <x:t xml:space="preserve">Days in payables - company-disclosed</x:t>
  </x:si>
  <x:si>
    <x:t xml:space="preserve">Cash conversion cycle - workbook</x:t>
  </x:si>
  <x:si>
    <x:t xml:space="preserve">Built from company DIO/DSO/DPO above</x:t>
  </x:si>
  <x:si>
    <x:t xml:space="preserve">Differences flow from inventory and payables bases</x:t>
  </x:si>
  <x:si>
    <x:t xml:space="preserve">Cash conversion cycle - company-disclosed</x:t>
  </x:si>
  <x:si>
    <x:t xml:space="preserve">Total assets turnover - workbook</x:t>
  </x:si>
  <x:si>
    <x:t xml:space="preserve">Closing total assets</x:t>
  </x:si>
  <x:si>
    <x:t xml:space="preserve">Workbook uses average total assets</x:t>
  </x:si>
  <x:si>
    <x:t xml:space="preserve">Total assets turnover - company-disclosed</x:t>
  </x:si>
  <x:si>
    <x:t xml:space="preserve">Fixed assets turnover - workbook</x:t>
  </x:si>
  <x:si>
    <x:t xml:space="preserve">Closing operating fixed assets</x:t>
  </x:si>
  <x:si>
    <x:t xml:space="preserve">Workbook uses average operating fixed assets</x:t>
  </x:si>
  <x:si>
    <x:t xml:space="preserve">Fixed assets turnover - company-disclosed</x:t>
  </x:si>
  <x:si>
    <x:t xml:space="preserve">Interest coverage - workbook</x:t>
  </x:si>
  <x:si>
    <x:t xml:space="preserve">EBIT / total finance cost (incl. bank charges)</x:t>
  </x:si>
  <x:si>
    <x:t xml:space="preserve">Workbook excludes bank charges from interest, so TIE is slightly higher</x:t>
  </x:si>
  <x:si>
    <x:t xml:space="preserve">Interest coverage - company-disclosed</x:t>
  </x:si>
  <x:si>
    <x:t xml:space="preserve">Gross profit ratio - workbook</x:t>
  </x:si>
  <x:si>
    <x:t xml:space="preserve">Same definition</x:t>
  </x:si>
  <x:si>
    <x:t xml:space="preserve">Gross profit ratio - company-disclosed</x:t>
  </x:si>
  <x:si>
    <x:t xml:space="preserve">Net profit to sales - workbook</x:t>
  </x:si>
  <x:si>
    <x:t xml:space="preserve">Net profit to sales - company-disclosed</x:t>
  </x:si>
  <x:si>
    <x:t xml:space="preserve">Return on equity - workbook</x:t>
  </x:si>
  <x:si>
    <x:t xml:space="preserve">Workbook uses average equity (industry-standard convention)</x:t>
  </x:si>
  <x:si>
    <x:t xml:space="preserve">Return on equity - company-disclosed</x:t>
  </x:si>
  <x:si>
    <x:t xml:space="preserve">EBITDA to sales - workbook</x:t>
  </x:si>
  <x:si>
    <x:t xml:space="preserve">EBITDA incl. other income, same as workbook</x:t>
  </x:si>
  <x:si>
    <x:t xml:space="preserve">EBITDA to sales - company-disclosed</x:t>
  </x:si>
  <x:si>
    <x:t xml:space="preserve">Price earning ratio - workbook</x:t>
  </x:si>
  <x:si>
    <x:t xml:space="preserve">Year-end price / EPS (split-invariant)</x:t>
  </x:si>
  <x:si>
    <x:t xml:space="preserve">Price earning ratio - company-disclosed</x:t>
  </x:si>
  <x:si>
    <x:t xml:space="preserve">Price to book ratio - workbook</x:t>
  </x:si>
  <x:si>
    <x:t xml:space="preserve">FY2021-23 values inconsistent with company's own disclosed price and breakup value</x:t>
  </x:si>
  <x:si>
    <x:t xml:space="preserve">Not relied on; workbook computes price / BVPS</x:t>
  </x:si>
  <x:si>
    <x:t xml:space="preserve">Price to book ratio - company-disclosed</x:t>
  </x:si>
  <x:si>
    <x:t xml:space="preserve">Debt : equity (debt share of debt + equity) - workbook</x:t>
  </x:si>
  <x:si>
    <x:t xml:space="preserve">Shown as ratio X:Y; debt likely long-term financing only</x:t>
  </x:si>
  <x:si>
    <x:t xml:space="preserve">Workbook includes all interest-bearing debt</x:t>
  </x:si>
  <x:si>
    <x:t xml:space="preserve">Debt : equity (debt share of debt + equity) - company-disclosed</x:t>
  </x:si>
  <x:si>
    <x:t xml:space="preserve">Return on capital employed - workbook</x:t>
  </x:si>
  <x:si>
    <x:t xml:space="preserve">EBIT / average (equity + long-term debt)</x:t>
  </x:si>
  <x:si>
    <x:t xml:space="preserve">Workbook capital employed = total assets - current liabilities</x:t>
  </x:si>
  <x:si>
    <x:t xml:space="preserve">Return on capital employed - company-disclosed</x:t>
  </x:si>
  <x:si>
    <x:t xml:space="preserve">Lucky Cement Limited (LUCK) - five-year financial analysis, FY2021-FY2025</x:t>
  </x:si>
  <x:si>
    <x:t xml:space="preserve">Competitor 1 | PSX: LUCK | Unconsolidated (separate) financial statements | All amounts PKR million unless stated</x:t>
  </x:si>
  <x:si>
    <x:t xml:space="preserve">Unconsolidated (separate) financial statements</x:t>
  </x:si>
  <x:si>
    <x:t xml:space="preserve">PKR '000 - normalised here to PKR million (full precision retained)</x:t>
  </x:si>
  <x:si>
    <x:t xml:space="preserve">FY2021: 2021.pdf; FY2022: 2022.pdf; FY2023: 2023.pdf; FY2024: 2024.pdf; FY2025: 2025.pdf</x:t>
  </x:si>
  <x:si>
    <x:t xml:space="preserve">Input - see register LUCK|ppe</x:t>
  </x:si>
  <x:si>
    <x:t xml:space="preserve">Input - see register LUCK|cwip</x:t>
  </x:si>
  <x:si>
    <x:t xml:space="preserve">Input - see register LUCK|rou</x:t>
  </x:si>
  <x:si>
    <x:t xml:space="preserve">Input - see register LUCK|intang</x:t>
  </x:si>
  <x:si>
    <x:t xml:space="preserve">Input - see register LUCK|inv_prop</x:t>
  </x:si>
  <x:si>
    <x:t xml:space="preserve">Input - see register LUCK|lt_inv</x:t>
  </x:si>
  <x:si>
    <x:t xml:space="preserve">Input - see register LUCK|nca_other</x:t>
  </x:si>
  <x:si>
    <x:t xml:space="preserve">Input - see register LUCK|stores</x:t>
  </x:si>
  <x:si>
    <x:t xml:space="preserve">Input - see register LUCK|sit</x:t>
  </x:si>
  <x:si>
    <x:t xml:space="preserve">Input - see register LUCK|debts</x:t>
  </x:si>
  <x:si>
    <x:t xml:space="preserve">Input - see register LUCK|st_inv</x:t>
  </x:si>
  <x:si>
    <x:t xml:space="preserve">Input - see register LUCK|cash</x:t>
  </x:si>
  <x:si>
    <x:t xml:space="preserve">Input - see register LUCK|ca_other</x:t>
  </x:si>
  <x:si>
    <x:t xml:space="preserve">Input - see register LUCK|share_cap</x:t>
  </x:si>
  <x:si>
    <x:t xml:space="preserve">Input - see register LUCK|eq_other</x:t>
  </x:si>
  <x:si>
    <x:t xml:space="preserve">Input - see register LUCK|ltf_nc</x:t>
  </x:si>
  <x:si>
    <x:t xml:space="preserve">Input - see register LUCK|lease_nc</x:t>
  </x:si>
  <x:si>
    <x:t xml:space="preserve">Input - see register LUCK|grant_nc</x:t>
  </x:si>
  <x:si>
    <x:t xml:space="preserve">Input - see register LUCK|def_tax</x:t>
  </x:si>
  <x:si>
    <x:t xml:space="preserve">Input - see register LUCK|ncl_other</x:t>
  </x:si>
  <x:si>
    <x:t xml:space="preserve">Input - see register LUCK|tap</x:t>
  </x:si>
  <x:si>
    <x:t xml:space="preserve">Input - see register LUCK|trade_cred</x:t>
  </x:si>
  <x:si>
    <x:t xml:space="preserve">Input - see register LUCK|contract</x:t>
  </x:si>
  <x:si>
    <x:t xml:space="preserve">Input - see register LUCK|acc_markup</x:t>
  </x:si>
  <x:si>
    <x:t xml:space="preserve">Input - see register LUCK|stb</x:t>
  </x:si>
  <x:si>
    <x:t xml:space="preserve">Input - see register LUCK|cp_ltf</x:t>
  </x:si>
  <x:si>
    <x:t xml:space="preserve">Input - see register LUCK|cp_lease</x:t>
  </x:si>
  <x:si>
    <x:t xml:space="preserve">Input - see register LUCK|cp_grant</x:t>
  </x:si>
  <x:si>
    <x:t xml:space="preserve">Input - see register LUCK|div_liab</x:t>
  </x:si>
  <x:si>
    <x:t xml:space="preserve">Input - see register LUCK|tax_liab</x:t>
  </x:si>
  <x:si>
    <x:t xml:space="preserve">Input - see register LUCK|cl_other</x:t>
  </x:si>
  <x:si>
    <x:t xml:space="preserve">Input - see register LUCK|pr_TA</x:t>
  </x:si>
  <x:si>
    <x:t xml:space="preserve">Input - see register LUCK|pr_EQ</x:t>
  </x:si>
  <x:si>
    <x:t xml:space="preserve">Input - see register LUCK|pr_CA</x:t>
  </x:si>
  <x:si>
    <x:t xml:space="preserve">Input - see register LUCK|pr_CL</x:t>
  </x:si>
  <x:si>
    <x:t xml:space="preserve">Input - see register LUCK|rev</x:t>
  </x:si>
  <x:si>
    <x:t xml:space="preserve">Input - see register LUCK|cogs</x:t>
  </x:si>
  <x:si>
    <x:t xml:space="preserve">Input - see register LUCK|selling</x:t>
  </x:si>
  <x:si>
    <x:t xml:space="preserve">Input - see register LUCK|admin</x:t>
  </x:si>
  <x:si>
    <x:t xml:space="preserve">Input - see register LUCK|impair</x:t>
  </x:si>
  <x:si>
    <x:t xml:space="preserve">Input - see register LUCK|oth_exp</x:t>
  </x:si>
  <x:si>
    <x:t xml:space="preserve">Input - see register LUCK|oth_inc</x:t>
  </x:si>
  <x:si>
    <x:t xml:space="preserve">Input - see register LUCK|fin_inc</x:t>
  </x:si>
  <x:si>
    <x:t xml:space="preserve">Input - see register LUCK|assoc</x:t>
  </x:si>
  <x:si>
    <x:t xml:space="preserve">Input - see register LUCK|fin_cost</x:t>
  </x:si>
  <x:si>
    <x:t xml:space="preserve">Input - see register LUCK|levy</x:t>
  </x:si>
  <x:si>
    <x:t xml:space="preserve">Input - see register LUCK|tax</x:t>
  </x:si>
  <x:si>
    <x:t xml:space="preserve">Input - see register LUCK|pr_gp</x:t>
  </x:si>
  <x:si>
    <x:t xml:space="preserve">Input - see register LUCK|pr_pbt</x:t>
  </x:si>
  <x:si>
    <x:t xml:space="preserve">Input - see register LUCK|pr_pat</x:t>
  </x:si>
  <x:si>
    <x:t xml:space="preserve">Input - see register LUCK|fc_nonint</x:t>
  </x:si>
  <x:si>
    <x:t xml:space="preserve">Input - see register LUCK|da</x:t>
  </x:si>
  <x:si>
    <x:t xml:space="preserve">Input - see register LUCK|cgo</x:t>
  </x:si>
  <x:si>
    <x:t xml:space="preserve">Input - see register LUCK|cfo</x:t>
  </x:si>
  <x:si>
    <x:t xml:space="preserve">Input - see register LUCK|fin_paid</x:t>
  </x:si>
  <x:si>
    <x:t xml:space="preserve">Input - see register LUCK|fin_paid_cls</x:t>
  </x:si>
  <x:si>
    <x:t xml:space="preserve">Input - see register LUCK|capex</x:t>
  </x:si>
  <x:si>
    <x:t xml:space="preserve">Input - see register LUCK|cfi</x:t>
  </x:si>
  <x:si>
    <x:t xml:space="preserve">Input - see register LUCK|cff</x:t>
  </x:si>
  <x:si>
    <x:t xml:space="preserve">Input - see register LUCK|div_paid</x:t>
  </x:si>
  <x:si>
    <x:t xml:space="preserve">Input - see register LUCK|par</x:t>
  </x:si>
  <x:si>
    <x:t xml:space="preserve">Input - see register LUCK|wavg</x:t>
  </x:si>
  <x:si>
    <x:t xml:space="preserve">Input - see register LUCK|price</x:t>
  </x:si>
  <x:si>
    <x:t xml:space="preserve">Input - see register LUCK|dps</x:t>
  </x:si>
  <x:si>
    <x:t xml:space="preserve">Input - see register LUCK|eps_rep</x:t>
  </x:si>
  <x:si>
    <x:t xml:space="preserve">Input - see register LUCK|adj</x:t>
  </x:si>
  <x:si>
    <x:t xml:space="preserve">Source: FY2025 AR p166 "Horizontal / key ratio analysis" (per-share split-adjusted to Rs 2 basis). Differences are not errors; they usually reflect closing vs average balances or different bases.</x:t>
  </x:si>
  <x:si>
    <x:t xml:space="preserve">Company inventory base not disclosed</x:t>
  </x:si>
  <x:si>
    <x:t xml:space="preserve">No. of days in receivables - workbook</x:t>
  </x:si>
  <x:si>
    <x:t xml:space="preserve">Likely average trade debts</x:t>
  </x:si>
  <x:si>
    <x:t xml:space="preserve">No. of days in receivables - company-disclosed</x:t>
  </x:si>
  <x:si>
    <x:t xml:space="preserve">No. of days in payables - workbook</x:t>
  </x:si>
  <x:si>
    <x:t xml:space="preserve">Company uses a much wider payables base (trade and other payables)</x:t>
  </x:si>
  <x:si>
    <x:t xml:space="preserve">Workbook uses trade creditors only</x:t>
  </x:si>
  <x:si>
    <x:t xml:space="preserve">No. of days in payables - company-disclosed</x:t>
  </x:si>
  <x:si>
    <x:t xml:space="preserve">Likely closing or average total assets</x:t>
  </x:si>
  <x:si>
    <x:t xml:space="preserve">Likely total PPE incl. CWIP</x:t>
  </x:si>
  <x:si>
    <x:t xml:space="preserve">Workbook excludes CWIP</x:t>
  </x:si>
  <x:si>
    <x:t xml:space="preserve">Company basis not disclosed; not reproducible from standalone EBIT</x:t>
  </x:si>
  <x:si>
    <x:t xml:space="preserve">Workbook uses EBIT / interest excl. non-interest finance costs</x:t>
  </x:si>
  <x:si>
    <x:t xml:space="preserve">EPS (FY2025 share basis) - workbook</x:t>
  </x:si>
  <x:si>
    <x:t xml:space="preserve">Split-adjusted EPS</x:t>
  </x:si>
  <x:si>
    <x:t xml:space="preserve">Compare with workbook memo M5</x:t>
  </x:si>
  <x:si>
    <x:t xml:space="preserve">EPS (FY2025 share basis) - company-disclosed</x:t>
  </x:si>
  <x:si>
    <x:t xml:space="preserve">D.G. Khan Cement Company Limited (DGKC) - five-year financial analysis, FY2021-FY2025</x:t>
  </x:si>
  <x:si>
    <x:t xml:space="preserve">Competitor 2 | PSX: DGKC | Unconsolidated (separate) financial statements | All amounts PKR million unless stated</x:t>
  </x:si>
  <x:si>
    <x:t xml:space="preserve">Rs '000 - normalised here to PKR million (full precision retained)</x:t>
  </x:si>
  <x:si>
    <x:t xml:space="preserve">FY2021: DG_Annual_Report_2021.pdf; FY2022: DG_Annual_Report_2022.pdf; FY2023: DGAnnual2023.pdf; FY2024: DGAnnual2024.pdf; FY2025: DGAnnual2025.pdf</x:t>
  </x:si>
  <x:si>
    <x:t xml:space="preserve">Input - see register DGKC|ppe</x:t>
  </x:si>
  <x:si>
    <x:t xml:space="preserve">Input - see register DGKC|cwip</x:t>
  </x:si>
  <x:si>
    <x:t xml:space="preserve">Input - see register DGKC|rou</x:t>
  </x:si>
  <x:si>
    <x:t xml:space="preserve">Input - see register DGKC|intang</x:t>
  </x:si>
  <x:si>
    <x:t xml:space="preserve">Input - see register DGKC|inv_prop</x:t>
  </x:si>
  <x:si>
    <x:t xml:space="preserve">Input - see register DGKC|lt_inv</x:t>
  </x:si>
  <x:si>
    <x:t xml:space="preserve">Input - see register DGKC|nca_other</x:t>
  </x:si>
  <x:si>
    <x:t xml:space="preserve">Input - see register DGKC|stores</x:t>
  </x:si>
  <x:si>
    <x:t xml:space="preserve">Input - see register DGKC|sit</x:t>
  </x:si>
  <x:si>
    <x:t xml:space="preserve">Input - see register DGKC|debts</x:t>
  </x:si>
  <x:si>
    <x:t xml:space="preserve">Input - see register DGKC|st_inv</x:t>
  </x:si>
  <x:si>
    <x:t xml:space="preserve">Input - see register DGKC|cash</x:t>
  </x:si>
  <x:si>
    <x:t xml:space="preserve">Input - see register DGKC|ca_other</x:t>
  </x:si>
  <x:si>
    <x:t xml:space="preserve">Input - see register DGKC|share_cap</x:t>
  </x:si>
  <x:si>
    <x:t xml:space="preserve">Input - see register DGKC|eq_other</x:t>
  </x:si>
  <x:si>
    <x:t xml:space="preserve">Input - see register DGKC|ltf_nc</x:t>
  </x:si>
  <x:si>
    <x:t xml:space="preserve">Input - see register DGKC|lease_nc</x:t>
  </x:si>
  <x:si>
    <x:t xml:space="preserve">Input - see register DGKC|grant_nc</x:t>
  </x:si>
  <x:si>
    <x:t xml:space="preserve">Input - see register DGKC|def_tax</x:t>
  </x:si>
  <x:si>
    <x:t xml:space="preserve">Input - see register DGKC|ncl_other</x:t>
  </x:si>
  <x:si>
    <x:t xml:space="preserve">Input - see register DGKC|tap</x:t>
  </x:si>
  <x:si>
    <x:t xml:space="preserve">Input - see register DGKC|trade_cred</x:t>
  </x:si>
  <x:si>
    <x:t xml:space="preserve">Input - see register DGKC|contract</x:t>
  </x:si>
  <x:si>
    <x:t xml:space="preserve">Input - see register DGKC|acc_markup</x:t>
  </x:si>
  <x:si>
    <x:t xml:space="preserve">Input - see register DGKC|stb</x:t>
  </x:si>
  <x:si>
    <x:t xml:space="preserve">Input - see register DGKC|cp_ltf</x:t>
  </x:si>
  <x:si>
    <x:t xml:space="preserve">Input - see register DGKC|cp_lease</x:t>
  </x:si>
  <x:si>
    <x:t xml:space="preserve">Input - see register DGKC|cp_grant</x:t>
  </x:si>
  <x:si>
    <x:t xml:space="preserve">Input - see register DGKC|div_liab</x:t>
  </x:si>
  <x:si>
    <x:t xml:space="preserve">Input - see register DGKC|tax_liab</x:t>
  </x:si>
  <x:si>
    <x:t xml:space="preserve">Input - see register DGKC|cl_other</x:t>
  </x:si>
  <x:si>
    <x:t xml:space="preserve">Input - see register DGKC|pr_TA</x:t>
  </x:si>
  <x:si>
    <x:t xml:space="preserve">Input - see register DGKC|pr_EQ</x:t>
  </x:si>
  <x:si>
    <x:t xml:space="preserve">Input - see register DGKC|pr_CA</x:t>
  </x:si>
  <x:si>
    <x:t xml:space="preserve">Input - see register DGKC|pr_CL</x:t>
  </x:si>
  <x:si>
    <x:t xml:space="preserve">Input - see register DGKC|rev</x:t>
  </x:si>
  <x:si>
    <x:t xml:space="preserve">Input - see register DGKC|cogs</x:t>
  </x:si>
  <x:si>
    <x:t xml:space="preserve">Input - see register DGKC|selling</x:t>
  </x:si>
  <x:si>
    <x:t xml:space="preserve">Input - see register DGKC|admin</x:t>
  </x:si>
  <x:si>
    <x:t xml:space="preserve">Input - see register DGKC|impair</x:t>
  </x:si>
  <x:si>
    <x:t xml:space="preserve">Input - see register DGKC|oth_exp</x:t>
  </x:si>
  <x:si>
    <x:t xml:space="preserve">Input - see register DGKC|oth_inc</x:t>
  </x:si>
  <x:si>
    <x:t xml:space="preserve">Input - see register DGKC|fin_inc</x:t>
  </x:si>
  <x:si>
    <x:t xml:space="preserve">Input - see register DGKC|assoc</x:t>
  </x:si>
  <x:si>
    <x:t xml:space="preserve">Input - see register DGKC|fin_cost</x:t>
  </x:si>
  <x:si>
    <x:t xml:space="preserve">Input - see register DGKC|levy</x:t>
  </x:si>
  <x:si>
    <x:t xml:space="preserve">Input - see register DGKC|tax</x:t>
  </x:si>
  <x:si>
    <x:t xml:space="preserve">Input - see register DGKC|pr_gp</x:t>
  </x:si>
  <x:si>
    <x:t xml:space="preserve">Input - see register DGKC|pr_pbt</x:t>
  </x:si>
  <x:si>
    <x:t xml:space="preserve">Input - see register DGKC|pr_pat</x:t>
  </x:si>
  <x:si>
    <x:t xml:space="preserve">Input - see register DGKC|fc_nonint</x:t>
  </x:si>
  <x:si>
    <x:t xml:space="preserve">Input - see register DGKC|da</x:t>
  </x:si>
  <x:si>
    <x:t xml:space="preserve">Input - see register DGKC|cgo</x:t>
  </x:si>
  <x:si>
    <x:t xml:space="preserve">Input - see register DGKC|cfo</x:t>
  </x:si>
  <x:si>
    <x:t xml:space="preserve">Input - see register DGKC|fin_paid</x:t>
  </x:si>
  <x:si>
    <x:t xml:space="preserve">Input - see register DGKC|fin_paid_cls</x:t>
  </x:si>
  <x:si>
    <x:t xml:space="preserve">Input - see register DGKC|capex</x:t>
  </x:si>
  <x:si>
    <x:t xml:space="preserve">Input - see register DGKC|cfi</x:t>
  </x:si>
  <x:si>
    <x:t xml:space="preserve">Input - see register DGKC|cff</x:t>
  </x:si>
  <x:si>
    <x:t xml:space="preserve">Input - see register DGKC|div_paid</x:t>
  </x:si>
  <x:si>
    <x:t xml:space="preserve">Input - see register DGKC|par</x:t>
  </x:si>
  <x:si>
    <x:t xml:space="preserve">Input - see register DGKC|wavg</x:t>
  </x:si>
  <x:si>
    <x:t xml:space="preserve">Input - see register DGKC|price</x:t>
  </x:si>
  <x:si>
    <x:t xml:space="preserve">Input - see register DGKC|dps</x:t>
  </x:si>
  <x:si>
    <x:t xml:space="preserve">Input - see register DGKC|eps_rep</x:t>
  </x:si>
  <x:si>
    <x:t xml:space="preserve">Input - see register DGKC|adj</x:t>
  </x:si>
  <x:si>
    <x:t xml:space="preserve">Source: FY2025 AR p108 "Six years at a glance". Differences are not errors; they usually reflect closing vs average balances or different bases.</x:t>
  </x:si>
  <x:si>
    <x:t xml:space="preserve">Quick / acid test ratio - workbook</x:t>
  </x:si>
  <x:si>
    <x:t xml:space="preserve">Excludes stores and stock-in-trade</x:t>
  </x:si>
  <x:si>
    <x:t xml:space="preserve">Quick / acid test ratio - company-disclosed</x:t>
  </x:si>
  <x:si>
    <x:t xml:space="preserve">No. of days in inventory (incl. stores and spares) - workbook</x:t>
  </x:si>
  <x:si>
    <x:t xml:space="preserve">Same inventory base</x:t>
  </x:si>
  <x:si>
    <x:t xml:space="preserve">No. of days in inventory (incl. stores and spares) - company-disclosed</x:t>
  </x:si>
  <x:si>
    <x:t xml:space="preserve">Company payables base wider than trade creditors</x:t>
  </x:si>
  <x:si>
    <x:t xml:space="preserve">Total assets turnover (based on average total assets) - workbook</x:t>
  </x:si>
  <x:si>
    <x:t xml:space="preserve">Average total assets, presented as %</x:t>
  </x:si>
  <x:si>
    <x:t xml:space="preserve">Total assets turnover (based on average total assets) - company-disclosed</x:t>
  </x:si>
  <x:si>
    <x:t xml:space="preserve">Average fixed assets, presented as %; base likely incl. CWIP</x:t>
  </x:si>
  <x:si>
    <x:t xml:space="preserve">Interest cover - workbook</x:t>
  </x:si>
  <x:si>
    <x:t xml:space="preserve">Reproduces as EBITDA / total finance cost (FY2025: 20,708 / 3,870 = 5.35)</x:t>
  </x:si>
  <x:si>
    <x:t xml:space="preserve">Workbook uses EBIT / interest excl. bank charges (class definition)</x:t>
  </x:si>
  <x:si>
    <x:t xml:space="preserve">Interest cover - company-disclosed</x:t>
  </x:si>
  <x:si>
    <x:t xml:space="preserve">Return on equity (average) - workbook</x:t>
  </x:si>
  <x:si>
    <x:t xml:space="preserve">Average equity, same convention</x:t>
  </x:si>
  <x:si>
    <x:t xml:space="preserve">Return on equity (average) - company-disclosed</x:t>
  </x:si>
  <x:si>
    <x:t xml:space="preserve">EBITDA margin - workbook</x:t>
  </x:si>
  <x:si>
    <x:t xml:space="preserve">EBITDA incl. other income</x:t>
  </x:si>
  <x:si>
    <x:t xml:space="preserve">EBITDA margin - company-disclosed</x:t>
  </x:si>
  <x:si>
    <x:t xml:space="preserve">Price earnings ratio - workbook</x:t>
  </x:si>
  <x:si>
    <x:t xml:space="preserve">Company shows negative P/E for loss year</x:t>
  </x:si>
  <x:si>
    <x:t xml:space="preserve">Workbook shows n/m for FY2023</x:t>
  </x:si>
  <x:si>
    <x:t xml:space="preserve">Price earnings ratio - company-disclosed</x:t>
  </x:si>
  <x:si>
    <x:t xml:space="preserve">Dividend yield - workbook</x:t>
  </x:si>
  <x:si>
    <x:t xml:space="preserve">DPS declared for the year / year-end price</x:t>
  </x:si>
  <x:si>
    <x:t xml:space="preserve">Dividend yield - company-disclosed</x:t>
  </x:si>
  <x:si>
    <x:t xml:space="preserve">Company capital-employed definition not stated</x:t>
  </x:si>
  <x:si>
    <x:t xml:space="preserve">Maple Leaf Cement Factory Limited (MLCF) - five-year financial analysis, FY2021-FY2025</x:t>
  </x:si>
  <x:si>
    <x:t xml:space="preserve">Competitor 3 | PSX: MLCF | Unconsolidated (separate) financial statements | All amounts PKR million unless stated</x:t>
  </x:si>
  <x:si>
    <x:t xml:space="preserve">Input - see register MLCF|ppe</x:t>
  </x:si>
  <x:si>
    <x:t xml:space="preserve">Input - see register MLCF|cwip</x:t>
  </x:si>
  <x:si>
    <x:t xml:space="preserve">Input - see register MLCF|rou</x:t>
  </x:si>
  <x:si>
    <x:t xml:space="preserve">Input - see register MLCF|intang</x:t>
  </x:si>
  <x:si>
    <x:t xml:space="preserve">Input - see register MLCF|inv_prop</x:t>
  </x:si>
  <x:si>
    <x:t xml:space="preserve">Input - see register MLCF|lt_inv</x:t>
  </x:si>
  <x:si>
    <x:t xml:space="preserve">Input - see register MLCF|nca_other</x:t>
  </x:si>
  <x:si>
    <x:t xml:space="preserve">Input - see register MLCF|stores</x:t>
  </x:si>
  <x:si>
    <x:t xml:space="preserve">Input - see register MLCF|sit</x:t>
  </x:si>
  <x:si>
    <x:t xml:space="preserve">Input - see register MLCF|debts</x:t>
  </x:si>
  <x:si>
    <x:t xml:space="preserve">Input - see register MLCF|st_inv</x:t>
  </x:si>
  <x:si>
    <x:t xml:space="preserve">Input - see register MLCF|cash</x:t>
  </x:si>
  <x:si>
    <x:t xml:space="preserve">Input - see register MLCF|ca_other</x:t>
  </x:si>
  <x:si>
    <x:t xml:space="preserve">Input - see register MLCF|share_cap</x:t>
  </x:si>
  <x:si>
    <x:t xml:space="preserve">Input - see register MLCF|eq_other</x:t>
  </x:si>
  <x:si>
    <x:t xml:space="preserve">Input - see register MLCF|ltf_nc</x:t>
  </x:si>
  <x:si>
    <x:t xml:space="preserve">Input - see register MLCF|lease_nc</x:t>
  </x:si>
  <x:si>
    <x:t xml:space="preserve">Input - see register MLCF|grant_nc</x:t>
  </x:si>
  <x:si>
    <x:t xml:space="preserve">Input - see register MLCF|def_tax</x:t>
  </x:si>
  <x:si>
    <x:t xml:space="preserve">Input - see register MLCF|ncl_other</x:t>
  </x:si>
  <x:si>
    <x:t xml:space="preserve">Input - see register MLCF|tap</x:t>
  </x:si>
  <x:si>
    <x:t xml:space="preserve">Input - see register MLCF|trade_cred</x:t>
  </x:si>
  <x:si>
    <x:t xml:space="preserve">Input - see register MLCF|contract</x:t>
  </x:si>
  <x:si>
    <x:t xml:space="preserve">Input - see register MLCF|acc_markup</x:t>
  </x:si>
  <x:si>
    <x:t xml:space="preserve">Input - see register MLCF|stb</x:t>
  </x:si>
  <x:si>
    <x:t xml:space="preserve">Input - see register MLCF|cp_ltf</x:t>
  </x:si>
  <x:si>
    <x:t xml:space="preserve">Input - see register MLCF|cp_lease</x:t>
  </x:si>
  <x:si>
    <x:t xml:space="preserve">Input - see register MLCF|cp_grant</x:t>
  </x:si>
  <x:si>
    <x:t xml:space="preserve">Input - see register MLCF|div_liab</x:t>
  </x:si>
  <x:si>
    <x:t xml:space="preserve">Input - see register MLCF|tax_liab</x:t>
  </x:si>
  <x:si>
    <x:t xml:space="preserve">Input - see register MLCF|cl_other</x:t>
  </x:si>
  <x:si>
    <x:t xml:space="preserve">Input - see register MLCF|pr_TA</x:t>
  </x:si>
  <x:si>
    <x:t xml:space="preserve">Input - see register MLCF|pr_EQ</x:t>
  </x:si>
  <x:si>
    <x:t xml:space="preserve">Input - see register MLCF|pr_CA</x:t>
  </x:si>
  <x:si>
    <x:t xml:space="preserve">Input - see register MLCF|pr_CL</x:t>
  </x:si>
  <x:si>
    <x:t xml:space="preserve">Input - see register MLCF|rev</x:t>
  </x:si>
  <x:si>
    <x:t xml:space="preserve">Input - see register MLCF|cogs</x:t>
  </x:si>
  <x:si>
    <x:t xml:space="preserve">Input - see register MLCF|selling</x:t>
  </x:si>
  <x:si>
    <x:t xml:space="preserve">Input - see register MLCF|admin</x:t>
  </x:si>
  <x:si>
    <x:t xml:space="preserve">Input - see register MLCF|impair</x:t>
  </x:si>
  <x:si>
    <x:t xml:space="preserve">Input - see register MLCF|oth_exp</x:t>
  </x:si>
  <x:si>
    <x:t xml:space="preserve">Input - see register MLCF|oth_inc</x:t>
  </x:si>
  <x:si>
    <x:t xml:space="preserve">Input - see register MLCF|fin_inc</x:t>
  </x:si>
  <x:si>
    <x:t xml:space="preserve">Input - see register MLCF|assoc</x:t>
  </x:si>
  <x:si>
    <x:t xml:space="preserve">Input - see register MLCF|fin_cost</x:t>
  </x:si>
  <x:si>
    <x:t xml:space="preserve">Input - see register MLCF|levy</x:t>
  </x:si>
  <x:si>
    <x:t xml:space="preserve">Input - see register MLCF|tax</x:t>
  </x:si>
  <x:si>
    <x:t xml:space="preserve">Input - see register MLCF|pr_gp</x:t>
  </x:si>
  <x:si>
    <x:t xml:space="preserve">Input - see register MLCF|pr_pbt</x:t>
  </x:si>
  <x:si>
    <x:t xml:space="preserve">Input - see register MLCF|pr_pat</x:t>
  </x:si>
  <x:si>
    <x:t xml:space="preserve">Input - see register MLCF|fc_nonint</x:t>
  </x:si>
  <x:si>
    <x:t xml:space="preserve">Input - see register MLCF|da</x:t>
  </x:si>
  <x:si>
    <x:t xml:space="preserve">Input - see register MLCF|cgo</x:t>
  </x:si>
  <x:si>
    <x:t xml:space="preserve">Input - see register MLCF|cfo</x:t>
  </x:si>
  <x:si>
    <x:t xml:space="preserve">Input - see register MLCF|fin_paid</x:t>
  </x:si>
  <x:si>
    <x:t xml:space="preserve">Input - see register MLCF|fin_paid_cls</x:t>
  </x:si>
  <x:si>
    <x:t xml:space="preserve">Financing</x:t>
  </x:si>
  <x:si>
    <x:t xml:space="preserve">Input - see register MLCF|capex</x:t>
  </x:si>
  <x:si>
    <x:t xml:space="preserve">Input - see register MLCF|cfi</x:t>
  </x:si>
  <x:si>
    <x:t xml:space="preserve">Input - see register MLCF|cff</x:t>
  </x:si>
  <x:si>
    <x:t xml:space="preserve">Input - see register MLCF|div_paid</x:t>
  </x:si>
  <x:si>
    <x:t xml:space="preserve">Input - see register MLCF|par</x:t>
  </x:si>
  <x:si>
    <x:t xml:space="preserve">Input - see register MLCF|wavg</x:t>
  </x:si>
  <x:si>
    <x:t xml:space="preserve">Input - see register MLCF|price</x:t>
  </x:si>
  <x:si>
    <x:t xml:space="preserve">Input - see register MLCF|dps</x:t>
  </x:si>
  <x:si>
    <x:t xml:space="preserve">Input - see register MLCF|eps_rep</x:t>
  </x:si>
  <x:si>
    <x:t xml:space="preserve">Input - see register MLCF|adj</x:t>
  </x:si>
  <x:si>
    <x:t xml:space="preserve">Source: FY2025 AR p175 "Six years' financial summary / key ratios". Differences are not errors; they usually reflect closing vs average balances or different bases.</x:t>
  </x:si>
  <x:si>
    <x:t xml:space="preserve">Excludes stores, spares and stock-in-trade</x:t>
  </x:si>
  <x:si>
    <x:t xml:space="preserve">No. of days in inventory (stock-in-trade) - workbook</x:t>
  </x:si>
  <x:si>
    <x:t xml:space="preserve">Stock-in-trade only</x:t>
  </x:si>
  <x:si>
    <x:t xml:space="preserve">Compare with workbook memo M3</x:t>
  </x:si>
  <x:si>
    <x:t xml:space="preserve">No. of days in inventory (stock-in-trade) - company-disclosed</x:t>
  </x:si>
  <x:si>
    <x:t xml:space="preserve">No. of days in creditors - workbook</x:t>
  </x:si>
  <x:si>
    <x:t xml:space="preserve">Company creditor base not disclosed</x:t>
  </x:si>
  <x:si>
    <x:t xml:space="preserve">No. of days in creditors - company-disclosed</x:t>
  </x:si>
  <x:si>
    <x:t xml:space="preserve">Likely closing total assets</x:t>
  </x:si>
  <x:si>
    <x:t xml:space="preserve">Likely total PPE</x:t>
  </x:si>
  <x:si>
    <x:t xml:space="preserve">EBIT / finance cost</x:t>
  </x:si>
  <x:si>
    <x:t xml:space="preserve">Net borrowing / EBITDA - workbook</x:t>
  </x:si>
  <x:si>
    <x:t xml:space="preserve">Net borrowing likely net of short-term investments</x:t>
  </x:si>
  <x:si>
    <x:t xml:space="preserve">Net borrowing / EBITDA - company-disclosed</x:t>
  </x:si>
  <x:si>
    <x:t xml:space="preserve">Year-end price / EPS</x:t>
  </x:si>
  <x:si>
    <x:t xml:space="preserve">Cash flow from operations to sales - workbook</x:t>
  </x:si>
  <x:si>
    <x:t xml:space="preserve">Net CFO / sales</x:t>
  </x:si>
  <x:si>
    <x:t xml:space="preserve">Cash flow from operations to sales - company-disclosed</x:t>
  </x:si>
  <x:si>
    <x:t xml:space="preserve">Fauji Cement Company Limited (FCCL) - five-year financial analysis, FY2021-FY2025</x:t>
  </x:si>
  <x:si>
    <x:t xml:space="preserve">Competitor 4 | PSX: FCCL | Standalone (single-entity financial statements; no consolidated statements published) | All amounts PKR million unless stated</x:t>
  </x:si>
  <x:si>
    <x:t xml:space="preserve">FY2021: FCCL-Annual-Report-2021.pdf; FY2022: FCCL-Annual-Report-2022.pdf; FY2023: FCCL-Annual-Report-2023.pdf; FY2024: FCCL-Annual-Report-2024.pdf; FY2025: FCCL-Annual-Report-2025.pdf</x:t>
  </x:si>
  <x:si>
    <x:t xml:space="preserve">Input - see register FCCL|ppe</x:t>
  </x:si>
  <x:si>
    <x:t xml:space="preserve">Input - see register FCCL|cwip</x:t>
  </x:si>
  <x:si>
    <x:t xml:space="preserve">Input - see register FCCL|rou</x:t>
  </x:si>
  <x:si>
    <x:t xml:space="preserve">Input - see register FCCL|intang</x:t>
  </x:si>
  <x:si>
    <x:t xml:space="preserve">Input - see register FCCL|inv_prop</x:t>
  </x:si>
  <x:si>
    <x:t xml:space="preserve">Input - see register FCCL|lt_inv</x:t>
  </x:si>
  <x:si>
    <x:t xml:space="preserve">Input - see register FCCL|nca_other</x:t>
  </x:si>
  <x:si>
    <x:t xml:space="preserve">Input - see register FCCL|stores</x:t>
  </x:si>
  <x:si>
    <x:t xml:space="preserve">Input - see register FCCL|sit</x:t>
  </x:si>
  <x:si>
    <x:t xml:space="preserve">Input - see register FCCL|debts</x:t>
  </x:si>
  <x:si>
    <x:t xml:space="preserve">Input - see register FCCL|st_inv</x:t>
  </x:si>
  <x:si>
    <x:t xml:space="preserve">Input - see register FCCL|cash</x:t>
  </x:si>
  <x:si>
    <x:t xml:space="preserve">Input - see register FCCL|ca_other</x:t>
  </x:si>
  <x:si>
    <x:t xml:space="preserve">Input - see register FCCL|share_cap</x:t>
  </x:si>
  <x:si>
    <x:t xml:space="preserve">Input - see register FCCL|eq_other</x:t>
  </x:si>
  <x:si>
    <x:t xml:space="preserve">Input - see register FCCL|ltf_nc</x:t>
  </x:si>
  <x:si>
    <x:t xml:space="preserve">Input - see register FCCL|lease_nc</x:t>
  </x:si>
  <x:si>
    <x:t xml:space="preserve">Input - see register FCCL|grant_nc</x:t>
  </x:si>
  <x:si>
    <x:t xml:space="preserve">Input - see register FCCL|def_tax</x:t>
  </x:si>
  <x:si>
    <x:t xml:space="preserve">Input - see register FCCL|ncl_other</x:t>
  </x:si>
  <x:si>
    <x:t xml:space="preserve">Input - see register FCCL|tap</x:t>
  </x:si>
  <x:si>
    <x:t xml:space="preserve">Input - see register FCCL|trade_cred</x:t>
  </x:si>
  <x:si>
    <x:t xml:space="preserve">Input - see register FCCL|contract</x:t>
  </x:si>
  <x:si>
    <x:t xml:space="preserve">Input - see register FCCL|acc_markup</x:t>
  </x:si>
  <x:si>
    <x:t xml:space="preserve">Input - see register FCCL|stb</x:t>
  </x:si>
  <x:si>
    <x:t xml:space="preserve">Input - see register FCCL|cp_ltf</x:t>
  </x:si>
  <x:si>
    <x:t xml:space="preserve">Input - see register FCCL|cp_lease</x:t>
  </x:si>
  <x:si>
    <x:t xml:space="preserve">Input - see register FCCL|cp_grant</x:t>
  </x:si>
  <x:si>
    <x:t xml:space="preserve">Input - see register FCCL|div_liab</x:t>
  </x:si>
  <x:si>
    <x:t xml:space="preserve">Input - see register FCCL|tax_liab</x:t>
  </x:si>
  <x:si>
    <x:t xml:space="preserve">Input - see register FCCL|cl_other</x:t>
  </x:si>
  <x:si>
    <x:t xml:space="preserve">Input - see register FCCL|pr_TA</x:t>
  </x:si>
  <x:si>
    <x:t xml:space="preserve">Input - see register FCCL|pr_EQ</x:t>
  </x:si>
  <x:si>
    <x:t xml:space="preserve">Input - see register FCCL|pr_CA</x:t>
  </x:si>
  <x:si>
    <x:t xml:space="preserve">Input - see register FCCL|pr_CL</x:t>
  </x:si>
  <x:si>
    <x:t xml:space="preserve">Input - see register FCCL|rev</x:t>
  </x:si>
  <x:si>
    <x:t xml:space="preserve">Input - see register FCCL|cogs</x:t>
  </x:si>
  <x:si>
    <x:t xml:space="preserve">Input - see register FCCL|selling</x:t>
  </x:si>
  <x:si>
    <x:t xml:space="preserve">Input - see register FCCL|admin</x:t>
  </x:si>
  <x:si>
    <x:t xml:space="preserve">Input - see register FCCL|impair</x:t>
  </x:si>
  <x:si>
    <x:t xml:space="preserve">Input - see register FCCL|oth_exp</x:t>
  </x:si>
  <x:si>
    <x:t xml:space="preserve">Input - see register FCCL|oth_inc</x:t>
  </x:si>
  <x:si>
    <x:t xml:space="preserve">Input - see register FCCL|fin_inc</x:t>
  </x:si>
  <x:si>
    <x:t xml:space="preserve">Input - see register FCCL|assoc</x:t>
  </x:si>
  <x:si>
    <x:t xml:space="preserve">Input - see register FCCL|fin_cost</x:t>
  </x:si>
  <x:si>
    <x:t xml:space="preserve">Input - see register FCCL|levy</x:t>
  </x:si>
  <x:si>
    <x:t xml:space="preserve">Input - see register FCCL|tax</x:t>
  </x:si>
  <x:si>
    <x:t xml:space="preserve">Input - see register FCCL|pr_gp</x:t>
  </x:si>
  <x:si>
    <x:t xml:space="preserve">Input - see register FCCL|pr_pbt</x:t>
  </x:si>
  <x:si>
    <x:t xml:space="preserve">Input - see register FCCL|pr_pat</x:t>
  </x:si>
  <x:si>
    <x:t xml:space="preserve">Input - see register FCCL|fc_nonint</x:t>
  </x:si>
  <x:si>
    <x:t xml:space="preserve">Input - see register FCCL|da</x:t>
  </x:si>
  <x:si>
    <x:t xml:space="preserve">Input - see register FCCL|cgo</x:t>
  </x:si>
  <x:si>
    <x:t xml:space="preserve">Input - see register FCCL|cfo</x:t>
  </x:si>
  <x:si>
    <x:t xml:space="preserve">Input - see register FCCL|fin_paid</x:t>
  </x:si>
  <x:si>
    <x:t xml:space="preserve">Input - see register FCCL|fin_paid_cls</x:t>
  </x:si>
  <x:si>
    <x:t xml:space="preserve">Input - see register FCCL|capex</x:t>
  </x:si>
  <x:si>
    <x:t xml:space="preserve">Input - see register FCCL|cfi</x:t>
  </x:si>
  <x:si>
    <x:t xml:space="preserve">Input - see register FCCL|cff</x:t>
  </x:si>
  <x:si>
    <x:t xml:space="preserve">Input - see register FCCL|div_paid</x:t>
  </x:si>
  <x:si>
    <x:t xml:space="preserve">Input - see register FCCL|par</x:t>
  </x:si>
  <x:si>
    <x:t xml:space="preserve">Input - see register FCCL|wavg</x:t>
  </x:si>
  <x:si>
    <x:t xml:space="preserve">Input - see register FCCL|price</x:t>
  </x:si>
  <x:si>
    <x:t xml:space="preserve">Input - see register FCCL|dps</x:t>
  </x:si>
  <x:si>
    <x:t xml:space="preserve">Input - see register FCCL|eps_rep</x:t>
  </x:si>
  <x:si>
    <x:t xml:space="preserve">Input - see register FCCL|adj</x:t>
  </x:si>
  <x:si>
    <x:t xml:space="preserve">Source: FY2025 AR p216 "Six years at a glance". Differences are not errors; they usually reflect closing vs average balances or different bases.</x:t>
  </x:si>
  <x:si>
    <x:t xml:space="preserve">Interest cover ratio - workbook</x:t>
  </x:si>
  <x:si>
    <x:t xml:space="preserve">Interest cover ratio - company-disclosed</x:t>
  </x:si>
  <x:si>
    <x:t xml:space="preserve">Break-up value per share - workbook</x:t>
  </x:si>
  <x:si>
    <x:t xml:space="preserve">Equity / shares outstanding</x:t>
  </x:si>
  <x:si>
    <x:t xml:space="preserve">Break-up value per share - company-disclosed</x:t>
  </x:si>
  <x:si>
    <x:t xml:space="preserve">Earnings per share - workbook</x:t>
  </x:si>
  <x:si>
    <x:t xml:space="preserve">FY2022 restated for FY2023 bonus issue</x:t>
  </x:si>
  <x:si>
    <x:t xml:space="preserve">Workbook FY2022 uses own-year basis (3.26)</x:t>
  </x:si>
  <x:si>
    <x:t xml:space="preserve">Earnings per share - company-disclosed</x:t>
  </x:si>
  <x:si>
    <x:t xml:space="preserve">Not reproducible from company's own disclosed price and EPS for several years</x:t>
  </x:si>
  <x:si>
    <x:t xml:space="preserve">Workbook uses disclosed year-end price / EPS</x:t>
  </x:si>
  <x:si>
    <x:t xml:space="preserve">DPS for the year / year-end price</x:t>
  </x:si>
  <x:si>
    <x:t xml:space="preserve">Dividend payout ratio - workbook</x:t>
  </x:si>
  <x:si>
    <x:t xml:space="preserve">DPS / EPS</x:t>
  </x:si>
  <x:si>
    <x:t xml:space="preserve">Dividend payout ratio - company-disclosed</x:t>
  </x:si>
  <x:si>
    <x:t xml:space="preserve">Debt to equity ratio - as per books - workbook</x:t>
  </x:si>
  <x:si>
    <x:t xml:space="preserve">Long-term debt / equity</x:t>
  </x:si>
  <x:si>
    <x:t xml:space="preserve">Debt to equity ratio - as per books - company-disclosed</x:t>
  </x:si>
  <x:si>
    <x:t xml:space="preserve">Industry Comparison - KOHC vs five-company sample average (KOHC, LUCK, DGKC, MLCF, FCCL), FY2021-FY2025</x:t>
  </x:si>
  <x:si>
    <x:t xml:space="preserve">All values are live links to the company sheets. Sample average = arithmetic mean of valid company observations (n/m excluded). Favourable/unfavourable shown only where direction is unambiguous.</x:t>
  </x:si>
  <x:si>
    <x:t xml:space="preserve">No.</x:t>
  </x:si>
  <x:si>
    <x:t xml:space="preserve">Year</x:t>
  </x:si>
  <x:si>
    <x:t xml:space="preserve">Sample avg (5)</x:t>
  </x:si>
  <x:si>
    <x:t xml:space="preserve">N valid</x:t>
  </x:si>
  <x:si>
    <x:t xml:space="preserve">KOHC - avg</x:t>
  </x:si>
  <x:si>
    <x:t xml:space="preserve">4-competitor avg</x:t>
  </x:si>
  <x:si>
    <x:t xml:space="preserve">Median (5)</x:t>
  </x:si>
  <x:si>
    <x:t xml:space="preserve">Direction</x:t>
  </x:si>
  <x:si>
    <x:t xml:space="preserve">KOHC position vs average</x:t>
  </x:si>
  <x:si>
    <x:t xml:space="preserve">Notes</x:t>
  </x:si>
  <x:si>
    <x:t xml:space="preserve">Avg check</x:t>
  </x:si>
  <x:si>
    <x:t xml:space="preserve">LIQUIDITY</x:t>
  </x:si>
  <x:si>
    <x:t xml:space="preserve">Absolute PKR m; average is descriptive only (size-driven)</x:t>
  </x:si>
  <x:si>
    <x:t xml:space="preserve">ASSET MANAGEMENT</x:t>
  </x:si>
  <x:si>
    <x:t xml:space="preserve">Inventories incl. stores and spares</x:t>
  </x:si>
  <x:si>
    <x:t xml:space="preserve">Revenue proxy for credit sales</x:t>
  </x:si>
  <x:si>
    <x:t xml:space="preserve">Trade creditors basis; cost of sales used as purchases proxy</x:t>
  </x:si>
  <x:si>
    <x:t xml:space="preserve">Higher DPO = more supplier credit; context-dependent</x:t>
  </x:si>
  <x:si>
    <x:t xml:space="preserve">PPE excl. CWIP</x:t>
  </x:si>
  <x:si>
    <x:t xml:space="preserve">DEBT MANAGEMENT</x:t>
  </x:si>
  <x:si>
    <x:t xml:space="preserve">Total liabilities basis (project definition)</x:t>
  </x:si>
  <x:si>
    <x:t xml:space="preserve">Interest-bearing debt basis</x:t>
  </x:si>
  <x:si>
    <x:t xml:space="preserve">n/m if interest &lt;= 0</x:t>
  </x:si>
  <x:si>
    <x:t xml:space="preserve">Negative = net cash position</x:t>
  </x:si>
  <x:si>
    <x:t xml:space="preserve">PROFITABILITY</x:t>
  </x:si>
  <x:si>
    <x:t xml:space="preserve">Average equity</x:t>
  </x:si>
  <x:si>
    <x:t xml:space="preserve">MARKET VALUE</x:t>
  </x:si>
  <x:si>
    <x:t xml:space="preserve">Per-share: not comparable across companies</x:t>
  </x:si>
  <x:si>
    <x:t xml:space="preserve">Context: high M/B may reflect growth expectations or low book base</x:t>
  </x:si>
  <x:si>
    <x:t xml:space="preserve">Per-share: not comparable across companies; descriptive only</x:t>
  </x:si>
  <x:si>
    <x:t xml:space="preserve">n/m when EPS &lt;= 0 (DGKC FY2023)</x:t>
  </x:si>
  <x:si>
    <x:t xml:space="preserve">KOHC and MLCF declared no cash dividends</x:t>
  </x:si>
  <x:si>
    <x:t xml:space="preserve">n/m when EPS &lt;= 0</x:t>
  </x:si>
  <x:si>
    <x:t xml:space="preserve">CASH FLOW</x:t>
  </x:si>
  <x:si>
    <x:t xml:space="preserve">Reported CFO; classification of interest paid differs (see memo M4)</x:t>
  </x:si>
  <x:si>
    <x:t xml:space="preserve">SUPPLEMENTARY</x:t>
  </x:si>
  <x:si>
    <x:t xml:space="preserve">S1</x:t>
  </x:si>
  <x:si>
    <x:t xml:space="preserve">S2</x:t>
  </x:si>
  <x:si>
    <x:t xml:space="preserve">S3</x:t>
  </x:si>
  <x:si>
    <x:t xml:space="preserve">Sources &amp; Validation - audit register, validation checks, restatements and unresolved issues</x:t>
  </x:si>
  <x:si>
    <x:t xml:space="preserve">1. VALIDATION SUMMARY (PASS / REVIEW / FAIL; formula-driven unless marked)</x:t>
  </x:si>
  <x:si>
    <x:t xml:space="preserve">Check</x:t>
  </x:si>
  <x:si>
    <x:t xml:space="preserve">FY2020</x:t>
  </x:si>
  <x:si>
    <x:t xml:space="preserve">Total assets = equity + liabilities</x:t>
  </x:si>
  <x:si>
    <x:t xml:space="preserve">Total assets = printed total</x:t>
  </x:si>
  <x:si>
    <x:t xml:space="preserve">Equity, CA, CL = printed subtotals</x:t>
  </x:si>
  <x:si>
    <x:t xml:space="preserve">GP, PBT, PAT = printed P&amp;L</x:t>
  </x:si>
  <x:si>
    <x:t xml:space="preserve">EPS (PAT / weighted shares) vs reported EPS</x:t>
  </x:si>
  <x:si>
    <x:t xml:space="preserve">Opening balances available for averages</x:t>
  </x:si>
  <x:si>
    <x:t xml:space="preserve">Ratio block free of spreadsheet errors</x:t>
  </x:si>
  <x:si>
    <x:t xml:space="preserve">Number of n/m ratio results (informational)</x:t>
  </x:si>
  <x:si>
    <x:t xml:space="preserve">Market price source (manual assessment)</x:t>
  </x:si>
  <x:si>
    <x:t xml:space="preserve">Workbook</x:t>
  </x:si>
  <x:si>
    <x:t xml:space="preserve">Industry sheet links equal company-sheet values (all companies)</x:t>
  </x:si>
  <x:si>
    <x:t xml:space="preserve">Sample-average formulas recomputed (Avg check column)</x:t>
  </x:si>
  <x:si>
    <x:t xml:space="preserve">Source register trace checks (every input = register value)</x:t>
  </x:si>
  <x:si>
    <x:t xml:space="preserve">Chart series reference live ranges (checked by build script)</x:t>
  </x:si>
  <x:si>
    <x:t xml:space="preserve">PASS</x:t>
  </x:si>
  <x:si>
    <x:t xml:space="preserve">2. UNRESOLVED / DOCUMENTED ISSUES</x:t>
  </x:si>
  <x:si>
    <x:t xml:space="preserve">Area</x:t>
  </x:si>
  <x:si>
    <x:t xml:space="preserve">Description</x:t>
  </x:si>
  <x:si>
    <x:t xml:space="preserve">KOHC, LUCK</x:t>
  </x:si>
  <x:si>
    <x:t xml:space="preserve">All</x:t>
  </x:si>
  <x:si>
    <x:t xml:space="preserve">Share prices</x:t>
  </x:si>
  <x:si>
    <x:t xml:space="preserve">Published price-to-book FY2021-23</x:t>
  </x:si>
  <x:si>
    <x:t xml:space="preserve">Company figures (0.23, 0.12, 0.14) inconsistent with its own price and breakup value; not relied on.</x:t>
  </x:si>
  <x:si>
    <x:t xml:space="preserve">REVIEW</x:t>
  </x:si>
  <x:si>
    <x:t xml:space="preserve">FY2021 tax reconciliation</x:t>
  </x:si>
  <x:si>
    <x:t xml:space="preserve">Note shows PBT 3,885.95m vs 4,885.95m on face of P&amp;L (printing slip; tax at 29% consistent with face figure).</x:t>
  </x:si>
  <x:si>
    <x:t xml:space="preserve">PASS (documented)</x:t>
  </x:si>
  <x:si>
    <x:t xml:space="preserve">Accrued mark-up</x:t>
  </x:si>
  <x:si>
    <x:t xml:space="preserve">From FY2025 AR, accrued mark-up is included within current portion of long-term financing (FY2024 PKR 135m). Slightly inflates FY2024-25 interest-bearing debt.</x:t>
  </x:si>
  <x:si>
    <x:t xml:space="preserve">FY2020 comparative footing</x:t>
  </x:si>
  <x:si>
    <x:t xml:space="preserve">Deferred liabilities components sum PKR 0.4m less than printed subtotal; printed subtotal carried via other NCL.</x:t>
  </x:si>
  <x:si>
    <x:t xml:space="preserve">FY2025 deferred tax</x:t>
  </x:si>
  <x:si>
    <x:t xml:space="preserve">FY2025 AR combines deferred tax with other deferred liabilities on the face; shown in other non-current liabilities for FY2024-25.</x:t>
  </x:si>
  <x:si>
    <x:t xml:space="preserve">Weighted shares FY2022-23</x:t>
  </x:si>
  <x:si>
    <x:t xml:space="preserve">Published P/E</x:t>
  </x:si>
  <x:si>
    <x:t xml:space="preserve">Company P/E not reproducible from its own disclosed price and EPS for several years.</x:t>
  </x:si>
  <x:si>
    <x:t xml:space="preserve">FY2022 CWIP</x:t>
  </x:si>
  <x:si>
    <x:t xml:space="preserve">FY2023 AR comparative table shows conflicting closing CWIP (2,513.6m vs 29,802.2m); CWIP movement note confirms 29,802.2m.</x:t>
  </x:si>
  <x:si>
    <x:t xml:space="preserve">Cost reclassification</x:t>
  </x:si>
  <x:si>
    <x:t xml:space="preserve">FY2023 comparatives in FY2024 AR moved ~PKR 1.75bn from cost of sales to distribution; FY2021-22 not restated (gross-margin break).</x:t>
  </x:si>
  <x:si>
    <x:t xml:space="preserve">FY2022 comparatives in FY2023 AR moved ~PKR 1.06bn from cost of sales to selling; FY2021 not restated.</x:t>
  </x:si>
  <x:si>
    <x:t xml:space="preserve">MLCF, FCCL</x:t>
  </x:si>
  <x:si>
    <x:t xml:space="preserve">Cash-flow classification</x:t>
  </x:si>
  <x:si>
    <x:t xml:space="preserve">Finance cost paid classified under financing (others: operating). Ratio 36 uses reported CFO; memo M4 shows adjusted basis.</x:t>
  </x:si>
  <x:si>
    <x:t xml:space="preserve">Credit sales and purchases</x:t>
  </x:si>
  <x:si>
    <x:t xml:space="preserve">Not disclosed; revenue and cost of sales used as proxies for receivables and payables turnover.</x:t>
  </x:si>
  <x:si>
    <x:t xml:space="preserve">3. RESTATEMENT REGISTER (original own-year figure vs latest audited presentation used; PKR m)</x:t>
  </x:si>
  <x:si>
    <x:t xml:space="preserve">Stmt</x:t>
  </x:si>
  <x:si>
    <x:t xml:space="preserve">Original</x:t>
  </x:si>
  <x:si>
    <x:t xml:space="preserve">Restated (used)</x:t>
  </x:si>
  <x:si>
    <x:t xml:space="preserve">Difference</x:t>
  </x:si>
  <x:si>
    <x:t xml:space="preserve">Restated in</x:t>
  </x:si>
  <x:si>
    <x:t xml:space="preserve">SOFP</x:t>
  </x:si>
  <x:si>
    <x:t xml:space="preserve">inv_prop</x:t>
  </x:si>
  <x:si>
    <x:t xml:space="preserve">FY2022 AR (Kohat_Cement_AR_2022.pdf)</x:t>
  </x:si>
  <x:si>
    <x:t xml:space="preserve">nca_other</x:t>
  </x:si>
  <x:si>
    <x:t xml:space="preserve">ppe</x:t>
  </x:si>
  <x:si>
    <x:t xml:space="preserve">tap</x:t>
  </x:si>
  <x:si>
    <x:t xml:space="preserve">FY2024 AR (Kohat_Cement_Annual_Report-2024.pdf)</x:t>
  </x:si>
  <x:si>
    <x:t xml:space="preserve">tax_liab</x:t>
  </x:si>
  <x:si>
    <x:t xml:space="preserve">PL</x:t>
  </x:si>
  <x:si>
    <x:t xml:space="preserve">op_pres</x:t>
  </x:si>
  <x:si>
    <x:t xml:space="preserve">pbt</x:t>
  </x:si>
  <x:si>
    <x:t xml:space="preserve">tax</x:t>
  </x:si>
  <x:si>
    <x:t xml:space="preserve">CF</x:t>
  </x:si>
  <x:si>
    <x:t xml:space="preserve">cfi</x:t>
  </x:si>
  <x:si>
    <x:t xml:space="preserve">cfo</x:t>
  </x:si>
  <x:si>
    <x:t xml:space="preserve">cgo</x:t>
  </x:si>
  <x:si>
    <x:t xml:space="preserve">tax_paid</x:t>
  </x:si>
  <x:si>
    <x:t xml:space="preserve">acc_markup</x:t>
  </x:si>
  <x:si>
    <x:t xml:space="preserve">FY2025 AR (Kohat_Cement_Annual_Report_2025.pdf)</x:t>
  </x:si>
  <x:si>
    <x:t xml:space="preserve">ca_other</x:t>
  </x:si>
  <x:si>
    <x:t xml:space="preserve">cp_ltf</x:t>
  </x:si>
  <x:si>
    <x:t xml:space="preserve">stb</x:t>
  </x:si>
  <x:si>
    <x:t xml:space="preserve">oth_inc</x:t>
  </x:si>
  <x:si>
    <x:t xml:space="preserve">pat</x:t>
  </x:si>
  <x:si>
    <x:t xml:space="preserve">capex</x:t>
  </x:si>
  <x:si>
    <x:t xml:space="preserve">oth_exp</x:t>
  </x:si>
  <x:si>
    <x:t xml:space="preserve">FY2022 AR (2022.pdf)</x:t>
  </x:si>
  <x:si>
    <x:t xml:space="preserve">FY2023 AR (2023.pdf)</x:t>
  </x:si>
  <x:si>
    <x:t xml:space="preserve">cff</x:t>
  </x:si>
  <x:si>
    <x:t xml:space="preserve">FY2024 AR (2024.pdf)</x:t>
  </x:si>
  <x:si>
    <x:t xml:space="preserve">def_tax</x:t>
  </x:si>
  <x:si>
    <x:t xml:space="preserve">FY2025 AR (2025.pdf)</x:t>
  </x:si>
  <x:si>
    <x:t xml:space="preserve">ncl_other</x:t>
  </x:si>
  <x:si>
    <x:t xml:space="preserve">FY2024 AR (DGAnnual2024.pdf)</x:t>
  </x:si>
  <x:si>
    <x:t xml:space="preserve">admin</x:t>
  </x:si>
  <x:si>
    <x:t xml:space="preserve">gp</x:t>
  </x:si>
  <x:si>
    <x:t xml:space="preserve">rev</x:t>
  </x:si>
  <x:si>
    <x:t xml:space="preserve">selling</x:t>
  </x:si>
  <x:si>
    <x:t xml:space="preserve">debts</x:t>
  </x:si>
  <x:si>
    <x:t xml:space="preserve">stores</x:t>
  </x:si>
  <x:si>
    <x:t xml:space="preserve">cogs</x:t>
  </x:si>
  <x:si>
    <x:t xml:space="preserve">cp_grant</x:t>
  </x:si>
  <x:si>
    <x:t xml:space="preserve">FY2022 AR (FCCL-Annual-Report-2022.pdf)</x:t>
  </x:si>
  <x:si>
    <x:t xml:space="preserve">grant_nc</x:t>
  </x:si>
  <x:si>
    <x:t xml:space="preserve">FY2023 AR (FCCL-Annual-Report-2023.pdf)</x:t>
  </x:si>
  <x:si>
    <x:t xml:space="preserve">FY2024 AR (FCCL-Annual-Report-2024.pdf)</x:t>
  </x:si>
  <x:si>
    <x:t xml:space="preserve">fin_paid</x:t>
  </x:si>
  <x:si>
    <x:t xml:space="preserve">cl_other</x:t>
  </x:si>
  <x:si>
    <x:t xml:space="preserve">FY2025 AR (FCCL-Annual-Report-2025.pdf)</x:t>
  </x:si>
  <x:si>
    <x:t xml:space="preserve">4. SOURCE REGISTER - every blue input on the company sheets</x:t>
  </x:si>
  <x:si>
    <x:t xml:space="preserve">Ref ID</x:t>
  </x:si>
  <x:si>
    <x:t xml:space="preserve">Workbook item</x:t>
  </x:si>
  <x:si>
    <x:t xml:space="preserve">Statement</x:t>
  </x:si>
  <x:si>
    <x:t xml:space="preserve">Line item(s) as printed</x:t>
  </x:si>
  <x:si>
    <x:t xml:space="preserve">Annual report file</x:t>
  </x:si>
  <x:si>
    <x:t xml:space="preserve">Presentation used</x:t>
  </x:si>
  <x:si>
    <x:t xml:space="preserve">Column</x:t>
  </x:si>
  <x:si>
    <x:t xml:space="preserve">PDF page</x:t>
  </x:si>
  <x:si>
    <x:t xml:space="preserve">Printed page</x:t>
  </x:si>
  <x:si>
    <x:t xml:space="preserve">Note</x:t>
  </x:si>
  <x:si>
    <x:t xml:space="preserve">Extracted (original units)</x:t>
  </x:si>
  <x:si>
    <x:t xml:space="preserve">Normalised (PKR m / as stated)</x:t>
  </x:si>
  <x:si>
    <x:t xml:space="preserve">Company-sheet value</x:t>
  </x:si>
  <x:si>
    <x:t xml:space="preserve">Trace</x:t>
  </x:si>
  <x:si>
    <x:t xml:space="preserve">Basis</x:t>
  </x:si>
  <x:si>
    <x:t xml:space="preserve">Remarks</x:t>
  </x:si>
  <x:si>
    <x:t xml:space="preserve">KOHC|ppe|2020</x:t>
  </x:si>
  <x:si>
    <x:t xml:space="preserve">Property, plant and equipment</x:t>
  </x:si>
  <x:si>
    <x:t xml:space="preserve">KOHC_AR_2021.pdf</x:t>
  </x:si>
  <x:si>
    <x:t xml:space="preserve">FY2021 AR</x:t>
  </x:si>
  <x:si>
    <x:t xml:space="preserve">Comparative</x:t>
  </x:si>
  <x:si>
    <x:t xml:space="preserve">n/d</x:t>
  </x:si>
  <x:si>
    <x:t xml:space="preserve">15</x:t>
  </x:si>
  <x:si>
    <x:t xml:space="preserve">KOHC|ppe|2021</x:t>
  </x:si>
  <x:si>
    <x:t xml:space="preserve">Kohat_Cement_AR_2022.pdf</x:t>
  </x:si>
  <x:si>
    <x:t xml:space="preserve">FY2022 AR</x:t>
  </x:si>
  <x:si>
    <x:t xml:space="preserve">Restated vs own-year report (see restatement register)</x:t>
  </x:si>
  <x:si>
    <x:t xml:space="preserve">KOHC|ppe|2022</x:t>
  </x:si>
  <x:si>
    <x:t xml:space="preserve">Financial_Statements-30-06-2023.pdf</x:t>
  </x:si>
  <x:si>
    <x:t xml:space="preserve">FY2023 AR</x:t>
  </x:si>
  <x:si>
    <x:t xml:space="preserve">KOHC|ppe|2023</x:t>
  </x:si>
  <x:si>
    <x:t xml:space="preserve">Kohat_Cement_Annual_Report-2024.pdf</x:t>
  </x:si>
  <x:si>
    <x:t xml:space="preserve">FY2024 AR</x:t>
  </x:si>
  <x:si>
    <x:t xml:space="preserve">14</x:t>
  </x:si>
  <x:si>
    <x:t xml:space="preserve">KOHC|ppe|2024</x:t>
  </x:si>
  <x:si>
    <x:t xml:space="preserve">Kohat_Cement_Annual_Report_2025.pdf</x:t>
  </x:si>
  <x:si>
    <x:t xml:space="preserve">FY2025 AR</x:t>
  </x:si>
  <x:si>
    <x:t xml:space="preserve">13</x:t>
  </x:si>
  <x:si>
    <x:t xml:space="preserve">KOHC|ppe|2025</x:t>
  </x:si>
  <x:si>
    <x:t xml:space="preserve">Current year</x:t>
  </x:si>
  <x:si>
    <x:t xml:space="preserve">KOHC|cwip|2020</x:t>
  </x:si>
  <x:si>
    <x:t xml:space="preserve">of which: capital work-in-progress (note)</x:t>
  </x:si>
  <x:si>
    <x:t xml:space="preserve">Notes / market data</x:t>
  </x:si>
  <x:si>
    <x:t xml:space="preserve">Capital work in progress</x:t>
  </x:si>
  <x:si>
    <x:t xml:space="preserve">70</x:t>
  </x:si>
  <x:si>
    <x:t xml:space="preserve">KOHC|cwip|2021</x:t>
  </x:si>
  <x:si>
    <x:t xml:space="preserve">KOHC|cwip|2022</x:t>
  </x:si>
  <x:si>
    <x:t xml:space="preserve">KOHC|cwip|2023</x:t>
  </x:si>
  <x:si>
    <x:t xml:space="preserve">KOHC|cwip|2024</x:t>
  </x:si>
  <x:si>
    <x:t xml:space="preserve">KOHC|cwip|2025</x:t>
  </x:si>
  <x:si>
    <x:t xml:space="preserve">KOHC|rou|2020</x:t>
  </x:si>
  <x:si>
    <x:t xml:space="preserve">30</x:t>
  </x:si>
  <x:si>
    <x:t xml:space="preserve">KOHC|rou|2021</x:t>
  </x:si>
  <x:si>
    <x:t xml:space="preserve">KOHC|rou|2022</x:t>
  </x:si>
  <x:si>
    <x:t xml:space="preserve">KOHC|rou|2023</x:t>
  </x:si>
  <x:si>
    <x:t xml:space="preserve">KOHC|rou|2024</x:t>
  </x:si>
  <x:si>
    <x:t xml:space="preserve">66</x:t>
  </x:si>
  <x:si>
    <x:t xml:space="preserve">KOHC|rou|2025</x:t>
  </x:si>
  <x:si>
    <x:t xml:space="preserve">KOHC|intang|2020</x:t>
  </x:si>
  <x:si>
    <x:t xml:space="preserve">Intangibles</x:t>
  </x:si>
  <x:si>
    <x:t xml:space="preserve">16</x:t>
  </x:si>
  <x:si>
    <x:t xml:space="preserve">KOHC|intang|2021</x:t>
  </x:si>
  <x:si>
    <x:t xml:space="preserve">KOHC|intang|2022</x:t>
  </x:si>
  <x:si>
    <x:t xml:space="preserve">KOHC|intang|2023</x:t>
  </x:si>
  <x:si>
    <x:t xml:space="preserve">KOHC|intang|2024</x:t>
  </x:si>
  <x:si>
    <x:t xml:space="preserve">KOHC|intang|2025</x:t>
  </x:si>
  <x:si>
    <x:t xml:space="preserve">KOHC|inv_prop|2020</x:t>
  </x:si>
  <x:si>
    <x:t xml:space="preserve">18</x:t>
  </x:si>
  <x:si>
    <x:t xml:space="preserve">KOHC|inv_prop|2021</x:t>
  </x:si>
  <x:si>
    <x:t xml:space="preserve">19</x:t>
  </x:si>
  <x:si>
    <x:t xml:space="preserve">KOHC|inv_prop|2022</x:t>
  </x:si>
  <x:si>
    <x:t xml:space="preserve">KOHC|inv_prop|2023</x:t>
  </x:si>
  <x:si>
    <x:t xml:space="preserve">KOHC|inv_prop|2024</x:t>
  </x:si>
  <x:si>
    <x:t xml:space="preserve">17</x:t>
  </x:si>
  <x:si>
    <x:t xml:space="preserve">KOHC|inv_prop|2025</x:t>
  </x:si>
  <x:si>
    <x:t xml:space="preserve">KOHC|lt_inv|2020</x:t>
  </x:si>
  <x:si>
    <x:t xml:space="preserve">KOHC|lt_inv|2021</x:t>
  </x:si>
  <x:si>
    <x:t xml:space="preserve">KOHC|lt_inv|2022</x:t>
  </x:si>
  <x:si>
    <x:t xml:space="preserve">KOHC|lt_inv|2023</x:t>
  </x:si>
  <x:si>
    <x:t xml:space="preserve">KOHC|lt_inv|2024</x:t>
  </x:si>
  <x:si>
    <x:t xml:space="preserve">KOHC|lt_inv|2025</x:t>
  </x:si>
  <x:si>
    <x:t xml:space="preserve">KOHC|nca_other|2020</x:t>
  </x:si>
  <x:si>
    <x:t xml:space="preserve">Long term deposits</x:t>
  </x:si>
  <x:si>
    <x:t xml:space="preserve">KOHC|nca_other|2021</x:t>
  </x:si>
  <x:si>
    <x:t xml:space="preserve">Long term deposits; Long term loans and advances</x:t>
  </x:si>
  <x:si>
    <x:t xml:space="preserve">KOHC|nca_other|2022</x:t>
  </x:si>
  <x:si>
    <x:t xml:space="preserve">KOHC|nca_other|2023</x:t>
  </x:si>
  <x:si>
    <x:t xml:space="preserve">KOHC|nca_other|2024</x:t>
  </x:si>
  <x:si>
    <x:t xml:space="preserve">KOHC|nca_other|2025</x:t>
  </x:si>
  <x:si>
    <x:t xml:space="preserve">KOHC|stores|2020</x:t>
  </x:si>
  <x:si>
    <x:t xml:space="preserve">KOHC|stores|2021</x:t>
  </x:si>
  <x:si>
    <x:t xml:space="preserve">20</x:t>
  </x:si>
  <x:si>
    <x:t xml:space="preserve">KOHC|stores|2022</x:t>
  </x:si>
  <x:si>
    <x:t xml:space="preserve">KOHC|stores|2023</x:t>
  </x:si>
  <x:si>
    <x:t xml:space="preserve">KOHC|stores|2024</x:t>
  </x:si>
  <x:si>
    <x:t xml:space="preserve">KOHC|stores|2025</x:t>
  </x:si>
  <x:si>
    <x:t xml:space="preserve">KOHC|sit|2020</x:t>
  </x:si>
  <x:si>
    <x:t xml:space="preserve">KOHC|sit|2021</x:t>
  </x:si>
  <x:si>
    <x:t xml:space="preserve">21</x:t>
  </x:si>
  <x:si>
    <x:t xml:space="preserve">KOHC|sit|2022</x:t>
  </x:si>
  <x:si>
    <x:t xml:space="preserve">KOHC|sit|2023</x:t>
  </x:si>
  <x:si>
    <x:t xml:space="preserve">KOHC|sit|2024</x:t>
  </x:si>
  <x:si>
    <x:t xml:space="preserve">KOHC|sit|2025</x:t>
  </x:si>
  <x:si>
    <x:t xml:space="preserve">KOHC|debts|2020</x:t>
  </x:si>
  <x:si>
    <x:t xml:space="preserve">Trade debts - unsecured, considered good</x:t>
  </x:si>
  <x:si>
    <x:t xml:space="preserve">KOHC|debts|2021</x:t>
  </x:si>
  <x:si>
    <x:t xml:space="preserve">22</x:t>
  </x:si>
  <x:si>
    <x:t xml:space="preserve">KOHC|debts|2022</x:t>
  </x:si>
  <x:si>
    <x:t xml:space="preserve">KOHC|debts|2023</x:t>
  </x:si>
  <x:si>
    <x:t xml:space="preserve">KOHC|debts|2024</x:t>
  </x:si>
  <x:si>
    <x:t xml:space="preserve">KOHC|debts|2025</x:t>
  </x:si>
  <x:si>
    <x:t xml:space="preserve">KOHC|st_inv|2020</x:t>
  </x:si>
  <x:si>
    <x:t xml:space="preserve">Short term investments</x:t>
  </x:si>
  <x:si>
    <x:t xml:space="preserve">KOHC|st_inv|2021</x:t>
  </x:si>
  <x:si>
    <x:t xml:space="preserve">23</x:t>
  </x:si>
  <x:si>
    <x:t xml:space="preserve">KOHC|st_inv|2022</x:t>
  </x:si>
  <x:si>
    <x:t xml:space="preserve">KOHC|st_inv|2023</x:t>
  </x:si>
  <x:si>
    <x:t xml:space="preserve">KOHC|st_inv|2024</x:t>
  </x:si>
  <x:si>
    <x:t xml:space="preserve">KOHC|st_inv|2025</x:t>
  </x:si>
  <x:si>
    <x:t xml:space="preserve">KOHC|cash|2020</x:t>
  </x:si>
  <x:si>
    <x:t xml:space="preserve">24</x:t>
  </x:si>
  <x:si>
    <x:t xml:space="preserve">KOHC|cash|2021</x:t>
  </x:si>
  <x:si>
    <x:t xml:space="preserve">25</x:t>
  </x:si>
  <x:si>
    <x:t xml:space="preserve">KOHC|cash|2022</x:t>
  </x:si>
  <x:si>
    <x:t xml:space="preserve">KOHC|cash|2023</x:t>
  </x:si>
  <x:si>
    <x:t xml:space="preserve">KOHC|cash|2024</x:t>
  </x:si>
  <x:si>
    <x:t xml:space="preserve">KOHC|cash|2025</x:t>
  </x:si>
  <x:si>
    <x:t xml:space="preserve">KOHC|ca_other|2020</x:t>
  </x:si>
  <x:si>
    <x:t xml:space="preserve">Advances, deposits, prepayments and othe</x:t>
  </x:si>
  <x:si>
    <x:t xml:space="preserve">KOHC|ca_other|2021</x:t>
  </x:si>
  <x:si>
    <x:t xml:space="preserve">KOHC|ca_other|2022</x:t>
  </x:si>
  <x:si>
    <x:t xml:space="preserve">Loans, Advances, deposits, prepayments a</x:t>
  </x:si>
  <x:si>
    <x:t xml:space="preserve">KOHC|ca_other|2023</x:t>
  </x:si>
  <x:si>
    <x:t xml:space="preserve">KOHC|ca_other|2024</x:t>
  </x:si>
  <x:si>
    <x:t xml:space="preserve">Loans, advances, deposits, prepayments a</x:t>
  </x:si>
  <x:si>
    <x:t xml:space="preserve">KOHC|ca_other|2025</x:t>
  </x:si>
  <x:si>
    <x:t xml:space="preserve">KOHC|share_cap|2020</x:t>
  </x:si>
  <x:si>
    <x:t xml:space="preserve">Issued, subscribed and paid-up capital</x:t>
  </x:si>
  <x:si>
    <x:t xml:space="preserve">4</x:t>
  </x:si>
  <x:si>
    <x:t xml:space="preserve">KOHC|share_cap|2021</x:t>
  </x:si>
  <x:si>
    <x:t xml:space="preserve">KOHC|share_cap|2022</x:t>
  </x:si>
  <x:si>
    <x:t xml:space="preserve">KOHC|share_cap|2023</x:t>
  </x:si>
  <x:si>
    <x:t xml:space="preserve">KOHC|share_cap|2024</x:t>
  </x:si>
  <x:si>
    <x:t xml:space="preserve">KOHC|share_cap|2025</x:t>
  </x:si>
  <x:si>
    <x:t xml:space="preserve">KOHC|eq_other|2020</x:t>
  </x:si>
  <x:si>
    <x:t xml:space="preserve">Accumulated profits; Reserves</x:t>
  </x:si>
  <x:si>
    <x:t xml:space="preserve">KOHC|eq_other|2021</x:t>
  </x:si>
  <x:si>
    <x:t xml:space="preserve">KOHC|eq_other|2022</x:t>
  </x:si>
  <x:si>
    <x:t xml:space="preserve">KOHC|eq_other|2023</x:t>
  </x:si>
  <x:si>
    <x:t xml:space="preserve">KOHC|eq_other|2024</x:t>
  </x:si>
  <x:si>
    <x:t xml:space="preserve">KOHC|eq_other|2025</x:t>
  </x:si>
  <x:si>
    <x:t xml:space="preserve">KOHC|ltf_nc|2020</x:t>
  </x:si>
  <x:si>
    <x:t xml:space="preserve">Long term financing - secured</x:t>
  </x:si>
  <x:si>
    <x:t xml:space="preserve">6</x:t>
  </x:si>
  <x:si>
    <x:t xml:space="preserve">KOHC|ltf_nc|2021</x:t>
  </x:si>
  <x:si>
    <x:t xml:space="preserve">KOHC|ltf_nc|2022</x:t>
  </x:si>
  <x:si>
    <x:t xml:space="preserve">KOHC|ltf_nc|2023</x:t>
  </x:si>
  <x:si>
    <x:t xml:space="preserve">KOHC|ltf_nc|2024</x:t>
  </x:si>
  <x:si>
    <x:t xml:space="preserve">KOHC|ltf_nc|2025</x:t>
  </x:si>
  <x:si>
    <x:t xml:space="preserve">KOHC|lease_nc|2020</x:t>
  </x:si>
  <x:si>
    <x:t xml:space="preserve">KOHC|lease_nc|2021</x:t>
  </x:si>
  <x:si>
    <x:t xml:space="preserve">KOHC|lease_nc|2022</x:t>
  </x:si>
  <x:si>
    <x:t xml:space="preserve">KOHC|lease_nc|2023</x:t>
  </x:si>
  <x:si>
    <x:t xml:space="preserve">KOHC|lease_nc|2024</x:t>
  </x:si>
  <x:si>
    <x:t xml:space="preserve">KOHC|lease_nc|2025</x:t>
  </x:si>
  <x:si>
    <x:t xml:space="preserve">KOHC|grant_nc|2020</x:t>
  </x:si>
  <x:si>
    <x:t xml:space="preserve">Deferred grant</x:t>
  </x:si>
  <x:si>
    <x:t xml:space="preserve">6.8</x:t>
  </x:si>
  <x:si>
    <x:t xml:space="preserve">KOHC|grant_nc|2021</x:t>
  </x:si>
  <x:si>
    <x:t xml:space="preserve">KOHC|grant_nc|2022</x:t>
  </x:si>
  <x:si>
    <x:t xml:space="preserve">KOHC|grant_nc|2023</x:t>
  </x:si>
  <x:si>
    <x:t xml:space="preserve">KOHC|grant_nc|2024</x:t>
  </x:si>
  <x:si>
    <x:t xml:space="preserve">KOHC|grant_nc|2025</x:t>
  </x:si>
  <x:si>
    <x:t xml:space="preserve">KOHC|def_tax|2020</x:t>
  </x:si>
  <x:si>
    <x:t xml:space="preserve">Deferred liabilities - deferred taxation</x:t>
  </x:si>
  <x:si>
    <x:t xml:space="preserve">KOHC|def_tax|2021</x:t>
  </x:si>
  <x:si>
    <x:t xml:space="preserve">KOHC|def_tax|2022</x:t>
  </x:si>
  <x:si>
    <x:t xml:space="preserve">KOHC|def_tax|2023</x:t>
  </x:si>
  <x:si>
    <x:t xml:space="preserve">KOHC|def_tax|2024</x:t>
  </x:si>
  <x:si>
    <x:t xml:space="preserve">KOHC|def_tax|2025</x:t>
  </x:si>
  <x:si>
    <x:t xml:space="preserve">KOHC|ncl_other|2020</x:t>
  </x:si>
  <x:si>
    <x:t xml:space="preserve">- compensated absences; Long term deposits</x:t>
  </x:si>
  <x:si>
    <x:t xml:space="preserve">8.2</x:t>
  </x:si>
  <x:si>
    <x:t xml:space="preserve">KOHC|ncl_other|2021</x:t>
  </x:si>
  <x:si>
    <x:t xml:space="preserve">KOHC|ncl_other|2022</x:t>
  </x:si>
  <x:si>
    <x:t xml:space="preserve">KOHC|ncl_other|2023</x:t>
  </x:si>
  <x:si>
    <x:t xml:space="preserve">KOHC|ncl_other|2024</x:t>
  </x:si>
  <x:si>
    <x:t xml:space="preserve">KOHC|ncl_other|2025</x:t>
  </x:si>
  <x:si>
    <x:t xml:space="preserve">KOHC|tap|2020</x:t>
  </x:si>
  <x:si>
    <x:t xml:space="preserve">9</x:t>
  </x:si>
  <x:si>
    <x:t xml:space="preserve">KOHC|tap|2021</x:t>
  </x:si>
  <x:si>
    <x:t xml:space="preserve">KOHC|tap|2022</x:t>
  </x:si>
  <x:si>
    <x:t xml:space="preserve">KOHC|tap|2023</x:t>
  </x:si>
  <x:si>
    <x:t xml:space="preserve">KOHC|tap|2024</x:t>
  </x:si>
  <x:si>
    <x:t xml:space="preserve">KOHC|tap|2025</x:t>
  </x:si>
  <x:si>
    <x:t xml:space="preserve">KOHC|trade_cred|2020</x:t>
  </x:si>
  <x:si>
    <x:t xml:space="preserve">memo: trade creditors / bills payable (note)</x:t>
  </x:si>
  <x:si>
    <x:t xml:space="preserve">Trade creditors - local; Trade creditors - imports</x:t>
  </x:si>
  <x:si>
    <x:t xml:space="preserve">KOHC|trade_cred|2021</x:t>
  </x:si>
  <x:si>
    <x:t xml:space="preserve">KOHC|trade_cred|2022</x:t>
  </x:si>
  <x:si>
    <x:t xml:space="preserve">KOHC|trade_cred|2023</x:t>
  </x:si>
  <x:si>
    <x:t xml:space="preserve">KOHC|trade_cred|2024</x:t>
  </x:si>
  <x:si>
    <x:t xml:space="preserve">Trade creditors - local; Imports bills payable</x:t>
  </x:si>
  <x:si>
    <x:t xml:space="preserve">KOHC|trade_cred|2025</x:t>
  </x:si>
  <x:si>
    <x:t xml:space="preserve">KOHC|contract|2020</x:t>
  </x:si>
  <x:si>
    <x:t xml:space="preserve">Contract liability</x:t>
  </x:si>
  <x:si>
    <x:t xml:space="preserve">10</x:t>
  </x:si>
  <x:si>
    <x:t xml:space="preserve">KOHC|contract|2021</x:t>
  </x:si>
  <x:si>
    <x:t xml:space="preserve">KOHC|contract|2022</x:t>
  </x:si>
  <x:si>
    <x:t xml:space="preserve">KOHC|contract|2023</x:t>
  </x:si>
  <x:si>
    <x:t xml:space="preserve">KOHC|contract|2024</x:t>
  </x:si>
  <x:si>
    <x:t xml:space="preserve">24.1.3</x:t>
  </x:si>
  <x:si>
    <x:t xml:space="preserve">KOHC|contract|2025</x:t>
  </x:si>
  <x:si>
    <x:t xml:space="preserve">KOHC|acc_markup|2020</x:t>
  </x:si>
  <x:si>
    <x:t xml:space="preserve">Mark-up accrued on borrowings</x:t>
  </x:si>
  <x:si>
    <x:t xml:space="preserve">KOHC|acc_markup|2021</x:t>
  </x:si>
  <x:si>
    <x:t xml:space="preserve">KOHC|acc_markup|2022</x:t>
  </x:si>
  <x:si>
    <x:t xml:space="preserve">KOHC|acc_markup|2023</x:t>
  </x:si>
  <x:si>
    <x:t xml:space="preserve">12</x:t>
  </x:si>
  <x:si>
    <x:t xml:space="preserve">KOHC|acc_markup|2024</x:t>
  </x:si>
  <x:si>
    <x:t xml:space="preserve">KOHC|acc_markup|2025</x:t>
  </x:si>
  <x:si>
    <x:t xml:space="preserve">KOHC|stb|2020</x:t>
  </x:si>
  <x:si>
    <x:t xml:space="preserve">Short term borrowings - secured</x:t>
  </x:si>
  <x:si>
    <x:t xml:space="preserve">KOHC|stb|2021</x:t>
  </x:si>
  <x:si>
    <x:t xml:space="preserve">KOHC|stb|2022</x:t>
  </x:si>
  <x:si>
    <x:t xml:space="preserve">KOHC|stb|2023</x:t>
  </x:si>
  <x:si>
    <x:t xml:space="preserve">KOHC|stb|2024</x:t>
  </x:si>
  <x:si>
    <x:t xml:space="preserve">11</x:t>
  </x:si>
  <x:si>
    <x:t xml:space="preserve">KOHC|stb|2025</x:t>
  </x:si>
  <x:si>
    <x:t xml:space="preserve">KOHC|cp_ltf|2020</x:t>
  </x:si>
  <x:si>
    <x:t xml:space="preserve">Current portion of long term financing</x:t>
  </x:si>
  <x:si>
    <x:t xml:space="preserve">KOHC|cp_ltf|2021</x:t>
  </x:si>
  <x:si>
    <x:t xml:space="preserve">KOHC|cp_ltf|2022</x:t>
  </x:si>
  <x:si>
    <x:t xml:space="preserve">KOHC|cp_ltf|2023</x:t>
  </x:si>
  <x:si>
    <x:t xml:space="preserve">KOHC|cp_ltf|2024</x:t>
  </x:si>
  <x:si>
    <x:t xml:space="preserve">KOHC|cp_ltf|2025</x:t>
  </x:si>
  <x:si>
    <x:t xml:space="preserve">KOHC|cp_lease|2020</x:t>
  </x:si>
  <x:si>
    <x:t xml:space="preserve">KOHC|cp_lease|2021</x:t>
  </x:si>
  <x:si>
    <x:t xml:space="preserve">KOHC|cp_lease|2022</x:t>
  </x:si>
  <x:si>
    <x:t xml:space="preserve">KOHC|cp_lease|2023</x:t>
  </x:si>
  <x:si>
    <x:t xml:space="preserve">KOHC|cp_lease|2024</x:t>
  </x:si>
  <x:si>
    <x:t xml:space="preserve">KOHC|cp_lease|2025</x:t>
  </x:si>
  <x:si>
    <x:t xml:space="preserve">KOHC|cp_grant|2020</x:t>
  </x:si>
  <x:si>
    <x:t xml:space="preserve">KOHC|cp_grant|2021</x:t>
  </x:si>
  <x:si>
    <x:t xml:space="preserve">KOHC|cp_grant|2022</x:t>
  </x:si>
  <x:si>
    <x:t xml:space="preserve">KOHC|cp_grant|2023</x:t>
  </x:si>
  <x:si>
    <x:t xml:space="preserve">KOHC|cp_grant|2024</x:t>
  </x:si>
  <x:si>
    <x:t xml:space="preserve">KOHC|cp_grant|2025</x:t>
  </x:si>
  <x:si>
    <x:t xml:space="preserve">KOHC|div_liab|2020</x:t>
  </x:si>
  <x:si>
    <x:t xml:space="preserve">Dividend payable; Unclaimed dividend</x:t>
  </x:si>
  <x:si>
    <x:t xml:space="preserve">KOHC|div_liab|2021</x:t>
  </x:si>
  <x:si>
    <x:t xml:space="preserve">KOHC|div_liab|2022</x:t>
  </x:si>
  <x:si>
    <x:t xml:space="preserve">KOHC|div_liab|2023</x:t>
  </x:si>
  <x:si>
    <x:t xml:space="preserve">KOHC|div_liab|2024</x:t>
  </x:si>
  <x:si>
    <x:t xml:space="preserve">KOHC|div_liab|2025</x:t>
  </x:si>
  <x:si>
    <x:t xml:space="preserve">KOHC|tax_liab|2020</x:t>
  </x:si>
  <x:si>
    <x:t xml:space="preserve">Provision for taxation - net</x:t>
  </x:si>
  <x:si>
    <x:t xml:space="preserve">KOHC|tax_liab|2021</x:t>
  </x:si>
  <x:si>
    <x:t xml:space="preserve">KOHC|tax_liab|2022</x:t>
  </x:si>
  <x:si>
    <x:t xml:space="preserve">KOHC|tax_liab|2023</x:t>
  </x:si>
  <x:si>
    <x:t xml:space="preserve">KOHC|tax_liab|2024</x:t>
  </x:si>
  <x:si>
    <x:t xml:space="preserve">KOHC|tax_liab|2025</x:t>
  </x:si>
  <x:si>
    <x:t xml:space="preserve">KOHC|cl_other|2020</x:t>
  </x:si>
  <x:si>
    <x:t xml:space="preserve">KOHC|cl_other|2021</x:t>
  </x:si>
  <x:si>
    <x:t xml:space="preserve">KOHC|cl_other|2022</x:t>
  </x:si>
  <x:si>
    <x:t xml:space="preserve">KOHC|cl_other|2023</x:t>
  </x:si>
  <x:si>
    <x:t xml:space="preserve">KOHC|cl_other|2024</x:t>
  </x:si>
  <x:si>
    <x:t xml:space="preserve">KOHC|cl_other|2025</x:t>
  </x:si>
  <x:si>
    <x:t xml:space="preserve">KOHC|pr_TA|2020</x:t>
  </x:si>
  <x:si>
    <x:t xml:space="preserve">KOHC|pr_TA|2021</x:t>
  </x:si>
  <x:si>
    <x:t xml:space="preserve">KOHC|pr_TA|2022</x:t>
  </x:si>
  <x:si>
    <x:t xml:space="preserve">KOHC|pr_TA|2023</x:t>
  </x:si>
  <x:si>
    <x:t xml:space="preserve">KOHC|pr_TA|2024</x:t>
  </x:si>
  <x:si>
    <x:t xml:space="preserve">KOHC|pr_TA|2025</x:t>
  </x:si>
  <x:si>
    <x:t xml:space="preserve">KOHC|pr_EQ|2020</x:t>
  </x:si>
  <x:si>
    <x:t xml:space="preserve">KOHC|pr_EQ|2021</x:t>
  </x:si>
  <x:si>
    <x:t xml:space="preserve">KOHC|pr_EQ|2022</x:t>
  </x:si>
  <x:si>
    <x:t xml:space="preserve">KOHC|pr_EQ|2023</x:t>
  </x:si>
  <x:si>
    <x:t xml:space="preserve">KOHC|pr_EQ|2024</x:t>
  </x:si>
  <x:si>
    <x:t xml:space="preserve">KOHC|pr_EQ|2025</x:t>
  </x:si>
  <x:si>
    <x:t xml:space="preserve">KOHC|pr_CA|2020</x:t>
  </x:si>
  <x:si>
    <x:t xml:space="preserve">KOHC|pr_CA|2021</x:t>
  </x:si>
  <x:si>
    <x:t xml:space="preserve">KOHC|pr_CA|2022</x:t>
  </x:si>
  <x:si>
    <x:t xml:space="preserve">KOHC|pr_CA|2023</x:t>
  </x:si>
  <x:si>
    <x:t xml:space="preserve">KOHC|pr_CA|2024</x:t>
  </x:si>
  <x:si>
    <x:t xml:space="preserve">KOHC|pr_CA|2025</x:t>
  </x:si>
  <x:si>
    <x:t xml:space="preserve">KOHC|pr_CL|2020</x:t>
  </x:si>
  <x:si>
    <x:t xml:space="preserve">KOHC|pr_CL|2021</x:t>
  </x:si>
  <x:si>
    <x:t xml:space="preserve">KOHC|pr_CL|2022</x:t>
  </x:si>
  <x:si>
    <x:t xml:space="preserve">KOHC|pr_CL|2023</x:t>
  </x:si>
  <x:si>
    <x:t xml:space="preserve">KOHC|pr_CL|2024</x:t>
  </x:si>
  <x:si>
    <x:t xml:space="preserve">KOHC|pr_CL|2025</x:t>
  </x:si>
  <x:si>
    <x:t xml:space="preserve">KOHC|rev|2021</x:t>
  </x:si>
  <x:si>
    <x:t xml:space="preserve">P&amp;L</x:t>
  </x:si>
  <x:si>
    <x:t xml:space="preserve">Sales-net</x:t>
  </x:si>
  <x:si>
    <x:t xml:space="preserve">KOHC|rev|2022</x:t>
  </x:si>
  <x:si>
    <x:t xml:space="preserve">KOHC|rev|2023</x:t>
  </x:si>
  <x:si>
    <x:t xml:space="preserve">KOHC|rev|2024</x:t>
  </x:si>
  <x:si>
    <x:t xml:space="preserve">68</x:t>
  </x:si>
  <x:si>
    <x:t xml:space="preserve">KOHC|rev|2025</x:t>
  </x:si>
  <x:si>
    <x:t xml:space="preserve">KOHC|cogs|2021</x:t>
  </x:si>
  <x:si>
    <x:t xml:space="preserve">KOHC|cogs|2022</x:t>
  </x:si>
  <x:si>
    <x:t xml:space="preserve">KOHC|cogs|2023</x:t>
  </x:si>
  <x:si>
    <x:t xml:space="preserve">KOHC|cogs|2024</x:t>
  </x:si>
  <x:si>
    <x:t xml:space="preserve">KOHC|cogs|2025</x:t>
  </x:si>
  <x:si>
    <x:t xml:space="preserve">KOHC|selling|2021</x:t>
  </x:si>
  <x:si>
    <x:t xml:space="preserve">KOHC|selling|2022</x:t>
  </x:si>
  <x:si>
    <x:t xml:space="preserve">KOHC|selling|2023</x:t>
  </x:si>
  <x:si>
    <x:t xml:space="preserve">KOHC|selling|2024</x:t>
  </x:si>
  <x:si>
    <x:t xml:space="preserve">KOHC|selling|2025</x:t>
  </x:si>
  <x:si>
    <x:t xml:space="preserve">KOHC|admin|2021</x:t>
  </x:si>
  <x:si>
    <x:t xml:space="preserve">Administrative and general expenses</x:t>
  </x:si>
  <x:si>
    <x:t xml:space="preserve">KOHC|admin|2022</x:t>
  </x:si>
  <x:si>
    <x:t xml:space="preserve">KOHC|admin|2023</x:t>
  </x:si>
  <x:si>
    <x:t xml:space="preserve">KOHC|admin|2024</x:t>
  </x:si>
  <x:si>
    <x:t xml:space="preserve">KOHC|admin|2025</x:t>
  </x:si>
  <x:si>
    <x:t xml:space="preserve">KOHC|impair|2021</x:t>
  </x:si>
  <x:si>
    <x:t xml:space="preserve">KOHC|impair|2022</x:t>
  </x:si>
  <x:si>
    <x:t xml:space="preserve">KOHC|impair|2023</x:t>
  </x:si>
  <x:si>
    <x:t xml:space="preserve">KOHC|impair|2024</x:t>
  </x:si>
  <x:si>
    <x:t xml:space="preserve">(Allowance) / reversal of expected credi</x:t>
  </x:si>
  <x:si>
    <x:t xml:space="preserve">KOHC|impair|2025</x:t>
  </x:si>
  <x:si>
    <x:t xml:space="preserve">KOHC|oth_exp|2021</x:t>
  </x:si>
  <x:si>
    <x:t xml:space="preserve">Other expenses</x:t>
  </x:si>
  <x:si>
    <x:t xml:space="preserve">KOHC|oth_exp|2022</x:t>
  </x:si>
  <x:si>
    <x:t xml:space="preserve">KOHC|oth_exp|2023</x:t>
  </x:si>
  <x:si>
    <x:t xml:space="preserve">KOHC|oth_exp|2024</x:t>
  </x:si>
  <x:si>
    <x:t xml:space="preserve">KOHC|oth_exp|2025</x:t>
  </x:si>
  <x:si>
    <x:t xml:space="preserve">KOHC|oth_inc|2021</x:t>
  </x:si>
  <x:si>
    <x:t xml:space="preserve">KOHC|oth_inc|2022</x:t>
  </x:si>
  <x:si>
    <x:t xml:space="preserve">KOHC|oth_inc|2023</x:t>
  </x:si>
  <x:si>
    <x:t xml:space="preserve">KOHC|oth_inc|2024</x:t>
  </x:si>
  <x:si>
    <x:t xml:space="preserve">KOHC|oth_inc|2025</x:t>
  </x:si>
  <x:si>
    <x:t xml:space="preserve">KOHC|fin_inc|2021</x:t>
  </x:si>
  <x:si>
    <x:t xml:space="preserve">KOHC|fin_inc|2022</x:t>
  </x:si>
  <x:si>
    <x:t xml:space="preserve">KOHC|fin_inc|2023</x:t>
  </x:si>
  <x:si>
    <x:t xml:space="preserve">KOHC|fin_inc|2024</x:t>
  </x:si>
  <x:si>
    <x:t xml:space="preserve">KOHC|fin_inc|2025</x:t>
  </x:si>
  <x:si>
    <x:t xml:space="preserve">KOHC|assoc|2021</x:t>
  </x:si>
  <x:si>
    <x:t xml:space="preserve">KOHC|assoc|2022</x:t>
  </x:si>
  <x:si>
    <x:t xml:space="preserve">KOHC|assoc|2023</x:t>
  </x:si>
  <x:si>
    <x:t xml:space="preserve">KOHC|assoc|2024</x:t>
  </x:si>
  <x:si>
    <x:t xml:space="preserve">KOHC|assoc|2025</x:t>
  </x:si>
  <x:si>
    <x:t xml:space="preserve">KOHC|fin_cost|2021</x:t>
  </x:si>
  <x:si>
    <x:t xml:space="preserve">KOHC|fin_cost|2022</x:t>
  </x:si>
  <x:si>
    <x:t xml:space="preserve">KOHC|fin_cost|2023</x:t>
  </x:si>
  <x:si>
    <x:t xml:space="preserve">KOHC|fin_cost|2024</x:t>
  </x:si>
  <x:si>
    <x:t xml:space="preserve">KOHC|fin_cost|2025</x:t>
  </x:si>
  <x:si>
    <x:t xml:space="preserve">KOHC|levy|2021</x:t>
  </x:si>
  <x:si>
    <x:t xml:space="preserve">KOHC|levy|2022</x:t>
  </x:si>
  <x:si>
    <x:t xml:space="preserve">KOHC|levy|2023</x:t>
  </x:si>
  <x:si>
    <x:t xml:space="preserve">Final tax</x:t>
  </x:si>
  <x:si>
    <x:t xml:space="preserve">KOHC|levy|2024</x:t>
  </x:si>
  <x:si>
    <x:t xml:space="preserve">KOHC|levy|2025</x:t>
  </x:si>
  <x:si>
    <x:t xml:space="preserve">KOHC|tax|2021</x:t>
  </x:si>
  <x:si>
    <x:t xml:space="preserve">Taxation</x:t>
  </x:si>
  <x:si>
    <x:t xml:space="preserve">KOHC|tax|2022</x:t>
  </x:si>
  <x:si>
    <x:t xml:space="preserve">KOHC|tax|2023</x:t>
  </x:si>
  <x:si>
    <x:t xml:space="preserve">KOHC|tax|2024</x:t>
  </x:si>
  <x:si>
    <x:t xml:space="preserve">KOHC|tax|2025</x:t>
  </x:si>
  <x:si>
    <x:t xml:space="preserve">KOHC|pr_gp|2021</x:t>
  </x:si>
  <x:si>
    <x:t xml:space="preserve">Gross Profit</x:t>
  </x:si>
  <x:si>
    <x:t xml:space="preserve">KOHC|pr_gp|2022</x:t>
  </x:si>
  <x:si>
    <x:t xml:space="preserve">KOHC|pr_gp|2023</x:t>
  </x:si>
  <x:si>
    <x:t xml:space="preserve">KOHC|pr_gp|2024</x:t>
  </x:si>
  <x:si>
    <x:t xml:space="preserve">KOHC|pr_gp|2025</x:t>
  </x:si>
  <x:si>
    <x:t xml:space="preserve">KOHC|pr_pbt|2021</x:t>
  </x:si>
  <x:si>
    <x:t xml:space="preserve">Profit before taxation</x:t>
  </x:si>
  <x:si>
    <x:t xml:space="preserve">KOHC|pr_pbt|2022</x:t>
  </x:si>
  <x:si>
    <x:t xml:space="preserve">KOHC|pr_pbt|2023</x:t>
  </x:si>
  <x:si>
    <x:t xml:space="preserve">Profit before income tax and final tax</x:t>
  </x:si>
  <x:si>
    <x:t xml:space="preserve">KOHC|pr_pbt|2024</x:t>
  </x:si>
  <x:si>
    <x:t xml:space="preserve">KOHC|pr_pbt|2025</x:t>
  </x:si>
  <x:si>
    <x:t xml:space="preserve">KOHC|pr_pat|2021</x:t>
  </x:si>
  <x:si>
    <x:t xml:space="preserve">Profit after taxation</x:t>
  </x:si>
  <x:si>
    <x:t xml:space="preserve">KOHC|pr_pat|2022</x:t>
  </x:si>
  <x:si>
    <x:t xml:space="preserve">KOHC|pr_pat|2023</x:t>
  </x:si>
  <x:si>
    <x:t xml:space="preserve">KOHC|pr_pat|2024</x:t>
  </x:si>
  <x:si>
    <x:t xml:space="preserve">KOHC|pr_pat|2025</x:t>
  </x:si>
  <x:si>
    <x:t xml:space="preserve">KOHC|fc_nonint|2021</x:t>
  </x:si>
  <x:si>
    <x:t xml:space="preserve">Bank charges, commission and o</x:t>
  </x:si>
  <x:si>
    <x:t xml:space="preserve">92</x:t>
  </x:si>
  <x:si>
    <x:t xml:space="preserve">KOHC|fc_nonint|2022</x:t>
  </x:si>
  <x:si>
    <x:t xml:space="preserve">90</x:t>
  </x:si>
  <x:si>
    <x:t xml:space="preserve">KOHC|fc_nonint|2023</x:t>
  </x:si>
  <x:si>
    <x:t xml:space="preserve">98</x:t>
  </x:si>
  <x:si>
    <x:t xml:space="preserve">KOHC|fc_nonint|2024</x:t>
  </x:si>
  <x:si>
    <x:t xml:space="preserve">106</x:t>
  </x:si>
  <x:si>
    <x:t xml:space="preserve">KOHC|fc_nonint|2025</x:t>
  </x:si>
  <x:si>
    <x:t xml:space="preserve">KOHC|da|2021</x:t>
  </x:si>
  <x:si>
    <x:t xml:space="preserve">Depreciation on property, plant and; Amortization on intangibles</x:t>
  </x:si>
  <x:si>
    <x:t xml:space="preserve">KOHC|da|2022</x:t>
  </x:si>
  <x:si>
    <x:t xml:space="preserve">KOHC|da|2023</x:t>
  </x:si>
  <x:si>
    <x:t xml:space="preserve">100</x:t>
  </x:si>
  <x:si>
    <x:t xml:space="preserve">KOHC|da|2024</x:t>
  </x:si>
  <x:si>
    <x:t xml:space="preserve">108</x:t>
  </x:si>
  <x:si>
    <x:t xml:space="preserve">KOHC|da|2025</x:t>
  </x:si>
  <x:si>
    <x:t xml:space="preserve">KOHC|cgo|2021</x:t>
  </x:si>
  <x:si>
    <x:t xml:space="preserve">Cash generated from operations</x:t>
  </x:si>
  <x:si>
    <x:t xml:space="preserve">KOHC|cgo|2022</x:t>
  </x:si>
  <x:si>
    <x:t xml:space="preserve">KOHC|cgo|2023</x:t>
  </x:si>
  <x:si>
    <x:t xml:space="preserve">KOHC|cgo|2024</x:t>
  </x:si>
  <x:si>
    <x:t xml:space="preserve">KOHC|cgo|2025</x:t>
  </x:si>
  <x:si>
    <x:t xml:space="preserve">KOHC|cfo|2021</x:t>
  </x:si>
  <x:si>
    <x:t xml:space="preserve">Net cash generated from operating activi</x:t>
  </x:si>
  <x:si>
    <x:t xml:space="preserve">KOHC|cfo|2022</x:t>
  </x:si>
  <x:si>
    <x:t xml:space="preserve">KOHC|cfo|2023</x:t>
  </x:si>
  <x:si>
    <x:t xml:space="preserve">KOHC|cfo|2024</x:t>
  </x:si>
  <x:si>
    <x:t xml:space="preserve">KOHC|cfo|2025</x:t>
  </x:si>
  <x:si>
    <x:t xml:space="preserve">KOHC|fin_paid|2021</x:t>
  </x:si>
  <x:si>
    <x:t xml:space="preserve">Finance cost paid</x:t>
  </x:si>
  <x:si>
    <x:t xml:space="preserve">KOHC|fin_paid|2022</x:t>
  </x:si>
  <x:si>
    <x:t xml:space="preserve">KOHC|fin_paid|2023</x:t>
  </x:si>
  <x:si>
    <x:t xml:space="preserve">KOHC|fin_paid|2024</x:t>
  </x:si>
  <x:si>
    <x:t xml:space="preserve">KOHC|fin_paid|2025</x:t>
  </x:si>
  <x:si>
    <x:t xml:space="preserve">KOHC|fin_paid_cls|2021</x:t>
  </x:si>
  <x:si>
    <x:t xml:space="preserve">Section of cash flow statement in which finance cost paid appears</x:t>
  </x:si>
  <x:si>
    <x:t xml:space="preserve">KOHC|fin_paid_cls|2022</x:t>
  </x:si>
  <x:si>
    <x:t xml:space="preserve">KOHC|fin_paid_cls|2023</x:t>
  </x:si>
  <x:si>
    <x:t xml:space="preserve">KOHC|fin_paid_cls|2024</x:t>
  </x:si>
  <x:si>
    <x:t xml:space="preserve">KOHC|fin_paid_cls|2025</x:t>
  </x:si>
  <x:si>
    <x:t xml:space="preserve">KOHC|capex|2021</x:t>
  </x:si>
  <x:si>
    <x:t xml:space="preserve">Acquisition of property, plant and equip</x:t>
  </x:si>
  <x:si>
    <x:t xml:space="preserve">KOHC|capex|2022</x:t>
  </x:si>
  <x:si>
    <x:t xml:space="preserve">KOHC|capex|2023</x:t>
  </x:si>
  <x:si>
    <x:t xml:space="preserve">KOHC|capex|2024</x:t>
  </x:si>
  <x:si>
    <x:t xml:space="preserve">KOHC|capex|2025</x:t>
  </x:si>
  <x:si>
    <x:t xml:space="preserve">KOHC|cfi|2021</x:t>
  </x:si>
  <x:si>
    <x:t xml:space="preserve">Net cash used in investing activities</x:t>
  </x:si>
  <x:si>
    <x:t xml:space="preserve">KOHC|cfi|2022</x:t>
  </x:si>
  <x:si>
    <x:t xml:space="preserve">KOHC|cfi|2023</x:t>
  </x:si>
  <x:si>
    <x:t xml:space="preserve">KOHC|cfi|2024</x:t>
  </x:si>
  <x:si>
    <x:t xml:space="preserve">KOHC|cfi|2025</x:t>
  </x:si>
  <x:si>
    <x:t xml:space="preserve">KOHC|cff|2021</x:t>
  </x:si>
  <x:si>
    <x:t xml:space="preserve">Net cash used in financing activities</x:t>
  </x:si>
  <x:si>
    <x:t xml:space="preserve">KOHC|cff|2022</x:t>
  </x:si>
  <x:si>
    <x:t xml:space="preserve">KOHC|cff|2023</x:t>
  </x:si>
  <x:si>
    <x:t xml:space="preserve">KOHC|cff|2024</x:t>
  </x:si>
  <x:si>
    <x:t xml:space="preserve">KOHC|cff|2025</x:t>
  </x:si>
  <x:si>
    <x:t xml:space="preserve">KOHC|div_paid|2021</x:t>
  </x:si>
  <x:si>
    <x:t xml:space="preserve">Dividend paid</x:t>
  </x:si>
  <x:si>
    <x:t xml:space="preserve">KOHC|div_paid|2022</x:t>
  </x:si>
  <x:si>
    <x:t xml:space="preserve">KOHC|div_paid|2023</x:t>
  </x:si>
  <x:si>
    <x:t xml:space="preserve">KOHC|div_paid|2024</x:t>
  </x:si>
  <x:si>
    <x:t xml:space="preserve">KOHC|div_paid|2025</x:t>
  </x:si>
  <x:si>
    <x:t xml:space="preserve">KOHC|par|2021</x:t>
  </x:si>
  <x:si>
    <x:t xml:space="preserve">Share capital caption (par value)</x:t>
  </x:si>
  <x:si>
    <x:t xml:space="preserve">82</x:t>
  </x:si>
  <x:si>
    <x:t xml:space="preserve">KOHC|par|2022</x:t>
  </x:si>
  <x:si>
    <x:t xml:space="preserve">KOHC|par|2023</x:t>
  </x:si>
  <x:si>
    <x:t xml:space="preserve">KOHC|par|2024</x:t>
  </x:si>
  <x:si>
    <x:t xml:space="preserve">KOHC|par|2025</x:t>
  </x:si>
  <x:si>
    <x:t xml:space="preserve">KOHC|wavg|2021</x:t>
  </x:si>
  <x:si>
    <x:t xml:space="preserve">EPS note (weighted average shares)</x:t>
  </x:si>
  <x:si>
    <x:t xml:space="preserve">KOHC|wavg|2022</x:t>
  </x:si>
  <x:si>
    <x:t xml:space="preserve">KOHC|wavg|2023</x:t>
  </x:si>
  <x:si>
    <x:t xml:space="preserve">KOHC|wavg|2024</x:t>
  </x:si>
  <x:si>
    <x:t xml:space="preserve">KOHC|wavg|2025</x:t>
  </x:si>
  <x:si>
    <x:t xml:space="preserve">KOHC|price|2021</x:t>
  </x:si>
  <x:si>
    <x:t xml:space="preserve">KOHC|price|2022</x:t>
  </x:si>
  <x:si>
    <x:t xml:space="preserve">KOHC|price|2023</x:t>
  </x:si>
  <x:si>
    <x:t xml:space="preserve">KOHC|price|2024</x:t>
  </x:si>
  <x:si>
    <x:t xml:space="preserve">KOHC|price|2025</x:t>
  </x:si>
  <x:si>
    <x:t xml:space="preserve">KOHC|dps|2021</x:t>
  </x:si>
  <x:si>
    <x:t xml:space="preserve">Cash dividend per share for the year</x:t>
  </x:si>
  <x:si>
    <x:t xml:space="preserve">KOHC|dps|2022</x:t>
  </x:si>
  <x:si>
    <x:t xml:space="preserve">KOHC|dps|2023</x:t>
  </x:si>
  <x:si>
    <x:t xml:space="preserve">KOHC|dps|2024</x:t>
  </x:si>
  <x:si>
    <x:t xml:space="preserve">KOHC|dps|2025</x:t>
  </x:si>
  <x:si>
    <x:t xml:space="preserve">KOHC|eps_rep|2021</x:t>
  </x:si>
  <x:si>
    <x:t xml:space="preserve">Reported basic EPS (Rs) - own-year audited statements</x:t>
  </x:si>
  <x:si>
    <x:t xml:space="preserve">Basic EPS on face of P&amp;L</x:t>
  </x:si>
  <x:si>
    <x:t xml:space="preserve">KOHC|eps_rep|2022</x:t>
  </x:si>
  <x:si>
    <x:t xml:space="preserve">KOHC|eps_rep|2023</x:t>
  </x:si>
  <x:si>
    <x:t xml:space="preserve">KOHC|eps_rep|2024</x:t>
  </x:si>
  <x:si>
    <x:t xml:space="preserve">KOHC|eps_rep|2025</x:t>
  </x:si>
  <x:si>
    <x:t xml:space="preserve">KOHC|adj|2021</x:t>
  </x:si>
  <x:si>
    <x:t xml:space="preserve">Split adjustment factor to FY2025 share basis (memo)</x:t>
  </x:si>
  <x:si>
    <x:t xml:space="preserve">Split factor</x:t>
  </x:si>
  <x:si>
    <x:t xml:space="preserve">KOHC|adj|2022</x:t>
  </x:si>
  <x:si>
    <x:t xml:space="preserve">KOHC|adj|2023</x:t>
  </x:si>
  <x:si>
    <x:t xml:space="preserve">KOHC|adj|2024</x:t>
  </x:si>
  <x:si>
    <x:t xml:space="preserve">KOHC|adj|2025</x:t>
  </x:si>
  <x:si>
    <x:t xml:space="preserve">LUCK|ppe|2020</x:t>
  </x:si>
  <x:si>
    <x:t xml:space="preserve">2021.pdf</x:t>
  </x:si>
  <x:si>
    <x:t xml:space="preserve">5</x:t>
  </x:si>
  <x:si>
    <x:t xml:space="preserve">LUCK|ppe|2021</x:t>
  </x:si>
  <x:si>
    <x:t xml:space="preserve">2022.pdf</x:t>
  </x:si>
  <x:si>
    <x:t xml:space="preserve">224</x:t>
  </x:si>
  <x:si>
    <x:t xml:space="preserve">LUCK|ppe|2022</x:t>
  </x:si>
  <x:si>
    <x:t xml:space="preserve">2023.pdf</x:t>
  </x:si>
  <x:si>
    <x:t xml:space="preserve">232</x:t>
  </x:si>
  <x:si>
    <x:t xml:space="preserve">LUCK|ppe|2023</x:t>
  </x:si>
  <x:si>
    <x:t xml:space="preserve">2024.pdf</x:t>
  </x:si>
  <x:si>
    <x:t xml:space="preserve">236</x:t>
  </x:si>
  <x:si>
    <x:t xml:space="preserve">LUCK|ppe|2024</x:t>
  </x:si>
  <x:si>
    <x:t xml:space="preserve">2025.pdf</x:t>
  </x:si>
  <x:si>
    <x:t xml:space="preserve">238</x:t>
  </x:si>
  <x:si>
    <x:t xml:space="preserve">LUCK|ppe|2025</x:t>
  </x:si>
  <x:si>
    <x:t xml:space="preserve">LUCK|cwip|2020</x:t>
  </x:si>
  <x:si>
    <x:t xml:space="preserve">LUCK|cwip|2021</x:t>
  </x:si>
  <x:si>
    <x:t xml:space="preserve">235</x:t>
  </x:si>
  <x:si>
    <x:t xml:space="preserve">LUCK|cwip|2022</x:t>
  </x:si>
  <x:si>
    <x:t xml:space="preserve">243</x:t>
  </x:si>
  <x:si>
    <x:t xml:space="preserve">LUCK|cwip|2023</x:t>
  </x:si>
  <x:si>
    <x:t xml:space="preserve">248</x:t>
  </x:si>
  <x:si>
    <x:t xml:space="preserve">LUCK|cwip|2024</x:t>
  </x:si>
  <x:si>
    <x:t xml:space="preserve">250</x:t>
  </x:si>
  <x:si>
    <x:t xml:space="preserve">LUCK|cwip|2025</x:t>
  </x:si>
  <x:si>
    <x:t xml:space="preserve">LUCK|rou|2020</x:t>
  </x:si>
  <x:si>
    <x:t xml:space="preserve">LUCK|rou|2021</x:t>
  </x:si>
  <x:si>
    <x:t xml:space="preserve">LUCK|rou|2022</x:t>
  </x:si>
  <x:si>
    <x:t xml:space="preserve">LUCK|rou|2023</x:t>
  </x:si>
  <x:si>
    <x:t xml:space="preserve">LUCK|rou|2024</x:t>
  </x:si>
  <x:si>
    <x:t xml:space="preserve">LUCK|rou|2025</x:t>
  </x:si>
  <x:si>
    <x:t xml:space="preserve">LUCK|intang|2020</x:t>
  </x:si>
  <x:si>
    <x:t xml:space="preserve">LUCK|intang|2021</x:t>
  </x:si>
  <x:si>
    <x:t xml:space="preserve">LUCK|intang|2022</x:t>
  </x:si>
  <x:si>
    <x:t xml:space="preserve">LUCK|intang|2023</x:t>
  </x:si>
  <x:si>
    <x:t xml:space="preserve">LUCK|intang|2024</x:t>
  </x:si>
  <x:si>
    <x:t xml:space="preserve">LUCK|intang|2025</x:t>
  </x:si>
  <x:si>
    <x:t xml:space="preserve">LUCK|inv_prop|2020</x:t>
  </x:si>
  <x:si>
    <x:t xml:space="preserve">LUCK|inv_prop|2021</x:t>
  </x:si>
  <x:si>
    <x:t xml:space="preserve">LUCK|inv_prop|2022</x:t>
  </x:si>
  <x:si>
    <x:t xml:space="preserve">LUCK|inv_prop|2023</x:t>
  </x:si>
  <x:si>
    <x:t xml:space="preserve">LUCK|inv_prop|2024</x:t>
  </x:si>
  <x:si>
    <x:t xml:space="preserve">LUCK|inv_prop|2025</x:t>
  </x:si>
  <x:si>
    <x:t xml:space="preserve">LUCK|lt_inv|2020</x:t>
  </x:si>
  <x:si>
    <x:t xml:space="preserve">7</x:t>
  </x:si>
  <x:si>
    <x:t xml:space="preserve">LUCK|lt_inv|2021</x:t>
  </x:si>
  <x:si>
    <x:t xml:space="preserve">LUCK|lt_inv|2022</x:t>
  </x:si>
  <x:si>
    <x:t xml:space="preserve">LUCK|lt_inv|2023</x:t>
  </x:si>
  <x:si>
    <x:t xml:space="preserve">LUCK|lt_inv|2024</x:t>
  </x:si>
  <x:si>
    <x:t xml:space="preserve">LUCK|lt_inv|2025</x:t>
  </x:si>
  <x:si>
    <x:t xml:space="preserve">LUCK|nca_other|2020</x:t>
  </x:si>
  <x:si>
    <x:t xml:space="preserve">Long-term deposits; Long-term loans and advances</x:t>
  </x:si>
  <x:si>
    <x:t xml:space="preserve">LUCK|nca_other|2021</x:t>
  </x:si>
  <x:si>
    <x:t xml:space="preserve">LUCK|nca_other|2022</x:t>
  </x:si>
  <x:si>
    <x:t xml:space="preserve">LUCK|nca_other|2023</x:t>
  </x:si>
  <x:si>
    <x:t xml:space="preserve">LUCK|nca_other|2024</x:t>
  </x:si>
  <x:si>
    <x:t xml:space="preserve">Long-term loans, advances and deposits</x:t>
  </x:si>
  <x:si>
    <x:t xml:space="preserve">8</x:t>
  </x:si>
  <x:si>
    <x:t xml:space="preserve">LUCK|nca_other|2025</x:t>
  </x:si>
  <x:si>
    <x:t xml:space="preserve">LUCK|stores|2020</x:t>
  </x:si>
  <x:si>
    <x:t xml:space="preserve">Stores and spares</x:t>
  </x:si>
  <x:si>
    <x:t xml:space="preserve">LUCK|stores|2021</x:t>
  </x:si>
  <x:si>
    <x:t xml:space="preserve">LUCK|stores|2022</x:t>
  </x:si>
  <x:si>
    <x:t xml:space="preserve">LUCK|stores|2023</x:t>
  </x:si>
  <x:si>
    <x:t xml:space="preserve">LUCK|stores|2024</x:t>
  </x:si>
  <x:si>
    <x:t xml:space="preserve">LUCK|stores|2025</x:t>
  </x:si>
  <x:si>
    <x:t xml:space="preserve">LUCK|sit|2020</x:t>
  </x:si>
  <x:si>
    <x:t xml:space="preserve">LUCK|sit|2021</x:t>
  </x:si>
  <x:si>
    <x:t xml:space="preserve">LUCK|sit|2022</x:t>
  </x:si>
  <x:si>
    <x:t xml:space="preserve">LUCK|sit|2023</x:t>
  </x:si>
  <x:si>
    <x:t xml:space="preserve">LUCK|sit|2024</x:t>
  </x:si>
  <x:si>
    <x:t xml:space="preserve">LUCK|sit|2025</x:t>
  </x:si>
  <x:si>
    <x:t xml:space="preserve">LUCK|debts|2020</x:t>
  </x:si>
  <x:si>
    <x:t xml:space="preserve">LUCK|debts|2021</x:t>
  </x:si>
  <x:si>
    <x:t xml:space="preserve">LUCK|debts|2022</x:t>
  </x:si>
  <x:si>
    <x:t xml:space="preserve">LUCK|debts|2023</x:t>
  </x:si>
  <x:si>
    <x:t xml:space="preserve">LUCK|debts|2024</x:t>
  </x:si>
  <x:si>
    <x:t xml:space="preserve">LUCK|debts|2025</x:t>
  </x:si>
  <x:si>
    <x:t xml:space="preserve">LUCK|st_inv|2020</x:t>
  </x:si>
  <x:si>
    <x:t xml:space="preserve">LUCK|st_inv|2021</x:t>
  </x:si>
  <x:si>
    <x:t xml:space="preserve">LUCK|st_inv|2022</x:t>
  </x:si>
  <x:si>
    <x:t xml:space="preserve">LUCK|st_inv|2023</x:t>
  </x:si>
  <x:si>
    <x:t xml:space="preserve">LUCK|st_inv|2024</x:t>
  </x:si>
  <x:si>
    <x:t xml:space="preserve">LUCK|st_inv|2025</x:t>
  </x:si>
  <x:si>
    <x:t xml:space="preserve">LUCK|cash|2020</x:t>
  </x:si>
  <x:si>
    <x:t xml:space="preserve">LUCK|cash|2021</x:t>
  </x:si>
  <x:si>
    <x:t xml:space="preserve">LUCK|cash|2022</x:t>
  </x:si>
  <x:si>
    <x:t xml:space="preserve">LUCK|cash|2023</x:t>
  </x:si>
  <x:si>
    <x:t xml:space="preserve">LUCK|cash|2024</x:t>
  </x:si>
  <x:si>
    <x:t xml:space="preserve">LUCK|cash|2025</x:t>
  </x:si>
  <x:si>
    <x:t xml:space="preserve">LUCK|ca_other|2020</x:t>
  </x:si>
  <x:si>
    <x:t xml:space="preserve">Accrued return; Loans and advances; Other receivables; Tax refunds due from the Government; Trade deposits and short-ter</x:t>
  </x:si>
  <x:si>
    <x:t xml:space="preserve">LUCK|ca_other|2021</x:t>
  </x:si>
  <x:si>
    <x:t xml:space="preserve">LUCK|ca_other|2022</x:t>
  </x:si>
  <x:si>
    <x:t xml:space="preserve">LUCK|ca_other|2023</x:t>
  </x:si>
  <x:si>
    <x:t xml:space="preserve">LUCK|ca_other|2024</x:t>
  </x:si>
  <x:si>
    <x:t xml:space="preserve">Deposits and prepayments; Loans and advances; Other receivables; Tax refunds due from the Government</x:t>
  </x:si>
  <x:si>
    <x:t xml:space="preserve">LUCK|ca_other|2025</x:t>
  </x:si>
  <x:si>
    <x:t xml:space="preserve">LUCK|share_cap|2020</x:t>
  </x:si>
  <x:si>
    <x:t xml:space="preserve">Issued, subscribed and paid-up share cap</x:t>
  </x:si>
  <x:si>
    <x:t xml:space="preserve">LUCK|share_cap|2021</x:t>
  </x:si>
  <x:si>
    <x:t xml:space="preserve">LUCK|share_cap|2022</x:t>
  </x:si>
  <x:si>
    <x:t xml:space="preserve">LUCK|share_cap|2023</x:t>
  </x:si>
  <x:si>
    <x:t xml:space="preserve">Share capital</x:t>
  </x:si>
  <x:si>
    <x:t xml:space="preserve">LUCK|share_cap|2024</x:t>
  </x:si>
  <x:si>
    <x:t xml:space="preserve">LUCK|share_cap|2025</x:t>
  </x:si>
  <x:si>
    <x:t xml:space="preserve">LUCK|eq_other|2020</x:t>
  </x:si>
  <x:si>
    <x:t xml:space="preserve">Reserves</x:t>
  </x:si>
  <x:si>
    <x:t xml:space="preserve">LUCK|eq_other|2021</x:t>
  </x:si>
  <x:si>
    <x:t xml:space="preserve">LUCK|eq_other|2022</x:t>
  </x:si>
  <x:si>
    <x:t xml:space="preserve">LUCK|eq_other|2023</x:t>
  </x:si>
  <x:si>
    <x:t xml:space="preserve">LUCK|eq_other|2024</x:t>
  </x:si>
  <x:si>
    <x:t xml:space="preserve">LUCK|eq_other|2025</x:t>
  </x:si>
  <x:si>
    <x:t xml:space="preserve">LUCK|ltf_nc|2020</x:t>
  </x:si>
  <x:si>
    <x:t xml:space="preserve">Long-term loans</x:t>
  </x:si>
  <x:si>
    <x:t xml:space="preserve">LUCK|ltf_nc|2021</x:t>
  </x:si>
  <x:si>
    <x:t xml:space="preserve">LUCK|ltf_nc|2022</x:t>
  </x:si>
  <x:si>
    <x:t xml:space="preserve">LUCK|ltf_nc|2023</x:t>
  </x:si>
  <x:si>
    <x:t xml:space="preserve">LUCK|ltf_nc|2024</x:t>
  </x:si>
  <x:si>
    <x:t xml:space="preserve">Long-term financing</x:t>
  </x:si>
  <x:si>
    <x:t xml:space="preserve">LUCK|ltf_nc|2025</x:t>
  </x:si>
  <x:si>
    <x:t xml:space="preserve">LUCK|lease_nc|2020</x:t>
  </x:si>
  <x:si>
    <x:t xml:space="preserve">LUCK|lease_nc|2021</x:t>
  </x:si>
  <x:si>
    <x:t xml:space="preserve">LUCK|lease_nc|2022</x:t>
  </x:si>
  <x:si>
    <x:t xml:space="preserve">LUCK|lease_nc|2023</x:t>
  </x:si>
  <x:si>
    <x:t xml:space="preserve">LUCK|lease_nc|2024</x:t>
  </x:si>
  <x:si>
    <x:t xml:space="preserve">LUCK|lease_nc|2025</x:t>
  </x:si>
  <x:si>
    <x:t xml:space="preserve">LUCK|grant_nc|2020</x:t>
  </x:si>
  <x:si>
    <x:t xml:space="preserve">Deferred Government grant</x:t>
  </x:si>
  <x:si>
    <x:t xml:space="preserve">LUCK|grant_nc|2021</x:t>
  </x:si>
  <x:si>
    <x:t xml:space="preserve">LUCK|grant_nc|2022</x:t>
  </x:si>
  <x:si>
    <x:t xml:space="preserve">LUCK|grant_nc|2023</x:t>
  </x:si>
  <x:si>
    <x:t xml:space="preserve">LUCK|grant_nc|2024</x:t>
  </x:si>
  <x:si>
    <x:t xml:space="preserve">LUCK|grant_nc|2025</x:t>
  </x:si>
  <x:si>
    <x:t xml:space="preserve">LUCK|def_tax|2020</x:t>
  </x:si>
  <x:si>
    <x:t xml:space="preserve">- Deferred tax liability</x:t>
  </x:si>
  <x:si>
    <x:t xml:space="preserve">LUCK|def_tax|2021</x:t>
  </x:si>
  <x:si>
    <x:t xml:space="preserve">LUCK|def_tax|2022</x:t>
  </x:si>
  <x:si>
    <x:t xml:space="preserve">LUCK|def_tax|2023</x:t>
  </x:si>
  <x:si>
    <x:t xml:space="preserve">LUCK|def_tax|2024</x:t>
  </x:si>
  <x:si>
    <x:t xml:space="preserve">LUCK|def_tax|2025</x:t>
  </x:si>
  <x:si>
    <x:t xml:space="preserve">LUCK|ncl_other|2020</x:t>
  </x:si>
  <x:si>
    <x:t xml:space="preserve">incl. PKR 0.4m footing difference in printed FY2020 comparative (components do not sum to printed subtotal)</x:t>
  </x:si>
  <x:si>
    <x:t xml:space="preserve">LUCK|ncl_other|2021</x:t>
  </x:si>
  <x:si>
    <x:t xml:space="preserve">Deferred liabilities - Staff gratuity - ; Long-term deposits</x:t>
  </x:si>
  <x:si>
    <x:t xml:space="preserve">LUCK|ncl_other|2022</x:t>
  </x:si>
  <x:si>
    <x:t xml:space="preserve">LUCK|ncl_other|2023</x:t>
  </x:si>
  <x:si>
    <x:t xml:space="preserve">Deferred liabilities - Staff gratuity; Long-term deposits</x:t>
  </x:si>
  <x:si>
    <x:t xml:space="preserve">LUCK|ncl_other|2024</x:t>
  </x:si>
  <x:si>
    <x:t xml:space="preserve">Deferred liabilities; Long-term deposits</x:t>
  </x:si>
  <x:si>
    <x:t xml:space="preserve">LUCK|ncl_other|2025</x:t>
  </x:si>
  <x:si>
    <x:t xml:space="preserve">LUCK|tap|2020</x:t>
  </x:si>
  <x:si>
    <x:t xml:space="preserve">LUCK|tap|2021</x:t>
  </x:si>
  <x:si>
    <x:t xml:space="preserve">LUCK|tap|2022</x:t>
  </x:si>
  <x:si>
    <x:t xml:space="preserve">LUCK|tap|2023</x:t>
  </x:si>
  <x:si>
    <x:t xml:space="preserve">LUCK|tap|2024</x:t>
  </x:si>
  <x:si>
    <x:t xml:space="preserve">LUCK|tap|2025</x:t>
  </x:si>
  <x:si>
    <x:t xml:space="preserve">LUCK|trade_cred|2020</x:t>
  </x:si>
  <x:si>
    <x:t xml:space="preserve">Creditors</x:t>
  </x:si>
  <x:si>
    <x:t xml:space="preserve">LUCK|trade_cred|2021</x:t>
  </x:si>
  <x:si>
    <x:t xml:space="preserve">LUCK|trade_cred|2022</x:t>
  </x:si>
  <x:si>
    <x:t xml:space="preserve">258</x:t>
  </x:si>
  <x:si>
    <x:t xml:space="preserve">LUCK|trade_cred|2023</x:t>
  </x:si>
  <x:si>
    <x:t xml:space="preserve">263</x:t>
  </x:si>
  <x:si>
    <x:t xml:space="preserve">LUCK|trade_cred|2024</x:t>
  </x:si>
  <x:si>
    <x:t xml:space="preserve">LUCK|trade_cred|2025</x:t>
  </x:si>
  <x:si>
    <x:t xml:space="preserve">LUCK|contract|2020</x:t>
  </x:si>
  <x:si>
    <x:t xml:space="preserve">LUCK|contract|2021</x:t>
  </x:si>
  <x:si>
    <x:t xml:space="preserve">LUCK|contract|2022</x:t>
  </x:si>
  <x:si>
    <x:t xml:space="preserve">LUCK|contract|2023</x:t>
  </x:si>
  <x:si>
    <x:t xml:space="preserve">LUCK|contract|2024</x:t>
  </x:si>
  <x:si>
    <x:t xml:space="preserve">LUCK|contract|2025</x:t>
  </x:si>
  <x:si>
    <x:t xml:space="preserve">LUCK|acc_markup|2020</x:t>
  </x:si>
  <x:si>
    <x:t xml:space="preserve">Accrued markup</x:t>
  </x:si>
  <x:si>
    <x:t xml:space="preserve">LUCK|acc_markup|2021</x:t>
  </x:si>
  <x:si>
    <x:t xml:space="preserve">LUCK|acc_markup|2022</x:t>
  </x:si>
  <x:si>
    <x:t xml:space="preserve">LUCK|acc_markup|2023</x:t>
  </x:si>
  <x:si>
    <x:t xml:space="preserve">LUCK|acc_markup|2024</x:t>
  </x:si>
  <x:si>
    <x:t xml:space="preserve">LUCK|acc_markup|2025</x:t>
  </x:si>
  <x:si>
    <x:t xml:space="preserve">LUCK|stb|2020</x:t>
  </x:si>
  <x:si>
    <x:t xml:space="preserve">Short term borrowings</x:t>
  </x:si>
  <x:si>
    <x:t xml:space="preserve">26</x:t>
  </x:si>
  <x:si>
    <x:t xml:space="preserve">LUCK|stb|2021</x:t>
  </x:si>
  <x:si>
    <x:t xml:space="preserve">Short-term borrowings</x:t>
  </x:si>
  <x:si>
    <x:t xml:space="preserve">LUCK|stb|2022</x:t>
  </x:si>
  <x:si>
    <x:t xml:space="preserve">LUCK|stb|2023</x:t>
  </x:si>
  <x:si>
    <x:t xml:space="preserve">LUCK|stb|2024</x:t>
  </x:si>
  <x:si>
    <x:t xml:space="preserve">LUCK|stb|2025</x:t>
  </x:si>
  <x:si>
    <x:t xml:space="preserve">LUCK|cp_ltf|2020</x:t>
  </x:si>
  <x:si>
    <x:t xml:space="preserve">Current maturity of long-term loans</x:t>
  </x:si>
  <x:si>
    <x:t xml:space="preserve">LUCK|cp_ltf|2021</x:t>
  </x:si>
  <x:si>
    <x:t xml:space="preserve">LUCK|cp_ltf|2022</x:t>
  </x:si>
  <x:si>
    <x:t xml:space="preserve">LUCK|cp_ltf|2023</x:t>
  </x:si>
  <x:si>
    <x:t xml:space="preserve">LUCK|cp_ltf|2024</x:t>
  </x:si>
  <x:si>
    <x:t xml:space="preserve">Current maturity of long-term financing</x:t>
  </x:si>
  <x:si>
    <x:t xml:space="preserve">LUCK|cp_ltf|2025</x:t>
  </x:si>
  <x:si>
    <x:t xml:space="preserve">LUCK|cp_lease|2020</x:t>
  </x:si>
  <x:si>
    <x:t xml:space="preserve">LUCK|cp_lease|2021</x:t>
  </x:si>
  <x:si>
    <x:t xml:space="preserve">LUCK|cp_lease|2022</x:t>
  </x:si>
  <x:si>
    <x:t xml:space="preserve">LUCK|cp_lease|2023</x:t>
  </x:si>
  <x:si>
    <x:t xml:space="preserve">LUCK|cp_lease|2024</x:t>
  </x:si>
  <x:si>
    <x:t xml:space="preserve">LUCK|cp_lease|2025</x:t>
  </x:si>
  <x:si>
    <x:t xml:space="preserve">LUCK|cp_grant|2020</x:t>
  </x:si>
  <x:si>
    <x:t xml:space="preserve">LUCK|cp_grant|2021</x:t>
  </x:si>
  <x:si>
    <x:t xml:space="preserve">LUCK|cp_grant|2022</x:t>
  </x:si>
  <x:si>
    <x:t xml:space="preserve">LUCK|cp_grant|2023</x:t>
  </x:si>
  <x:si>
    <x:t xml:space="preserve">LUCK|cp_grant|2024</x:t>
  </x:si>
  <x:si>
    <x:t xml:space="preserve">LUCK|cp_grant|2025</x:t>
  </x:si>
  <x:si>
    <x:t xml:space="preserve">LUCK|div_liab|2020</x:t>
  </x:si>
  <x:si>
    <x:t xml:space="preserve">Unclaimed dividend; Unpaid dividend</x:t>
  </x:si>
  <x:si>
    <x:t xml:space="preserve">LUCK|div_liab|2021</x:t>
  </x:si>
  <x:si>
    <x:t xml:space="preserve">Unclaimed dividend</x:t>
  </x:si>
  <x:si>
    <x:t xml:space="preserve">LUCK|div_liab|2022</x:t>
  </x:si>
  <x:si>
    <x:t xml:space="preserve">LUCK|div_liab|2023</x:t>
  </x:si>
  <x:si>
    <x:t xml:space="preserve">LUCK|div_liab|2024</x:t>
  </x:si>
  <x:si>
    <x:t xml:space="preserve">LUCK|div_liab|2025</x:t>
  </x:si>
  <x:si>
    <x:t xml:space="preserve">LUCK|tax_liab|2020</x:t>
  </x:si>
  <x:si>
    <x:t xml:space="preserve">Taxation - net</x:t>
  </x:si>
  <x:si>
    <x:t xml:space="preserve">LUCK|tax_liab|2021</x:t>
  </x:si>
  <x:si>
    <x:t xml:space="preserve">LUCK|tax_liab|2022</x:t>
  </x:si>
  <x:si>
    <x:t xml:space="preserve">LUCK|tax_liab|2023</x:t>
  </x:si>
  <x:si>
    <x:t xml:space="preserve">LUCK|tax_liab|2024</x:t>
  </x:si>
  <x:si>
    <x:t xml:space="preserve">LUCK|tax_liab|2025</x:t>
  </x:si>
  <x:si>
    <x:t xml:space="preserve">LUCK|cl_other|2020</x:t>
  </x:si>
  <x:si>
    <x:t xml:space="preserve">LUCK|cl_other|2021</x:t>
  </x:si>
  <x:si>
    <x:t xml:space="preserve">LUCK|cl_other|2022</x:t>
  </x:si>
  <x:si>
    <x:t xml:space="preserve">LUCK|cl_other|2023</x:t>
  </x:si>
  <x:si>
    <x:t xml:space="preserve">LUCK|cl_other|2024</x:t>
  </x:si>
  <x:si>
    <x:t xml:space="preserve">LUCK|cl_other|2025</x:t>
  </x:si>
  <x:si>
    <x:t xml:space="preserve">LUCK|pr_TA|2020</x:t>
  </x:si>
  <x:si>
    <x:t xml:space="preserve">LUCK|pr_TA|2021</x:t>
  </x:si>
  <x:si>
    <x:t xml:space="preserve">LUCK|pr_TA|2022</x:t>
  </x:si>
  <x:si>
    <x:t xml:space="preserve">LUCK|pr_TA|2023</x:t>
  </x:si>
  <x:si>
    <x:t xml:space="preserve">LUCK|pr_TA|2024</x:t>
  </x:si>
  <x:si>
    <x:t xml:space="preserve">LUCK|pr_TA|2025</x:t>
  </x:si>
  <x:si>
    <x:t xml:space="preserve">LUCK|pr_EQ|2020</x:t>
  </x:si>
  <x:si>
    <x:t xml:space="preserve">LUCK|pr_EQ|2021</x:t>
  </x:si>
  <x:si>
    <x:t xml:space="preserve">LUCK|pr_EQ|2022</x:t>
  </x:si>
  <x:si>
    <x:t xml:space="preserve">LUCK|pr_EQ|2023</x:t>
  </x:si>
  <x:si>
    <x:t xml:space="preserve">LUCK|pr_EQ|2024</x:t>
  </x:si>
  <x:si>
    <x:t xml:space="preserve">LUCK|pr_EQ|2025</x:t>
  </x:si>
  <x:si>
    <x:t xml:space="preserve">LUCK|pr_CA|2020</x:t>
  </x:si>
  <x:si>
    <x:t xml:space="preserve">LUCK|pr_CA|2021</x:t>
  </x:si>
  <x:si>
    <x:t xml:space="preserve">LUCK|pr_CA|2022</x:t>
  </x:si>
  <x:si>
    <x:t xml:space="preserve">LUCK|pr_CA|2023</x:t>
  </x:si>
  <x:si>
    <x:t xml:space="preserve">LUCK|pr_CA|2024</x:t>
  </x:si>
  <x:si>
    <x:t xml:space="preserve">LUCK|pr_CA|2025</x:t>
  </x:si>
  <x:si>
    <x:t xml:space="preserve">LUCK|pr_CL|2020</x:t>
  </x:si>
  <x:si>
    <x:t xml:space="preserve">LUCK|pr_CL|2021</x:t>
  </x:si>
  <x:si>
    <x:t xml:space="preserve">LUCK|pr_CL|2022</x:t>
  </x:si>
  <x:si>
    <x:t xml:space="preserve">LUCK|pr_CL|2023</x:t>
  </x:si>
  <x:si>
    <x:t xml:space="preserve">LUCK|pr_CL|2024</x:t>
  </x:si>
  <x:si>
    <x:t xml:space="preserve">LUCK|pr_CL|2025</x:t>
  </x:si>
  <x:si>
    <x:t xml:space="preserve">LUCK|rev|2021</x:t>
  </x:si>
  <x:si>
    <x:t xml:space="preserve">Net sales</x:t>
  </x:si>
  <x:si>
    <x:t xml:space="preserve">225</x:t>
  </x:si>
  <x:si>
    <x:t xml:space="preserve">LUCK|rev|2022</x:t>
  </x:si>
  <x:si>
    <x:t xml:space="preserve">233</x:t>
  </x:si>
  <x:si>
    <x:t xml:space="preserve">LUCK|rev|2023</x:t>
  </x:si>
  <x:si>
    <x:t xml:space="preserve">237</x:t>
  </x:si>
  <x:si>
    <x:t xml:space="preserve">LUCK|rev|2024</x:t>
  </x:si>
  <x:si>
    <x:t xml:space="preserve">Net Revenue</x:t>
  </x:si>
  <x:si>
    <x:t xml:space="preserve">LUCK|rev|2025</x:t>
  </x:si>
  <x:si>
    <x:t xml:space="preserve">LUCK|cogs|2021</x:t>
  </x:si>
  <x:si>
    <x:t xml:space="preserve">LUCK|cogs|2022</x:t>
  </x:si>
  <x:si>
    <x:t xml:space="preserve">LUCK|cogs|2023</x:t>
  </x:si>
  <x:si>
    <x:t xml:space="preserve">LUCK|cogs|2024</x:t>
  </x:si>
  <x:si>
    <x:t xml:space="preserve">LUCK|cogs|2025</x:t>
  </x:si>
  <x:si>
    <x:t xml:space="preserve">LUCK|selling|2021</x:t>
  </x:si>
  <x:si>
    <x:t xml:space="preserve">Distribution cost</x:t>
  </x:si>
  <x:si>
    <x:t xml:space="preserve">LUCK|selling|2022</x:t>
  </x:si>
  <x:si>
    <x:t xml:space="preserve">LUCK|selling|2023</x:t>
  </x:si>
  <x:si>
    <x:t xml:space="preserve">LUCK|selling|2024</x:t>
  </x:si>
  <x:si>
    <x:t xml:space="preserve">Distribution costs</x:t>
  </x:si>
  <x:si>
    <x:t xml:space="preserve">LUCK|selling|2025</x:t>
  </x:si>
  <x:si>
    <x:t xml:space="preserve">LUCK|admin|2021</x:t>
  </x:si>
  <x:si>
    <x:t xml:space="preserve">LUCK|admin|2022</x:t>
  </x:si>
  <x:si>
    <x:t xml:space="preserve">LUCK|admin|2023</x:t>
  </x:si>
  <x:si>
    <x:t xml:space="preserve">LUCK|admin|2024</x:t>
  </x:si>
  <x:si>
    <x:t xml:space="preserve">LUCK|admin|2025</x:t>
  </x:si>
  <x:si>
    <x:t xml:space="preserve">LUCK|impair|2021</x:t>
  </x:si>
  <x:si>
    <x:t xml:space="preserve">LUCK|impair|2022</x:t>
  </x:si>
  <x:si>
    <x:t xml:space="preserve">LUCK|impair|2023</x:t>
  </x:si>
  <x:si>
    <x:t xml:space="preserve">LUCK|impair|2024</x:t>
  </x:si>
  <x:si>
    <x:t xml:space="preserve">LUCK|impair|2025</x:t>
  </x:si>
  <x:si>
    <x:t xml:space="preserve">LUCK|oth_exp|2021</x:t>
  </x:si>
  <x:si>
    <x:t xml:space="preserve">LUCK|oth_exp|2022</x:t>
  </x:si>
  <x:si>
    <x:t xml:space="preserve">LUCK|oth_exp|2023</x:t>
  </x:si>
  <x:si>
    <x:t xml:space="preserve">LUCK|oth_exp|2024</x:t>
  </x:si>
  <x:si>
    <x:t xml:space="preserve">LUCK|oth_exp|2025</x:t>
  </x:si>
  <x:si>
    <x:t xml:space="preserve">LUCK|oth_inc|2021</x:t>
  </x:si>
  <x:si>
    <x:t xml:space="preserve">LUCK|oth_inc|2022</x:t>
  </x:si>
  <x:si>
    <x:t xml:space="preserve">LUCK|oth_inc|2023</x:t>
  </x:si>
  <x:si>
    <x:t xml:space="preserve">LUCK|oth_inc|2024</x:t>
  </x:si>
  <x:si>
    <x:t xml:space="preserve">LUCK|oth_inc|2025</x:t>
  </x:si>
  <x:si>
    <x:t xml:space="preserve">LUCK|fin_inc|2021</x:t>
  </x:si>
  <x:si>
    <x:t xml:space="preserve">LUCK|fin_inc|2022</x:t>
  </x:si>
  <x:si>
    <x:t xml:space="preserve">LUCK|fin_inc|2023</x:t>
  </x:si>
  <x:si>
    <x:t xml:space="preserve">LUCK|fin_inc|2024</x:t>
  </x:si>
  <x:si>
    <x:t xml:space="preserve">LUCK|fin_inc|2025</x:t>
  </x:si>
  <x:si>
    <x:t xml:space="preserve">LUCK|assoc|2021</x:t>
  </x:si>
  <x:si>
    <x:t xml:space="preserve">LUCK|assoc|2022</x:t>
  </x:si>
  <x:si>
    <x:t xml:space="preserve">LUCK|assoc|2023</x:t>
  </x:si>
  <x:si>
    <x:t xml:space="preserve">LUCK|assoc|2024</x:t>
  </x:si>
  <x:si>
    <x:t xml:space="preserve">LUCK|assoc|2025</x:t>
  </x:si>
  <x:si>
    <x:t xml:space="preserve">LUCK|fin_cost|2021</x:t>
  </x:si>
  <x:si>
    <x:t xml:space="preserve">Finance costs</x:t>
  </x:si>
  <x:si>
    <x:t xml:space="preserve">LUCK|fin_cost|2022</x:t>
  </x:si>
  <x:si>
    <x:t xml:space="preserve">LUCK|fin_cost|2023</x:t>
  </x:si>
  <x:si>
    <x:t xml:space="preserve">LUCK|fin_cost|2024</x:t>
  </x:si>
  <x:si>
    <x:t xml:space="preserve">LUCK|fin_cost|2025</x:t>
  </x:si>
  <x:si>
    <x:t xml:space="preserve">LUCK|levy|2021</x:t>
  </x:si>
  <x:si>
    <x:t xml:space="preserve">LUCK|levy|2022</x:t>
  </x:si>
  <x:si>
    <x:t xml:space="preserve">LUCK|levy|2023</x:t>
  </x:si>
  <x:si>
    <x:t xml:space="preserve">Levy                    2.2.1 &amp;</x:t>
  </x:si>
  <x:si>
    <x:t xml:space="preserve">LUCK|levy|2024</x:t>
  </x:si>
  <x:si>
    <x:t xml:space="preserve">Levy</x:t>
  </x:si>
  <x:si>
    <x:t xml:space="preserve">LUCK|levy|2025</x:t>
  </x:si>
  <x:si>
    <x:t xml:space="preserve">LUCK|tax|2021</x:t>
  </x:si>
  <x:si>
    <x:t xml:space="preserve">LUCK|tax|2022</x:t>
  </x:si>
  <x:si>
    <x:t xml:space="preserve">LUCK|tax|2023</x:t>
  </x:si>
  <x:si>
    <x:t xml:space="preserve">LUCK|tax|2024</x:t>
  </x:si>
  <x:si>
    <x:t xml:space="preserve">LUCK|tax|2025</x:t>
  </x:si>
  <x:si>
    <x:t xml:space="preserve">LUCK|pr_gp|2021</x:t>
  </x:si>
  <x:si>
    <x:t xml:space="preserve">LUCK|pr_gp|2022</x:t>
  </x:si>
  <x:si>
    <x:t xml:space="preserve">LUCK|pr_gp|2023</x:t>
  </x:si>
  <x:si>
    <x:t xml:space="preserve">LUCK|pr_gp|2024</x:t>
  </x:si>
  <x:si>
    <x:t xml:space="preserve">LUCK|pr_gp|2025</x:t>
  </x:si>
  <x:si>
    <x:t xml:space="preserve">LUCK|pr_pbt|2021</x:t>
  </x:si>
  <x:si>
    <x:t xml:space="preserve">LUCK|pr_pbt|2022</x:t>
  </x:si>
  <x:si>
    <x:t xml:space="preserve">LUCK|pr_pbt|2023</x:t>
  </x:si>
  <x:si>
    <x:t xml:space="preserve">Profit before Taxation and Levy</x:t>
  </x:si>
  <x:si>
    <x:t xml:space="preserve">LUCK|pr_pbt|2024</x:t>
  </x:si>
  <x:si>
    <x:t xml:space="preserve">Profit before taxation and levy</x:t>
  </x:si>
  <x:si>
    <x:t xml:space="preserve">LUCK|pr_pbt|2025</x:t>
  </x:si>
  <x:si>
    <x:t xml:space="preserve">LUCK|pr_pat|2021</x:t>
  </x:si>
  <x:si>
    <x:t xml:space="preserve">LUCK|pr_pat|2022</x:t>
  </x:si>
  <x:si>
    <x:t xml:space="preserve">LUCK|pr_pat|2023</x:t>
  </x:si>
  <x:si>
    <x:t xml:space="preserve">Profit after Taxation</x:t>
  </x:si>
  <x:si>
    <x:t xml:space="preserve">LUCK|pr_pat|2024</x:t>
  </x:si>
  <x:si>
    <x:t xml:space="preserve">LUCK|pr_pat|2025</x:t>
  </x:si>
  <x:si>
    <x:t xml:space="preserve">LUCK|fc_nonint|2021</x:t>
  </x:si>
  <x:si>
    <x:t xml:space="preserve">'Others' in finance cost note</x:t>
  </x:si>
  <x:si>
    <x:t xml:space="preserve">254</x:t>
  </x:si>
  <x:si>
    <x:t xml:space="preserve">LUCK|fc_nonint|2022</x:t>
  </x:si>
  <x:si>
    <x:t xml:space="preserve">262</x:t>
  </x:si>
  <x:si>
    <x:t xml:space="preserve">LUCK|fc_nonint|2023</x:t>
  </x:si>
  <x:si>
    <x:t xml:space="preserve">267</x:t>
  </x:si>
  <x:si>
    <x:t xml:space="preserve">LUCK|fc_nonint|2024</x:t>
  </x:si>
  <x:si>
    <x:t xml:space="preserve">270</x:t>
  </x:si>
  <x:si>
    <x:t xml:space="preserve">LUCK|fc_nonint|2025</x:t>
  </x:si>
  <x:si>
    <x:t xml:space="preserve">LUCK|da|2021</x:t>
  </x:si>
  <x:si>
    <x:t xml:space="preserve">Depreciation</x:t>
  </x:si>
  <x:si>
    <x:t xml:space="preserve">256</x:t>
  </x:si>
  <x:si>
    <x:t xml:space="preserve">LUCK|da|2022</x:t>
  </x:si>
  <x:si>
    <x:t xml:space="preserve">Depreciation; Amortisation of intangible assets</x:t>
  </x:si>
  <x:si>
    <x:t xml:space="preserve">264</x:t>
  </x:si>
  <x:si>
    <x:t xml:space="preserve">LUCK|da|2023</x:t>
  </x:si>
  <x:si>
    <x:t xml:space="preserve">LUCK|da|2024</x:t>
  </x:si>
  <x:si>
    <x:t xml:space="preserve">LUCK|da|2025</x:t>
  </x:si>
  <x:si>
    <x:t xml:space="preserve">LUCK|cgo|2021</x:t>
  </x:si>
  <x:si>
    <x:t xml:space="preserve">227</x:t>
  </x:si>
  <x:si>
    <x:t xml:space="preserve">LUCK|cgo|2022</x:t>
  </x:si>
  <x:si>
    <x:t xml:space="preserve">LUCK|cgo|2023</x:t>
  </x:si>
  <x:si>
    <x:t xml:space="preserve">239</x:t>
  </x:si>
  <x:si>
    <x:t xml:space="preserve">LUCK|cgo|2024</x:t>
  </x:si>
  <x:si>
    <x:t xml:space="preserve">LUCK|cgo|2025</x:t>
  </x:si>
  <x:si>
    <x:t xml:space="preserve">LUCK|cfo|2021</x:t>
  </x:si>
  <x:si>
    <x:t xml:space="preserve">LUCK|cfo|2022</x:t>
  </x:si>
  <x:si>
    <x:t xml:space="preserve">LUCK|cfo|2023</x:t>
  </x:si>
  <x:si>
    <x:t xml:space="preserve">LUCK|cfo|2024</x:t>
  </x:si>
  <x:si>
    <x:t xml:space="preserve">LUCK|cfo|2025</x:t>
  </x:si>
  <x:si>
    <x:t xml:space="preserve">LUCK|fin_paid|2021</x:t>
  </x:si>
  <x:si>
    <x:t xml:space="preserve">Finance costs paid</x:t>
  </x:si>
  <x:si>
    <x:t xml:space="preserve">LUCK|fin_paid|2022</x:t>
  </x:si>
  <x:si>
    <x:t xml:space="preserve">LUCK|fin_paid|2023</x:t>
  </x:si>
  <x:si>
    <x:t xml:space="preserve">LUCK|fin_paid|2024</x:t>
  </x:si>
  <x:si>
    <x:t xml:space="preserve">LUCK|fin_paid|2025</x:t>
  </x:si>
  <x:si>
    <x:t xml:space="preserve">LUCK|fin_paid_cls|2021</x:t>
  </x:si>
  <x:si>
    <x:t xml:space="preserve">LUCK|fin_paid_cls|2022</x:t>
  </x:si>
  <x:si>
    <x:t xml:space="preserve">LUCK|fin_paid_cls|2023</x:t>
  </x:si>
  <x:si>
    <x:t xml:space="preserve">LUCK|fin_paid_cls|2024</x:t>
  </x:si>
  <x:si>
    <x:t xml:space="preserve">LUCK|fin_paid_cls|2025</x:t>
  </x:si>
  <x:si>
    <x:t xml:space="preserve">LUCK|capex|2021</x:t>
  </x:si>
  <x:si>
    <x:t xml:space="preserve">Fixed capital expenditure</x:t>
  </x:si>
  <x:si>
    <x:t xml:space="preserve">LUCK|capex|2022</x:t>
  </x:si>
  <x:si>
    <x:t xml:space="preserve">Fixed capital expenditure including capi</x:t>
  </x:si>
  <x:si>
    <x:t xml:space="preserve">LUCK|capex|2023</x:t>
  </x:si>
  <x:si>
    <x:t xml:space="preserve">Purchase of property, plant and equipmen</x:t>
  </x:si>
  <x:si>
    <x:t xml:space="preserve">LUCK|capex|2024</x:t>
  </x:si>
  <x:si>
    <x:t xml:space="preserve">Addition to property, plant and equipmen</x:t>
  </x:si>
  <x:si>
    <x:t xml:space="preserve">LUCK|capex|2025</x:t>
  </x:si>
  <x:si>
    <x:t xml:space="preserve">LUCK|cfi|2021</x:t>
  </x:si>
  <x:si>
    <x:t xml:space="preserve">LUCK|cfi|2022</x:t>
  </x:si>
  <x:si>
    <x:t xml:space="preserve">LUCK|cfi|2023</x:t>
  </x:si>
  <x:si>
    <x:t xml:space="preserve">LUCK|cfi|2024</x:t>
  </x:si>
  <x:si>
    <x:t xml:space="preserve">Net cash generated from / (used in) inve</x:t>
  </x:si>
  <x:si>
    <x:t xml:space="preserve">LUCK|cfi|2025</x:t>
  </x:si>
  <x:si>
    <x:t xml:space="preserve">LUCK|cff|2021</x:t>
  </x:si>
  <x:si>
    <x:t xml:space="preserve">Net cash generated from financing activi</x:t>
  </x:si>
  <x:si>
    <x:t xml:space="preserve">LUCK|cff|2022</x:t>
  </x:si>
  <x:si>
    <x:t xml:space="preserve">LUCK|cff|2023</x:t>
  </x:si>
  <x:si>
    <x:t xml:space="preserve">Net cash (used in) / generated from fina</x:t>
  </x:si>
  <x:si>
    <x:t xml:space="preserve">LUCK|cff|2024</x:t>
  </x:si>
  <x:si>
    <x:t xml:space="preserve">LUCK|cff|2025</x:t>
  </x:si>
  <x:si>
    <x:t xml:space="preserve">LUCK|div_paid|2021</x:t>
  </x:si>
  <x:si>
    <x:t xml:space="preserve">LUCK|div_paid|2022</x:t>
  </x:si>
  <x:si>
    <x:t xml:space="preserve">LUCK|div_paid|2023</x:t>
  </x:si>
  <x:si>
    <x:t xml:space="preserve">LUCK|div_paid|2024</x:t>
  </x:si>
  <x:si>
    <x:t xml:space="preserve">LUCK|div_paid|2025</x:t>
  </x:si>
  <x:si>
    <x:t xml:space="preserve">LUCK|par|2021</x:t>
  </x:si>
  <x:si>
    <x:t xml:space="preserve">LUCK|par|2022</x:t>
  </x:si>
  <x:si>
    <x:t xml:space="preserve">LUCK|par|2023</x:t>
  </x:si>
  <x:si>
    <x:t xml:space="preserve">LUCK|par|2024</x:t>
  </x:si>
  <x:si>
    <x:t xml:space="preserve">269</x:t>
  </x:si>
  <x:si>
    <x:t xml:space="preserve">LUCK|par|2025</x:t>
  </x:si>
  <x:si>
    <x:t xml:space="preserve">272</x:t>
  </x:si>
  <x:si>
    <x:t xml:space="preserve">LUCK|wavg|2021</x:t>
  </x:si>
  <x:si>
    <x:t xml:space="preserve">LUCK|wavg|2022</x:t>
  </x:si>
  <x:si>
    <x:t xml:space="preserve">LUCK|wavg|2023</x:t>
  </x:si>
  <x:si>
    <x:t xml:space="preserve">LUCK|wavg|2024</x:t>
  </x:si>
  <x:si>
    <x:t xml:space="preserve">LUCK|wavg|2025</x:t>
  </x:si>
  <x:si>
    <x:t xml:space="preserve">LUCK|price|2021</x:t>
  </x:si>
  <x:si>
    <x:t xml:space="preserve">LUCK|price|2022</x:t>
  </x:si>
  <x:si>
    <x:t xml:space="preserve">LUCK|price|2023</x:t>
  </x:si>
  <x:si>
    <x:t xml:space="preserve">LUCK|price|2024</x:t>
  </x:si>
  <x:si>
    <x:t xml:space="preserve">LUCK|price|2025</x:t>
  </x:si>
  <x:si>
    <x:t xml:space="preserve">LUCK|dps|2021</x:t>
  </x:si>
  <x:si>
    <x:t xml:space="preserve">164</x:t>
  </x:si>
  <x:si>
    <x:t xml:space="preserve">LUCK|dps|2022</x:t>
  </x:si>
  <x:si>
    <x:t xml:space="preserve">LUCK|dps|2023</x:t>
  </x:si>
  <x:si>
    <x:t xml:space="preserve">LUCK|dps|2024</x:t>
  </x:si>
  <x:si>
    <x:t xml:space="preserve">LUCK|dps|2025</x:t>
  </x:si>
  <x:si>
    <x:t xml:space="preserve">LUCK|eps_rep|2021</x:t>
  </x:si>
  <x:si>
    <x:t xml:space="preserve">LUCK|eps_rep|2022</x:t>
  </x:si>
  <x:si>
    <x:t xml:space="preserve">LUCK|eps_rep|2023</x:t>
  </x:si>
  <x:si>
    <x:t xml:space="preserve">LUCK|eps_rep|2024</x:t>
  </x:si>
  <x:si>
    <x:t xml:space="preserve">LUCK|eps_rep|2025</x:t>
  </x:si>
  <x:si>
    <x:t xml:space="preserve">LUCK|adj|2021</x:t>
  </x:si>
  <x:si>
    <x:t xml:space="preserve">LUCK|adj|2022</x:t>
  </x:si>
  <x:si>
    <x:t xml:space="preserve">LUCK|adj|2023</x:t>
  </x:si>
  <x:si>
    <x:t xml:space="preserve">LUCK|adj|2024</x:t>
  </x:si>
  <x:si>
    <x:t xml:space="preserve">LUCK|adj|2025</x:t>
  </x:si>
  <x:si>
    <x:t xml:space="preserve">DGKC|ppe|2020</x:t>
  </x:si>
  <x:si>
    <x:t xml:space="preserve">DG_Annual_Report_2021.pdf</x:t>
  </x:si>
  <x:si>
    <x:t xml:space="preserve">105</x:t>
  </x:si>
  <x:si>
    <x:t xml:space="preserve">DGKC|ppe|2021</x:t>
  </x:si>
  <x:si>
    <x:t xml:space="preserve">DG_Annual_Report_2022.pdf</x:t>
  </x:si>
  <x:si>
    <x:t xml:space="preserve">125</x:t>
  </x:si>
  <x:si>
    <x:t xml:space="preserve">DGKC|ppe|2022</x:t>
  </x:si>
  <x:si>
    <x:t xml:space="preserve">DGAnnual2023.pdf</x:t>
  </x:si>
  <x:si>
    <x:t xml:space="preserve">151</x:t>
  </x:si>
  <x:si>
    <x:t xml:space="preserve">DGKC|ppe|2023</x:t>
  </x:si>
  <x:si>
    <x:t xml:space="preserve">DGAnnual2024.pdf</x:t>
  </x:si>
  <x:si>
    <x:t xml:space="preserve">DGKC|ppe|2024</x:t>
  </x:si>
  <x:si>
    <x:t xml:space="preserve">DGAnnual2025.pdf</x:t>
  </x:si>
  <x:si>
    <x:t xml:space="preserve">153</x:t>
  </x:si>
  <x:si>
    <x:t xml:space="preserve">DGKC|ppe|2025</x:t>
  </x:si>
  <x:si>
    <x:t xml:space="preserve">DGKC|cwip|2020</x:t>
  </x:si>
  <x:si>
    <x:t xml:space="preserve">138</x:t>
  </x:si>
  <x:si>
    <x:t xml:space="preserve">DGKC|cwip|2021</x:t>
  </x:si>
  <x:si>
    <x:t xml:space="preserve">159</x:t>
  </x:si>
  <x:si>
    <x:t xml:space="preserve">DGKC|cwip|2022</x:t>
  </x:si>
  <x:si>
    <x:t xml:space="preserve">184</x:t>
  </x:si>
  <x:si>
    <x:t xml:space="preserve">DGKC|cwip|2023</x:t>
  </x:si>
  <x:si>
    <x:t xml:space="preserve">186</x:t>
  </x:si>
  <x:si>
    <x:t xml:space="preserve">DGKC|cwip|2024</x:t>
  </x:si>
  <x:si>
    <x:t xml:space="preserve">188</x:t>
  </x:si>
  <x:si>
    <x:t xml:space="preserve">DGKC|cwip|2025</x:t>
  </x:si>
  <x:si>
    <x:t xml:space="preserve">DGKC|rou|2020</x:t>
  </x:si>
  <x:si>
    <x:t xml:space="preserve">104</x:t>
  </x:si>
  <x:si>
    <x:t xml:space="preserve">DGKC|rou|2021</x:t>
  </x:si>
  <x:si>
    <x:t xml:space="preserve">124</x:t>
  </x:si>
  <x:si>
    <x:t xml:space="preserve">DGKC|rou|2022</x:t>
  </x:si>
  <x:si>
    <x:t xml:space="preserve">150</x:t>
  </x:si>
  <x:si>
    <x:t xml:space="preserve">DGKC|rou|2023</x:t>
  </x:si>
  <x:si>
    <x:t xml:space="preserve">DGKC|rou|2024</x:t>
  </x:si>
  <x:si>
    <x:t xml:space="preserve">152</x:t>
  </x:si>
  <x:si>
    <x:t xml:space="preserve">DGKC|rou|2025</x:t>
  </x:si>
  <x:si>
    <x:t xml:space="preserve">DGKC|intang|2020</x:t>
  </x:si>
  <x:si>
    <x:t xml:space="preserve">DGKC|intang|2021</x:t>
  </x:si>
  <x:si>
    <x:t xml:space="preserve">Intangible asset</x:t>
  </x:si>
  <x:si>
    <x:t xml:space="preserve">DGKC|intang|2022</x:t>
  </x:si>
  <x:si>
    <x:t xml:space="preserve">DGKC|intang|2023</x:t>
  </x:si>
  <x:si>
    <x:t xml:space="preserve">DGKC|intang|2024</x:t>
  </x:si>
  <x:si>
    <x:t xml:space="preserve">DGKC|intang|2025</x:t>
  </x:si>
  <x:si>
    <x:t xml:space="preserve">DGKC|inv_prop|2020</x:t>
  </x:si>
  <x:si>
    <x:t xml:space="preserve">DGKC|inv_prop|2021</x:t>
  </x:si>
  <x:si>
    <x:t xml:space="preserve">DGKC|inv_prop|2022</x:t>
  </x:si>
  <x:si>
    <x:t xml:space="preserve">DGKC|inv_prop|2023</x:t>
  </x:si>
  <x:si>
    <x:t xml:space="preserve">DGKC|inv_prop|2024</x:t>
  </x:si>
  <x:si>
    <x:t xml:space="preserve">DGKC|inv_prop|2025</x:t>
  </x:si>
  <x:si>
    <x:t xml:space="preserve">DGKC|lt_inv|2020</x:t>
  </x:si>
  <x:si>
    <x:t xml:space="preserve">Investments</x:t>
  </x:si>
  <x:si>
    <x:t xml:space="preserve">DGKC|lt_inv|2021</x:t>
  </x:si>
  <x:si>
    <x:t xml:space="preserve">DGKC|lt_inv|2022</x:t>
  </x:si>
  <x:si>
    <x:t xml:space="preserve">DGKC|lt_inv|2023</x:t>
  </x:si>
  <x:si>
    <x:t xml:space="preserve">DGKC|lt_inv|2024</x:t>
  </x:si>
  <x:si>
    <x:t xml:space="preserve">Long term investments</x:t>
  </x:si>
  <x:si>
    <x:t xml:space="preserve">DGKC|lt_inv|2025</x:t>
  </x:si>
  <x:si>
    <x:t xml:space="preserve">DGKC|nca_other|2020</x:t>
  </x:si>
  <x:si>
    <x:t xml:space="preserve">Long term deposits; Long term loans to employees</x:t>
  </x:si>
  <x:si>
    <x:t xml:space="preserve">DGKC|nca_other|2021</x:t>
  </x:si>
  <x:si>
    <x:t xml:space="preserve">DGKC|nca_other|2022</x:t>
  </x:si>
  <x:si>
    <x:t xml:space="preserve">DGKC|nca_other|2023</x:t>
  </x:si>
  <x:si>
    <x:t xml:space="preserve">DGKC|nca_other|2024</x:t>
  </x:si>
  <x:si>
    <x:t xml:space="preserve">DGKC|nca_other|2025</x:t>
  </x:si>
  <x:si>
    <x:t xml:space="preserve">DGKC|stores|2020</x:t>
  </x:si>
  <x:si>
    <x:t xml:space="preserve">Stores, spare parts and loose tools</x:t>
  </x:si>
  <x:si>
    <x:t xml:space="preserve">DGKC|stores|2021</x:t>
  </x:si>
  <x:si>
    <x:t xml:space="preserve">DGKC|stores|2022</x:t>
  </x:si>
  <x:si>
    <x:t xml:space="preserve">DGKC|stores|2023</x:t>
  </x:si>
  <x:si>
    <x:t xml:space="preserve">DGKC|stores|2024</x:t>
  </x:si>
  <x:si>
    <x:t xml:space="preserve">DGKC|stores|2025</x:t>
  </x:si>
  <x:si>
    <x:t xml:space="preserve">DGKC|sit|2020</x:t>
  </x:si>
  <x:si>
    <x:t xml:space="preserve">DGKC|sit|2021</x:t>
  </x:si>
  <x:si>
    <x:t xml:space="preserve">DGKC|sit|2022</x:t>
  </x:si>
  <x:si>
    <x:t xml:space="preserve">DGKC|sit|2023</x:t>
  </x:si>
  <x:si>
    <x:t xml:space="preserve">DGKC|sit|2024</x:t>
  </x:si>
  <x:si>
    <x:t xml:space="preserve">DGKC|sit|2025</x:t>
  </x:si>
  <x:si>
    <x:t xml:space="preserve">DGKC|debts|2020</x:t>
  </x:si>
  <x:si>
    <x:t xml:space="preserve">DGKC|debts|2021</x:t>
  </x:si>
  <x:si>
    <x:t xml:space="preserve">DGKC|debts|2022</x:t>
  </x:si>
  <x:si>
    <x:t xml:space="preserve">DGKC|debts|2023</x:t>
  </x:si>
  <x:si>
    <x:t xml:space="preserve">DGKC|debts|2024</x:t>
  </x:si>
  <x:si>
    <x:t xml:space="preserve">DGKC|debts|2025</x:t>
  </x:si>
  <x:si>
    <x:t xml:space="preserve">DGKC|st_inv|2020</x:t>
  </x:si>
  <x:si>
    <x:t xml:space="preserve">DGKC|st_inv|2021</x:t>
  </x:si>
  <x:si>
    <x:t xml:space="preserve">DGKC|st_inv|2022</x:t>
  </x:si>
  <x:si>
    <x:t xml:space="preserve">DGKC|st_inv|2023</x:t>
  </x:si>
  <x:si>
    <x:t xml:space="preserve">DGKC|st_inv|2024</x:t>
  </x:si>
  <x:si>
    <x:t xml:space="preserve">DGKC|st_inv|2025</x:t>
  </x:si>
  <x:si>
    <x:t xml:space="preserve">DGKC|cash|2020</x:t>
  </x:si>
  <x:si>
    <x:t xml:space="preserve">DGKC|cash|2021</x:t>
  </x:si>
  <x:si>
    <x:t xml:space="preserve">27</x:t>
  </x:si>
  <x:si>
    <x:t xml:space="preserve">DGKC|cash|2022</x:t>
  </x:si>
  <x:si>
    <x:t xml:space="preserve">DGKC|cash|2023</x:t>
  </x:si>
  <x:si>
    <x:t xml:space="preserve">DGKC|cash|2024</x:t>
  </x:si>
  <x:si>
    <x:t xml:space="preserve">DGKC|cash|2025</x:t>
  </x:si>
  <x:si>
    <x:t xml:space="preserve">DGKC|ca_other|2020</x:t>
  </x:si>
  <x:si>
    <x:t xml:space="preserve">Income tax receivable; Loan to related party; Loans, advances, deposits, prepayments a</x:t>
  </x:si>
  <x:si>
    <x:t xml:space="preserve">DGKC|ca_other|2021</x:t>
  </x:si>
  <x:si>
    <x:t xml:space="preserve">DGKC|ca_other|2022</x:t>
  </x:si>
  <x:si>
    <x:t xml:space="preserve">Income tax receivable; Loans, advances, deposits, prepayments a</x:t>
  </x:si>
  <x:si>
    <x:t xml:space="preserve">DGKC|ca_other|2023</x:t>
  </x:si>
  <x:si>
    <x:t xml:space="preserve">DGKC|ca_other|2024</x:t>
  </x:si>
  <x:si>
    <x:t xml:space="preserve">DGKC|ca_other|2025</x:t>
  </x:si>
  <x:si>
    <x:t xml:space="preserve">DGKC|share_cap|2020</x:t>
  </x:si>
  <x:si>
    <x:t xml:space="preserve">ordinary shares of Rs 10 each</x:t>
  </x:si>
  <x:si>
    <x:t xml:space="preserve">DGKC|share_cap|2021</x:t>
  </x:si>
  <x:si>
    <x:t xml:space="preserve">DGKC|share_cap|2022</x:t>
  </x:si>
  <x:si>
    <x:t xml:space="preserve">DGKC|share_cap|2023</x:t>
  </x:si>
  <x:si>
    <x:t xml:space="preserve">DGKC|share_cap|2024</x:t>
  </x:si>
  <x:si>
    <x:t xml:space="preserve">DGKC|share_cap|2025</x:t>
  </x:si>
  <x:si>
    <x:t xml:space="preserve">DGKC|eq_other|2020</x:t>
  </x:si>
  <x:si>
    <x:t xml:space="preserve">Other reserves; Revenue reserve: Un-appropriated profits</x:t>
  </x:si>
  <x:si>
    <x:t xml:space="preserve">DGKC|eq_other|2021</x:t>
  </x:si>
  <x:si>
    <x:t xml:space="preserve">DGKC|eq_other|2022</x:t>
  </x:si>
  <x:si>
    <x:t xml:space="preserve">DGKC|eq_other|2023</x:t>
  </x:si>
  <x:si>
    <x:t xml:space="preserve">DGKC|eq_other|2024</x:t>
  </x:si>
  <x:si>
    <x:t xml:space="preserve">DGKC|eq_other|2025</x:t>
  </x:si>
  <x:si>
    <x:t xml:space="preserve">DGKC|ltf_nc|2020</x:t>
  </x:si>
  <x:si>
    <x:t xml:space="preserve">Long term finances - secured</x:t>
  </x:si>
  <x:si>
    <x:t xml:space="preserve">DGKC|ltf_nc|2021</x:t>
  </x:si>
  <x:si>
    <x:t xml:space="preserve">Long term finances from financial instit</x:t>
  </x:si>
  <x:si>
    <x:t xml:space="preserve">DGKC|ltf_nc|2022</x:t>
  </x:si>
  <x:si>
    <x:t xml:space="preserve">DGKC|ltf_nc|2023</x:t>
  </x:si>
  <x:si>
    <x:t xml:space="preserve">DGKC|ltf_nc|2024</x:t>
  </x:si>
  <x:si>
    <x:t xml:space="preserve">DGKC|ltf_nc|2025</x:t>
  </x:si>
  <x:si>
    <x:t xml:space="preserve">DGKC|lease_nc|2020</x:t>
  </x:si>
  <x:si>
    <x:t xml:space="preserve">DGKC|lease_nc|2021</x:t>
  </x:si>
  <x:si>
    <x:t xml:space="preserve">DGKC|lease_nc|2022</x:t>
  </x:si>
  <x:si>
    <x:t xml:space="preserve">DGKC|lease_nc|2023</x:t>
  </x:si>
  <x:si>
    <x:t xml:space="preserve">DGKC|lease_nc|2024</x:t>
  </x:si>
  <x:si>
    <x:t xml:space="preserve">DGKC|lease_nc|2025</x:t>
  </x:si>
  <x:si>
    <x:t xml:space="preserve">DGKC|grant_nc|2020</x:t>
  </x:si>
  <x:si>
    <x:t xml:space="preserve">Deferred government grant</x:t>
  </x:si>
  <x:si>
    <x:t xml:space="preserve">DGKC|grant_nc|2021</x:t>
  </x:si>
  <x:si>
    <x:t xml:space="preserve">DGKC|grant_nc|2022</x:t>
  </x:si>
  <x:si>
    <x:t xml:space="preserve">DGKC|grant_nc|2023</x:t>
  </x:si>
  <x:si>
    <x:t xml:space="preserve">DGKC|grant_nc|2024</x:t>
  </x:si>
  <x:si>
    <x:t xml:space="preserve">DGKC|grant_nc|2025</x:t>
  </x:si>
  <x:si>
    <x:t xml:space="preserve">DGKC|def_tax|2020</x:t>
  </x:si>
  <x:si>
    <x:t xml:space="preserve">Deferred taxation</x:t>
  </x:si>
  <x:si>
    <x:t xml:space="preserve">DGKC|def_tax|2021</x:t>
  </x:si>
  <x:si>
    <x:t xml:space="preserve">DGKC|def_tax|2022</x:t>
  </x:si>
  <x:si>
    <x:t xml:space="preserve">DGKC|def_tax|2023</x:t>
  </x:si>
  <x:si>
    <x:t xml:space="preserve">DGKC|def_tax|2024</x:t>
  </x:si>
  <x:si>
    <x:t xml:space="preserve">DGKC|def_tax|2025</x:t>
  </x:si>
  <x:si>
    <x:t xml:space="preserve">DGKC|ncl_other|2020</x:t>
  </x:si>
  <x:si>
    <x:t xml:space="preserve">Deferred liabilities; Long term deposits</x:t>
  </x:si>
  <x:si>
    <x:t xml:space="preserve">DGKC|ncl_other|2021</x:t>
  </x:si>
  <x:si>
    <x:t xml:space="preserve">Employee benefits obligations; Long term deposits</x:t>
  </x:si>
  <x:si>
    <x:t xml:space="preserve">DGKC|ncl_other|2022</x:t>
  </x:si>
  <x:si>
    <x:t xml:space="preserve">DGKC|ncl_other|2023</x:t>
  </x:si>
  <x:si>
    <x:t xml:space="preserve">DGKC|ncl_other|2024</x:t>
  </x:si>
  <x:si>
    <x:t xml:space="preserve">DGKC|ncl_other|2025</x:t>
  </x:si>
  <x:si>
    <x:t xml:space="preserve">DGKC|tap|2020</x:t>
  </x:si>
  <x:si>
    <x:t xml:space="preserve">DGKC|tap|2021</x:t>
  </x:si>
  <x:si>
    <x:t xml:space="preserve">DGKC|tap|2022</x:t>
  </x:si>
  <x:si>
    <x:t xml:space="preserve">DGKC|tap|2023</x:t>
  </x:si>
  <x:si>
    <x:t xml:space="preserve">DGKC|tap|2024</x:t>
  </x:si>
  <x:si>
    <x:t xml:space="preserve">DGKC|tap|2025</x:t>
  </x:si>
  <x:si>
    <x:t xml:space="preserve">DGKC|trade_cred|2020</x:t>
  </x:si>
  <x:si>
    <x:t xml:space="preserve">Trade creditors</x:t>
  </x:si>
  <x:si>
    <x:t xml:space="preserve">134</x:t>
  </x:si>
  <x:si>
    <x:t xml:space="preserve">DGKC|trade_cred|2021</x:t>
  </x:si>
  <x:si>
    <x:t xml:space="preserve">154</x:t>
  </x:si>
  <x:si>
    <x:t xml:space="preserve">DGKC|trade_cred|2022</x:t>
  </x:si>
  <x:si>
    <x:t xml:space="preserve">179</x:t>
  </x:si>
  <x:si>
    <x:t xml:space="preserve">DGKC|trade_cred|2023</x:t>
  </x:si>
  <x:si>
    <x:t xml:space="preserve">181</x:t>
  </x:si>
  <x:si>
    <x:t xml:space="preserve">DGKC|trade_cred|2024</x:t>
  </x:si>
  <x:si>
    <x:t xml:space="preserve">182</x:t>
  </x:si>
  <x:si>
    <x:t xml:space="preserve">DGKC|trade_cred|2025</x:t>
  </x:si>
  <x:si>
    <x:t xml:space="preserve">DGKC|contract|2020</x:t>
  </x:si>
  <x:si>
    <x:t xml:space="preserve">DGKC|contract|2021</x:t>
  </x:si>
  <x:si>
    <x:t xml:space="preserve">DGKC|contract|2022</x:t>
  </x:si>
  <x:si>
    <x:t xml:space="preserve">DGKC|contract|2023</x:t>
  </x:si>
  <x:si>
    <x:t xml:space="preserve">DGKC|contract|2024</x:t>
  </x:si>
  <x:si>
    <x:t xml:space="preserve">DGKC|contract|2025</x:t>
  </x:si>
  <x:si>
    <x:t xml:space="preserve">DGKC|acc_markup|2020</x:t>
  </x:si>
  <x:si>
    <x:t xml:space="preserve">DGKC|acc_markup|2021</x:t>
  </x:si>
  <x:si>
    <x:t xml:space="preserve">DGKC|acc_markup|2022</x:t>
  </x:si>
  <x:si>
    <x:t xml:space="preserve">DGKC|acc_markup|2023</x:t>
  </x:si>
  <x:si>
    <x:t xml:space="preserve">DGKC|acc_markup|2024</x:t>
  </x:si>
  <x:si>
    <x:t xml:space="preserve">DGKC|acc_markup|2025</x:t>
  </x:si>
  <x:si>
    <x:t xml:space="preserve">DGKC|stb|2020</x:t>
  </x:si>
  <x:si>
    <x:t xml:space="preserve">DGKC|stb|2021</x:t>
  </x:si>
  <x:si>
    <x:t xml:space="preserve">Short term borrowings from financial ins</x:t>
  </x:si>
  <x:si>
    <x:t xml:space="preserve">DGKC|stb|2022</x:t>
  </x:si>
  <x:si>
    <x:t xml:space="preserve">DGKC|stb|2023</x:t>
  </x:si>
  <x:si>
    <x:t xml:space="preserve">DGKC|stb|2024</x:t>
  </x:si>
  <x:si>
    <x:t xml:space="preserve">DGKC|stb|2025</x:t>
  </x:si>
  <x:si>
    <x:t xml:space="preserve">DGKC|cp_ltf|2020</x:t>
  </x:si>
  <x:si>
    <x:t xml:space="preserve">Current portion of non-current liabilities less compensated absences and deferred grant (note)</x:t>
  </x:si>
  <x:si>
    <x:t xml:space="preserve">136</x:t>
  </x:si>
  <x:si>
    <x:t xml:space="preserve">Compensated absences and deferred grant reclassified out of debt</x:t>
  </x:si>
  <x:si>
    <x:t xml:space="preserve">DGKC|cp_ltf|2021</x:t>
  </x:si>
  <x:si>
    <x:t xml:space="preserve">156</x:t>
  </x:si>
  <x:si>
    <x:t xml:space="preserve">DGKC|cp_ltf|2022</x:t>
  </x:si>
  <x:si>
    <x:t xml:space="preserve">DGKC|cp_ltf|2023</x:t>
  </x:si>
  <x:si>
    <x:t xml:space="preserve">183</x:t>
  </x:si>
  <x:si>
    <x:t xml:space="preserve">DGKC|cp_ltf|2024</x:t>
  </x:si>
  <x:si>
    <x:t xml:space="preserve">185</x:t>
  </x:si>
  <x:si>
    <x:t xml:space="preserve">DGKC|cp_ltf|2025</x:t>
  </x:si>
  <x:si>
    <x:t xml:space="preserve">DGKC|cp_lease|2020</x:t>
  </x:si>
  <x:si>
    <x:t xml:space="preserve">DGKC|cp_lease|2021</x:t>
  </x:si>
  <x:si>
    <x:t xml:space="preserve">DGKC|cp_lease|2022</x:t>
  </x:si>
  <x:si>
    <x:t xml:space="preserve">DGKC|cp_lease|2023</x:t>
  </x:si>
  <x:si>
    <x:t xml:space="preserve">DGKC|cp_lease|2024</x:t>
  </x:si>
  <x:si>
    <x:t xml:space="preserve">DGKC|cp_lease|2025</x:t>
  </x:si>
  <x:si>
    <x:t xml:space="preserve">DGKC|cp_grant|2020</x:t>
  </x:si>
  <x:si>
    <x:t xml:space="preserve">DGKC|cp_grant|2021</x:t>
  </x:si>
  <x:si>
    <x:t xml:space="preserve">DGKC|cp_grant|2022</x:t>
  </x:si>
  <x:si>
    <x:t xml:space="preserve">DGKC|cp_grant|2023</x:t>
  </x:si>
  <x:si>
    <x:t xml:space="preserve">DGKC|cp_grant|2024</x:t>
  </x:si>
  <x:si>
    <x:t xml:space="preserve">DGKC|cp_grant|2025</x:t>
  </x:si>
  <x:si>
    <x:t xml:space="preserve">DGKC|div_liab|2020</x:t>
  </x:si>
  <x:si>
    <x:t xml:space="preserve">DGKC|div_liab|2021</x:t>
  </x:si>
  <x:si>
    <x:t xml:space="preserve">DGKC|div_liab|2022</x:t>
  </x:si>
  <x:si>
    <x:t xml:space="preserve">DGKC|div_liab|2023</x:t>
  </x:si>
  <x:si>
    <x:t xml:space="preserve">DGKC|div_liab|2024</x:t>
  </x:si>
  <x:si>
    <x:t xml:space="preserve">DGKC|div_liab|2025</x:t>
  </x:si>
  <x:si>
    <x:t xml:space="preserve">DGKC|tax_liab|2020</x:t>
  </x:si>
  <x:si>
    <x:t xml:space="preserve">Provision for taxation</x:t>
  </x:si>
  <x:si>
    <x:t xml:space="preserve">DGKC|tax_liab|2021</x:t>
  </x:si>
  <x:si>
    <x:t xml:space="preserve">DGKC|tax_liab|2022</x:t>
  </x:si>
  <x:si>
    <x:t xml:space="preserve">DGKC|tax_liab|2023</x:t>
  </x:si>
  <x:si>
    <x:t xml:space="preserve">DGKC|tax_liab|2024</x:t>
  </x:si>
  <x:si>
    <x:t xml:space="preserve">Income tax payable; Provision for taxation</x:t>
  </x:si>
  <x:si>
    <x:t xml:space="preserve">DGKC|tax_liab|2025</x:t>
  </x:si>
  <x:si>
    <x:t xml:space="preserve">DGKC|cl_other|2020</x:t>
  </x:si>
  <x:si>
    <x:t xml:space="preserve">DGKC|cl_other|2021</x:t>
  </x:si>
  <x:si>
    <x:t xml:space="preserve">DGKC|cl_other|2022</x:t>
  </x:si>
  <x:si>
    <x:t xml:space="preserve">DGKC|cl_other|2023</x:t>
  </x:si>
  <x:si>
    <x:t xml:space="preserve">DGKC|cl_other|2024</x:t>
  </x:si>
  <x:si>
    <x:t xml:space="preserve">DGKC|cl_other|2025</x:t>
  </x:si>
  <x:si>
    <x:t xml:space="preserve">DGKC|pr_TA|2020</x:t>
  </x:si>
  <x:si>
    <x:t xml:space="preserve">DGKC|pr_TA|2021</x:t>
  </x:si>
  <x:si>
    <x:t xml:space="preserve">DGKC|pr_TA|2022</x:t>
  </x:si>
  <x:si>
    <x:t xml:space="preserve">DGKC|pr_TA|2023</x:t>
  </x:si>
  <x:si>
    <x:t xml:space="preserve">DGKC|pr_TA|2024</x:t>
  </x:si>
  <x:si>
    <x:t xml:space="preserve">DGKC|pr_TA|2025</x:t>
  </x:si>
  <x:si>
    <x:t xml:space="preserve">DGKC|pr_EQ|2020</x:t>
  </x:si>
  <x:si>
    <x:t xml:space="preserve">DGKC|pr_EQ|2021</x:t>
  </x:si>
  <x:si>
    <x:t xml:space="preserve">DGKC|pr_EQ|2022</x:t>
  </x:si>
  <x:si>
    <x:t xml:space="preserve">DGKC|pr_EQ|2023</x:t>
  </x:si>
  <x:si>
    <x:t xml:space="preserve">DGKC|pr_EQ|2024</x:t>
  </x:si>
  <x:si>
    <x:t xml:space="preserve">DGKC|pr_EQ|2025</x:t>
  </x:si>
  <x:si>
    <x:t xml:space="preserve">DGKC|pr_CA|2020</x:t>
  </x:si>
  <x:si>
    <x:t xml:space="preserve">DGKC|pr_CA|2021</x:t>
  </x:si>
  <x:si>
    <x:t xml:space="preserve">DGKC|pr_CA|2022</x:t>
  </x:si>
  <x:si>
    <x:t xml:space="preserve">DGKC|pr_CA|2023</x:t>
  </x:si>
  <x:si>
    <x:t xml:space="preserve">DGKC|pr_CA|2024</x:t>
  </x:si>
  <x:si>
    <x:t xml:space="preserve">DGKC|pr_CA|2025</x:t>
  </x:si>
  <x:si>
    <x:t xml:space="preserve">DGKC|pr_CL|2020</x:t>
  </x:si>
  <x:si>
    <x:t xml:space="preserve">DGKC|pr_CL|2021</x:t>
  </x:si>
  <x:si>
    <x:t xml:space="preserve">DGKC|pr_CL|2022</x:t>
  </x:si>
  <x:si>
    <x:t xml:space="preserve">DGKC|pr_CL|2023</x:t>
  </x:si>
  <x:si>
    <x:t xml:space="preserve">DGKC|pr_CL|2024</x:t>
  </x:si>
  <x:si>
    <x:t xml:space="preserve">DGKC|pr_CL|2025</x:t>
  </x:si>
  <x:si>
    <x:t xml:space="preserve">DGKC|rev|2021</x:t>
  </x:si>
  <x:si>
    <x:t xml:space="preserve">Revenue</x:t>
  </x:si>
  <x:si>
    <x:t xml:space="preserve">126</x:t>
  </x:si>
  <x:si>
    <x:t xml:space="preserve">DGKC|rev|2022</x:t>
  </x:si>
  <x:si>
    <x:t xml:space="preserve">DGKC|rev|2023</x:t>
  </x:si>
  <x:si>
    <x:t xml:space="preserve">DGKC|rev|2024</x:t>
  </x:si>
  <x:si>
    <x:t xml:space="preserve">Revenue from contracts with customers - </x:t>
  </x:si>
  <x:si>
    <x:t xml:space="preserve">DGKC|rev|2025</x:t>
  </x:si>
  <x:si>
    <x:t xml:space="preserve">DGKC|cogs|2021</x:t>
  </x:si>
  <x:si>
    <x:t xml:space="preserve">DGKC|cogs|2022</x:t>
  </x:si>
  <x:si>
    <x:t xml:space="preserve">DGKC|cogs|2023</x:t>
  </x:si>
  <x:si>
    <x:t xml:space="preserve">DGKC|cogs|2024</x:t>
  </x:si>
  <x:si>
    <x:t xml:space="preserve">DGKC|cogs|2025</x:t>
  </x:si>
  <x:si>
    <x:t xml:space="preserve">DGKC|selling|2021</x:t>
  </x:si>
  <x:si>
    <x:t xml:space="preserve">DGKC|selling|2022</x:t>
  </x:si>
  <x:si>
    <x:t xml:space="preserve">DGKC|selling|2023</x:t>
  </x:si>
  <x:si>
    <x:t xml:space="preserve">DGKC|selling|2024</x:t>
  </x:si>
  <x:si>
    <x:t xml:space="preserve">DGKC|selling|2025</x:t>
  </x:si>
  <x:si>
    <x:t xml:space="preserve">DGKC|admin|2021</x:t>
  </x:si>
  <x:si>
    <x:t xml:space="preserve">DGKC|admin|2022</x:t>
  </x:si>
  <x:si>
    <x:t xml:space="preserve">DGKC|admin|2023</x:t>
  </x:si>
  <x:si>
    <x:t xml:space="preserve">DGKC|admin|2024</x:t>
  </x:si>
  <x:si>
    <x:t xml:space="preserve">DGKC|admin|2025</x:t>
  </x:si>
  <x:si>
    <x:t xml:space="preserve">DGKC|impair|2021</x:t>
  </x:si>
  <x:si>
    <x:t xml:space="preserve">Net impairment (loss)/gain on financial </x:t>
  </x:si>
  <x:si>
    <x:t xml:space="preserve">DGKC|impair|2022</x:t>
  </x:si>
  <x:si>
    <x:t xml:space="preserve">Net impairment loss on financial assets</x:t>
  </x:si>
  <x:si>
    <x:t xml:space="preserve">DGKC|impair|2023</x:t>
  </x:si>
  <x:si>
    <x:t xml:space="preserve">DGKC|impair|2024</x:t>
  </x:si>
  <x:si>
    <x:t xml:space="preserve">DGKC|impair|2025</x:t>
  </x:si>
  <x:si>
    <x:t xml:space="preserve">DGKC|oth_exp|2021</x:t>
  </x:si>
  <x:si>
    <x:t xml:space="preserve">DGKC|oth_exp|2022</x:t>
  </x:si>
  <x:si>
    <x:t xml:space="preserve">DGKC|oth_exp|2023</x:t>
  </x:si>
  <x:si>
    <x:t xml:space="preserve">DGKC|oth_exp|2024</x:t>
  </x:si>
  <x:si>
    <x:t xml:space="preserve">DGKC|oth_exp|2025</x:t>
  </x:si>
  <x:si>
    <x:t xml:space="preserve">DGKC|oth_inc|2021</x:t>
  </x:si>
  <x:si>
    <x:t xml:space="preserve">DGKC|oth_inc|2022</x:t>
  </x:si>
  <x:si>
    <x:t xml:space="preserve">DGKC|oth_inc|2023</x:t>
  </x:si>
  <x:si>
    <x:t xml:space="preserve">DGKC|oth_inc|2024</x:t>
  </x:si>
  <x:si>
    <x:t xml:space="preserve">DGKC|oth_inc|2025</x:t>
  </x:si>
  <x:si>
    <x:t xml:space="preserve">DGKC|fin_inc|2021</x:t>
  </x:si>
  <x:si>
    <x:t xml:space="preserve">DGKC|fin_inc|2022</x:t>
  </x:si>
  <x:si>
    <x:t xml:space="preserve">DGKC|fin_inc|2023</x:t>
  </x:si>
  <x:si>
    <x:t xml:space="preserve">DGKC|fin_inc|2024</x:t>
  </x:si>
  <x:si>
    <x:t xml:space="preserve">DGKC|fin_inc|2025</x:t>
  </x:si>
  <x:si>
    <x:t xml:space="preserve">DGKC|assoc|2021</x:t>
  </x:si>
  <x:si>
    <x:t xml:space="preserve">DGKC|assoc|2022</x:t>
  </x:si>
  <x:si>
    <x:t xml:space="preserve">DGKC|assoc|2023</x:t>
  </x:si>
  <x:si>
    <x:t xml:space="preserve">DGKC|assoc|2024</x:t>
  </x:si>
  <x:si>
    <x:t xml:space="preserve">DGKC|assoc|2025</x:t>
  </x:si>
  <x:si>
    <x:t xml:space="preserve">DGKC|fin_cost|2021</x:t>
  </x:si>
  <x:si>
    <x:t xml:space="preserve">DGKC|fin_cost|2022</x:t>
  </x:si>
  <x:si>
    <x:t xml:space="preserve">DGKC|fin_cost|2023</x:t>
  </x:si>
  <x:si>
    <x:t xml:space="preserve">DGKC|fin_cost|2024</x:t>
  </x:si>
  <x:si>
    <x:t xml:space="preserve">DGKC|fin_cost|2025</x:t>
  </x:si>
  <x:si>
    <x:t xml:space="preserve">DGKC|levy|2021</x:t>
  </x:si>
  <x:si>
    <x:t xml:space="preserve">DGKC|levy|2022</x:t>
  </x:si>
  <x:si>
    <x:t xml:space="preserve">DGKC|levy|2023</x:t>
  </x:si>
  <x:si>
    <x:t xml:space="preserve">DGKC|levy|2024</x:t>
  </x:si>
  <x:si>
    <x:t xml:space="preserve">DGKC|levy|2025</x:t>
  </x:si>
  <x:si>
    <x:t xml:space="preserve">DGKC|tax|2021</x:t>
  </x:si>
  <x:si>
    <x:t xml:space="preserve">DGKC|tax|2022</x:t>
  </x:si>
  <x:si>
    <x:t xml:space="preserve">DGKC|tax|2023</x:t>
  </x:si>
  <x:si>
    <x:t xml:space="preserve">DGKC|tax|2024</x:t>
  </x:si>
  <x:si>
    <x:t xml:space="preserve">DGKC|tax|2025</x:t>
  </x:si>
  <x:si>
    <x:t xml:space="preserve">DGKC|pr_gp|2021</x:t>
  </x:si>
  <x:si>
    <x:t xml:space="preserve">DGKC|pr_gp|2022</x:t>
  </x:si>
  <x:si>
    <x:t xml:space="preserve">DGKC|pr_gp|2023</x:t>
  </x:si>
  <x:si>
    <x:t xml:space="preserve">DGKC|pr_gp|2024</x:t>
  </x:si>
  <x:si>
    <x:t xml:space="preserve">DGKC|pr_gp|2025</x:t>
  </x:si>
  <x:si>
    <x:t xml:space="preserve">DGKC|pr_pbt|2021</x:t>
  </x:si>
  <x:si>
    <x:t xml:space="preserve">DGKC|pr_pbt|2022</x:t>
  </x:si>
  <x:si>
    <x:t xml:space="preserve">DGKC|pr_pbt|2023</x:t>
  </x:si>
  <x:si>
    <x:t xml:space="preserve">Profit before tax and levy</x:t>
  </x:si>
  <x:si>
    <x:t xml:space="preserve">DGKC|pr_pbt|2024</x:t>
  </x:si>
  <x:si>
    <x:t xml:space="preserve">Profit before levy and income tax</x:t>
  </x:si>
  <x:si>
    <x:t xml:space="preserve">DGKC|pr_pbt|2025</x:t>
  </x:si>
  <x:si>
    <x:t xml:space="preserve">DGKC|pr_pat|2021</x:t>
  </x:si>
  <x:si>
    <x:t xml:space="preserve">Profit for the year</x:t>
  </x:si>
  <x:si>
    <x:t xml:space="preserve">DGKC|pr_pat|2022</x:t>
  </x:si>
  <x:si>
    <x:t xml:space="preserve">(Loss)/profit for the year</x:t>
  </x:si>
  <x:si>
    <x:t xml:space="preserve">DGKC|pr_pat|2023</x:t>
  </x:si>
  <x:si>
    <x:t xml:space="preserve">Profit / (loss) for the year</x:t>
  </x:si>
  <x:si>
    <x:t xml:space="preserve">DGKC|pr_pat|2024</x:t>
  </x:si>
  <x:si>
    <x:t xml:space="preserve">DGKC|pr_pat|2025</x:t>
  </x:si>
  <x:si>
    <x:t xml:space="preserve">DGKC|fc_nonint|2021</x:t>
  </x:si>
  <x:si>
    <x:t xml:space="preserve">Guarantee commission; Bank charges</x:t>
  </x:si>
  <x:si>
    <x:t xml:space="preserve">176</x:t>
  </x:si>
  <x:si>
    <x:t xml:space="preserve">DGKC|fc_nonint|2022</x:t>
  </x:si>
  <x:si>
    <x:t xml:space="preserve">Bank charges</x:t>
  </x:si>
  <x:si>
    <x:t xml:space="preserve">200</x:t>
  </x:si>
  <x:si>
    <x:t xml:space="preserve">DGKC|fc_nonint|2023</x:t>
  </x:si>
  <x:si>
    <x:t xml:space="preserve">203</x:t>
  </x:si>
  <x:si>
    <x:t xml:space="preserve">DGKC|fc_nonint|2024</x:t>
  </x:si>
  <x:si>
    <x:t xml:space="preserve">- Bank charges</x:t>
  </x:si>
  <x:si>
    <x:t xml:space="preserve">208</x:t>
  </x:si>
  <x:si>
    <x:t xml:space="preserve">DGKC|fc_nonint|2025</x:t>
  </x:si>
  <x:si>
    <x:t xml:space="preserve">DGKC|da|2021</x:t>
  </x:si>
  <x:si>
    <x:t xml:space="preserve">- Depreciation on operating fixed a; - Amortization of intangible assets</x:t>
  </x:si>
  <x:si>
    <x:t xml:space="preserve">178</x:t>
  </x:si>
  <x:si>
    <x:t xml:space="preserve">DGKC|da|2022</x:t>
  </x:si>
  <x:si>
    <x:t xml:space="preserve">DGKC|da|2023</x:t>
  </x:si>
  <x:si>
    <x:t xml:space="preserve">206</x:t>
  </x:si>
  <x:si>
    <x:t xml:space="preserve">DGKC|da|2024</x:t>
  </x:si>
  <x:si>
    <x:t xml:space="preserve">211</x:t>
  </x:si>
  <x:si>
    <x:t xml:space="preserve">DGKC|da|2025</x:t>
  </x:si>
  <x:si>
    <x:t xml:space="preserve">DGKC|cgo|2021</x:t>
  </x:si>
  <x:si>
    <x:t xml:space="preserve">128</x:t>
  </x:si>
  <x:si>
    <x:t xml:space="preserve">DGKC|cgo|2022</x:t>
  </x:si>
  <x:si>
    <x:t xml:space="preserve">DGKC|cgo|2023</x:t>
  </x:si>
  <x:si>
    <x:t xml:space="preserve">DGKC|cgo|2024</x:t>
  </x:si>
  <x:si>
    <x:t xml:space="preserve">DGKC|cgo|2025</x:t>
  </x:si>
  <x:si>
    <x:t xml:space="preserve">DGKC|cfo|2021</x:t>
  </x:si>
  <x:si>
    <x:t xml:space="preserve">Net cash (outflow)/inflow from operating</x:t>
  </x:si>
  <x:si>
    <x:t xml:space="preserve">DGKC|cfo|2022</x:t>
  </x:si>
  <x:si>
    <x:t xml:space="preserve">Net cash inflow/(outflow) from operating</x:t>
  </x:si>
  <x:si>
    <x:t xml:space="preserve">DGKC|cfo|2023</x:t>
  </x:si>
  <x:si>
    <x:t xml:space="preserve">Net cash inflow from operating activitie</x:t>
  </x:si>
  <x:si>
    <x:t xml:space="preserve">DGKC|cfo|2024</x:t>
  </x:si>
  <x:si>
    <x:t xml:space="preserve">DGKC|cfo|2025</x:t>
  </x:si>
  <x:si>
    <x:t xml:space="preserve">DGKC|fin_paid|2021</x:t>
  </x:si>
  <x:si>
    <x:t xml:space="preserve">DGKC|fin_paid|2022</x:t>
  </x:si>
  <x:si>
    <x:t xml:space="preserve">DGKC|fin_paid|2023</x:t>
  </x:si>
  <x:si>
    <x:t xml:space="preserve">DGKC|fin_paid|2024</x:t>
  </x:si>
  <x:si>
    <x:t xml:space="preserve">DGKC|fin_paid|2025</x:t>
  </x:si>
  <x:si>
    <x:t xml:space="preserve">DGKC|fin_paid_cls|2021</x:t>
  </x:si>
  <x:si>
    <x:t xml:space="preserve">DGKC|fin_paid_cls|2022</x:t>
  </x:si>
  <x:si>
    <x:t xml:space="preserve">DGKC|fin_paid_cls|2023</x:t>
  </x:si>
  <x:si>
    <x:t xml:space="preserve">DGKC|fin_paid_cls|2024</x:t>
  </x:si>
  <x:si>
    <x:t xml:space="preserve">DGKC|fin_paid_cls|2025</x:t>
  </x:si>
  <x:si>
    <x:t xml:space="preserve">DGKC|capex|2021</x:t>
  </x:si>
  <x:si>
    <x:t xml:space="preserve">Payments for property, plant and equipme</x:t>
  </x:si>
  <x:si>
    <x:t xml:space="preserve">DGKC|capex|2022</x:t>
  </x:si>
  <x:si>
    <x:t xml:space="preserve">DGKC|capex|2023</x:t>
  </x:si>
  <x:si>
    <x:t xml:space="preserve">DGKC|capex|2024</x:t>
  </x:si>
  <x:si>
    <x:t xml:space="preserve">DGKC|capex|2025</x:t>
  </x:si>
  <x:si>
    <x:t xml:space="preserve">DGKC|cfi|2021</x:t>
  </x:si>
  <x:si>
    <x:t xml:space="preserve">Net cash inflow/(outflow) from investing</x:t>
  </x:si>
  <x:si>
    <x:t xml:space="preserve">DGKC|cfi|2022</x:t>
  </x:si>
  <x:si>
    <x:t xml:space="preserve">Net cash (outflow)/inflow from investing</x:t>
  </x:si>
  <x:si>
    <x:t xml:space="preserve">DGKC|cfi|2023</x:t>
  </x:si>
  <x:si>
    <x:t xml:space="preserve">Net cash inflow / (outflow) from investi</x:t>
  </x:si>
  <x:si>
    <x:t xml:space="preserve">DGKC|cfi|2024</x:t>
  </x:si>
  <x:si>
    <x:t xml:space="preserve">Net cash inflow from investing activitie</x:t>
  </x:si>
  <x:si>
    <x:t xml:space="preserve">DGKC|cfi|2025</x:t>
  </x:si>
  <x:si>
    <x:t xml:space="preserve">DGKC|cff|2021</x:t>
  </x:si>
  <x:si>
    <x:t xml:space="preserve">Net cash (outflow)/inflow from financing</x:t>
  </x:si>
  <x:si>
    <x:t xml:space="preserve">DGKC|cff|2022</x:t>
  </x:si>
  <x:si>
    <x:t xml:space="preserve">Net cash outflow from financing activiti</x:t>
  </x:si>
  <x:si>
    <x:t xml:space="preserve">DGKC|cff|2023</x:t>
  </x:si>
  <x:si>
    <x:t xml:space="preserve">Net cash inflow / (outflow) from financi</x:t>
  </x:si>
  <x:si>
    <x:t xml:space="preserve">DGKC|cff|2024</x:t>
  </x:si>
  <x:si>
    <x:t xml:space="preserve">Net cash (outflow) / inflow from financi</x:t>
  </x:si>
  <x:si>
    <x:t xml:space="preserve">DGKC|cff|2025</x:t>
  </x:si>
  <x:si>
    <x:t xml:space="preserve">DGKC|div_paid|2021</x:t>
  </x:si>
  <x:si>
    <x:t xml:space="preserve">DGKC|div_paid|2022</x:t>
  </x:si>
  <x:si>
    <x:t xml:space="preserve">DGKC|div_paid|2023</x:t>
  </x:si>
  <x:si>
    <x:t xml:space="preserve">DGKC|div_paid|2024</x:t>
  </x:si>
  <x:si>
    <x:t xml:space="preserve">DGKC|div_paid|2025</x:t>
  </x:si>
  <x:si>
    <x:t xml:space="preserve">DGKC|par|2021</x:t>
  </x:si>
  <x:si>
    <x:t xml:space="preserve">DGKC|par|2022</x:t>
  </x:si>
  <x:si>
    <x:t xml:space="preserve">DGKC|par|2023</x:t>
  </x:si>
  <x:si>
    <x:t xml:space="preserve">201</x:t>
  </x:si>
  <x:si>
    <x:t xml:space="preserve">DGKC|par|2024</x:t>
  </x:si>
  <x:si>
    <x:t xml:space="preserve">204</x:t>
  </x:si>
  <x:si>
    <x:t xml:space="preserve">DGKC|par|2025</x:t>
  </x:si>
  <x:si>
    <x:t xml:space="preserve">209</x:t>
  </x:si>
  <x:si>
    <x:t xml:space="preserve">DGKC|wavg|2021</x:t>
  </x:si>
  <x:si>
    <x:t xml:space="preserve">DGKC|wavg|2022</x:t>
  </x:si>
  <x:si>
    <x:t xml:space="preserve">DGKC|wavg|2023</x:t>
  </x:si>
  <x:si>
    <x:t xml:space="preserve">DGKC|wavg|2024</x:t>
  </x:si>
  <x:si>
    <x:t xml:space="preserve">DGKC|wavg|2025</x:t>
  </x:si>
  <x:si>
    <x:t xml:space="preserve">DGKC|price|2021</x:t>
  </x:si>
  <x:si>
    <x:t xml:space="preserve">DGKC|price|2022</x:t>
  </x:si>
  <x:si>
    <x:t xml:space="preserve">DGKC|price|2023</x:t>
  </x:si>
  <x:si>
    <x:t xml:space="preserve">DGKC|price|2024</x:t>
  </x:si>
  <x:si>
    <x:t xml:space="preserve">DGKC|price|2025</x:t>
  </x:si>
  <x:si>
    <x:t xml:space="preserve">DGKC|dps|2021</x:t>
  </x:si>
  <x:si>
    <x:t xml:space="preserve">107</x:t>
  </x:si>
  <x:si>
    <x:t xml:space="preserve">DGKC|dps|2022</x:t>
  </x:si>
  <x:si>
    <x:t xml:space="preserve">DGKC|dps|2023</x:t>
  </x:si>
  <x:si>
    <x:t xml:space="preserve">DGKC|dps|2024</x:t>
  </x:si>
  <x:si>
    <x:t xml:space="preserve">DGKC|dps|2025</x:t>
  </x:si>
  <x:si>
    <x:t xml:space="preserve">DGKC|eps_rep|2021</x:t>
  </x:si>
  <x:si>
    <x:t xml:space="preserve">DGKC|eps_rep|2022</x:t>
  </x:si>
  <x:si>
    <x:t xml:space="preserve">DGKC|eps_rep|2023</x:t>
  </x:si>
  <x:si>
    <x:t xml:space="preserve">DGKC|eps_rep|2024</x:t>
  </x:si>
  <x:si>
    <x:t xml:space="preserve">DGKC|eps_rep|2025</x:t>
  </x:si>
  <x:si>
    <x:t xml:space="preserve">DGKC|adj|2021</x:t>
  </x:si>
  <x:si>
    <x:t xml:space="preserve">DGKC|adj|2022</x:t>
  </x:si>
  <x:si>
    <x:t xml:space="preserve">DGKC|adj|2023</x:t>
  </x:si>
  <x:si>
    <x:t xml:space="preserve">DGKC|adj|2024</x:t>
  </x:si>
  <x:si>
    <x:t xml:space="preserve">DGKC|adj|2025</x:t>
  </x:si>
  <x:si>
    <x:t xml:space="preserve">MLCF|ppe|2020</x:t>
  </x:si>
  <x:si>
    <x:t xml:space="preserve">161</x:t>
  </x:si>
  <x:si>
    <x:t xml:space="preserve">MLCF|ppe|2021</x:t>
  </x:si>
  <x:si>
    <x:t xml:space="preserve">MLCF|ppe|2022</x:t>
  </x:si>
  <x:si>
    <x:t xml:space="preserve">192-193</x:t>
  </x:si>
  <x:si>
    <x:t xml:space="preserve">MLCF|ppe|2023</x:t>
  </x:si>
  <x:si>
    <x:t xml:space="preserve">189</x:t>
  </x:si>
  <x:si>
    <x:t xml:space="preserve">MLCF|ppe|2024</x:t>
  </x:si>
  <x:si>
    <x:t xml:space="preserve">MLCF|ppe|2025</x:t>
  </x:si>
  <x:si>
    <x:t xml:space="preserve">MLCF|cwip|2020</x:t>
  </x:si>
  <x:si>
    <x:t xml:space="preserve">Capital work in progress - at cost</x:t>
  </x:si>
  <x:si>
    <x:t xml:space="preserve">MLCF|cwip|2021</x:t>
  </x:si>
  <x:si>
    <x:t xml:space="preserve">MLCF|cwip|2022</x:t>
  </x:si>
  <x:si>
    <x:t xml:space="preserve">MLCF|cwip|2023</x:t>
  </x:si>
  <x:si>
    <x:t xml:space="preserve">231</x:t>
  </x:si>
  <x:si>
    <x:t xml:space="preserve">MLCF|cwip|2024</x:t>
  </x:si>
  <x:si>
    <x:t xml:space="preserve">Capital work in progress - at cost (note 19)</x:t>
  </x:si>
  <x:si>
    <x:t xml:space="preserve">245</x:t>
  </x:si>
  <x:si>
    <x:t xml:space="preserve">MLCF|cwip|2025</x:t>
  </x:si>
  <x:si>
    <x:t xml:space="preserve">MLCF|rou|2020</x:t>
  </x:si>
  <x:si>
    <x:t xml:space="preserve">160</x:t>
  </x:si>
  <x:si>
    <x:t xml:space="preserve">MLCF|rou|2021</x:t>
  </x:si>
  <x:si>
    <x:t xml:space="preserve">MLCF|rou|2022</x:t>
  </x:si>
  <x:si>
    <x:t xml:space="preserve">MLCF|rou|2023</x:t>
  </x:si>
  <x:si>
    <x:t xml:space="preserve">MLCF|rou|2024</x:t>
  </x:si>
  <x:si>
    <x:t xml:space="preserve">MLCF|rou|2025</x:t>
  </x:si>
  <x:si>
    <x:t xml:space="preserve">MLCF|intang|2020</x:t>
  </x:si>
  <x:si>
    <x:t xml:space="preserve">MLCF|intang|2021</x:t>
  </x:si>
  <x:si>
    <x:t xml:space="preserve">MLCF|intang|2022</x:t>
  </x:si>
  <x:si>
    <x:t xml:space="preserve">MLCF|intang|2023</x:t>
  </x:si>
  <x:si>
    <x:t xml:space="preserve">MLCF|intang|2024</x:t>
  </x:si>
  <x:si>
    <x:t xml:space="preserve">MLCF|intang|2025</x:t>
  </x:si>
  <x:si>
    <x:t xml:space="preserve">MLCF|inv_prop|2020</x:t>
  </x:si>
  <x:si>
    <x:t xml:space="preserve">MLCF|inv_prop|2021</x:t>
  </x:si>
  <x:si>
    <x:t xml:space="preserve">MLCF|inv_prop|2022</x:t>
  </x:si>
  <x:si>
    <x:t xml:space="preserve">MLCF|inv_prop|2023</x:t>
  </x:si>
  <x:si>
    <x:t xml:space="preserve">MLCF|inv_prop|2024</x:t>
  </x:si>
  <x:si>
    <x:t xml:space="preserve">MLCF|inv_prop|2025</x:t>
  </x:si>
  <x:si>
    <x:t xml:space="preserve">MLCF|lt_inv|2020</x:t>
  </x:si>
  <x:si>
    <x:t xml:space="preserve">Long term investment</x:t>
  </x:si>
  <x:si>
    <x:t xml:space="preserve">MLCF|lt_inv|2021</x:t>
  </x:si>
  <x:si>
    <x:t xml:space="preserve">MLCF|lt_inv|2022</x:t>
  </x:si>
  <x:si>
    <x:t xml:space="preserve">MLCF|lt_inv|2023</x:t>
  </x:si>
  <x:si>
    <x:t xml:space="preserve">MLCF|lt_inv|2024</x:t>
  </x:si>
  <x:si>
    <x:t xml:space="preserve">MLCF|lt_inv|2025</x:t>
  </x:si>
  <x:si>
    <x:t xml:space="preserve">MLCF|nca_other|2020</x:t>
  </x:si>
  <x:si>
    <x:t xml:space="preserve">Long term deposits; Long term loans to employees - secured</x:t>
  </x:si>
  <x:si>
    <x:t xml:space="preserve">MLCF|nca_other|2021</x:t>
  </x:si>
  <x:si>
    <x:t xml:space="preserve">MLCF|nca_other|2022</x:t>
  </x:si>
  <x:si>
    <x:t xml:space="preserve">MLCF|nca_other|2023</x:t>
  </x:si>
  <x:si>
    <x:t xml:space="preserve">MLCF|nca_other|2024</x:t>
  </x:si>
  <x:si>
    <x:t xml:space="preserve">MLCF|nca_other|2025</x:t>
  </x:si>
  <x:si>
    <x:t xml:space="preserve">MLCF|stores|2020</x:t>
  </x:si>
  <x:si>
    <x:t xml:space="preserve">MLCF|stores|2021</x:t>
  </x:si>
  <x:si>
    <x:t xml:space="preserve">MLCF|stores|2022</x:t>
  </x:si>
  <x:si>
    <x:t xml:space="preserve">MLCF|stores|2023</x:t>
  </x:si>
  <x:si>
    <x:t xml:space="preserve">MLCF|stores|2024</x:t>
  </x:si>
  <x:si>
    <x:t xml:space="preserve">MLCF|stores|2025</x:t>
  </x:si>
  <x:si>
    <x:t xml:space="preserve">MLCF|sit|2020</x:t>
  </x:si>
  <x:si>
    <x:t xml:space="preserve">MLCF|sit|2021</x:t>
  </x:si>
  <x:si>
    <x:t xml:space="preserve">MLCF|sit|2022</x:t>
  </x:si>
  <x:si>
    <x:t xml:space="preserve">MLCF|sit|2023</x:t>
  </x:si>
  <x:si>
    <x:t xml:space="preserve">MLCF|sit|2024</x:t>
  </x:si>
  <x:si>
    <x:t xml:space="preserve">MLCF|sit|2025</x:t>
  </x:si>
  <x:si>
    <x:t xml:space="preserve">MLCF|debts|2020</x:t>
  </x:si>
  <x:si>
    <x:t xml:space="preserve">MLCF|debts|2021</x:t>
  </x:si>
  <x:si>
    <x:t xml:space="preserve">MLCF|debts|2022</x:t>
  </x:si>
  <x:si>
    <x:t xml:space="preserve">MLCF|debts|2023</x:t>
  </x:si>
  <x:si>
    <x:t xml:space="preserve">MLCF|debts|2024</x:t>
  </x:si>
  <x:si>
    <x:t xml:space="preserve">MLCF|debts|2025</x:t>
  </x:si>
  <x:si>
    <x:t xml:space="preserve">MLCF|st_inv|2020</x:t>
  </x:si>
  <x:si>
    <x:t xml:space="preserve">Short term investment</x:t>
  </x:si>
  <x:si>
    <x:t xml:space="preserve">29</x:t>
  </x:si>
  <x:si>
    <x:t xml:space="preserve">MLCF|st_inv|2021</x:t>
  </x:si>
  <x:si>
    <x:t xml:space="preserve">MLCF|st_inv|2022</x:t>
  </x:si>
  <x:si>
    <x:t xml:space="preserve">MLCF|st_inv|2023</x:t>
  </x:si>
  <x:si>
    <x:t xml:space="preserve">MLCF|st_inv|2024</x:t>
  </x:si>
  <x:si>
    <x:t xml:space="preserve">28</x:t>
  </x:si>
  <x:si>
    <x:t xml:space="preserve">MLCF|st_inv|2025</x:t>
  </x:si>
  <x:si>
    <x:t xml:space="preserve">MLCF|cash|2020</x:t>
  </x:si>
  <x:si>
    <x:t xml:space="preserve">34</x:t>
  </x:si>
  <x:si>
    <x:t xml:space="preserve">MLCF|cash|2021</x:t>
  </x:si>
  <x:si>
    <x:t xml:space="preserve">MLCF|cash|2022</x:t>
  </x:si>
  <x:si>
    <x:t xml:space="preserve">MLCF|cash|2023</x:t>
  </x:si>
  <x:si>
    <x:t xml:space="preserve">MLCF|cash|2024</x:t>
  </x:si>
  <x:si>
    <x:t xml:space="preserve">33</x:t>
  </x:si>
  <x:si>
    <x:t xml:space="preserve">MLCF|cash|2025</x:t>
  </x:si>
  <x:si>
    <x:t xml:space="preserve">MLCF|ca_other|2020</x:t>
  </x:si>
  <x:si>
    <x:t xml:space="preserve">Accrued profit; Advance income tax - net of provision; Loans and advances; Other receivables; Short term deposits and pr</x:t>
  </x:si>
  <x:si>
    <x:t xml:space="preserve">31</x:t>
  </x:si>
  <x:si>
    <x:t xml:space="preserve">MLCF|ca_other|2021</x:t>
  </x:si>
  <x:si>
    <x:t xml:space="preserve">MLCF|ca_other|2022</x:t>
  </x:si>
  <x:si>
    <x:t xml:space="preserve">MLCF|ca_other|2023</x:t>
  </x:si>
  <x:si>
    <x:t xml:space="preserve">Accrued profit; Advance income tax; Loans and advances; Other receivables; Short term deposits and prepayments</x:t>
  </x:si>
  <x:si>
    <x:t xml:space="preserve">MLCF|ca_other|2024</x:t>
  </x:si>
  <x:si>
    <x:t xml:space="preserve">MLCF|ca_other|2025</x:t>
  </x:si>
  <x:si>
    <x:t xml:space="preserve">MLCF|share_cap|2020</x:t>
  </x:si>
  <x:si>
    <x:t xml:space="preserve">MLCF|share_cap|2021</x:t>
  </x:si>
  <x:si>
    <x:t xml:space="preserve">MLCF|share_cap|2022</x:t>
  </x:si>
  <x:si>
    <x:t xml:space="preserve">MLCF|share_cap|2023</x:t>
  </x:si>
  <x:si>
    <x:t xml:space="preserve">ordinary shares of Rs. 10 each</x:t>
  </x:si>
  <x:si>
    <x:t xml:space="preserve">MLCF|share_cap|2024</x:t>
  </x:si>
  <x:si>
    <x:t xml:space="preserve">MLCF|share_cap|2025</x:t>
  </x:si>
  <x:si>
    <x:t xml:space="preserve">MLCF|eq_other|2020</x:t>
  </x:si>
  <x:si>
    <x:t xml:space="preserve">Accumulated profits; Capital reserves; Surplus on revaluation of fixed assets -</x:t>
  </x:si>
  <x:si>
    <x:t xml:space="preserve">MLCF|eq_other|2021</x:t>
  </x:si>
  <x:si>
    <x:t xml:space="preserve">MLCF|eq_other|2022</x:t>
  </x:si>
  <x:si>
    <x:t xml:space="preserve">MLCF|eq_other|2023</x:t>
  </x:si>
  <x:si>
    <x:t xml:space="preserve">Capital reserves; Revenue reserve: Un-appropriated profits; Surplus on revaluation of fixed assets</x:t>
  </x:si>
  <x:si>
    <x:t xml:space="preserve">MLCF|eq_other|2024</x:t>
  </x:si>
  <x:si>
    <x:t xml:space="preserve">MLCF|eq_other|2025</x:t>
  </x:si>
  <x:si>
    <x:t xml:space="preserve">MLCF|ltf_nc|2020</x:t>
  </x:si>
  <x:si>
    <x:t xml:space="preserve">Long term loan from Subsidiary Company; Long term loans from financial instituti</x:t>
  </x:si>
  <x:si>
    <x:t xml:space="preserve">MLCF|ltf_nc|2021</x:t>
  </x:si>
  <x:si>
    <x:t xml:space="preserve">Long term loan from subsidiary company; Long term loans from financial instituti</x:t>
  </x:si>
  <x:si>
    <x:t xml:space="preserve">MLCF|ltf_nc|2022</x:t>
  </x:si>
  <x:si>
    <x:t xml:space="preserve">MLCF|ltf_nc|2023</x:t>
  </x:si>
  <x:si>
    <x:t xml:space="preserve">Long term loan from subsidiary company -; Long term loans from financial instituti</x:t>
  </x:si>
  <x:si>
    <x:t xml:space="preserve">MLCF|ltf_nc|2024</x:t>
  </x:si>
  <x:si>
    <x:t xml:space="preserve">MLCF|ltf_nc|2025</x:t>
  </x:si>
  <x:si>
    <x:t xml:space="preserve">MLCF|lease_nc|2020</x:t>
  </x:si>
  <x:si>
    <x:t xml:space="preserve">MLCF|lease_nc|2021</x:t>
  </x:si>
  <x:si>
    <x:t xml:space="preserve">Long term liability against right of use</x:t>
  </x:si>
  <x:si>
    <x:t xml:space="preserve">MLCF|lease_nc|2022</x:t>
  </x:si>
  <x:si>
    <x:t xml:space="preserve">MLCF|lease_nc|2023</x:t>
  </x:si>
  <x:si>
    <x:t xml:space="preserve">Lease liabilities</x:t>
  </x:si>
  <x:si>
    <x:t xml:space="preserve">MLCF|lease_nc|2024</x:t>
  </x:si>
  <x:si>
    <x:t xml:space="preserve">MLCF|lease_nc|2025</x:t>
  </x:si>
  <x:si>
    <x:t xml:space="preserve">MLCF|grant_nc|2020</x:t>
  </x:si>
  <x:si>
    <x:t xml:space="preserve">MLCF|grant_nc|2021</x:t>
  </x:si>
  <x:si>
    <x:t xml:space="preserve">MLCF|grant_nc|2022</x:t>
  </x:si>
  <x:si>
    <x:t xml:space="preserve">MLCF|grant_nc|2023</x:t>
  </x:si>
  <x:si>
    <x:t xml:space="preserve">MLCF|grant_nc|2024</x:t>
  </x:si>
  <x:si>
    <x:t xml:space="preserve">MLCF|grant_nc|2025</x:t>
  </x:si>
  <x:si>
    <x:t xml:space="preserve">MLCF|def_tax|2020</x:t>
  </x:si>
  <x:si>
    <x:t xml:space="preserve">MLCF|def_tax|2021</x:t>
  </x:si>
  <x:si>
    <x:t xml:space="preserve">MLCF|def_tax|2022</x:t>
  </x:si>
  <x:si>
    <x:t xml:space="preserve">MLCF|def_tax|2023</x:t>
  </x:si>
  <x:si>
    <x:t xml:space="preserve">MLCF|def_tax|2024</x:t>
  </x:si>
  <x:si>
    <x:t xml:space="preserve">Deferred income tax liability</x:t>
  </x:si>
  <x:si>
    <x:t xml:space="preserve">MLCF|def_tax|2025</x:t>
  </x:si>
  <x:si>
    <x:t xml:space="preserve">MLCF|ncl_other|2020</x:t>
  </x:si>
  <x:si>
    <x:t xml:space="preserve">Long term deposits; Payable to government authority; Retention money payable; Retirement benefits</x:t>
  </x:si>
  <x:si>
    <x:t xml:space="preserve">MLCF|ncl_other|2021</x:t>
  </x:si>
  <x:si>
    <x:t xml:space="preserve">MLCF|ncl_other|2022</x:t>
  </x:si>
  <x:si>
    <x:t xml:space="preserve">Long term deposits; Retention money; Retirement benefits</x:t>
  </x:si>
  <x:si>
    <x:t xml:space="preserve">MLCF|ncl_other|2023</x:t>
  </x:si>
  <x:si>
    <x:t xml:space="preserve">Employee benefits obligations; Long term deposits; Retention money</x:t>
  </x:si>
  <x:si>
    <x:t xml:space="preserve">MLCF|ncl_other|2024</x:t>
  </x:si>
  <x:si>
    <x:t xml:space="preserve">MLCF|ncl_other|2025</x:t>
  </x:si>
  <x:si>
    <x:t xml:space="preserve">MLCF|tap|2020</x:t>
  </x:si>
  <x:si>
    <x:t xml:space="preserve">MLCF|tap|2021</x:t>
  </x:si>
  <x:si>
    <x:t xml:space="preserve">MLCF|tap|2022</x:t>
  </x:si>
  <x:si>
    <x:t xml:space="preserve">MLCF|tap|2023</x:t>
  </x:si>
  <x:si>
    <x:t xml:space="preserve">MLCF|tap|2024</x:t>
  </x:si>
  <x:si>
    <x:t xml:space="preserve">MLCF|tap|2025</x:t>
  </x:si>
  <x:si>
    <x:t xml:space="preserve">MLCF|trade_cred|2020</x:t>
  </x:si>
  <x:si>
    <x:t xml:space="preserve">Trade creditors; Bills payable - secured</x:t>
  </x:si>
  <x:si>
    <x:t xml:space="preserve">196</x:t>
  </x:si>
  <x:si>
    <x:t xml:space="preserve">MLCF|trade_cred|2021</x:t>
  </x:si>
  <x:si>
    <x:t xml:space="preserve">219</x:t>
  </x:si>
  <x:si>
    <x:t xml:space="preserve">MLCF|trade_cred|2022</x:t>
  </x:si>
  <x:si>
    <x:t xml:space="preserve">MLCF|trade_cred|2023</x:t>
  </x:si>
  <x:si>
    <x:t xml:space="preserve">MLCF|trade_cred|2024</x:t>
  </x:si>
  <x:si>
    <x:t xml:space="preserve">MLCF|trade_cred|2025</x:t>
  </x:si>
  <x:si>
    <x:t xml:space="preserve">MLCF|contract|2020</x:t>
  </x:si>
  <x:si>
    <x:t xml:space="preserve">MLCF|contract|2021</x:t>
  </x:si>
  <x:si>
    <x:t xml:space="preserve">MLCF|contract|2022</x:t>
  </x:si>
  <x:si>
    <x:t xml:space="preserve">MLCF|contract|2023</x:t>
  </x:si>
  <x:si>
    <x:t xml:space="preserve">MLCF|contract|2024</x:t>
  </x:si>
  <x:si>
    <x:t xml:space="preserve">MLCF|contract|2025</x:t>
  </x:si>
  <x:si>
    <x:t xml:space="preserve">MLCF|acc_markup|2020</x:t>
  </x:si>
  <x:si>
    <x:t xml:space="preserve">MLCF|acc_markup|2021</x:t>
  </x:si>
  <x:si>
    <x:t xml:space="preserve">MLCF|acc_markup|2022</x:t>
  </x:si>
  <x:si>
    <x:t xml:space="preserve">MLCF|acc_markup|2023</x:t>
  </x:si>
  <x:si>
    <x:t xml:space="preserve">MLCF|acc_markup|2024</x:t>
  </x:si>
  <x:si>
    <x:t xml:space="preserve">MLCF|acc_markup|2025</x:t>
  </x:si>
  <x:si>
    <x:t xml:space="preserve">MLCF|stb|2020</x:t>
  </x:si>
  <x:si>
    <x:t xml:space="preserve">MLCF|stb|2021</x:t>
  </x:si>
  <x:si>
    <x:t xml:space="preserve">MLCF|stb|2022</x:t>
  </x:si>
  <x:si>
    <x:t xml:space="preserve">MLCF|stb|2023</x:t>
  </x:si>
  <x:si>
    <x:t xml:space="preserve">MLCF|stb|2024</x:t>
  </x:si>
  <x:si>
    <x:t xml:space="preserve">MLCF|stb|2025</x:t>
  </x:si>
  <x:si>
    <x:t xml:space="preserve">MLCF|cp_ltf|2020</x:t>
  </x:si>
  <x:si>
    <x:t xml:space="preserve">Current portion of: - Long term loans fr</x:t>
  </x:si>
  <x:si>
    <x:t xml:space="preserve">MLCF|cp_ltf|2021</x:t>
  </x:si>
  <x:si>
    <x:t xml:space="preserve">MLCF|cp_ltf|2022</x:t>
  </x:si>
  <x:si>
    <x:t xml:space="preserve">MLCF|cp_ltf|2023</x:t>
  </x:si>
  <x:si>
    <x:t xml:space="preserve">MLCF|cp_ltf|2024</x:t>
  </x:si>
  <x:si>
    <x:t xml:space="preserve">MLCF|cp_ltf|2025</x:t>
  </x:si>
  <x:si>
    <x:t xml:space="preserve">MLCF|cp_lease|2020</x:t>
  </x:si>
  <x:si>
    <x:t xml:space="preserve">MLCF|cp_lease|2021</x:t>
  </x:si>
  <x:si>
    <x:t xml:space="preserve">- Liability against right of use assets</x:t>
  </x:si>
  <x:si>
    <x:t xml:space="preserve">MLCF|cp_lease|2022</x:t>
  </x:si>
  <x:si>
    <x:t xml:space="preserve">MLCF|cp_lease|2023</x:t>
  </x:si>
  <x:si>
    <x:t xml:space="preserve">- Lease liabilities</x:t>
  </x:si>
  <x:si>
    <x:t xml:space="preserve">MLCF|cp_lease|2024</x:t>
  </x:si>
  <x:si>
    <x:t xml:space="preserve">MLCF|cp_lease|2025</x:t>
  </x:si>
  <x:si>
    <x:t xml:space="preserve">MLCF|cp_grant|2020</x:t>
  </x:si>
  <x:si>
    <x:t xml:space="preserve">- Deferred grant</x:t>
  </x:si>
  <x:si>
    <x:t xml:space="preserve">MLCF|cp_grant|2021</x:t>
  </x:si>
  <x:si>
    <x:t xml:space="preserve">MLCF|cp_grant|2022</x:t>
  </x:si>
  <x:si>
    <x:t xml:space="preserve">MLCF|cp_grant|2023</x:t>
  </x:si>
  <x:si>
    <x:t xml:space="preserve">- Deferred government grant</x:t>
  </x:si>
  <x:si>
    <x:t xml:space="preserve">MLCF|cp_grant|2024</x:t>
  </x:si>
  <x:si>
    <x:t xml:space="preserve">MLCF|cp_grant|2025</x:t>
  </x:si>
  <x:si>
    <x:t xml:space="preserve">MLCF|div_liab|2020</x:t>
  </x:si>
  <x:si>
    <x:t xml:space="preserve">MLCF|div_liab|2021</x:t>
  </x:si>
  <x:si>
    <x:t xml:space="preserve">MLCF|div_liab|2022</x:t>
  </x:si>
  <x:si>
    <x:t xml:space="preserve">MLCF|div_liab|2023</x:t>
  </x:si>
  <x:si>
    <x:t xml:space="preserve">MLCF|div_liab|2024</x:t>
  </x:si>
  <x:si>
    <x:t xml:space="preserve">MLCF|div_liab|2025</x:t>
  </x:si>
  <x:si>
    <x:t xml:space="preserve">MLCF|tax_liab|2020</x:t>
  </x:si>
  <x:si>
    <x:t xml:space="preserve">MLCF|tax_liab|2021</x:t>
  </x:si>
  <x:si>
    <x:t xml:space="preserve">MLCF|tax_liab|2022</x:t>
  </x:si>
  <x:si>
    <x:t xml:space="preserve">MLCF|tax_liab|2023</x:t>
  </x:si>
  <x:si>
    <x:t xml:space="preserve">MLCF|tax_liab|2024</x:t>
  </x:si>
  <x:si>
    <x:t xml:space="preserve">Provision for income tax</x:t>
  </x:si>
  <x:si>
    <x:t xml:space="preserve">32</x:t>
  </x:si>
  <x:si>
    <x:t xml:space="preserve">MLCF|tax_liab|2025</x:t>
  </x:si>
  <x:si>
    <x:t xml:space="preserve">MLCF|cl_other|2020</x:t>
  </x:si>
  <x:si>
    <x:t xml:space="preserve">MLCF|cl_other|2021</x:t>
  </x:si>
  <x:si>
    <x:t xml:space="preserve">MLCF|cl_other|2022</x:t>
  </x:si>
  <x:si>
    <x:t xml:space="preserve">MLCF|cl_other|2023</x:t>
  </x:si>
  <x:si>
    <x:t xml:space="preserve">MLCF|cl_other|2024</x:t>
  </x:si>
  <x:si>
    <x:t xml:space="preserve">MLCF|cl_other|2025</x:t>
  </x:si>
  <x:si>
    <x:t xml:space="preserve">MLCF|pr_TA|2020</x:t>
  </x:si>
  <x:si>
    <x:t xml:space="preserve">MLCF|pr_TA|2021</x:t>
  </x:si>
  <x:si>
    <x:t xml:space="preserve">MLCF|pr_TA|2022</x:t>
  </x:si>
  <x:si>
    <x:t xml:space="preserve">MLCF|pr_TA|2023</x:t>
  </x:si>
  <x:si>
    <x:t xml:space="preserve">MLCF|pr_TA|2024</x:t>
  </x:si>
  <x:si>
    <x:t xml:space="preserve">MLCF|pr_TA|2025</x:t>
  </x:si>
  <x:si>
    <x:t xml:space="preserve">MLCF|pr_EQ|2020</x:t>
  </x:si>
  <x:si>
    <x:t xml:space="preserve">MLCF|pr_EQ|2021</x:t>
  </x:si>
  <x:si>
    <x:t xml:space="preserve">MLCF|pr_EQ|2022</x:t>
  </x:si>
  <x:si>
    <x:t xml:space="preserve">MLCF|pr_EQ|2023</x:t>
  </x:si>
  <x:si>
    <x:t xml:space="preserve">MLCF|pr_EQ|2024</x:t>
  </x:si>
  <x:si>
    <x:t xml:space="preserve">MLCF|pr_EQ|2025</x:t>
  </x:si>
  <x:si>
    <x:t xml:space="preserve">MLCF|pr_CA|2020</x:t>
  </x:si>
  <x:si>
    <x:t xml:space="preserve">MLCF|pr_CA|2021</x:t>
  </x:si>
  <x:si>
    <x:t xml:space="preserve">MLCF|pr_CA|2022</x:t>
  </x:si>
  <x:si>
    <x:t xml:space="preserve">MLCF|pr_CA|2023</x:t>
  </x:si>
  <x:si>
    <x:t xml:space="preserve">MLCF|pr_CA|2024</x:t>
  </x:si>
  <x:si>
    <x:t xml:space="preserve">MLCF|pr_CA|2025</x:t>
  </x:si>
  <x:si>
    <x:t xml:space="preserve">MLCF|pr_CL|2020</x:t>
  </x:si>
  <x:si>
    <x:t xml:space="preserve">MLCF|pr_CL|2021</x:t>
  </x:si>
  <x:si>
    <x:t xml:space="preserve">MLCF|pr_CL|2022</x:t>
  </x:si>
  <x:si>
    <x:t xml:space="preserve">MLCF|pr_CL|2023</x:t>
  </x:si>
  <x:si>
    <x:t xml:space="preserve">MLCF|pr_CL|2024</x:t>
  </x:si>
  <x:si>
    <x:t xml:space="preserve">MLCF|pr_CL|2025</x:t>
  </x:si>
  <x:si>
    <x:t xml:space="preserve">MLCF|rev|2021</x:t>
  </x:si>
  <x:si>
    <x:t xml:space="preserve">Sales - net</x:t>
  </x:si>
  <x:si>
    <x:t xml:space="preserve">MLCF|rev|2022</x:t>
  </x:si>
  <x:si>
    <x:t xml:space="preserve">194-195</x:t>
  </x:si>
  <x:si>
    <x:t xml:space="preserve">MLCF|rev|2023</x:t>
  </x:si>
  <x:si>
    <x:t xml:space="preserve">190</x:t>
  </x:si>
  <x:si>
    <x:t xml:space="preserve">MLCF|rev|2024</x:t>
  </x:si>
  <x:si>
    <x:t xml:space="preserve">202</x:t>
  </x:si>
  <x:si>
    <x:t xml:space="preserve">MLCF|rev|2025</x:t>
  </x:si>
  <x:si>
    <x:t xml:space="preserve">MLCF|cogs|2021</x:t>
  </x:si>
  <x:si>
    <x:t xml:space="preserve">MLCF|cogs|2022</x:t>
  </x:si>
  <x:si>
    <x:t xml:space="preserve">MLCF|cogs|2023</x:t>
  </x:si>
  <x:si>
    <x:t xml:space="preserve">MLCF|cogs|2024</x:t>
  </x:si>
  <x:si>
    <x:t xml:space="preserve">MLCF|cogs|2025</x:t>
  </x:si>
  <x:si>
    <x:t xml:space="preserve">MLCF|selling|2021</x:t>
  </x:si>
  <x:si>
    <x:t xml:space="preserve">MLCF|selling|2022</x:t>
  </x:si>
  <x:si>
    <x:t xml:space="preserve">MLCF|selling|2023</x:t>
  </x:si>
  <x:si>
    <x:t xml:space="preserve">MLCF|selling|2024</x:t>
  </x:si>
  <x:si>
    <x:t xml:space="preserve">MLCF|selling|2025</x:t>
  </x:si>
  <x:si>
    <x:t xml:space="preserve">MLCF|admin|2021</x:t>
  </x:si>
  <x:si>
    <x:t xml:space="preserve">MLCF|admin|2022</x:t>
  </x:si>
  <x:si>
    <x:t xml:space="preserve">MLCF|admin|2023</x:t>
  </x:si>
  <x:si>
    <x:t xml:space="preserve">MLCF|admin|2024</x:t>
  </x:si>
  <x:si>
    <x:t xml:space="preserve">MLCF|admin|2025</x:t>
  </x:si>
  <x:si>
    <x:t xml:space="preserve">MLCF|impair|2021</x:t>
  </x:si>
  <x:si>
    <x:t xml:space="preserve">MLCF|impair|2022</x:t>
  </x:si>
  <x:si>
    <x:t xml:space="preserve">MLCF|impair|2023</x:t>
  </x:si>
  <x:si>
    <x:t xml:space="preserve">MLCF|impair|2024</x:t>
  </x:si>
  <x:si>
    <x:t xml:space="preserve">MLCF|impair|2025</x:t>
  </x:si>
  <x:si>
    <x:t xml:space="preserve">MLCF|oth_exp|2021</x:t>
  </x:si>
  <x:si>
    <x:t xml:space="preserve">Other charges</x:t>
  </x:si>
  <x:si>
    <x:t xml:space="preserve">MLCF|oth_exp|2022</x:t>
  </x:si>
  <x:si>
    <x:t xml:space="preserve">MLCF|oth_exp|2023</x:t>
  </x:si>
  <x:si>
    <x:t xml:space="preserve">MLCF|oth_exp|2024</x:t>
  </x:si>
  <x:si>
    <x:t xml:space="preserve">MLCF|oth_exp|2025</x:t>
  </x:si>
  <x:si>
    <x:t xml:space="preserve">MLCF|oth_inc|2021</x:t>
  </x:si>
  <x:si>
    <x:t xml:space="preserve">MLCF|oth_inc|2022</x:t>
  </x:si>
  <x:si>
    <x:t xml:space="preserve">MLCF|oth_inc|2023</x:t>
  </x:si>
  <x:si>
    <x:t xml:space="preserve">MLCF|oth_inc|2024</x:t>
  </x:si>
  <x:si>
    <x:t xml:space="preserve">MLCF|oth_inc|2025</x:t>
  </x:si>
  <x:si>
    <x:t xml:space="preserve">MLCF|fin_inc|2021</x:t>
  </x:si>
  <x:si>
    <x:t xml:space="preserve">MLCF|fin_inc|2022</x:t>
  </x:si>
  <x:si>
    <x:t xml:space="preserve">MLCF|fin_inc|2023</x:t>
  </x:si>
  <x:si>
    <x:t xml:space="preserve">MLCF|fin_inc|2024</x:t>
  </x:si>
  <x:si>
    <x:t xml:space="preserve">Finance income</x:t>
  </x:si>
  <x:si>
    <x:t xml:space="preserve">MLCF|fin_inc|2025</x:t>
  </x:si>
  <x:si>
    <x:t xml:space="preserve">MLCF|assoc|2021</x:t>
  </x:si>
  <x:si>
    <x:t xml:space="preserve">MLCF|assoc|2022</x:t>
  </x:si>
  <x:si>
    <x:t xml:space="preserve">MLCF|assoc|2023</x:t>
  </x:si>
  <x:si>
    <x:t xml:space="preserve">MLCF|assoc|2024</x:t>
  </x:si>
  <x:si>
    <x:t xml:space="preserve">MLCF|assoc|2025</x:t>
  </x:si>
  <x:si>
    <x:t xml:space="preserve">MLCF|fin_cost|2021</x:t>
  </x:si>
  <x:si>
    <x:t xml:space="preserve">MLCF|fin_cost|2022</x:t>
  </x:si>
  <x:si>
    <x:t xml:space="preserve">MLCF|fin_cost|2023</x:t>
  </x:si>
  <x:si>
    <x:t xml:space="preserve">MLCF|fin_cost|2024</x:t>
  </x:si>
  <x:si>
    <x:t xml:space="preserve">MLCF|fin_cost|2025</x:t>
  </x:si>
  <x:si>
    <x:t xml:space="preserve">MLCF|levy|2021</x:t>
  </x:si>
  <x:si>
    <x:t xml:space="preserve">MLCF|levy|2022</x:t>
  </x:si>
  <x:si>
    <x:t xml:space="preserve">MLCF|levy|2023</x:t>
  </x:si>
  <x:si>
    <x:t xml:space="preserve">Final taxes</x:t>
  </x:si>
  <x:si>
    <x:t xml:space="preserve">MLCF|levy|2024</x:t>
  </x:si>
  <x:si>
    <x:t xml:space="preserve">Final taxes - levy</x:t>
  </x:si>
  <x:si>
    <x:t xml:space="preserve">MLCF|levy|2025</x:t>
  </x:si>
  <x:si>
    <x:t xml:space="preserve">MLCF|tax|2021</x:t>
  </x:si>
  <x:si>
    <x:t xml:space="preserve">MLCF|tax|2022</x:t>
  </x:si>
  <x:si>
    <x:t xml:space="preserve">MLCF|tax|2023</x:t>
  </x:si>
  <x:si>
    <x:t xml:space="preserve">MLCF|tax|2024</x:t>
  </x:si>
  <x:si>
    <x:t xml:space="preserve">MLCF|tax|2025</x:t>
  </x:si>
  <x:si>
    <x:t xml:space="preserve">MLCF|pr_gp|2021</x:t>
  </x:si>
  <x:si>
    <x:t xml:space="preserve">MLCF|pr_gp|2022</x:t>
  </x:si>
  <x:si>
    <x:t xml:space="preserve">MLCF|pr_gp|2023</x:t>
  </x:si>
  <x:si>
    <x:t xml:space="preserve">MLCF|pr_gp|2024</x:t>
  </x:si>
  <x:si>
    <x:t xml:space="preserve">MLCF|pr_gp|2025</x:t>
  </x:si>
  <x:si>
    <x:t xml:space="preserve">MLCF|pr_pbt|2021</x:t>
  </x:si>
  <x:si>
    <x:t xml:space="preserve">MLCF|pr_pbt|2022</x:t>
  </x:si>
  <x:si>
    <x:t xml:space="preserve">MLCF|pr_pbt|2023</x:t>
  </x:si>
  <x:si>
    <x:t xml:space="preserve">Profit before final taxes and income tax</x:t>
  </x:si>
  <x:si>
    <x:t xml:space="preserve">MLCF|pr_pbt|2024</x:t>
  </x:si>
  <x:si>
    <x:t xml:space="preserve">MLCF|pr_pbt|2025</x:t>
  </x:si>
  <x:si>
    <x:t xml:space="preserve">MLCF|pr_pat|2021</x:t>
  </x:si>
  <x:si>
    <x:t xml:space="preserve">MLCF|pr_pat|2022</x:t>
  </x:si>
  <x:si>
    <x:t xml:space="preserve">MLCF|pr_pat|2023</x:t>
  </x:si>
  <x:si>
    <x:t xml:space="preserve">MLCF|pr_pat|2024</x:t>
  </x:si>
  <x:si>
    <x:t xml:space="preserve">MLCF|pr_pat|2025</x:t>
  </x:si>
  <x:si>
    <x:t xml:space="preserve">MLCF|fc_nonint|2021</x:t>
  </x:si>
  <x:si>
    <x:t xml:space="preserve">Bank and other charges</x:t>
  </x:si>
  <x:si>
    <x:t xml:space="preserve">241</x:t>
  </x:si>
  <x:si>
    <x:t xml:space="preserve">MLCF|fc_nonint|2022</x:t>
  </x:si>
  <x:si>
    <x:t xml:space="preserve">MLCF|fc_nonint|2023</x:t>
  </x:si>
  <x:si>
    <x:t xml:space="preserve">249</x:t>
  </x:si>
  <x:si>
    <x:t xml:space="preserve">MLCF|fc_nonint|2024</x:t>
  </x:si>
  <x:si>
    <x:t xml:space="preserve">MLCF|fc_nonint|2025</x:t>
  </x:si>
  <x:si>
    <x:t xml:space="preserve">MLCF|da|2021</x:t>
  </x:si>
  <x:si>
    <x:t xml:space="preserve">Depreciation; Amortization</x:t>
  </x:si>
  <x:si>
    <x:t xml:space="preserve">MLCF|da|2022</x:t>
  </x:si>
  <x:si>
    <x:t xml:space="preserve">MLCF|da|2023</x:t>
  </x:si>
  <x:si>
    <x:t xml:space="preserve">- Depreciation on operating fixed a; - Amortization on intangible assets</x:t>
  </x:si>
  <x:si>
    <x:t xml:space="preserve">251</x:t>
  </x:si>
  <x:si>
    <x:t xml:space="preserve">MLCF|da|2024</x:t>
  </x:si>
  <x:si>
    <x:t xml:space="preserve">- Depreciation on operating fixed a; - Depreciation on right-of-use asse; - Amortization on intangible assets</x:t>
  </x:si>
  <x:si>
    <x:t xml:space="preserve">MLCF|da|2025</x:t>
  </x:si>
  <x:si>
    <x:t xml:space="preserve">MLCF|cgo|2021</x:t>
  </x:si>
  <x:si>
    <x:t xml:space="preserve">Cash generated from operations before wo</x:t>
  </x:si>
  <x:si>
    <x:t xml:space="preserve">MLCF|cgo|2022</x:t>
  </x:si>
  <x:si>
    <x:t xml:space="preserve">MLCF|cgo|2023</x:t>
  </x:si>
  <x:si>
    <x:t xml:space="preserve">192</x:t>
  </x:si>
  <x:si>
    <x:t xml:space="preserve">MLCF|cgo|2024</x:t>
  </x:si>
  <x:si>
    <x:t xml:space="preserve">MLCF|cgo|2025</x:t>
  </x:si>
  <x:si>
    <x:t xml:space="preserve">MLCF|cfo|2021</x:t>
  </x:si>
  <x:si>
    <x:t xml:space="preserve">MLCF|cfo|2022</x:t>
  </x:si>
  <x:si>
    <x:t xml:space="preserve">MLCF|cfo|2023</x:t>
  </x:si>
  <x:si>
    <x:t xml:space="preserve">MLCF|cfo|2024</x:t>
  </x:si>
  <x:si>
    <x:t xml:space="preserve">MLCF|cfo|2025</x:t>
  </x:si>
  <x:si>
    <x:t xml:space="preserve">MLCF|fin_paid|2021</x:t>
  </x:si>
  <x:si>
    <x:t xml:space="preserve">MLCF|fin_paid|2022</x:t>
  </x:si>
  <x:si>
    <x:t xml:space="preserve">MLCF|fin_paid|2023</x:t>
  </x:si>
  <x:si>
    <x:t xml:space="preserve">MLCF|fin_paid|2024</x:t>
  </x:si>
  <x:si>
    <x:t xml:space="preserve">MLCF|fin_paid|2025</x:t>
  </x:si>
  <x:si>
    <x:t xml:space="preserve">MLCF|fin_paid_cls|2021</x:t>
  </x:si>
  <x:si>
    <x:t xml:space="preserve">MLCF|fin_paid_cls|2022</x:t>
  </x:si>
  <x:si>
    <x:t xml:space="preserve">MLCF|fin_paid_cls|2023</x:t>
  </x:si>
  <x:si>
    <x:t xml:space="preserve">MLCF|fin_paid_cls|2024</x:t>
  </x:si>
  <x:si>
    <x:t xml:space="preserve">MLCF|fin_paid_cls|2025</x:t>
  </x:si>
  <x:si>
    <x:t xml:space="preserve">MLCF|capex|2021</x:t>
  </x:si>
  <x:si>
    <x:t xml:space="preserve">Capital expenditure</x:t>
  </x:si>
  <x:si>
    <x:t xml:space="preserve">MLCF|capex|2022</x:t>
  </x:si>
  <x:si>
    <x:t xml:space="preserve">MLCF|capex|2023</x:t>
  </x:si>
  <x:si>
    <x:t xml:space="preserve">MLCF|capex|2024</x:t>
  </x:si>
  <x:si>
    <x:t xml:space="preserve">MLCF|capex|2025</x:t>
  </x:si>
  <x:si>
    <x:t xml:space="preserve">MLCF|cfi|2021</x:t>
  </x:si>
  <x:si>
    <x:t xml:space="preserve">Net cash (used in) / generated from inve</x:t>
  </x:si>
  <x:si>
    <x:t xml:space="preserve">MLCF|cfi|2022</x:t>
  </x:si>
  <x:si>
    <x:t xml:space="preserve">MLCF|cfi|2023</x:t>
  </x:si>
  <x:si>
    <x:t xml:space="preserve">Net cash outflow from investing activiti</x:t>
  </x:si>
  <x:si>
    <x:t xml:space="preserve">MLCF|cfi|2024</x:t>
  </x:si>
  <x:si>
    <x:t xml:space="preserve">MLCF|cfi|2025</x:t>
  </x:si>
  <x:si>
    <x:t xml:space="preserve">MLCF|cff|2021</x:t>
  </x:si>
  <x:si>
    <x:t xml:space="preserve">Net cash generated from / (used in) fina</x:t>
  </x:si>
  <x:si>
    <x:t xml:space="preserve">MLCF|cff|2022</x:t>
  </x:si>
  <x:si>
    <x:t xml:space="preserve">MLCF|cff|2023</x:t>
  </x:si>
  <x:si>
    <x:t xml:space="preserve">MLCF|cff|2024</x:t>
  </x:si>
  <x:si>
    <x:t xml:space="preserve">MLCF|cff|2025</x:t>
  </x:si>
  <x:si>
    <x:t xml:space="preserve">MLCF|div_paid|2021</x:t>
  </x:si>
  <x:si>
    <x:t xml:space="preserve">MLCF|div_paid|2022</x:t>
  </x:si>
  <x:si>
    <x:t xml:space="preserve">MLCF|div_paid|2023</x:t>
  </x:si>
  <x:si>
    <x:t xml:space="preserve">MLCF|div_paid|2024</x:t>
  </x:si>
  <x:si>
    <x:t xml:space="preserve">MLCF|div_paid|2025</x:t>
  </x:si>
  <x:si>
    <x:t xml:space="preserve">MLCF|par|2021</x:t>
  </x:si>
  <x:si>
    <x:t xml:space="preserve">220</x:t>
  </x:si>
  <x:si>
    <x:t xml:space="preserve">MLCF|par|2022</x:t>
  </x:si>
  <x:si>
    <x:t xml:space="preserve">MLCF|par|2023</x:t>
  </x:si>
  <x:si>
    <x:t xml:space="preserve">MLCF|par|2024</x:t>
  </x:si>
  <x:si>
    <x:t xml:space="preserve">MLCF|par|2025</x:t>
  </x:si>
  <x:si>
    <x:t xml:space="preserve">266</x:t>
  </x:si>
  <x:si>
    <x:t xml:space="preserve">MLCF|wavg|2021</x:t>
  </x:si>
  <x:si>
    <x:t xml:space="preserve">MLCF|wavg|2022</x:t>
  </x:si>
  <x:si>
    <x:t xml:space="preserve">MLCF|wavg|2023</x:t>
  </x:si>
  <x:si>
    <x:t xml:space="preserve">MLCF|wavg|2024</x:t>
  </x:si>
  <x:si>
    <x:t xml:space="preserve">MLCF|wavg|2025</x:t>
  </x:si>
  <x:si>
    <x:t xml:space="preserve">MLCF|price|2021</x:t>
  </x:si>
  <x:si>
    <x:t xml:space="preserve">MLCF|price|2022</x:t>
  </x:si>
  <x:si>
    <x:t xml:space="preserve">MLCF|price|2023</x:t>
  </x:si>
  <x:si>
    <x:t xml:space="preserve">MLCF|price|2024</x:t>
  </x:si>
  <x:si>
    <x:t xml:space="preserve">MLCF|price|2025</x:t>
  </x:si>
  <x:si>
    <x:t xml:space="preserve">MLCF|dps|2021</x:t>
  </x:si>
  <x:si>
    <x:t xml:space="preserve">174</x:t>
  </x:si>
  <x:si>
    <x:t xml:space="preserve">MLCF|dps|2022</x:t>
  </x:si>
  <x:si>
    <x:t xml:space="preserve">MLCF|dps|2023</x:t>
  </x:si>
  <x:si>
    <x:t xml:space="preserve">MLCF|dps|2024</x:t>
  </x:si>
  <x:si>
    <x:t xml:space="preserve">MLCF|dps|2025</x:t>
  </x:si>
  <x:si>
    <x:t xml:space="preserve">MLCF|eps_rep|2021</x:t>
  </x:si>
  <x:si>
    <x:t xml:space="preserve">162</x:t>
  </x:si>
  <x:si>
    <x:t xml:space="preserve">MLCF|eps_rep|2022</x:t>
  </x:si>
  <x:si>
    <x:t xml:space="preserve">MLCF|eps_rep|2023</x:t>
  </x:si>
  <x:si>
    <x:t xml:space="preserve">MLCF|eps_rep|2024</x:t>
  </x:si>
  <x:si>
    <x:t xml:space="preserve">MLCF|eps_rep|2025</x:t>
  </x:si>
  <x:si>
    <x:t xml:space="preserve">MLCF|adj|2021</x:t>
  </x:si>
  <x:si>
    <x:t xml:space="preserve">MLCF|adj|2022</x:t>
  </x:si>
  <x:si>
    <x:t xml:space="preserve">MLCF|adj|2023</x:t>
  </x:si>
  <x:si>
    <x:t xml:space="preserve">MLCF|adj|2024</x:t>
  </x:si>
  <x:si>
    <x:t xml:space="preserve">MLCF|adj|2025</x:t>
  </x:si>
  <x:si>
    <x:t xml:space="preserve">FCCL|ppe|2020</x:t>
  </x:si>
  <x:si>
    <x:t xml:space="preserve">FCCL-Annual-Report-2021.pdf</x:t>
  </x:si>
  <x:si>
    <x:t xml:space="preserve">FCCL|ppe|2021</x:t>
  </x:si>
  <x:si>
    <x:t xml:space="preserve">FCCL-Annual-Report-2022.pdf</x:t>
  </x:si>
  <x:si>
    <x:t xml:space="preserve">FCCL|ppe|2022</x:t>
  </x:si>
  <x:si>
    <x:t xml:space="preserve">FCCL-Annual-Report-2023.pdf</x:t>
  </x:si>
  <x:si>
    <x:t xml:space="preserve">207</x:t>
  </x:si>
  <x:si>
    <x:t xml:space="preserve">FCCL|ppe|2023</x:t>
  </x:si>
  <x:si>
    <x:t xml:space="preserve">FCCL-Annual-Report-2024.pdf</x:t>
  </x:si>
  <x:si>
    <x:t xml:space="preserve">FCCL|ppe|2024</x:t>
  </x:si>
  <x:si>
    <x:t xml:space="preserve">FCCL-Annual-Report-2025.pdf</x:t>
  </x:si>
  <x:si>
    <x:t xml:space="preserve">FCCL|ppe|2025</x:t>
  </x:si>
  <x:si>
    <x:t xml:space="preserve">FCCL|cwip|2020</x:t>
  </x:si>
  <x:si>
    <x:t xml:space="preserve">Capital work in progress column, PPE note</x:t>
  </x:si>
  <x:si>
    <x:t xml:space="preserve">191</x:t>
  </x:si>
  <x:si>
    <x:t xml:space="preserve">FCCL|cwip|2021</x:t>
  </x:si>
  <x:si>
    <x:t xml:space="preserve">FCCL|cwip|2022</x:t>
  </x:si>
  <x:si>
    <x:t xml:space="preserve">FCCL|cwip|2023</x:t>
  </x:si>
  <x:si>
    <x:t xml:space="preserve">217</x:t>
  </x:si>
  <x:si>
    <x:t xml:space="preserve">FCCL|cwip|2024</x:t>
  </x:si>
  <x:si>
    <x:t xml:space="preserve">FCCL|cwip|2025</x:t>
  </x:si>
  <x:si>
    <x:t xml:space="preserve">268</x:t>
  </x:si>
  <x:si>
    <x:t xml:space="preserve">FCCL|rou|2020</x:t>
  </x:si>
  <x:si>
    <x:t xml:space="preserve">Right of use asset</x:t>
  </x:si>
  <x:si>
    <x:t xml:space="preserve">FCCL|rou|2021</x:t>
  </x:si>
  <x:si>
    <x:t xml:space="preserve">FCCL|rou|2022</x:t>
  </x:si>
  <x:si>
    <x:t xml:space="preserve">FCCL|rou|2023</x:t>
  </x:si>
  <x:si>
    <x:t xml:space="preserve">FCCL|rou|2024</x:t>
  </x:si>
  <x:si>
    <x:t xml:space="preserve">FCCL|rou|2025</x:t>
  </x:si>
  <x:si>
    <x:t xml:space="preserve">FCCL|intang|2020</x:t>
  </x:si>
  <x:si>
    <x:t xml:space="preserve">FCCL|intang|2021</x:t>
  </x:si>
  <x:si>
    <x:t xml:space="preserve">FCCL|intang|2022</x:t>
  </x:si>
  <x:si>
    <x:t xml:space="preserve">Intangible assets and goodwill</x:t>
  </x:si>
  <x:si>
    <x:t xml:space="preserve">FCCL|intang|2023</x:t>
  </x:si>
  <x:si>
    <x:t xml:space="preserve">FCCL|intang|2024</x:t>
  </x:si>
  <x:si>
    <x:t xml:space="preserve">FCCL|intang|2025</x:t>
  </x:si>
  <x:si>
    <x:t xml:space="preserve">FCCL|inv_prop|2020</x:t>
  </x:si>
  <x:si>
    <x:t xml:space="preserve">FCCL|inv_prop|2021</x:t>
  </x:si>
  <x:si>
    <x:t xml:space="preserve">FCCL|inv_prop|2022</x:t>
  </x:si>
  <x:si>
    <x:t xml:space="preserve">FCCL|inv_prop|2023</x:t>
  </x:si>
  <x:si>
    <x:t xml:space="preserve">FCCL|inv_prop|2024</x:t>
  </x:si>
  <x:si>
    <x:t xml:space="preserve">FCCL|inv_prop|2025</x:t>
  </x:si>
  <x:si>
    <x:t xml:space="preserve">FCCL|lt_inv|2020</x:t>
  </x:si>
  <x:si>
    <x:t xml:space="preserve">FCCL|lt_inv|2021</x:t>
  </x:si>
  <x:si>
    <x:t xml:space="preserve">Long term investment in associate</x:t>
  </x:si>
  <x:si>
    <x:t xml:space="preserve">FCCL|lt_inv|2022</x:t>
  </x:si>
  <x:si>
    <x:t xml:space="preserve">FCCL|lt_inv|2023</x:t>
  </x:si>
  <x:si>
    <x:t xml:space="preserve">FCCL|lt_inv|2024</x:t>
  </x:si>
  <x:si>
    <x:t xml:space="preserve">FCCL|lt_inv|2025</x:t>
  </x:si>
  <x:si>
    <x:t xml:space="preserve">FCCL|nca_other|2020</x:t>
  </x:si>
  <x:si>
    <x:t xml:space="preserve">Advance against issue of shares; Long term deposits</x:t>
  </x:si>
  <x:si>
    <x:t xml:space="preserve">FCCL|nca_other|2021</x:t>
  </x:si>
  <x:si>
    <x:t xml:space="preserve">FCCL|nca_other|2022</x:t>
  </x:si>
  <x:si>
    <x:t xml:space="preserve">FCCL|nca_other|2023</x:t>
  </x:si>
  <x:si>
    <x:t xml:space="preserve">FCCL|nca_other|2024</x:t>
  </x:si>
  <x:si>
    <x:t xml:space="preserve">FCCL|nca_other|2025</x:t>
  </x:si>
  <x:si>
    <x:t xml:space="preserve">FCCL|stores|2020</x:t>
  </x:si>
  <x:si>
    <x:t xml:space="preserve">FCCL|stores|2021</x:t>
  </x:si>
  <x:si>
    <x:t xml:space="preserve">Stores, spares and loose tools - net</x:t>
  </x:si>
  <x:si>
    <x:t xml:space="preserve">FCCL|stores|2022</x:t>
  </x:si>
  <x:si>
    <x:t xml:space="preserve">FCCL|stores|2023</x:t>
  </x:si>
  <x:si>
    <x:t xml:space="preserve">FCCL|stores|2024</x:t>
  </x:si>
  <x:si>
    <x:t xml:space="preserve">FCCL|stores|2025</x:t>
  </x:si>
  <x:si>
    <x:t xml:space="preserve">FCCL|sit|2020</x:t>
  </x:si>
  <x:si>
    <x:t xml:space="preserve">Stock in trade</x:t>
  </x:si>
  <x:si>
    <x:t xml:space="preserve">FCCL|sit|2021</x:t>
  </x:si>
  <x:si>
    <x:t xml:space="preserve">FCCL|sit|2022</x:t>
  </x:si>
  <x:si>
    <x:t xml:space="preserve">FCCL|sit|2023</x:t>
  </x:si>
  <x:si>
    <x:t xml:space="preserve">FCCL|sit|2024</x:t>
  </x:si>
  <x:si>
    <x:t xml:space="preserve">FCCL|sit|2025</x:t>
  </x:si>
  <x:si>
    <x:t xml:space="preserve">FCCL|debts|2020</x:t>
  </x:si>
  <x:si>
    <x:t xml:space="preserve">FCCL|debts|2021</x:t>
  </x:si>
  <x:si>
    <x:t xml:space="preserve">Trade debts - net</x:t>
  </x:si>
  <x:si>
    <x:t xml:space="preserve">FCCL|debts|2022</x:t>
  </x:si>
  <x:si>
    <x:t xml:space="preserve">FCCL|debts|2023</x:t>
  </x:si>
  <x:si>
    <x:t xml:space="preserve">FCCL|debts|2024</x:t>
  </x:si>
  <x:si>
    <x:t xml:space="preserve">FCCL|debts|2025</x:t>
  </x:si>
  <x:si>
    <x:t xml:space="preserve">FCCL|st_inv|2020</x:t>
  </x:si>
  <x:si>
    <x:t xml:space="preserve">FCCL|st_inv|2021</x:t>
  </x:si>
  <x:si>
    <x:t xml:space="preserve">FCCL|st_inv|2022</x:t>
  </x:si>
  <x:si>
    <x:t xml:space="preserve">FCCL|st_inv|2023</x:t>
  </x:si>
  <x:si>
    <x:t xml:space="preserve">FCCL|st_inv|2024</x:t>
  </x:si>
  <x:si>
    <x:t xml:space="preserve">FCCL|st_inv|2025</x:t>
  </x:si>
  <x:si>
    <x:t xml:space="preserve">FCCL|cash|2020</x:t>
  </x:si>
  <x:si>
    <x:t xml:space="preserve">FCCL|cash|2021</x:t>
  </x:si>
  <x:si>
    <x:t xml:space="preserve">FCCL|cash|2022</x:t>
  </x:si>
  <x:si>
    <x:t xml:space="preserve">FCCL|cash|2023</x:t>
  </x:si>
  <x:si>
    <x:t xml:space="preserve">FCCL|cash|2024</x:t>
  </x:si>
  <x:si>
    <x:t xml:space="preserve">FCCL|cash|2025</x:t>
  </x:si>
  <x:si>
    <x:t xml:space="preserve">FCCL|ca_other|2020</x:t>
  </x:si>
  <x:si>
    <x:t xml:space="preserve">Advance tax - net; Advances; Other receivables; Trade deposits and short term prepayment</x:t>
  </x:si>
  <x:si>
    <x:t xml:space="preserve">FCCL|ca_other|2021</x:t>
  </x:si>
  <x:si>
    <x:t xml:space="preserve">Advance tax - net; Advances; Other receivables; Sales tax refundable-net; Trade deposits and short term prepayment</x:t>
  </x:si>
  <x:si>
    <x:t xml:space="preserve">FCCL|ca_other|2022</x:t>
  </x:si>
  <x:si>
    <x:t xml:space="preserve">FCCL|ca_other|2023</x:t>
  </x:si>
  <x:si>
    <x:t xml:space="preserve">FCCL|ca_other|2024</x:t>
  </x:si>
  <x:si>
    <x:t xml:space="preserve">Advance tax - net; Advances; Other receivables; Sales tax refundable - net; Trade deposits and short term prepayment</x:t>
  </x:si>
  <x:si>
    <x:t xml:space="preserve">FCCL|ca_other|2025</x:t>
  </x:si>
  <x:si>
    <x:t xml:space="preserve">FCCL|share_cap|2020</x:t>
  </x:si>
  <x:si>
    <x:t xml:space="preserve">FCCL|share_cap|2021</x:t>
  </x:si>
  <x:si>
    <x:t xml:space="preserve">FCCL|share_cap|2022</x:t>
  </x:si>
  <x:si>
    <x:t xml:space="preserve">FCCL|share_cap|2023</x:t>
  </x:si>
  <x:si>
    <x:t xml:space="preserve">FCCL|share_cap|2024</x:t>
  </x:si>
  <x:si>
    <x:t xml:space="preserve">FCCL|share_cap|2025</x:t>
  </x:si>
  <x:si>
    <x:t xml:space="preserve">FCCL|eq_other|2020</x:t>
  </x:si>
  <x:si>
    <x:t xml:space="preserve">Discount on issue of shares; Unappropriated profits</x:t>
  </x:si>
  <x:si>
    <x:t xml:space="preserve">FCCL|eq_other|2021</x:t>
  </x:si>
  <x:si>
    <x:t xml:space="preserve">Premium/(discount) on issue of shares; Unappropriated profit</x:t>
  </x:si>
  <x:si>
    <x:t xml:space="preserve">FCCL|eq_other|2022</x:t>
  </x:si>
  <x:si>
    <x:t xml:space="preserve">Premium on issue of shares; Revenue reserve</x:t>
  </x:si>
  <x:si>
    <x:t xml:space="preserve">FCCL|eq_other|2023</x:t>
  </x:si>
  <x:si>
    <x:t xml:space="preserve">Capital reserve - Premium on issue of sh; Revenue reserve - Accumulated profits</x:t>
  </x:si>
  <x:si>
    <x:t xml:space="preserve">FCCL|eq_other|2024</x:t>
  </x:si>
  <x:si>
    <x:t xml:space="preserve">FCCL|eq_other|2025</x:t>
  </x:si>
  <x:si>
    <x:t xml:space="preserve">FCCL|ltf_nc|2020</x:t>
  </x:si>
  <x:si>
    <x:t xml:space="preserve">Long term loans - secured</x:t>
  </x:si>
  <x:si>
    <x:t xml:space="preserve">FCCL|ltf_nc|2021</x:t>
  </x:si>
  <x:si>
    <x:t xml:space="preserve">FCCL|ltf_nc|2022</x:t>
  </x:si>
  <x:si>
    <x:t xml:space="preserve">FCCL|ltf_nc|2023</x:t>
  </x:si>
  <x:si>
    <x:t xml:space="preserve">FCCL|ltf_nc|2024</x:t>
  </x:si>
  <x:si>
    <x:t xml:space="preserve">FCCL|ltf_nc|2025</x:t>
  </x:si>
  <x:si>
    <x:t xml:space="preserve">FCCL|lease_nc|2020</x:t>
  </x:si>
  <x:si>
    <x:t xml:space="preserve">Lease liability</x:t>
  </x:si>
  <x:si>
    <x:t xml:space="preserve">FCCL|lease_nc|2021</x:t>
  </x:si>
  <x:si>
    <x:t xml:space="preserve">FCCL|lease_nc|2022</x:t>
  </x:si>
  <x:si>
    <x:t xml:space="preserve">FCCL|lease_nc|2023</x:t>
  </x:si>
  <x:si>
    <x:t xml:space="preserve">FCCL|lease_nc|2024</x:t>
  </x:si>
  <x:si>
    <x:t xml:space="preserve">FCCL|lease_nc|2025</x:t>
  </x:si>
  <x:si>
    <x:t xml:space="preserve">FCCL|grant_nc|2020</x:t>
  </x:si>
  <x:si>
    <x:t xml:space="preserve">FCCL|grant_nc|2021</x:t>
  </x:si>
  <x:si>
    <x:t xml:space="preserve">FCCL|grant_nc|2022</x:t>
  </x:si>
  <x:si>
    <x:t xml:space="preserve">FCCL|grant_nc|2023</x:t>
  </x:si>
  <x:si>
    <x:t xml:space="preserve">FCCL|grant_nc|2024</x:t>
  </x:si>
  <x:si>
    <x:t xml:space="preserve">FCCL|grant_nc|2025</x:t>
  </x:si>
  <x:si>
    <x:t xml:space="preserve">FCCL|def_tax|2020</x:t>
  </x:si>
  <x:si>
    <x:t xml:space="preserve">Deferred tax liabilities - net</x:t>
  </x:si>
  <x:si>
    <x:t xml:space="preserve">FCCL|def_tax|2021</x:t>
  </x:si>
  <x:si>
    <x:t xml:space="preserve">FCCL|def_tax|2022</x:t>
  </x:si>
  <x:si>
    <x:t xml:space="preserve">FCCL|def_tax|2023</x:t>
  </x:si>
  <x:si>
    <x:t xml:space="preserve">FCCL|def_tax|2024</x:t>
  </x:si>
  <x:si>
    <x:t xml:space="preserve">FCCL|def_tax|2025</x:t>
  </x:si>
  <x:si>
    <x:t xml:space="preserve">FCCL|ncl_other|2020</x:t>
  </x:si>
  <x:si>
    <x:t xml:space="preserve">Employee benefits</x:t>
  </x:si>
  <x:si>
    <x:t xml:space="preserve">FCCL|ncl_other|2021</x:t>
  </x:si>
  <x:si>
    <x:t xml:space="preserve">FCCL|ncl_other|2022</x:t>
  </x:si>
  <x:si>
    <x:t xml:space="preserve">FCCL|ncl_other|2023</x:t>
  </x:si>
  <x:si>
    <x:t xml:space="preserve">FCCL|ncl_other|2024</x:t>
  </x:si>
  <x:si>
    <x:t xml:space="preserve">FCCL|ncl_other|2025</x:t>
  </x:si>
  <x:si>
    <x:t xml:space="preserve">FCCL|tap|2020</x:t>
  </x:si>
  <x:si>
    <x:t xml:space="preserve">FCCL|tap|2021</x:t>
  </x:si>
  <x:si>
    <x:t xml:space="preserve">FCCL|tap|2022</x:t>
  </x:si>
  <x:si>
    <x:t xml:space="preserve">FCCL|tap|2023</x:t>
  </x:si>
  <x:si>
    <x:t xml:space="preserve">FCCL|tap|2024</x:t>
  </x:si>
  <x:si>
    <x:t xml:space="preserve">FCCL|tap|2025</x:t>
  </x:si>
  <x:si>
    <x:t xml:space="preserve">FCCL|trade_cred|2020</x:t>
  </x:si>
  <x:si>
    <x:t xml:space="preserve">187</x:t>
  </x:si>
  <x:si>
    <x:t xml:space="preserve">FCCL|trade_cred|2021</x:t>
  </x:si>
  <x:si>
    <x:t xml:space="preserve">213</x:t>
  </x:si>
  <x:si>
    <x:t xml:space="preserve">FCCL|trade_cred|2022</x:t>
  </x:si>
  <x:si>
    <x:t xml:space="preserve">FCCL|trade_cred|2023</x:t>
  </x:si>
  <x:si>
    <x:t xml:space="preserve">212</x:t>
  </x:si>
  <x:si>
    <x:t xml:space="preserve">FCCL|trade_cred|2024</x:t>
  </x:si>
  <x:si>
    <x:t xml:space="preserve">FCCL|trade_cred|2025</x:t>
  </x:si>
  <x:si>
    <x:t xml:space="preserve">FCCL|contract|2020</x:t>
  </x:si>
  <x:si>
    <x:t xml:space="preserve">Contract liabilities</x:t>
  </x:si>
  <x:si>
    <x:t xml:space="preserve">FCCL|contract|2021</x:t>
  </x:si>
  <x:si>
    <x:t xml:space="preserve">FCCL|contract|2022</x:t>
  </x:si>
  <x:si>
    <x:t xml:space="preserve">FCCL|contract|2023</x:t>
  </x:si>
  <x:si>
    <x:t xml:space="preserve">FCCL|contract|2024</x:t>
  </x:si>
  <x:si>
    <x:t xml:space="preserve">FCCL|contract|2025</x:t>
  </x:si>
  <x:si>
    <x:t xml:space="preserve">FCCL|acc_markup|2020</x:t>
  </x:si>
  <x:si>
    <x:t xml:space="preserve">FCCL|acc_markup|2021</x:t>
  </x:si>
  <x:si>
    <x:t xml:space="preserve">FCCL|acc_markup|2022</x:t>
  </x:si>
  <x:si>
    <x:t xml:space="preserve">FCCL|acc_markup|2023</x:t>
  </x:si>
  <x:si>
    <x:t xml:space="preserve">FCCL|acc_markup|2024</x:t>
  </x:si>
  <x:si>
    <x:t xml:space="preserve">FCCL|acc_markup|2025</x:t>
  </x:si>
  <x:si>
    <x:t xml:space="preserve">FCCL|stb|2020</x:t>
  </x:si>
  <x:si>
    <x:t xml:space="preserve">FCCL|stb|2021</x:t>
  </x:si>
  <x:si>
    <x:t xml:space="preserve">Loan from Parent - unsecured; Short term borrowings - secured</x:t>
  </x:si>
  <x:si>
    <x:t xml:space="preserve">FCCL|stb|2022</x:t>
  </x:si>
  <x:si>
    <x:t xml:space="preserve">Loan from Parent - unsecured; Short term running finance - secured</x:t>
  </x:si>
  <x:si>
    <x:t xml:space="preserve">FCCL|stb|2023</x:t>
  </x:si>
  <x:si>
    <x:t xml:space="preserve">FCCL|stb|2024</x:t>
  </x:si>
  <x:si>
    <x:t xml:space="preserve">FCCL|stb|2025</x:t>
  </x:si>
  <x:si>
    <x:t xml:space="preserve">FCCL|cp_ltf|2020</x:t>
  </x:si>
  <x:si>
    <x:t xml:space="preserve">Current portion of long term loans</x:t>
  </x:si>
  <x:si>
    <x:t xml:space="preserve">FCCL|cp_ltf|2021</x:t>
  </x:si>
  <x:si>
    <x:t xml:space="preserve">FCCL|cp_ltf|2022</x:t>
  </x:si>
  <x:si>
    <x:t xml:space="preserve">FCCL|cp_ltf|2023</x:t>
  </x:si>
  <x:si>
    <x:t xml:space="preserve">FCCL|cp_ltf|2024</x:t>
  </x:si>
  <x:si>
    <x:t xml:space="preserve">FCCL|cp_ltf|2025</x:t>
  </x:si>
  <x:si>
    <x:t xml:space="preserve">FCCL|cp_lease|2020</x:t>
  </x:si>
  <x:si>
    <x:t xml:space="preserve">Current portion of lease liability</x:t>
  </x:si>
  <x:si>
    <x:t xml:space="preserve">FCCL|cp_lease|2021</x:t>
  </x:si>
  <x:si>
    <x:t xml:space="preserve">FCCL|cp_lease|2022</x:t>
  </x:si>
  <x:si>
    <x:t xml:space="preserve">FCCL|cp_lease|2023</x:t>
  </x:si>
  <x:si>
    <x:t xml:space="preserve">FCCL|cp_lease|2024</x:t>
  </x:si>
  <x:si>
    <x:t xml:space="preserve">FCCL|cp_lease|2025</x:t>
  </x:si>
  <x:si>
    <x:t xml:space="preserve">FCCL|cp_grant|2020</x:t>
  </x:si>
  <x:si>
    <x:t xml:space="preserve">FCCL|cp_grant|2021</x:t>
  </x:si>
  <x:si>
    <x:t xml:space="preserve">Current portion of deferred government g</x:t>
  </x:si>
  <x:si>
    <x:t xml:space="preserve">FCCL|cp_grant|2022</x:t>
  </x:si>
  <x:si>
    <x:t xml:space="preserve">FCCL|cp_grant|2023</x:t>
  </x:si>
  <x:si>
    <x:t xml:space="preserve">FCCL|cp_grant|2024</x:t>
  </x:si>
  <x:si>
    <x:t xml:space="preserve">FCCL|cp_grant|2025</x:t>
  </x:si>
  <x:si>
    <x:t xml:space="preserve">FCCL|div_liab|2020</x:t>
  </x:si>
  <x:si>
    <x:t xml:space="preserve">FCCL|div_liab|2021</x:t>
  </x:si>
  <x:si>
    <x:t xml:space="preserve">FCCL|div_liab|2022</x:t>
  </x:si>
  <x:si>
    <x:t xml:space="preserve">FCCL|div_liab|2023</x:t>
  </x:si>
  <x:si>
    <x:t xml:space="preserve">FCCL|div_liab|2024</x:t>
  </x:si>
  <x:si>
    <x:t xml:space="preserve">FCCL|div_liab|2025</x:t>
  </x:si>
  <x:si>
    <x:t xml:space="preserve">FCCL|tax_liab|2020</x:t>
  </x:si>
  <x:si>
    <x:t xml:space="preserve">FCCL|tax_liab|2021</x:t>
  </x:si>
  <x:si>
    <x:t xml:space="preserve">FCCL|tax_liab|2022</x:t>
  </x:si>
  <x:si>
    <x:t xml:space="preserve">FCCL|tax_liab|2023</x:t>
  </x:si>
  <x:si>
    <x:t xml:space="preserve">Provision for tax-net</x:t>
  </x:si>
  <x:si>
    <x:t xml:space="preserve">FCCL|tax_liab|2024</x:t>
  </x:si>
  <x:si>
    <x:t xml:space="preserve">Provision for tax - net</x:t>
  </x:si>
  <x:si>
    <x:t xml:space="preserve">FCCL|tax_liab|2025</x:t>
  </x:si>
  <x:si>
    <x:t xml:space="preserve">FCCL|cl_other|2020</x:t>
  </x:si>
  <x:si>
    <x:t xml:space="preserve">Accrued liabilities; Employee benefits - current portion; Payable to employees' provident fund tru; Security deposits pa</x:t>
  </x:si>
  <x:si>
    <x:t xml:space="preserve">FCCL|cl_other|2021</x:t>
  </x:si>
  <x:si>
    <x:t xml:space="preserve">FCCL|cl_other|2022</x:t>
  </x:si>
  <x:si>
    <x:t xml:space="preserve">FCCL|cl_other|2023</x:t>
  </x:si>
  <x:si>
    <x:t xml:space="preserve">FCCL|cl_other|2024</x:t>
  </x:si>
  <x:si>
    <x:t xml:space="preserve">Accrued liabilities; Security deposits payable</x:t>
  </x:si>
  <x:si>
    <x:t xml:space="preserve">FCCL|cl_other|2025</x:t>
  </x:si>
  <x:si>
    <x:t xml:space="preserve">FCCL|pr_TA|2020</x:t>
  </x:si>
  <x:si>
    <x:t xml:space="preserve">FCCL|pr_TA|2021</x:t>
  </x:si>
  <x:si>
    <x:t xml:space="preserve">FCCL|pr_TA|2022</x:t>
  </x:si>
  <x:si>
    <x:t xml:space="preserve">FCCL|pr_TA|2023</x:t>
  </x:si>
  <x:si>
    <x:t xml:space="preserve">FCCL|pr_TA|2024</x:t>
  </x:si>
  <x:si>
    <x:t xml:space="preserve">FCCL|pr_TA|2025</x:t>
  </x:si>
  <x:si>
    <x:t xml:space="preserve">FCCL|pr_EQ|2020</x:t>
  </x:si>
  <x:si>
    <x:t xml:space="preserve">FCCL|pr_EQ|2021</x:t>
  </x:si>
  <x:si>
    <x:t xml:space="preserve">FCCL|pr_EQ|2022</x:t>
  </x:si>
  <x:si>
    <x:t xml:space="preserve">FCCL|pr_EQ|2023</x:t>
  </x:si>
  <x:si>
    <x:t xml:space="preserve">FCCL|pr_EQ|2024</x:t>
  </x:si>
  <x:si>
    <x:t xml:space="preserve">FCCL|pr_EQ|2025</x:t>
  </x:si>
  <x:si>
    <x:t xml:space="preserve">FCCL|pr_CA|2020</x:t>
  </x:si>
  <x:si>
    <x:t xml:space="preserve">FCCL|pr_CA|2021</x:t>
  </x:si>
  <x:si>
    <x:t xml:space="preserve">FCCL|pr_CA|2022</x:t>
  </x:si>
  <x:si>
    <x:t xml:space="preserve">FCCL|pr_CA|2023</x:t>
  </x:si>
  <x:si>
    <x:t xml:space="preserve">FCCL|pr_CA|2024</x:t>
  </x:si>
  <x:si>
    <x:t xml:space="preserve">FCCL|pr_CA|2025</x:t>
  </x:si>
  <x:si>
    <x:t xml:space="preserve">FCCL|pr_CL|2020</x:t>
  </x:si>
  <x:si>
    <x:t xml:space="preserve">FCCL|pr_CL|2021</x:t>
  </x:si>
  <x:si>
    <x:t xml:space="preserve">FCCL|pr_CL|2022</x:t>
  </x:si>
  <x:si>
    <x:t xml:space="preserve">FCCL|pr_CL|2023</x:t>
  </x:si>
  <x:si>
    <x:t xml:space="preserve">FCCL|pr_CL|2024</x:t>
  </x:si>
  <x:si>
    <x:t xml:space="preserve">FCCL|pr_CL|2025</x:t>
  </x:si>
  <x:si>
    <x:t xml:space="preserve">FCCL|rev|2021</x:t>
  </x:si>
  <x:si>
    <x:t xml:space="preserve">Revenue - net</x:t>
  </x:si>
  <x:si>
    <x:t xml:space="preserve">FCCL|rev|2022</x:t>
  </x:si>
  <x:si>
    <x:t xml:space="preserve">FCCL|rev|2023</x:t>
  </x:si>
  <x:si>
    <x:t xml:space="preserve">FCCL|rev|2024</x:t>
  </x:si>
  <x:si>
    <x:t xml:space="preserve">FCCL|rev|2025</x:t>
  </x:si>
  <x:si>
    <x:t xml:space="preserve">FCCL|cogs|2021</x:t>
  </x:si>
  <x:si>
    <x:t xml:space="preserve">FCCL|cogs|2022</x:t>
  </x:si>
  <x:si>
    <x:t xml:space="preserve">FCCL|cogs|2023</x:t>
  </x:si>
  <x:si>
    <x:t xml:space="preserve">FCCL|cogs|2024</x:t>
  </x:si>
  <x:si>
    <x:t xml:space="preserve">FCCL|cogs|2025</x:t>
  </x:si>
  <x:si>
    <x:t xml:space="preserve">FCCL|selling|2021</x:t>
  </x:si>
  <x:si>
    <x:t xml:space="preserve">FCCL|selling|2022</x:t>
  </x:si>
  <x:si>
    <x:t xml:space="preserve">FCCL|selling|2023</x:t>
  </x:si>
  <x:si>
    <x:t xml:space="preserve">FCCL|selling|2024</x:t>
  </x:si>
  <x:si>
    <x:t xml:space="preserve">FCCL|selling|2025</x:t>
  </x:si>
  <x:si>
    <x:t xml:space="preserve">FCCL|admin|2021</x:t>
  </x:si>
  <x:si>
    <x:t xml:space="preserve">FCCL|admin|2022</x:t>
  </x:si>
  <x:si>
    <x:t xml:space="preserve">FCCL|admin|2023</x:t>
  </x:si>
  <x:si>
    <x:t xml:space="preserve">FCCL|admin|2024</x:t>
  </x:si>
  <x:si>
    <x:t xml:space="preserve">FCCL|admin|2025</x:t>
  </x:si>
  <x:si>
    <x:t xml:space="preserve">FCCL|impair|2021</x:t>
  </x:si>
  <x:si>
    <x:t xml:space="preserve">FCCL|impair|2022</x:t>
  </x:si>
  <x:si>
    <x:t xml:space="preserve">FCCL|impair|2023</x:t>
  </x:si>
  <x:si>
    <x:t xml:space="preserve">FCCL|impair|2024</x:t>
  </x:si>
  <x:si>
    <x:t xml:space="preserve">FCCL|impair|2025</x:t>
  </x:si>
  <x:si>
    <x:t xml:space="preserve">FCCL|oth_exp|2021</x:t>
  </x:si>
  <x:si>
    <x:t xml:space="preserve">FCCL|oth_exp|2022</x:t>
  </x:si>
  <x:si>
    <x:t xml:space="preserve">FCCL|oth_exp|2023</x:t>
  </x:si>
  <x:si>
    <x:t xml:space="preserve">FCCL|oth_exp|2024</x:t>
  </x:si>
  <x:si>
    <x:t xml:space="preserve">FCCL|oth_exp|2025</x:t>
  </x:si>
  <x:si>
    <x:t xml:space="preserve">FCCL|oth_inc|2021</x:t>
  </x:si>
  <x:si>
    <x:t xml:space="preserve">FCCL|oth_inc|2022</x:t>
  </x:si>
  <x:si>
    <x:t xml:space="preserve">FCCL|oth_inc|2023</x:t>
  </x:si>
  <x:si>
    <x:t xml:space="preserve">FCCL|oth_inc|2024</x:t>
  </x:si>
  <x:si>
    <x:t xml:space="preserve">FCCL|oth_inc|2025</x:t>
  </x:si>
  <x:si>
    <x:t xml:space="preserve">FCCL|fin_inc|2021</x:t>
  </x:si>
  <x:si>
    <x:t xml:space="preserve">FCCL|fin_inc|2022</x:t>
  </x:si>
  <x:si>
    <x:t xml:space="preserve">FCCL|fin_inc|2023</x:t>
  </x:si>
  <x:si>
    <x:t xml:space="preserve">FCCL|fin_inc|2024</x:t>
  </x:si>
  <x:si>
    <x:t xml:space="preserve">FCCL|fin_inc|2025</x:t>
  </x:si>
  <x:si>
    <x:t xml:space="preserve">FCCL|assoc|2021</x:t>
  </x:si>
  <x:si>
    <x:t xml:space="preserve">FCCL|assoc|2022</x:t>
  </x:si>
  <x:si>
    <x:t xml:space="preserve">FCCL|assoc|2023</x:t>
  </x:si>
  <x:si>
    <x:t xml:space="preserve">FCCL|assoc|2024</x:t>
  </x:si>
  <x:si>
    <x:t xml:space="preserve">FCCL|assoc|2025</x:t>
  </x:si>
  <x:si>
    <x:t xml:space="preserve">FCCL|fin_cost|2021</x:t>
  </x:si>
  <x:si>
    <x:t xml:space="preserve">FCCL|fin_cost|2022</x:t>
  </x:si>
  <x:si>
    <x:t xml:space="preserve">FCCL|fin_cost|2023</x:t>
  </x:si>
  <x:si>
    <x:t xml:space="preserve">FCCL|fin_cost|2024</x:t>
  </x:si>
  <x:si>
    <x:t xml:space="preserve">FCCL|fin_cost|2025</x:t>
  </x:si>
  <x:si>
    <x:t xml:space="preserve">FCCL|levy|2021</x:t>
  </x:si>
  <x:si>
    <x:t xml:space="preserve">FCCL|levy|2022</x:t>
  </x:si>
  <x:si>
    <x:t xml:space="preserve">FCCL|levy|2023</x:t>
  </x:si>
  <x:si>
    <x:t xml:space="preserve">Final tax - levy</x:t>
  </x:si>
  <x:si>
    <x:t xml:space="preserve">FCCL|levy|2024</x:t>
  </x:si>
  <x:si>
    <x:t xml:space="preserve">FCCL|levy|2025</x:t>
  </x:si>
  <x:si>
    <x:t xml:space="preserve">FCCL|tax|2021</x:t>
  </x:si>
  <x:si>
    <x:t xml:space="preserve">Income tax expense</x:t>
  </x:si>
  <x:si>
    <x:t xml:space="preserve">FCCL|tax|2022</x:t>
  </x:si>
  <x:si>
    <x:t xml:space="preserve">FCCL|tax|2023</x:t>
  </x:si>
  <x:si>
    <x:t xml:space="preserve">FCCL|tax|2024</x:t>
  </x:si>
  <x:si>
    <x:t xml:space="preserve">FCCL|tax|2025</x:t>
  </x:si>
  <x:si>
    <x:t xml:space="preserve">FCCL|pr_gp|2021</x:t>
  </x:si>
  <x:si>
    <x:t xml:space="preserve">FCCL|pr_gp|2022</x:t>
  </x:si>
  <x:si>
    <x:t xml:space="preserve">FCCL|pr_gp|2023</x:t>
  </x:si>
  <x:si>
    <x:t xml:space="preserve">FCCL|pr_gp|2024</x:t>
  </x:si>
  <x:si>
    <x:t xml:space="preserve">FCCL|pr_gp|2025</x:t>
  </x:si>
  <x:si>
    <x:t xml:space="preserve">FCCL|pr_pbt|2021</x:t>
  </x:si>
  <x:si>
    <x:t xml:space="preserve">FCCL|pr_pbt|2022</x:t>
  </x:si>
  <x:si>
    <x:t xml:space="preserve">FCCL|pr_pbt|2023</x:t>
  </x:si>
  <x:si>
    <x:t xml:space="preserve">FCCL|pr_pbt|2024</x:t>
  </x:si>
  <x:si>
    <x:t xml:space="preserve">FCCL|pr_pbt|2025</x:t>
  </x:si>
  <x:si>
    <x:t xml:space="preserve">FCCL|pr_pat|2021</x:t>
  </x:si>
  <x:si>
    <x:t xml:space="preserve">FCCL|pr_pat|2022</x:t>
  </x:si>
  <x:si>
    <x:t xml:space="preserve">FCCL|pr_pat|2023</x:t>
  </x:si>
  <x:si>
    <x:t xml:space="preserve">FCCL|pr_pat|2024</x:t>
  </x:si>
  <x:si>
    <x:t xml:space="preserve">FCCL|pr_pat|2025</x:t>
  </x:si>
  <x:si>
    <x:t xml:space="preserve">FCCL|fc_nonint|2021</x:t>
  </x:si>
  <x:si>
    <x:t xml:space="preserve">Exchange Loss - net; Bank charges and commission - </x:t>
  </x:si>
  <x:si>
    <x:t xml:space="preserve">FCCL|fc_nonint|2022</x:t>
  </x:si>
  <x:si>
    <x:t xml:space="preserve">FCCL|fc_nonint|2023</x:t>
  </x:si>
  <x:si>
    <x:t xml:space="preserve">Exchange (gain)/loss - net; Bank charges and commission - </x:t>
  </x:si>
  <x:si>
    <x:t xml:space="preserve">226</x:t>
  </x:si>
  <x:si>
    <x:t xml:space="preserve">FCCL|fc_nonint|2024</x:t>
  </x:si>
  <x:si>
    <x:t xml:space="preserve">Bank charges and commission + exchange loss/(gain)</x:t>
  </x:si>
  <x:si>
    <x:t xml:space="preserve">FCCL|fc_nonint|2025</x:t>
  </x:si>
  <x:si>
    <x:t xml:space="preserve">FCCL|da|2021</x:t>
  </x:si>
  <x:si>
    <x:t xml:space="preserve">Depreciation on property, plant and; Depreciation on right of use asset; Amortization on intangibles</x:t>
  </x:si>
  <x:si>
    <x:t xml:space="preserve">FCCL|da|2022</x:t>
  </x:si>
  <x:si>
    <x:t xml:space="preserve">Depreciation; Depreciation on right of use asset; Amortization on intangibles</x:t>
  </x:si>
  <x:si>
    <x:t xml:space="preserve">210</x:t>
  </x:si>
  <x:si>
    <x:t xml:space="preserve">FCCL|da|2023</x:t>
  </x:si>
  <x:si>
    <x:t xml:space="preserve">FCCL|da|2024</x:t>
  </x:si>
  <x:si>
    <x:t xml:space="preserve">FCCL|da|2025</x:t>
  </x:si>
  <x:si>
    <x:t xml:space="preserve">FCCL|cgo|2021</x:t>
  </x:si>
  <x:si>
    <x:t xml:space="preserve">FCCL|cgo|2022</x:t>
  </x:si>
  <x:si>
    <x:t xml:space="preserve">FCCL|cgo|2023</x:t>
  </x:si>
  <x:si>
    <x:t xml:space="preserve">FCCL|cgo|2024</x:t>
  </x:si>
  <x:si>
    <x:t xml:space="preserve">FCCL|cgo|2025</x:t>
  </x:si>
  <x:si>
    <x:t xml:space="preserve">FCCL|cfo|2021</x:t>
  </x:si>
  <x:si>
    <x:t xml:space="preserve">FCCL|cfo|2022</x:t>
  </x:si>
  <x:si>
    <x:t xml:space="preserve">FCCL|cfo|2023</x:t>
  </x:si>
  <x:si>
    <x:t xml:space="preserve">FCCL|cfo|2024</x:t>
  </x:si>
  <x:si>
    <x:t xml:space="preserve">FCCL|cfo|2025</x:t>
  </x:si>
  <x:si>
    <x:t xml:space="preserve">FCCL|fin_paid|2021</x:t>
  </x:si>
  <x:si>
    <x:t xml:space="preserve">FCCL|fin_paid|2022</x:t>
  </x:si>
  <x:si>
    <x:t xml:space="preserve">FCCL|fin_paid|2023</x:t>
  </x:si>
  <x:si>
    <x:t xml:space="preserve">FCCL|fin_paid|2024</x:t>
  </x:si>
  <x:si>
    <x:t xml:space="preserve">Markup paid on loan from parent; Finance cost paid</x:t>
  </x:si>
  <x:si>
    <x:t xml:space="preserve">FCCL|fin_paid|2025</x:t>
  </x:si>
  <x:si>
    <x:t xml:space="preserve">FCCL|fin_paid_cls|2021</x:t>
  </x:si>
  <x:si>
    <x:t xml:space="preserve">FCCL|fin_paid_cls|2022</x:t>
  </x:si>
  <x:si>
    <x:t xml:space="preserve">FCCL|fin_paid_cls|2023</x:t>
  </x:si>
  <x:si>
    <x:t xml:space="preserve">FCCL|fin_paid_cls|2024</x:t>
  </x:si>
  <x:si>
    <x:t xml:space="preserve">FCCL|fin_paid_cls|2025</x:t>
  </x:si>
  <x:si>
    <x:t xml:space="preserve">FCCL|capex|2021</x:t>
  </x:si>
  <x:si>
    <x:t xml:space="preserve">Addition in property plant and equipment</x:t>
  </x:si>
  <x:si>
    <x:t xml:space="preserve">FCCL|capex|2022</x:t>
  </x:si>
  <x:si>
    <x:t xml:space="preserve">Additions in property plant and equipmen</x:t>
  </x:si>
  <x:si>
    <x:t xml:space="preserve">FCCL|capex|2023</x:t>
  </x:si>
  <x:si>
    <x:t xml:space="preserve">Additions to property, plant and equipme</x:t>
  </x:si>
  <x:si>
    <x:t xml:space="preserve">FCCL|capex|2024</x:t>
  </x:si>
  <x:si>
    <x:t xml:space="preserve">FCCL|capex|2025</x:t>
  </x:si>
  <x:si>
    <x:t xml:space="preserve">FCCL|cfi|2021</x:t>
  </x:si>
  <x:si>
    <x:t xml:space="preserve">FCCL|cfi|2022</x:t>
  </x:si>
  <x:si>
    <x:t xml:space="preserve">FCCL|cfi|2023</x:t>
  </x:si>
  <x:si>
    <x:t xml:space="preserve">FCCL|cfi|2024</x:t>
  </x:si>
  <x:si>
    <x:t xml:space="preserve">FCCL|cfi|2025</x:t>
  </x:si>
  <x:si>
    <x:t xml:space="preserve">FCCL|cff|2021</x:t>
  </x:si>
  <x:si>
    <x:t xml:space="preserve">FCCL|cff|2022</x:t>
  </x:si>
  <x:si>
    <x:t xml:space="preserve">FCCL|cff|2023</x:t>
  </x:si>
  <x:si>
    <x:t xml:space="preserve">FCCL|cff|2024</x:t>
  </x:si>
  <x:si>
    <x:t xml:space="preserve">FCCL|cff|2025</x:t>
  </x:si>
  <x:si>
    <x:t xml:space="preserve">FCCL|div_paid|2021</x:t>
  </x:si>
  <x:si>
    <x:t xml:space="preserve">FCCL|div_paid|2022</x:t>
  </x:si>
  <x:si>
    <x:t xml:space="preserve">Unclaimed dividend paid during the year</x:t>
  </x:si>
  <x:si>
    <x:t xml:space="preserve">FCCL|div_paid|2023</x:t>
  </x:si>
  <x:si>
    <x:t xml:space="preserve">FCCL|div_paid|2024</x:t>
  </x:si>
  <x:si>
    <x:t xml:space="preserve">Dividend paid during the year</x:t>
  </x:si>
  <x:si>
    <x:t xml:space="preserve">FCCL|div_paid|2025</x:t>
  </x:si>
  <x:si>
    <x:t xml:space="preserve">FCCL|par|2021</x:t>
  </x:si>
  <x:si>
    <x:t xml:space="preserve">199</x:t>
  </x:si>
  <x:si>
    <x:t xml:space="preserve">FCCL|par|2022</x:t>
  </x:si>
  <x:si>
    <x:t xml:space="preserve">228</x:t>
  </x:si>
  <x:si>
    <x:t xml:space="preserve">FCCL|par|2023</x:t>
  </x:si>
  <x:si>
    <x:t xml:space="preserve">FCCL|par|2024</x:t>
  </x:si>
  <x:si>
    <x:t xml:space="preserve">FCCL|par|2025</x:t>
  </x:si>
  <x:si>
    <x:t xml:space="preserve">FCCL|wavg|2021</x:t>
  </x:si>
  <x:si>
    <x:t xml:space="preserve">FCCL|wavg|2022</x:t>
  </x:si>
  <x:si>
    <x:t xml:space="preserve">FCCL|wavg|2023</x:t>
  </x:si>
  <x:si>
    <x:t xml:space="preserve">FCCL|wavg|2024</x:t>
  </x:si>
  <x:si>
    <x:t xml:space="preserve">FCCL|wavg|2025</x:t>
  </x:si>
  <x:si>
    <x:t xml:space="preserve">FCCL|price|2021</x:t>
  </x:si>
  <x:si>
    <x:t xml:space="preserve">FCCL|price|2022</x:t>
  </x:si>
  <x:si>
    <x:t xml:space="preserve">FCCL|price|2023</x:t>
  </x:si>
  <x:si>
    <x:t xml:space="preserve">FCCL|price|2024</x:t>
  </x:si>
  <x:si>
    <x:t xml:space="preserve">FCCL|price|2025</x:t>
  </x:si>
  <x:si>
    <x:t xml:space="preserve">FCCL|dps|2021</x:t>
  </x:si>
  <x:si>
    <x:t xml:space="preserve">FCCL|dps|2022</x:t>
  </x:si>
  <x:si>
    <x:t xml:space="preserve">FCCL|dps|2023</x:t>
  </x:si>
  <x:si>
    <x:t xml:space="preserve">FCCL|dps|2024</x:t>
  </x:si>
  <x:si>
    <x:t xml:space="preserve">FCCL|dps|2025</x:t>
  </x:si>
  <x:si>
    <x:t xml:space="preserve">FCCL|eps_rep|2021</x:t>
  </x:si>
  <x:si>
    <x:t xml:space="preserve">FCCL|eps_rep|2022</x:t>
  </x:si>
  <x:si>
    <x:t xml:space="preserve">FCCL|eps_rep|2023</x:t>
  </x:si>
  <x:si>
    <x:t xml:space="preserve">FCCL|eps_rep|2024</x:t>
  </x:si>
  <x:si>
    <x:t xml:space="preserve">FCCL|eps_rep|2025</x:t>
  </x:si>
  <x:si>
    <x:t xml:space="preserve">FCCL|adj|2021</x:t>
  </x:si>
  <x:si>
    <x:t xml:space="preserve">FCCL|adj|2022</x:t>
  </x:si>
  <x:si>
    <x:t xml:space="preserve">FCCL|adj|2023</x:t>
  </x:si>
  <x:si>
    <x:t xml:space="preserve">FCCL|adj|2024</x:t>
  </x:si>
  <x:si>
    <x:t xml:space="preserve">FCCL|adj|2025</x:t>
  </x:si>
</x:sst>
</file>

<file path=xl/styles.xml><?xml version="1.0" encoding="utf-8"?>
<x:styleSheet xmlns:x="http://schemas.openxmlformats.org/spreadsheetml/2006/main">
  <x:numFmts count="19">
    <x:numFmt numFmtId="164" formatCode="General"/>
    <x:numFmt numFmtId="165" formatCode="0%"/>
    <x:numFmt numFmtId="166" formatCode="0.0000"/>
    <x:numFmt numFmtId="167" formatCode="#,##0.0;\(#,##0.0\);\-"/>
    <x:numFmt numFmtId="168" formatCode="0.0%"/>
    <x:numFmt numFmtId="169" formatCode="@"/>
    <x:numFmt numFmtId="170" formatCode="#,##0.00"/>
    <x:numFmt numFmtId="171" formatCode="#,##0.000"/>
    <x:numFmt numFmtId="172" formatCode="0.00\x"/>
    <x:numFmt numFmtId="173" formatCode="#,##0;\(#,##0\);\-"/>
    <x:numFmt numFmtId="174" formatCode="0"/>
    <x:numFmt numFmtId="175" formatCode="#,##0"/>
    <x:numFmt numFmtId="200" formatCode="dd-mmm-yyyy"/>
    <x:numFmt numFmtId="201" formatCode="#,##0.00;(#,##0.00);&quot;-&quot;"/>
    <x:numFmt numFmtId="202" formatCode="#,##0.000;(#,##0.000);&quot;-&quot;"/>
    <x:numFmt numFmtId="203" formatCode="0.00"/>
    <x:numFmt numFmtId="204" formatCode="0.00;(0.00);&quot;-&quot;"/>
    <x:numFmt numFmtId="205" formatCode="0.00%"/>
    <x:numFmt numFmtId="206" formatCode="0.000"/>
  </x:numFmts>
  <x:fonts count="32">
    <x:font>
      <x:sz val="11"/>
      <x:color theme="1"/>
      <x:name val="Calibri"/>
      <x:family val="2"/>
    </x:font>
    <x:font>
      <x:sz val="10"/>
      <x:name val="Arial"/>
    </x:font>
    <x:font>
      <x:sz val="10"/>
      <x:name val="Arial"/>
    </x:font>
    <x:font>
      <x:sz val="10"/>
      <x:name val="Arial"/>
    </x:font>
    <x:font>
      <x:b/>
      <x:sz val="15"/>
      <x:color rgb="FF1F3864"/>
      <x:name val="Calibri"/>
    </x:font>
    <x:font>
      <x:b/>
      <x:sz val="10"/>
      <x:name val="Calibri"/>
    </x:font>
    <x:font>
      <x:b/>
      <x:sz val="11"/>
      <x:color rgb="FF1F3864"/>
      <x:name val="Calibri"/>
    </x:font>
    <x:font>
      <x:b/>
      <x:sz val="10"/>
      <x:color rgb="FFFFFFFF"/>
      <x:name val="Calibri"/>
    </x:font>
    <x:font>
      <x:u val="single"/>
      <x:sz val="10"/>
      <x:color rgb="FF0563C1"/>
      <x:name val="Calibri"/>
    </x:font>
    <x:font>
      <x:sz val="10"/>
      <x:color rgb="FF0000FF"/>
      <x:name val="Calibri"/>
    </x:font>
    <x:font>
      <x:sz val="9"/>
      <x:name val="Calibri"/>
    </x:font>
    <x:font>
      <x:b/>
      <x:sz val="13"/>
      <x:color rgb="FF1E4D3A"/>
      <x:name val="Calibri"/>
    </x:font>
    <x:font>
      <x:b/>
      <x:sz val="11"/>
      <x:color rgb="FFFFFFFF"/>
      <x:name val="Calibri"/>
    </x:font>
    <x:font>
      <x:b/>
      <x:sz val="11"/>
      <x:name val="Calibri"/>
    </x:font>
    <x:font>
      <x:b/>
      <x:sz val="14"/>
      <x:color rgb="FF1F3864"/>
      <x:name val="Calibri"/>
    </x:font>
    <x:font>
      <x:i/>
      <x:sz val="10"/>
      <x:name val="Calibri"/>
    </x:font>
    <x:font>
      <x:sz val="9"/>
      <x:color rgb="FF595959"/>
      <x:name val="Calibri"/>
    </x:font>
    <x:font>
      <x:sz val="10"/>
      <x:name val="Calibri"/>
    </x:font>
    <x:font>
      <x:i/>
      <x:sz val="9"/>
      <x:name val="Calibri"/>
    </x:font>
    <x:font>
      <x:b/>
      <x:sz val="18"/>
      <x:color rgb="FF000000"/>
      <x:name val="Calibri"/>
      <x:family val="2"/>
    </x:font>
    <x:font>
      <x:sz val="10"/>
      <x:color rgb="FF000000"/>
      <x:name val="Calibri"/>
      <x:family val="2"/>
    </x:font>
    <x:font>
      <x:b/>
      <x:sz val="10"/>
      <x:color rgb="FF000000"/>
      <x:name val="Calibri"/>
      <x:family val="2"/>
    </x:font>
    <x:font>
      <x:sz val="9"/>
      <x:color rgb="FF808080"/>
      <x:name val="Calibri"/>
    </x:font>
    <x:font>
      <x:sz val="10"/>
      <x:color rgb="FF008000"/>
      <x:name val="Calibri"/>
    </x:font>
    <x:font>
      <x:sz val="8"/>
      <x:color rgb="FF808080"/>
      <x:name val="Calibri"/>
    </x:font>
    <x:font>
      <x:sz val="8"/>
      <x:name val="Calibri"/>
    </x:font>
    <x:font>
      <x:sz val="10"/>
      <x:color rgb="FF172C25"/>
      <x:name val="Arial"/>
      <x:family val="2"/>
    </x:font>
    <x:font>
      <x:b/>
      <x:sz val="15"/>
      <x:color rgb="FF204F3D"/>
      <x:name val="Arial"/>
      <x:family val="2"/>
    </x:font>
    <x:font>
      <x:i/>
      <x:sz val="10"/>
      <x:color rgb="FF4A6056"/>
      <x:name val="Arial"/>
      <x:family val="2"/>
    </x:font>
    <x:font>
      <x:b/>
      <x:sz val="10"/>
      <x:color rgb="FFFFFFFF"/>
      <x:name val="Arial"/>
      <x:family val="2"/>
    </x:font>
    <x:font>
      <x:sz val="10"/>
      <x:color rgb="FF0000FF"/>
      <x:name val="Arial"/>
      <x:family val="2"/>
    </x:font>
    <x:font>
      <x:sz val="10"/>
      <x:color rgb="FF008000"/>
      <x:name val="Arial"/>
      <x:family val="2"/>
    </x:font>
  </x:fonts>
  <x:fills count="9">
    <x:fill>
      <x:patternFill patternType="none"/>
    </x:fill>
    <x:fill>
      <x:patternFill patternType="gray125"/>
    </x:fill>
    <x:fill>
      <x:patternFill patternType="solid">
        <x:fgColor rgb="FF1F3864"/>
      </x:patternFill>
    </x:fill>
    <x:fill>
      <x:patternFill patternType="solid">
        <x:fgColor rgb="FFFFF2CC"/>
      </x:patternFill>
    </x:fill>
    <x:fill>
      <x:patternFill patternType="solid">
        <x:fgColor rgb="FF1E4D3A"/>
      </x:patternFill>
    </x:fill>
    <x:fill>
      <x:patternFill patternType="solid">
        <x:fgColor rgb="FFD9E1F2"/>
      </x:patternFill>
    </x:fill>
    <x:fill>
      <x:patternFill patternType="solid">
        <x:fgColor rgb="FFF2F2F2"/>
      </x:patternFill>
    </x:fill>
    <x:fill>
      <x:patternFill patternType="solid">
        <x:fgColor rgb="FF204F3D"/>
      </x:patternFill>
    </x:fill>
    <x:fill>
      <x:patternFill patternType="solid">
        <x:fgColor rgb="FFF1F5F1"/>
      </x:patternFill>
    </x:fill>
  </x:fills>
  <x:borders count="2">
    <x:border diagonalUp="0" diagonalDown="0">
      <x:left/>
      <x:right/>
      <x:top/>
      <x:bottom/>
      <x:diagonal/>
    </x:border>
    <x:border diagonalUp="0" diagonalDown="0">
      <x:left/>
      <x:right/>
      <x:top/>
      <x:bottom style="thin">
        <x:color rgb="FFBFBFBF"/>
      </x:bottom>
      <x:diagonal/>
    </x:border>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120">
    <x:xf numFmtId="164" fontId="0" fillId="0" borderId="0" xfId="0" applyFont="0" applyBorder="0" applyAlignment="0" applyProtection="0">
      <x:alignment horizontal="general" vertical="bottom" wrapText="0" shrinkToFit="0"/>
      <x:protection locked="1" hidden="0"/>
    </x:xf>
    <x:xf numFmtId="164" fontId="4" fillId="0" borderId="0" xfId="0" applyFont="1" applyBorder="0" applyAlignment="0" applyProtection="0">
      <x:alignment horizontal="general" vertical="bottom" wrapText="0" shrinkToFit="0"/>
      <x:protection locked="1" hidden="0"/>
    </x:xf>
    <x:xf numFmtId="164" fontId="5" fillId="0" borderId="0" xfId="0" applyFont="1" applyBorder="0" applyAlignment="0" applyProtection="0">
      <x:alignment horizontal="general" vertical="bottom" wrapText="0" shrinkToFit="0"/>
      <x:protection locked="1" hidden="0"/>
    </x:xf>
    <x:xf numFmtId="164" fontId="0" fillId="0" borderId="0" xfId="0" applyFont="1" applyBorder="1" applyAlignment="0" applyProtection="0">
      <x:alignment horizontal="general" vertical="bottom" wrapText="0" shrinkToFit="0"/>
      <x:protection locked="1" hidden="0"/>
    </x:xf>
    <x:xf numFmtId="164" fontId="6" fillId="0" borderId="0" xfId="0" applyFont="1" applyBorder="0" applyAlignment="0" applyProtection="0">
      <x:alignment horizontal="general" vertical="bottom" wrapText="0" shrinkToFit="0"/>
      <x:protection locked="1" hidden="0"/>
    </x:xf>
    <x:xf numFmtId="164" fontId="7" fillId="2" borderId="0" xfId="0" applyFont="1" applyBorder="0" applyAlignment="0" applyProtection="0">
      <x:alignment horizontal="general" vertical="bottom" wrapText="0" shrinkToFit="0"/>
      <x:protection locked="1" hidden="0"/>
    </x:xf>
    <x:xf numFmtId="164" fontId="8" fillId="0" borderId="0" xfId="0" applyFont="1" applyBorder="0" applyAlignment="0" applyProtection="0">
      <x:alignment horizontal="general" vertical="bottom" wrapText="0" shrinkToFit="0"/>
      <x:protection locked="1" hidden="0"/>
    </x:xf>
    <x:xf numFmtId="164" fontId="0" fillId="0" borderId="0" xfId="0" applyFont="1" applyBorder="1" applyAlignment="1" applyProtection="0">
      <x:alignment horizontal="general" vertical="top" wrapText="1" shrinkToFit="0"/>
      <x:protection locked="1" hidden="0"/>
    </x:xf>
    <x:xf numFmtId="165" fontId="9" fillId="3" borderId="0" xfId="0" applyFont="1" applyBorder="0" applyAlignment="0" applyProtection="0">
      <x:alignment horizontal="general" vertical="bottom" wrapText="0" shrinkToFit="0"/>
      <x:protection locked="1" hidden="0"/>
    </x:xf>
    <x:xf numFmtId="164" fontId="10" fillId="0" borderId="0" xfId="0" applyFont="1" applyBorder="0" applyAlignment="0" applyProtection="0">
      <x:alignment horizontal="general" vertical="bottom" wrapText="0" shrinkToFit="0"/>
      <x:protection locked="1" hidden="0"/>
    </x:xf>
    <x:xf numFmtId="164" fontId="0" fillId="0" borderId="0" xfId="0" applyFont="1" applyBorder="0" applyAlignment="1" applyProtection="0">
      <x:alignment horizontal="general" vertical="bottom" wrapText="1" shrinkToFit="0"/>
      <x:protection locked="1" hidden="0"/>
    </x:xf>
    <x:xf numFmtId="164" fontId="0" fillId="0" borderId="0" xfId="0" applyFont="1" applyBorder="0" applyAlignment="0" applyProtection="0">
      <x:alignment horizontal="general" vertical="bottom" wrapText="0" shrinkToFit="0"/>
      <x:protection locked="1" hidden="0"/>
    </x:xf>
    <x:xf numFmtId="164" fontId="0" fillId="0" borderId="0" xfId="0" applyFont="1" applyBorder="1" applyAlignment="1" applyProtection="0">
      <x:alignment horizontal="general" vertical="bottom" wrapText="1" shrinkToFit="0"/>
      <x:protection locked="1" hidden="0"/>
    </x:xf>
    <x:xf numFmtId="164" fontId="11" fillId="0" borderId="0" xfId="0" applyFont="1" applyBorder="0" applyAlignment="0" applyProtection="0">
      <x:alignment horizontal="general" vertical="bottom" wrapText="0" shrinkToFit="0"/>
      <x:protection locked="1" hidden="0"/>
    </x:xf>
    <x:xf numFmtId="164" fontId="12" fillId="4" borderId="0" xfId="0" applyFont="1" applyBorder="0" applyAlignment="1" applyProtection="0">
      <x:alignment horizontal="general" vertical="bottom" wrapText="1" shrinkToFit="0"/>
      <x:protection locked="1" hidden="0"/>
    </x:xf>
    <x:xf numFmtId="166" fontId="10" fillId="0" borderId="0" xfId="0" applyFont="1" applyBorder="0" applyAlignment="0" applyProtection="0">
      <x:alignment horizontal="general" vertical="bottom" wrapText="0" shrinkToFit="0"/>
      <x:protection locked="1" hidden="0"/>
    </x:xf>
    <x:xf numFmtId="164" fontId="13" fillId="0" borderId="0" xfId="0" applyFont="1" applyBorder="0" applyAlignment="0" applyProtection="0">
      <x:alignment horizontal="general" vertical="bottom" wrapText="0" shrinkToFit="0"/>
      <x:protection locked="1" hidden="0"/>
    </x:xf>
    <x:xf numFmtId="164" fontId="14" fillId="0" borderId="0" xfId="0" applyFont="1" applyBorder="0" applyAlignment="0" applyProtection="0">
      <x:alignment horizontal="general" vertical="bottom" wrapText="0" shrinkToFit="0"/>
      <x:protection locked="1" hidden="0"/>
    </x:xf>
    <x:xf numFmtId="164" fontId="15" fillId="0" borderId="0" xfId="0" applyFont="1" applyBorder="0" applyAlignment="0" applyProtection="0">
      <x:alignment horizontal="general" vertical="bottom" wrapText="0" shrinkToFit="0"/>
      <x:protection locked="1" hidden="0"/>
    </x:xf>
    <x:xf numFmtId="164" fontId="16" fillId="0" borderId="0" xfId="0" applyFont="1" applyBorder="0" applyAlignment="0" applyProtection="0">
      <x:alignment horizontal="general" vertical="bottom" wrapText="0" shrinkToFit="0"/>
      <x:protection locked="1" hidden="0"/>
    </x:xf>
    <x:xf numFmtId="164" fontId="0" fillId="2" borderId="0" xfId="0" applyFont="0" applyBorder="0" applyAlignment="0" applyProtection="0">
      <x:alignment horizontal="general" vertical="bottom" wrapText="0" shrinkToFit="0"/>
      <x:protection locked="1" hidden="0"/>
    </x:xf>
    <x:xf numFmtId="164" fontId="17" fillId="0" borderId="0" xfId="0" applyFont="1" applyBorder="1" applyAlignment="1" applyProtection="0">
      <x:alignment horizontal="general" vertical="top" wrapText="1" shrinkToFit="0"/>
      <x:protection locked="1" hidden="0"/>
    </x:xf>
    <x:xf numFmtId="164" fontId="7" fillId="2" borderId="0" xfId="0" applyFont="1" applyBorder="0" applyAlignment="1" applyProtection="0">
      <x:alignment horizontal="left" vertical="bottom" wrapText="0" shrinkToFit="0"/>
      <x:protection locked="1" hidden="0"/>
    </x:xf>
    <x:xf numFmtId="164" fontId="7" fillId="2" borderId="0" xfId="0" applyFont="1" applyBorder="0" applyAlignment="1" applyProtection="0">
      <x:alignment horizontal="center" vertical="bottom" wrapText="0" shrinkToFit="0"/>
      <x:protection locked="1" hidden="0"/>
    </x:xf>
    <x:xf numFmtId="164" fontId="5" fillId="5" borderId="0" xfId="0" applyFont="1" applyBorder="0" applyAlignment="0" applyProtection="0">
      <x:alignment horizontal="general" vertical="bottom" wrapText="0" shrinkToFit="0"/>
      <x:protection locked="1" hidden="0"/>
    </x:xf>
    <x:xf numFmtId="164" fontId="0" fillId="5" borderId="0" xfId="0" applyFont="0" applyBorder="0" applyAlignment="0" applyProtection="0">
      <x:alignment horizontal="general" vertical="bottom" wrapText="0" shrinkToFit="0"/>
      <x:protection locked="1" hidden="0"/>
    </x:xf>
    <x:xf numFmtId="167" fontId="9" fillId="0" borderId="0" xfId="0" applyFont="1" applyBorder="0" applyAlignment="0" applyProtection="0">
      <x:alignment horizontal="general" vertical="bottom" wrapText="0" shrinkToFit="0"/>
      <x:protection locked="1" hidden="0"/>
    </x:xf>
    <x:xf numFmtId="167" fontId="17" fillId="0" borderId="0" xfId="0" applyFont="1" applyBorder="0" applyAlignment="0" applyProtection="0">
      <x:alignment horizontal="general" vertical="bottom" wrapText="0" shrinkToFit="0"/>
      <x:protection locked="1" hidden="0"/>
    </x:xf>
    <x:xf numFmtId="167" fontId="5" fillId="0" borderId="1" xfId="0" applyFont="1" applyBorder="1" applyAlignment="0" applyProtection="0">
      <x:alignment horizontal="general" vertical="bottom" wrapText="0" shrinkToFit="0"/>
      <x:protection locked="1" hidden="0"/>
    </x:xf>
    <x:xf numFmtId="164" fontId="5" fillId="0" borderId="0" xfId="0" applyFont="1" applyBorder="0" applyAlignment="1" applyProtection="0">
      <x:alignment horizontal="center" vertical="bottom" wrapText="0" shrinkToFit="0"/>
      <x:protection locked="1" hidden="0"/>
    </x:xf>
    <x:xf numFmtId="164" fontId="0" fillId="6" borderId="0" xfId="0" applyFont="0" applyBorder="0" applyAlignment="0" applyProtection="0">
      <x:alignment horizontal="general" vertical="bottom" wrapText="0" shrinkToFit="0"/>
      <x:protection locked="1" hidden="0"/>
    </x:xf>
    <x:xf numFmtId="164" fontId="5" fillId="6" borderId="1" xfId="0" applyFont="1" applyBorder="1" applyAlignment="0" applyProtection="0">
      <x:alignment horizontal="general" vertical="bottom" wrapText="0" shrinkToFit="0"/>
      <x:protection locked="1" hidden="0"/>
    </x:xf>
    <x:xf numFmtId="168" fontId="17" fillId="0" borderId="0" xfId="0" applyFont="1" applyBorder="0" applyAlignment="0" applyProtection="0">
      <x:alignment horizontal="general" vertical="bottom" wrapText="0" shrinkToFit="0"/>
      <x:protection locked="1" hidden="0"/>
    </x:xf>
    <x:xf numFmtId="169" fontId="9" fillId="0" borderId="0" xfId="0" applyFont="1" applyBorder="0" applyAlignment="0" applyProtection="0">
      <x:alignment horizontal="general" vertical="bottom" wrapText="0" shrinkToFit="0"/>
      <x:protection locked="1" hidden="0"/>
    </x:xf>
    <x:xf numFmtId="170" fontId="9" fillId="0" borderId="0" xfId="0" applyFont="1" applyBorder="0" applyAlignment="0" applyProtection="0">
      <x:alignment horizontal="general" vertical="bottom" wrapText="0" shrinkToFit="0"/>
      <x:protection locked="1" hidden="0"/>
    </x:xf>
    <x:xf numFmtId="170" fontId="17" fillId="0" borderId="0" xfId="0" applyFont="1" applyBorder="0" applyAlignment="0" applyProtection="0">
      <x:alignment horizontal="general" vertical="bottom" wrapText="0" shrinkToFit="0"/>
      <x:protection locked="1" hidden="0"/>
    </x:xf>
    <x:xf numFmtId="171" fontId="9" fillId="0" borderId="0" xfId="0" applyFont="1" applyBorder="0" applyAlignment="0" applyProtection="0">
      <x:alignment horizontal="general" vertical="bottom" wrapText="0" shrinkToFit="0"/>
      <x:protection locked="1" hidden="0"/>
    </x:xf>
    <x:xf numFmtId="172" fontId="0" fillId="0" borderId="0" xfId="0" applyFont="0" applyBorder="0" applyAlignment="1" applyProtection="0">
      <x:alignment horizontal="right" vertical="bottom" wrapText="0" shrinkToFit="0"/>
      <x:protection locked="1" hidden="0"/>
    </x:xf>
    <x:xf numFmtId="173" fontId="0" fillId="0" borderId="0" xfId="0" applyFont="0" applyBorder="0" applyAlignment="1" applyProtection="0">
      <x:alignment horizontal="right" vertical="bottom" wrapText="0" shrinkToFit="0"/>
      <x:protection locked="1" hidden="0"/>
    </x:xf>
    <x:xf numFmtId="174" fontId="0" fillId="0" borderId="0" xfId="0" applyFont="0" applyBorder="0" applyAlignment="1" applyProtection="0">
      <x:alignment horizontal="right" vertical="bottom" wrapText="0" shrinkToFit="0"/>
      <x:protection locked="1" hidden="0"/>
    </x:xf>
    <x:xf numFmtId="168" fontId="0" fillId="0" borderId="0" xfId="0" applyFont="0" applyBorder="0" applyAlignment="1" applyProtection="0">
      <x:alignment horizontal="right" vertical="bottom" wrapText="0" shrinkToFit="0"/>
      <x:protection locked="1" hidden="0"/>
    </x:xf>
    <x:xf numFmtId="170" fontId="0" fillId="0" borderId="0" xfId="0" applyFont="0" applyBorder="0" applyAlignment="1" applyProtection="0">
      <x:alignment horizontal="right" vertical="bottom" wrapText="0" shrinkToFit="0"/>
      <x:protection locked="1" hidden="0"/>
    </x:xf>
    <x:xf numFmtId="168" fontId="0" fillId="0" borderId="0" xfId="0" applyFont="0" applyBorder="0" applyAlignment="0" applyProtection="0">
      <x:alignment horizontal="general" vertical="bottom" wrapText="0" shrinkToFit="0"/>
      <x:protection locked="1" hidden="0"/>
    </x:xf>
    <x:xf numFmtId="164" fontId="0" fillId="0" borderId="0" xfId="0" applyFont="1" applyBorder="0" applyAlignment="1" applyProtection="0">
      <x:alignment horizontal="right" vertical="bottom" wrapText="0" shrinkToFit="0"/>
      <x:protection locked="1" hidden="0"/>
    </x:xf>
    <x:xf numFmtId="167" fontId="0" fillId="0" borderId="0" xfId="0" applyFont="0" applyBorder="0" applyAlignment="0" applyProtection="0">
      <x:alignment horizontal="general" vertical="bottom" wrapText="0" shrinkToFit="0"/>
      <x:protection locked="1" hidden="0"/>
    </x:xf>
    <x:xf numFmtId="164" fontId="18" fillId="0" borderId="0" xfId="0" applyFont="1" applyBorder="0" applyAlignment="0" applyProtection="0">
      <x:alignment horizontal="general" vertical="bottom" wrapText="0" shrinkToFit="0"/>
      <x:protection locked="1" hidden="0"/>
    </x:xf>
    <x:xf numFmtId="172" fontId="0" fillId="0" borderId="0" xfId="0" applyFont="0" applyBorder="0" applyAlignment="0" applyProtection="0">
      <x:alignment horizontal="general" vertical="bottom" wrapText="0" shrinkToFit="0"/>
      <x:protection locked="1" hidden="0"/>
    </x:xf>
    <x:xf numFmtId="172" fontId="9" fillId="0" borderId="0" xfId="0" applyFont="1" applyBorder="0" applyAlignment="0" applyProtection="0">
      <x:alignment horizontal="general" vertical="bottom" wrapText="0" shrinkToFit="0"/>
      <x:protection locked="1" hidden="0"/>
    </x:xf>
    <x:xf numFmtId="164" fontId="10" fillId="0" borderId="0" xfId="0" applyFont="1" applyBorder="0" applyAlignment="1" applyProtection="0">
      <x:alignment horizontal="center" vertical="bottom" wrapText="0" shrinkToFit="0"/>
      <x:protection locked="1" hidden="0"/>
    </x:xf>
    <x:xf numFmtId="174" fontId="0" fillId="0" borderId="0" xfId="0" applyFont="0" applyBorder="0" applyAlignment="0" applyProtection="0">
      <x:alignment horizontal="general" vertical="bottom" wrapText="0" shrinkToFit="0"/>
      <x:protection locked="1" hidden="0"/>
    </x:xf>
    <x:xf numFmtId="174" fontId="9" fillId="0" borderId="0" xfId="0" applyFont="1" applyBorder="0" applyAlignment="0" applyProtection="0">
      <x:alignment horizontal="general" vertical="bottom" wrapText="0" shrinkToFit="0"/>
      <x:protection locked="1" hidden="0"/>
    </x:xf>
    <x:xf numFmtId="168" fontId="9" fillId="0" borderId="0" xfId="0" applyFont="1" applyBorder="0" applyAlignment="0" applyProtection="0">
      <x:alignment horizontal="general" vertical="bottom" wrapText="0" shrinkToFit="0"/>
      <x:protection locked="1" hidden="0"/>
    </x:xf>
    <x:xf numFmtId="170" fontId="0" fillId="0" borderId="0" xfId="0" applyFont="0" applyBorder="0" applyAlignment="0" applyProtection="0">
      <x:alignment horizontal="general" vertical="bottom" wrapText="0" shrinkToFit="0"/>
      <x:protection locked="1" hidden="0"/>
    </x:xf>
    <x:xf numFmtId="164" fontId="7" fillId="2" borderId="0" xfId="0" applyFont="1" applyBorder="0" applyAlignment="1" applyProtection="0">
      <x:alignment horizontal="center" vertical="bottom" wrapText="1" shrinkToFit="0"/>
      <x:protection locked="1" hidden="0"/>
    </x:xf>
    <x:xf numFmtId="164" fontId="16" fillId="5" borderId="0" xfId="0" applyFont="1" applyBorder="0" applyAlignment="0" applyProtection="0">
      <x:alignment horizontal="general" vertical="bottom" wrapText="0" shrinkToFit="0"/>
      <x:protection locked="1" hidden="0"/>
    </x:xf>
    <x:xf numFmtId="164" fontId="10" fillId="5" borderId="0" xfId="0" applyFont="1" applyBorder="0" applyAlignment="0" applyProtection="0">
      <x:alignment horizontal="general" vertical="bottom" wrapText="0" shrinkToFit="0"/>
      <x:protection locked="1" hidden="0"/>
    </x:xf>
    <x:xf numFmtId="164" fontId="22" fillId="0" borderId="0" xfId="0" applyFont="1" applyBorder="0" applyAlignment="0" applyProtection="0">
      <x:alignment horizontal="general" vertical="bottom" wrapText="0" shrinkToFit="0"/>
      <x:protection locked="1" hidden="0"/>
    </x:xf>
    <x:xf numFmtId="172" fontId="23" fillId="0" borderId="0" xfId="0" applyFont="1" applyBorder="0" applyAlignment="0" applyProtection="0">
      <x:alignment horizontal="general" vertical="bottom" wrapText="0" shrinkToFit="0"/>
      <x:protection locked="1" hidden="0"/>
    </x:xf>
    <x:xf numFmtId="172" fontId="5" fillId="0" borderId="0" xfId="0" applyFont="1" applyBorder="0" applyAlignment="0" applyProtection="0">
      <x:alignment horizontal="general" vertical="bottom" wrapText="0" shrinkToFit="0"/>
      <x:protection locked="1" hidden="0"/>
    </x:xf>
    <x:xf numFmtId="164" fontId="24" fillId="0" borderId="0" xfId="0" applyFont="1" applyBorder="0" applyAlignment="0" applyProtection="0">
      <x:alignment horizontal="general" vertical="bottom" wrapText="0" shrinkToFit="0"/>
      <x:protection locked="1" hidden="0"/>
    </x:xf>
    <x:xf numFmtId="173" fontId="23" fillId="0" borderId="0" xfId="0" applyFont="1" applyBorder="0" applyAlignment="0" applyProtection="0">
      <x:alignment horizontal="general" vertical="bottom" wrapText="0" shrinkToFit="0"/>
      <x:protection locked="1" hidden="0"/>
    </x:xf>
    <x:xf numFmtId="173" fontId="5" fillId="0" borderId="0" xfId="0" applyFont="1" applyBorder="0" applyAlignment="0" applyProtection="0">
      <x:alignment horizontal="general" vertical="bottom" wrapText="0" shrinkToFit="0"/>
      <x:protection locked="1" hidden="0"/>
    </x:xf>
    <x:xf numFmtId="173" fontId="0" fillId="0" borderId="0" xfId="0" applyFont="0" applyBorder="0" applyAlignment="0" applyProtection="0">
      <x:alignment horizontal="general" vertical="bottom" wrapText="0" shrinkToFit="0"/>
      <x:protection locked="1" hidden="0"/>
    </x:xf>
    <x:xf numFmtId="174" fontId="23" fillId="0" borderId="0" xfId="0" applyFont="1" applyBorder="0" applyAlignment="0" applyProtection="0">
      <x:alignment horizontal="general" vertical="bottom" wrapText="0" shrinkToFit="0"/>
      <x:protection locked="1" hidden="0"/>
    </x:xf>
    <x:xf numFmtId="174" fontId="5" fillId="0" borderId="0" xfId="0" applyFont="1" applyBorder="0" applyAlignment="0" applyProtection="0">
      <x:alignment horizontal="general" vertical="bottom" wrapText="0" shrinkToFit="0"/>
      <x:protection locked="1" hidden="0"/>
    </x:xf>
    <x:xf numFmtId="168" fontId="23" fillId="0" borderId="0" xfId="0" applyFont="1" applyBorder="0" applyAlignment="0" applyProtection="0">
      <x:alignment horizontal="general" vertical="bottom" wrapText="0" shrinkToFit="0"/>
      <x:protection locked="1" hidden="0"/>
    </x:xf>
    <x:xf numFmtId="168" fontId="5" fillId="0" borderId="0" xfId="0" applyFont="1" applyBorder="0" applyAlignment="0" applyProtection="0">
      <x:alignment horizontal="general" vertical="bottom" wrapText="0" shrinkToFit="0"/>
      <x:protection locked="1" hidden="0"/>
    </x:xf>
    <x:xf numFmtId="170" fontId="23" fillId="0" borderId="0" xfId="0" applyFont="1" applyBorder="0" applyAlignment="0" applyProtection="0">
      <x:alignment horizontal="general" vertical="bottom" wrapText="0" shrinkToFit="0"/>
      <x:protection locked="1" hidden="0"/>
    </x:xf>
    <x:xf numFmtId="170" fontId="5" fillId="0" borderId="0" xfId="0" applyFont="1" applyBorder="0" applyAlignment="0" applyProtection="0">
      <x:alignment horizontal="general" vertical="bottom" wrapText="0" shrinkToFit="0"/>
      <x:protection locked="1" hidden="0"/>
    </x:xf>
    <x:xf numFmtId="164" fontId="5" fillId="5" borderId="0" xfId="0" applyFont="1" applyBorder="0" applyAlignment="1" applyProtection="0">
      <x:alignment horizontal="general" vertical="bottom" wrapText="1" shrinkToFit="0"/>
      <x:protection locked="1" hidden="0"/>
    </x:xf>
    <x:xf numFmtId="164" fontId="25" fillId="0" borderId="0" xfId="0" applyFont="1" applyBorder="0" applyAlignment="0" applyProtection="0">
      <x:alignment horizontal="general" vertical="bottom" wrapText="0" shrinkToFit="0"/>
      <x:protection locked="1" hidden="0"/>
    </x:xf>
    <x:xf numFmtId="175" fontId="25" fillId="0" borderId="0" xfId="0" applyFont="1" applyBorder="0" applyAlignment="0" applyProtection="0">
      <x:alignment horizontal="general" vertical="bottom" wrapText="0" shrinkToFit="0"/>
      <x:protection locked="1" hidden="0"/>
    </x:xf>
    <x:xf numFmtId="171" fontId="25" fillId="0" borderId="0" xfId="0" applyFont="1" applyBorder="0" applyAlignment="0" applyProtection="0">
      <x:alignment horizontal="general" vertical="bottom" wrapText="0" shrinkToFit="0"/>
      <x:protection locked="1" hidden="0"/>
    </x:xf>
    <x:xf numFmtId="167" fontId="25" fillId="0" borderId="0" xfId="0" applyFont="1" applyBorder="0" applyAlignment="0" applyProtection="0">
      <x:alignment horizontal="general" vertical="bottom" wrapText="0" shrinkToFit="0"/>
      <x:protection locked="1" hidden="0"/>
    </x:xf>
    <x:xf numFmtId="170" fontId="25" fillId="0" borderId="0" xfId="0" applyFont="1" applyBorder="0" applyAlignment="0" applyProtection="0">
      <x:alignment horizontal="general" vertical="bottom" wrapText="0" shrinkToFit="0"/>
      <x:protection locked="1" hidden="0"/>
    </x:xf>
    <x:xf numFmtId="164" fontId="26" fillId="0" borderId="0" xfId="0" applyNumberFormat="1" applyFont="1" applyFill="1" applyBorder="1" applyAlignment="1">
      <x:alignment horizontal="general" vertical="bottom" wrapText="0"/>
    </x:xf>
    <x:xf numFmtId="164" fontId="26" fillId="0" borderId="0" xfId="0" applyNumberFormat="1" applyFont="1" applyFill="1" applyBorder="1" applyAlignment="1">
      <x:alignment horizontal="general" vertical="center" wrapText="0"/>
    </x:xf>
    <x:xf numFmtId="164" fontId="27" fillId="0" borderId="0" xfId="0" applyNumberFormat="1" applyFont="1" applyFill="1" applyBorder="1" applyAlignment="1">
      <x:alignment horizontal="general" vertical="center" wrapText="0"/>
    </x:xf>
    <x:xf numFmtId="164" fontId="28" fillId="0" borderId="0" xfId="0" applyNumberFormat="1" applyFont="1" applyFill="1" applyBorder="1" applyAlignment="1">
      <x:alignment horizontal="general" vertical="center" wrapText="0"/>
    </x:xf>
    <x:xf numFmtId="164" fontId="26" fillId="7" borderId="0" xfId="0" applyNumberFormat="1" applyFont="1" applyFill="1" applyBorder="1" applyAlignment="1">
      <x:alignment horizontal="general" vertical="center" wrapText="0"/>
    </x:xf>
    <x:xf numFmtId="164" fontId="29" fillId="7" borderId="0" xfId="0" applyNumberFormat="1" applyFont="1" applyFill="1" applyBorder="1" applyAlignment="1">
      <x:alignment horizontal="general" vertical="center" wrapText="0"/>
    </x:xf>
    <x:xf numFmtId="164" fontId="29" fillId="7" borderId="0" xfId="0" applyNumberFormat="1" applyFont="1" applyFill="1" applyBorder="1" applyAlignment="1">
      <x:alignment horizontal="general" vertical="center" wrapText="1"/>
    </x:xf>
    <x:xf numFmtId="164" fontId="29" fillId="7" borderId="0" xfId="0" applyNumberFormat="1" applyFont="1" applyFill="1" applyBorder="1" applyAlignment="1">
      <x:alignment horizontal="center" vertical="center" wrapText="1"/>
    </x:xf>
    <x:xf numFmtId="174" fontId="26" fillId="0" borderId="0" xfId="0" applyNumberFormat="1" applyFont="1" applyFill="1" applyBorder="1" applyAlignment="1">
      <x:alignment horizontal="general" vertical="center" wrapText="0"/>
    </x:xf>
    <x:xf numFmtId="164" fontId="26" fillId="8" borderId="0" xfId="0" applyNumberFormat="1" applyFont="1" applyFill="1" applyBorder="1" applyAlignment="1">
      <x:alignment horizontal="general" vertical="center" wrapText="0"/>
    </x:xf>
    <x:xf numFmtId="174" fontId="26" fillId="8" borderId="0" xfId="0" applyNumberFormat="1" applyFont="1" applyFill="1" applyBorder="1" applyAlignment="1">
      <x:alignment horizontal="general" vertical="center" wrapText="0"/>
    </x:xf>
    <x:xf numFmtId="200" fontId="26" fillId="8" borderId="0" xfId="0" applyNumberFormat="1" applyFont="1" applyFill="1" applyBorder="1" applyAlignment="1">
      <x:alignment horizontal="general" vertical="center" wrapText="0"/>
    </x:xf>
    <x:xf numFmtId="200" fontId="26" fillId="0" borderId="0" xfId="0" applyNumberFormat="1" applyFont="1" applyFill="1" applyBorder="1" applyAlignment="1">
      <x:alignment horizontal="general" vertical="center" wrapText="0"/>
    </x:xf>
    <x:xf numFmtId="201" fontId="26" fillId="8" borderId="0" xfId="0" applyNumberFormat="1" applyFont="1" applyFill="1" applyBorder="1" applyAlignment="1">
      <x:alignment horizontal="general" vertical="center" wrapText="0"/>
    </x:xf>
    <x:xf numFmtId="201" fontId="26" fillId="0" borderId="0" xfId="0" applyNumberFormat="1" applyFont="1" applyFill="1" applyBorder="1" applyAlignment="1">
      <x:alignment horizontal="general" vertical="center" wrapText="0"/>
    </x:xf>
    <x:xf numFmtId="201" fontId="30" fillId="8" borderId="0" xfId="0" applyNumberFormat="1" applyFont="1" applyFill="1" applyBorder="1" applyAlignment="1">
      <x:alignment horizontal="general" vertical="center" wrapText="0"/>
    </x:xf>
    <x:xf numFmtId="174" fontId="30" fillId="8" borderId="0" xfId="0" applyNumberFormat="1" applyFont="1" applyFill="1" applyBorder="1" applyAlignment="1">
      <x:alignment horizontal="general" vertical="center" wrapText="0"/>
    </x:xf>
    <x:xf numFmtId="201" fontId="30" fillId="0" borderId="0" xfId="0" applyNumberFormat="1" applyFont="1" applyFill="1" applyBorder="1" applyAlignment="1">
      <x:alignment horizontal="general" vertical="center" wrapText="0"/>
    </x:xf>
    <x:xf numFmtId="174" fontId="30" fillId="0" borderId="0" xfId="0" applyNumberFormat="1" applyFont="1" applyFill="1" applyBorder="1" applyAlignment="1">
      <x:alignment horizontal="general" vertical="center" wrapText="0"/>
    </x:xf>
    <x:xf numFmtId="171" fontId="26" fillId="8" borderId="0" xfId="0" applyNumberFormat="1" applyFont="1" applyFill="1" applyBorder="1" applyAlignment="1">
      <x:alignment horizontal="general" vertical="center" wrapText="0"/>
    </x:xf>
    <x:xf numFmtId="171" fontId="26" fillId="0" borderId="0" xfId="0" applyNumberFormat="1" applyFont="1" applyFill="1" applyBorder="1" applyAlignment="1">
      <x:alignment horizontal="general" vertical="center" wrapText="0"/>
    </x:xf>
    <x:xf numFmtId="171" fontId="30" fillId="8" borderId="0" xfId="0" applyNumberFormat="1" applyFont="1" applyFill="1" applyBorder="1" applyAlignment="1">
      <x:alignment horizontal="general" vertical="center" wrapText="0"/>
    </x:xf>
    <x:xf numFmtId="171" fontId="30" fillId="0" borderId="0" xfId="0" applyNumberFormat="1" applyFont="1" applyFill="1" applyBorder="1" applyAlignment="1">
      <x:alignment horizontal="general" vertical="center" wrapText="0"/>
    </x:xf>
    <x:xf numFmtId="164" fontId="26" fillId="8" borderId="0" xfId="0" applyNumberFormat="1" applyFont="1" applyFill="1" applyBorder="1" applyAlignment="1">
      <x:alignment horizontal="general" vertical="center" wrapText="1"/>
    </x:xf>
    <x:xf numFmtId="164" fontId="26" fillId="0" borderId="0" xfId="0" applyNumberFormat="1" applyFont="1" applyFill="1" applyBorder="1" applyAlignment="1">
      <x:alignment horizontal="general" vertical="center" wrapText="1"/>
    </x:xf>
    <x:xf numFmtId="164" fontId="31" fillId="0" borderId="0" xfId="0" applyNumberFormat="1" applyFont="1" applyFill="1" applyBorder="1" applyAlignment="1">
      <x:alignment horizontal="general" vertical="center" wrapText="0"/>
    </x:xf>
    <x:xf numFmtId="164" fontId="31" fillId="8" borderId="0" xfId="0" applyNumberFormat="1" applyFont="1" applyFill="1" applyBorder="1" applyAlignment="1">
      <x:alignment horizontal="general" vertical="center" wrapText="0"/>
    </x:xf>
    <x:xf numFmtId="202" fontId="26" fillId="8" borderId="0" xfId="0" applyNumberFormat="1" applyFont="1" applyFill="1" applyBorder="1" applyAlignment="1">
      <x:alignment horizontal="general" vertical="center" wrapText="0"/>
    </x:xf>
    <x:xf numFmtId="202" fontId="31" fillId="8" borderId="0" xfId="0" applyNumberFormat="1" applyFont="1" applyFill="1" applyBorder="1" applyAlignment="1">
      <x:alignment horizontal="general" vertical="center" wrapText="0"/>
    </x:xf>
    <x:xf numFmtId="202" fontId="26" fillId="0" borderId="0" xfId="0" applyNumberFormat="1" applyFont="1" applyFill="1" applyBorder="1" applyAlignment="1">
      <x:alignment horizontal="general" vertical="center" wrapText="0"/>
    </x:xf>
    <x:xf numFmtId="202" fontId="31" fillId="0" borderId="0" xfId="0" applyNumberFormat="1" applyFont="1" applyFill="1" applyBorder="1" applyAlignment="1">
      <x:alignment horizontal="general" vertical="center" wrapText="0"/>
    </x:xf>
    <x:xf numFmtId="203" fontId="26" fillId="8" borderId="0" xfId="0" applyNumberFormat="1" applyFont="1" applyFill="1" applyBorder="1" applyAlignment="1">
      <x:alignment horizontal="general" vertical="center" wrapText="0"/>
    </x:xf>
    <x:xf numFmtId="203" fontId="26" fillId="0" borderId="0" xfId="0" applyNumberFormat="1" applyFont="1" applyFill="1" applyBorder="1" applyAlignment="1">
      <x:alignment horizontal="general" vertical="center" wrapText="0"/>
    </x:xf>
    <x:xf numFmtId="204" fontId="31" fillId="8" borderId="0" xfId="0" applyNumberFormat="1" applyFont="1" applyFill="1" applyBorder="1" applyAlignment="1">
      <x:alignment horizontal="general" vertical="center" wrapText="0"/>
    </x:xf>
    <x:xf numFmtId="204" fontId="26" fillId="8" borderId="0" xfId="0" applyNumberFormat="1" applyFont="1" applyFill="1" applyBorder="1" applyAlignment="1">
      <x:alignment horizontal="general" vertical="center" wrapText="0"/>
    </x:xf>
    <x:xf numFmtId="204" fontId="31" fillId="0" borderId="0" xfId="0" applyNumberFormat="1" applyFont="1" applyFill="1" applyBorder="1" applyAlignment="1">
      <x:alignment horizontal="general" vertical="center" wrapText="0"/>
    </x:xf>
    <x:xf numFmtId="204" fontId="26" fillId="0" borderId="0" xfId="0" applyNumberFormat="1" applyFont="1" applyFill="1" applyBorder="1" applyAlignment="1">
      <x:alignment horizontal="general" vertical="center" wrapText="0"/>
    </x:xf>
    <x:xf numFmtId="205" fontId="31" fillId="8" borderId="0" xfId="0" applyNumberFormat="1" applyFont="1" applyFill="1" applyBorder="1" applyAlignment="1">
      <x:alignment horizontal="general" vertical="center" wrapText="0"/>
    </x:xf>
    <x:xf numFmtId="205" fontId="31" fillId="0" borderId="0" xfId="0" applyNumberFormat="1" applyFont="1" applyFill="1" applyBorder="1" applyAlignment="1">
      <x:alignment horizontal="general" vertical="center" wrapText="0"/>
    </x:xf>
    <x:xf numFmtId="174" fontId="26" fillId="8" borderId="0" xfId="0" applyNumberFormat="1" applyFont="1" applyFill="1" applyBorder="1" applyAlignment="1">
      <x:alignment horizontal="general" vertical="center" wrapText="1"/>
    </x:xf>
    <x:xf numFmtId="200" fontId="26" fillId="8" borderId="0" xfId="0" applyNumberFormat="1" applyFont="1" applyFill="1" applyBorder="1" applyAlignment="1">
      <x:alignment horizontal="general" vertical="center" wrapText="1"/>
    </x:xf>
    <x:xf numFmtId="174" fontId="26" fillId="0" borderId="0" xfId="0" applyNumberFormat="1" applyFont="1" applyFill="1" applyBorder="1" applyAlignment="1">
      <x:alignment horizontal="general" vertical="center" wrapText="1"/>
    </x:xf>
    <x:xf numFmtId="200" fontId="26" fillId="0" borderId="0" xfId="0" applyNumberFormat="1" applyFont="1" applyFill="1" applyBorder="1" applyAlignment="1">
      <x:alignment horizontal="general" vertical="center" wrapText="1"/>
    </x:xf>
    <x:xf numFmtId="206" fontId="26" fillId="8" borderId="0" xfId="0" applyNumberFormat="1" applyFont="1" applyFill="1" applyBorder="1" applyAlignment="1">
      <x:alignment horizontal="general" vertical="center" wrapText="1"/>
    </x:xf>
    <x:xf numFmtId="206" fontId="26" fillId="0" borderId="0" xfId="0" applyNumberFormat="1" applyFont="1" applyFill="1" applyBorder="1" applyAlignment="1">
      <x:alignment horizontal="general" vertical="center" wrapText="1"/>
    </x:xf>
  </x:cellXfs>
  <x:cellStyles count="6">
    <x:cellStyle name="Normal" xfId="0"/>
    <x:cellStyle name="Comma" xfId="15"/>
    <x:cellStyle name="Comma [0]" xfId="16"/>
    <x:cellStyle name="Currency" xfId="17"/>
    <x:cellStyle name="Currency [0]" xfId="18"/>
    <x:cellStyle name="Percent" xfId="19"/>
  </x:cellStyles>
  <x:dxfs count="1">
    <x:dxf>
      <x:font>
        <x:b/>
        <x:color rgb="FFA32121"/>
      </x:font>
      <x:fill>
        <x:patternFill patternType="solid">
          <x:bgColor rgb="FFFCE4DF"/>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9BBB59"/>
      <x:rgbColor rgb="FF800080"/>
      <x:rgbColor rgb="FF008080"/>
      <x:rgbColor rgb="FFBFBFBF"/>
      <x:rgbColor rgb="FF808080"/>
      <x:rgbColor rgb="FF8EA9DB"/>
      <x:rgbColor rgb="FFBE4B48"/>
      <x:rgbColor rgb="FFFFF2CC"/>
      <x:rgbColor rgb="FFF2F2F2"/>
      <x:rgbColor rgb="FF660066"/>
      <x:rgbColor rgb="FFFF8080"/>
      <x:rgbColor rgb="FF0563C1"/>
      <x:rgbColor rgb="FFD9D9D9"/>
      <x:rgbColor rgb="FF000080"/>
      <x:rgbColor rgb="FFFF00FF"/>
      <x:rgbColor rgb="FFFFFF00"/>
      <x:rgbColor rgb="FF00FFFF"/>
      <x:rgbColor rgb="FF800080"/>
      <x:rgbColor rgb="FF800000"/>
      <x:rgbColor rgb="FF008080"/>
      <x:rgbColor rgb="FF0000FF"/>
      <x:rgbColor rgb="FF00CCFF"/>
      <x:rgbColor rgb="FFD9E1F2"/>
      <x:rgbColor rgb="FFCCFFCC"/>
      <x:rgbColor rgb="FFFFFF99"/>
      <x:rgbColor rgb="FF99CCFF"/>
      <x:rgbColor rgb="FFFF99CC"/>
      <x:rgbColor rgb="FF8064A2"/>
      <x:rgbColor rgb="FFFFCC99"/>
      <x:rgbColor rgb="FF4A7EBB"/>
      <x:rgbColor rgb="FF33CCCC"/>
      <x:rgbColor rgb="FF98B855"/>
      <x:rgbColor rgb="FFFFCC00"/>
      <x:rgbColor rgb="FFFF9900"/>
      <x:rgbColor rgb="FFFF6600"/>
      <x:rgbColor rgb="FF7D5FA0"/>
      <x:rgbColor rgb="FF878787"/>
      <x:rgbColor rgb="FF1F3864"/>
      <x:rgbColor rgb="FF4F81BD"/>
      <x:rgbColor rgb="FF003300"/>
      <x:rgbColor rgb="FF333300"/>
      <x:rgbColor rgb="FF993300"/>
      <x:rgbColor rgb="FFC0504D"/>
      <x:rgbColor rgb="FF595959"/>
      <x:rgbColor rgb="FF1E4D3A"/>
    </x:indexedColors>
  </x:colors>
</x:styleSheet>
</file>

<file path=xl/_rels/workbook.xml.rels>&#65279;<?xml version="1.0" encoding="utf-8"?><Relationships xmlns="http://schemas.openxmlformats.org/package/2006/relationships"><Relationship Type="http://schemas.openxmlformats.org/officeDocument/2006/relationships/styles" Target="/xl/styles.xml" Id="Ra44fb7dab0754af9" /><Relationship Type="http://schemas.openxmlformats.org/officeDocument/2006/relationships/theme" Target="/xl/theme/theme1.xml" Id="R12d64cccd9224c91" /><Relationship Type="http://schemas.openxmlformats.org/officeDocument/2006/relationships/sharedStrings" Target="/xl/sharedStrings.xml" Id="R4945d15f8cc84677" /><Relationship Type="http://schemas.openxmlformats.org/officeDocument/2006/relationships/worksheet" Target="/xl/worksheets/sheet1.xml" Id="Rdaa8b2a577e04949" /><Relationship Type="http://schemas.openxmlformats.org/officeDocument/2006/relationships/worksheet" Target="/xl/worksheets/sheet2.xml" Id="R9d8e758e82d14b2c" /><Relationship Type="http://schemas.openxmlformats.org/officeDocument/2006/relationships/worksheet" Target="/xl/worksheets/sheet3.xml" Id="R0b64a4f67d244c2f" /><Relationship Type="http://schemas.openxmlformats.org/officeDocument/2006/relationships/worksheet" Target="/xl/worksheets/sheet4.xml" Id="Rd22e336297d74d0c" /><Relationship Type="http://schemas.openxmlformats.org/officeDocument/2006/relationships/worksheet" Target="/xl/worksheets/sheet5.xml" Id="Re30079c842884627" /><Relationship Type="http://schemas.openxmlformats.org/officeDocument/2006/relationships/worksheet" Target="/xl/worksheets/sheet6.xml" Id="R8236dcd95ae44eca" /><Relationship Type="http://schemas.openxmlformats.org/officeDocument/2006/relationships/worksheet" Target="/xl/worksheets/sheet7.xml" Id="R59a5d432db1c492c" /><Relationship Type="http://schemas.openxmlformats.org/officeDocument/2006/relationships/worksheet" Target="/xl/worksheets/sheet8.xml" Id="Rbbb415df50f04553" /><Relationship Type="http://schemas.openxmlformats.org/officeDocument/2006/relationships/worksheet" Target="/xl/worksheets/sheet9.xml" Id="Rb858449f095f421a" /><Relationship Type="http://schemas.openxmlformats.org/officeDocument/2006/relationships/worksheet" Target="/xl/worksheets/sheet10.xml" Id="R7646a1fd60ff4c61" /><Relationship Type="http://schemas.openxmlformats.org/officeDocument/2006/relationships/worksheet" Target="/xl/worksheets/sheet11.xml" Id="R1e05a914dfa44a09" /><Relationship Type="http://schemas.openxmlformats.org/officeDocument/2006/relationships/worksheet" Target="/xl/worksheets/sheet12.xml" Id="Rf9f8be8ee1ac4d45" /><Relationship Type="http://schemas.openxmlformats.org/officeDocument/2006/relationships/worksheet" Target="/xl/worksheets/sheet13.xml" Id="Re388be3e352d42bd" /></Relationships>
</file>

<file path=xl/drawings/_rels/drawing1.xml.rels>&#65279;<?xml version="1.0" encoding="utf-8"?><Relationships xmlns="http://schemas.openxmlformats.org/package/2006/relationships"><Relationship Type="http://schemas.openxmlformats.org/officeDocument/2006/relationships/chart" Target="/xl/drawings/charts/chart1.xml" Id="R9813d02b5fdc4727" /><Relationship Type="http://schemas.openxmlformats.org/officeDocument/2006/relationships/chart" Target="/xl/drawings/charts/chart2.xml" Id="Rae06ce85a72943aa" /><Relationship Type="http://schemas.openxmlformats.org/officeDocument/2006/relationships/chart" Target="/xl/drawings/charts/chart3.xml" Id="R73fedf645cea4c70" /><Relationship Type="http://schemas.openxmlformats.org/officeDocument/2006/relationships/chart" Target="/xl/drawings/charts/chart4.xml" Id="R7d80992247ee485c" /></Relationships>
</file>

<file path=xl/drawings/_rels/drawing2.xml.rels>&#65279;<?xml version="1.0" encoding="utf-8"?><Relationships xmlns="http://schemas.openxmlformats.org/package/2006/relationships"><Relationship Type="http://schemas.openxmlformats.org/officeDocument/2006/relationships/chart" Target="/xl/drawings/charts/chart5.xml" Id="R04d34be361f3403c" /><Relationship Type="http://schemas.openxmlformats.org/officeDocument/2006/relationships/chart" Target="/xl/drawings/charts/chart6.xml" Id="R30fa22f5e8924b32" /><Relationship Type="http://schemas.openxmlformats.org/officeDocument/2006/relationships/chart" Target="/xl/drawings/charts/chart7.xml" Id="Rc88699a1433f4afb" /><Relationship Type="http://schemas.openxmlformats.org/officeDocument/2006/relationships/chart" Target="/xl/drawings/charts/chart8.xml" Id="Rf14bcbd70ab141ac" /></Relationships>
</file>

<file path=xl/drawings/_rels/drawing3.xml.rels>&#65279;<?xml version="1.0" encoding="utf-8"?><Relationships xmlns="http://schemas.openxmlformats.org/package/2006/relationships"><Relationship Type="http://schemas.openxmlformats.org/officeDocument/2006/relationships/chart" Target="/xl/drawings/charts/chart9.xml" Id="Rb4f846a9b95245cf" /><Relationship Type="http://schemas.openxmlformats.org/officeDocument/2006/relationships/chart" Target="/xl/drawings/charts/chart10.xml" Id="R873c38a405bc4793" /><Relationship Type="http://schemas.openxmlformats.org/officeDocument/2006/relationships/chart" Target="/xl/drawings/charts/chart11.xml" Id="Rbbc5038f14614163" /><Relationship Type="http://schemas.openxmlformats.org/officeDocument/2006/relationships/chart" Target="/xl/drawings/charts/chart12.xml" Id="R3d39a52c620340b6" /></Relationships>
</file>

<file path=xl/drawings/_rels/drawing4.xml.rels>&#65279;<?xml version="1.0" encoding="utf-8"?><Relationships xmlns="http://schemas.openxmlformats.org/package/2006/relationships"><Relationship Type="http://schemas.openxmlformats.org/officeDocument/2006/relationships/chart" Target="/xl/drawings/charts/chart13.xml" Id="Rbdc0cfacb7564e5a" /><Relationship Type="http://schemas.openxmlformats.org/officeDocument/2006/relationships/chart" Target="/xl/drawings/charts/chart14.xml" Id="Rca243d6fe0934918" /><Relationship Type="http://schemas.openxmlformats.org/officeDocument/2006/relationships/chart" Target="/xl/drawings/charts/chart15.xml" Id="Rb5d709dd9e2147b1" /><Relationship Type="http://schemas.openxmlformats.org/officeDocument/2006/relationships/chart" Target="/xl/drawings/charts/chart16.xml" Id="Red48e5a503234db0" /></Relationships>
</file>

<file path=xl/drawings/_rels/drawing5.xml.rels>&#65279;<?xml version="1.0" encoding="utf-8"?><Relationships xmlns="http://schemas.openxmlformats.org/package/2006/relationships"><Relationship Type="http://schemas.openxmlformats.org/officeDocument/2006/relationships/chart" Target="/xl/drawings/charts/chart17.xml" Id="Recc5839e5dc94315" /><Relationship Type="http://schemas.openxmlformats.org/officeDocument/2006/relationships/chart" Target="/xl/drawings/charts/chart18.xml" Id="Rfe2a987672c64fab" /><Relationship Type="http://schemas.openxmlformats.org/officeDocument/2006/relationships/chart" Target="/xl/drawings/charts/chart19.xml" Id="Rc8e43e51580f4942" /><Relationship Type="http://schemas.openxmlformats.org/officeDocument/2006/relationships/chart" Target="/xl/drawings/charts/chart20.xml" Id="Ra4f07282f9ac4290" /></Relationships>
</file>

<file path=xl/drawings/_rels/drawing6.xml.rels>&#65279;<?xml version="1.0" encoding="utf-8"?><Relationships xmlns="http://schemas.openxmlformats.org/package/2006/relationships"><Relationship Type="http://schemas.openxmlformats.org/officeDocument/2006/relationships/chart" Target="/xl/drawings/charts/chart21.xml" Id="R73583f1fff9c4e85" /><Relationship Type="http://schemas.openxmlformats.org/officeDocument/2006/relationships/chart" Target="/xl/drawings/charts/chart22.xml" Id="R9e039923a68d4cf6" /><Relationship Type="http://schemas.openxmlformats.org/officeDocument/2006/relationships/chart" Target="/xl/drawings/charts/chart23.xml" Id="Rc181e1c46e0c4734" /><Relationship Type="http://schemas.openxmlformats.org/officeDocument/2006/relationships/chart" Target="/xl/drawings/charts/chart24.xml" Id="R9d8ce76ae5b645ab" /><Relationship Type="http://schemas.openxmlformats.org/officeDocument/2006/relationships/chart" Target="/xl/drawings/charts/chart25.xml" Id="R1dfe100f30cf4f87" /><Relationship Type="http://schemas.openxmlformats.org/officeDocument/2006/relationships/chart" Target="/xl/drawings/charts/chart26.xml" Id="R1f3e96eefaed4be2" /><Relationship Type="http://schemas.openxmlformats.org/officeDocument/2006/relationships/chart" Target="/xl/drawings/charts/chart27.xml" Id="Rf1b16ae61285473e" /><Relationship Type="http://schemas.openxmlformats.org/officeDocument/2006/relationships/chart" Target="/xl/drawings/charts/chart28.xml" Id="Rab8d8edd95a34b61" /><Relationship Type="http://schemas.openxmlformats.org/officeDocument/2006/relationships/chart" Target="/xl/drawings/charts/chart29.xml" Id="R56ba86368afa49d1" /><Relationship Type="http://schemas.openxmlformats.org/officeDocument/2006/relationships/chart" Target="/xl/drawings/charts/chart30.xml" Id="R7e7401a04c60478f" /><Relationship Type="http://schemas.openxmlformats.org/officeDocument/2006/relationships/chart" Target="/xl/drawings/charts/chart31.xml" Id="Rae0f2b423044426f"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KOHC: revenue, gross profit and PAT (PKR m)</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barChart>
        <c:barDir val="col"/>
        <c:grouping val="clustered"/>
        <c:varyColors val="0"/>
        <c:ser>
          <c:idx val="0"/>
          <c:order val="0"/>
          <c:tx>
            <c:strRef>
              <c:f>"Revenue"</c:f>
              <c:strCache>
                <c:ptCount val="1"/>
                <c:pt idx="0">
                  <c:v>Revenue</c:v>
                </c:pt>
              </c:strCache>
            </c:strRef>
          </c:tx>
          <c:spPr>
            <a:solidFill xmlns:a="http://schemas.openxmlformats.org/drawingml/2006/main">
              <a:srgbClr val="4F81B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KOHC!$D$84:$H$84</c:f>
              <c:numCache>
                <c:formatCode>#,##0.0;\(#,##0.0\);\-</c:formatCode>
                <c:ptCount val="5"/>
                <c:pt idx="0">
                  <c:v>24057.375992</c:v>
                </c:pt>
                <c:pt idx="1">
                  <c:v>32876.949179</c:v>
                </c:pt>
                <c:pt idx="2">
                  <c:v>38921.63535</c:v>
                </c:pt>
                <c:pt idx="3">
                  <c:v>38647.767972</c:v>
                </c:pt>
                <c:pt idx="4">
                  <c:v>37535.700372</c:v>
                </c:pt>
              </c:numCache>
            </c:numRef>
          </c:val>
        </c:ser>
        <c:ser>
          <c:idx val="1"/>
          <c:order val="1"/>
          <c:tx>
            <c:strRef>
              <c:f>"Gross profit"</c:f>
              <c:strCache>
                <c:ptCount val="1"/>
                <c:pt idx="0">
                  <c:v>Gross profit</c:v>
                </c:pt>
              </c:strCache>
            </c:strRef>
          </c:tx>
          <c:spPr>
            <a:solidFill xmlns:a="http://schemas.openxmlformats.org/drawingml/2006/main">
              <a:srgbClr val="C0504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KOHC!$D$86:$H$86</c:f>
              <c:numCache>
                <c:formatCode>#,##0.0;\(#,##0.0\);\-</c:formatCode>
                <c:ptCount val="5"/>
                <c:pt idx="0">
                  <c:v>5965.349059</c:v>
                </c:pt>
                <c:pt idx="1">
                  <c:v>9811.768509</c:v>
                </c:pt>
                <c:pt idx="2">
                  <c:v>10432.694019</c:v>
                </c:pt>
                <c:pt idx="3">
                  <c:v>11256.491495</c:v>
                </c:pt>
                <c:pt idx="4">
                  <c:v>14721.606101</c:v>
                </c:pt>
              </c:numCache>
            </c:numRef>
          </c:val>
        </c:ser>
        <c:ser>
          <c:idx val="2"/>
          <c:order val="2"/>
          <c:tx>
            <c:strRef>
              <c:f>"Profit after tax"</c:f>
              <c:strCache>
                <c:ptCount val="1"/>
                <c:pt idx="0">
                  <c:v>Profit after tax</c:v>
                </c:pt>
              </c:strCache>
            </c:strRef>
          </c:tx>
          <c:spPr>
            <a:solidFill xmlns:a="http://schemas.openxmlformats.org/drawingml/2006/main">
              <a:srgbClr val="9BBB59"/>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KOHC!$D$99:$H$99</c:f>
              <c:numCache>
                <c:formatCode>#,##0.0;\(#,##0.0\);\-</c:formatCode>
                <c:ptCount val="5"/>
                <c:pt idx="0">
                  <c:v>3497.507247</c:v>
                </c:pt>
                <c:pt idx="1">
                  <c:v>5024.28026</c:v>
                </c:pt>
                <c:pt idx="2">
                  <c:v>5820.751145</c:v>
                </c:pt>
                <c:pt idx="3">
                  <c:v>8893.454787</c:v>
                </c:pt>
                <c:pt idx="4">
                  <c:v>11575.154071</c:v>
                </c:pt>
              </c:numCache>
            </c:numRef>
          </c:val>
        </c:ser>
        <c:gapWidth val="150"/>
        <c:overlap val="0"/>
        <c:axId val="20958754"/>
        <c:axId val="43886320"/>
      </c:barChart>
      <c:catAx>
        <c:axId val="20958754"/>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43886320"/>
        <c:crosses val="autoZero"/>
        <c:lblAlgn val="ctr"/>
        <c:noMultiLvlLbl val="0"/>
        <c:lblOffset val="100"/>
      </c:catAx>
      <c:valAx>
        <c:axId val="43886320"/>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PKR m</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0;\(#,##0.0\);\-"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20958754"/>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KOHC: margins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"Gross margin"</c:f>
              <c:strCache>
                <c:ptCount val="1"/>
                <c:pt idx="0">
                  <c:v>Gross margin</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KOHC!$D$162:$H$162</c:f>
              <c:numCache>
                <c:formatCode>0.0%</c:formatCode>
                <c:ptCount val="5"/>
                <c:pt idx="0">
                  <c:v>0.247963413008289</c:v>
                </c:pt>
                <c:pt idx="1">
                  <c:v>0.298439142135099</c:v>
                </c:pt>
                <c:pt idx="2">
                  <c:v>0.268043568189896</c:v>
                </c:pt>
                <c:pt idx="3">
                  <c:v>0.291258514674256</c:v>
                </c:pt>
                <c:pt idx="4">
                  <c:v>0.392202781754451</c:v>
                </c:pt>
              </c:numCache>
            </c:numRef>
          </c:val>
          <c:smooth val="1"/>
        </c:ser>
        <c:ser>
          <c:idx val="1"/>
          <c:order val="1"/>
          <c:tx>
            <c:strRef>
              <c:f>"Operating margin"</c:f>
              <c:strCache>
                <c:ptCount val="1"/>
                <c:pt idx="0">
                  <c:v>Operating margin</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KOHC!$D$163:$H$163</c:f>
              <c:numCache>
                <c:formatCode>0.0%</c:formatCode>
                <c:ptCount val="5"/>
                <c:pt idx="0">
                  <c:v>0.217494017291826</c:v>
                </c:pt>
                <c:pt idx="1">
                  <c:v>0.266845214172237</c:v>
                </c:pt>
                <c:pt idx="2">
                  <c:v>0.234415318497145</c:v>
                </c:pt>
                <c:pt idx="3">
                  <c:v>0.258779483442506</c:v>
                </c:pt>
                <c:pt idx="4">
                  <c:v>0.341435348454566</c:v>
                </c:pt>
              </c:numCache>
            </c:numRef>
          </c:val>
          <c:smooth val="1"/>
        </c:ser>
        <c:ser>
          <c:idx val="2"/>
          <c:order val="2"/>
          <c:tx>
            <c:strRef>
              <c:f>"EBITDA margin"</c:f>
              <c:strCache>
                <c:ptCount val="1"/>
                <c:pt idx="0">
                  <c:v>EBITDA margin</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KOHC!$D$169:$H$169</c:f>
              <c:numCache>
                <c:formatCode>0.0%</c:formatCode>
                <c:ptCount val="5"/>
                <c:pt idx="0">
                  <c:v>0.275745065596762</c:v>
                </c:pt>
                <c:pt idx="1">
                  <c:v>0.321845853135265</c:v>
                </c:pt>
                <c:pt idx="2">
                  <c:v>0.31667859993966</c:v>
                </c:pt>
                <c:pt idx="3">
                  <c:v>0.404588775484486</c:v>
                </c:pt>
                <c:pt idx="4">
                  <c:v>0.515821702755359</c:v>
                </c:pt>
              </c:numCache>
            </c:numRef>
          </c:val>
          <c:smooth val="1"/>
        </c:ser>
        <c:ser>
          <c:idx val="3"/>
          <c:order val="3"/>
          <c:tx>
            <c:strRef>
              <c:f>"Net margin"</c:f>
              <c:strCache>
                <c:ptCount val="1"/>
                <c:pt idx="0">
                  <c:v>Net margin</c:v>
                </c:pt>
              </c:strCache>
            </c:strRef>
          </c:tx>
          <c:spPr>
            <a:solidFill xmlns:a="http://schemas.openxmlformats.org/drawingml/2006/main">
              <a:srgbClr val="7D5FA0"/>
            </a:solidFill>
            <a:ln xmlns:a="http://schemas.openxmlformats.org/drawingml/2006/main" w="28440">
              <a:solidFill>
                <a:srgbClr val="7D5FA0"/>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KOHC!$D$164:$H$164</c:f>
              <c:numCache>
                <c:formatCode>0.0%</c:formatCode>
                <c:ptCount val="5"/>
                <c:pt idx="0">
                  <c:v>0.145381908989703</c:v>
                </c:pt>
                <c:pt idx="1">
                  <c:v>0.152820756957864</c:v>
                </c:pt>
                <c:pt idx="2">
                  <c:v>0.149550528713845</c:v>
                </c:pt>
                <c:pt idx="3">
                  <c:v>0.230115612198956</c:v>
                </c:pt>
                <c:pt idx="4">
                  <c:v>0.308377197075949</c:v>
                </c:pt>
              </c:numCache>
            </c:numRef>
          </c:val>
          <c:smooth val="1"/>
        </c:ser>
        <c:axId val="405095"/>
        <c:axId val="11666706"/>
      </c:lineChart>
      <c:catAx>
        <c:axId val="405095"/>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11666706"/>
        <c:crosses val="autoZero"/>
        <c:lblAlgn val="ctr"/>
        <c:noMultiLvlLbl val="0"/>
        <c:lblOffset val="100"/>
      </c:catAx>
      <c:valAx>
        <c:axId val="11666706"/>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 of revenue</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405095"/>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KOHC: liquidity and leverage (x)</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"Current ratio"</c:f>
              <c:strCache>
                <c:ptCount val="1"/>
                <c:pt idx="0">
                  <c:v>Current ratio</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KOHC!$D$138:$H$138</c:f>
              <c:numCache>
                <c:formatCode>0.00\x</c:formatCode>
                <c:ptCount val="5"/>
                <c:pt idx="0">
                  <c:v>1.3006446691415</c:v>
                </c:pt>
                <c:pt idx="1">
                  <c:v>1.87350852761098</c:v>
                </c:pt>
                <c:pt idx="2">
                  <c:v>2.31157051545922</c:v>
                </c:pt>
                <c:pt idx="3">
                  <c:v>2.903159053016</c:v>
                </c:pt>
                <c:pt idx="4">
                  <c:v>3.31124868717277</c:v>
                </c:pt>
              </c:numCache>
            </c:numRef>
          </c:val>
          <c:smooth val="1"/>
        </c:ser>
        <c:ser>
          <c:idx val="1"/>
          <c:order val="1"/>
          <c:tx>
            <c:strRef>
              <c:f>"Quick ratio"</c:f>
              <c:strCache>
                <c:ptCount val="1"/>
                <c:pt idx="0">
                  <c:v>Quick ratio</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KOHC!$D$139:$H$139</c:f>
              <c:numCache>
                <c:formatCode>0.00\x</c:formatCode>
                <c:ptCount val="5"/>
                <c:pt idx="0">
                  <c:v>0.748160438555549</c:v>
                </c:pt>
                <c:pt idx="1">
                  <c:v>1.27580701104523</c:v>
                </c:pt>
                <c:pt idx="2">
                  <c:v>1.53921103006347</c:v>
                </c:pt>
                <c:pt idx="3">
                  <c:v>2.22005933992124</c:v>
                </c:pt>
                <c:pt idx="4">
                  <c:v>2.66770037843409</c:v>
                </c:pt>
              </c:numCache>
            </c:numRef>
          </c:val>
          <c:smooth val="1"/>
        </c:ser>
        <c:ser>
          <c:idx val="2"/>
          <c:order val="2"/>
          <c:tx>
            <c:strRef>
              <c:f>"Debt-to-equity"</c:f>
              <c:strCache>
                <c:ptCount val="1"/>
                <c:pt idx="0">
                  <c:v>Debt-to-equity</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KOHC!$D$156:$H$156</c:f>
              <c:numCache>
                <c:formatCode>0.00\x</c:formatCode>
                <c:ptCount val="5"/>
                <c:pt idx="0">
                  <c:v>0.62381521838464</c:v>
                </c:pt>
                <c:pt idx="1">
                  <c:v>0.591070888969649</c:v>
                </c:pt>
                <c:pt idx="2">
                  <c:v>0.518859467612758</c:v>
                </c:pt>
                <c:pt idx="3">
                  <c:v>0.432048138369233</c:v>
                </c:pt>
                <c:pt idx="4">
                  <c:v>0.39284830485366</c:v>
                </c:pt>
              </c:numCache>
            </c:numRef>
          </c:val>
          <c:smooth val="1"/>
        </c:ser>
        <c:ser>
          <c:idx val="3"/>
          <c:order val="3"/>
          <c:tx>
            <c:strRef>
              <c:f>"Interest-bearing debt / equity"</c:f>
              <c:strCache>
                <c:ptCount val="1"/>
                <c:pt idx="0">
                  <c:v>Interest-bearing debt / equity</c:v>
                </c:pt>
              </c:strCache>
            </c:strRef>
          </c:tx>
          <c:spPr>
            <a:solidFill xmlns:a="http://schemas.openxmlformats.org/drawingml/2006/main">
              <a:srgbClr val="7D5FA0"/>
            </a:solidFill>
            <a:ln xmlns:a="http://schemas.openxmlformats.org/drawingml/2006/main" w="28440">
              <a:solidFill>
                <a:srgbClr val="7D5FA0"/>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KOHC!$D$182:$H$182</c:f>
              <c:numCache>
                <c:formatCode>0.00\x</c:formatCode>
                <c:ptCount val="5"/>
                <c:pt idx="0">
                  <c:v>0.272269238845717</c:v>
                </c:pt>
                <c:pt idx="1">
                  <c:v>0.156033109838956</c:v>
                </c:pt>
                <c:pt idx="2">
                  <c:v>0.0976194068647665</c:v>
                </c:pt>
                <c:pt idx="3">
                  <c:v>0.055682218902889</c:v>
                </c:pt>
                <c:pt idx="4">
                  <c:v>0.0477537824874147</c:v>
                </c:pt>
              </c:numCache>
            </c:numRef>
          </c:val>
          <c:smooth val="1"/>
        </c:ser>
        <c:axId val="78010414"/>
        <c:axId val="41337542"/>
      </c:lineChart>
      <c:catAx>
        <c:axId val="78010414"/>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41337542"/>
        <c:crosses val="autoZero"/>
        <c:lblAlgn val="ctr"/>
        <c:noMultiLvlLbl val="0"/>
        <c:lblOffset val="100"/>
      </c:catAx>
      <c:valAx>
        <c:axId val="41337542"/>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times</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00\x"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78010414"/>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KOHC: working-capital cycle (days)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barChart>
        <c:barDir val="col"/>
        <c:grouping val="clustered"/>
        <c:varyColors val="0"/>
        <c:ser>
          <c:idx val="0"/>
          <c:order val="0"/>
          <c:tx>
            <c:strRef>
              <c:f>"DIO"</c:f>
              <c:strCache>
                <c:ptCount val="1"/>
                <c:pt idx="0">
                  <c:v>DIO</c:v>
                </c:pt>
              </c:strCache>
            </c:strRef>
          </c:tx>
          <c:spPr>
            <a:solidFill xmlns:a="http://schemas.openxmlformats.org/drawingml/2006/main">
              <a:srgbClr val="4F81B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KOHC!$D$147:$H$147</c:f>
              <c:numCache>
                <c:formatCode>0</c:formatCode>
                <c:ptCount val="5"/>
                <c:pt idx="0">
                  <c:v>75.1477435315788</c:v>
                </c:pt>
                <c:pt idx="1">
                  <c:v>77.9725975917318</c:v>
                </c:pt>
                <c:pt idx="2">
                  <c:v>85.372545387408</c:v>
                </c:pt>
                <c:pt idx="3">
                  <c:v>101.509093574544</c:v>
                </c:pt>
                <c:pt idx="4">
                  <c:v>120.665918783452</c:v>
                </c:pt>
              </c:numCache>
            </c:numRef>
          </c:val>
        </c:ser>
        <c:ser>
          <c:idx val="1"/>
          <c:order val="1"/>
          <c:tx>
            <c:strRef>
              <c:f>"DSO"</c:f>
              <c:strCache>
                <c:ptCount val="1"/>
                <c:pt idx="0">
                  <c:v>DSO</c:v>
                </c:pt>
              </c:strCache>
            </c:strRef>
          </c:tx>
          <c:spPr>
            <a:solidFill xmlns:a="http://schemas.openxmlformats.org/drawingml/2006/main">
              <a:srgbClr val="C0504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KOHC!$D$148:$H$148</c:f>
              <c:numCache>
                <c:formatCode>0</c:formatCode>
                <c:ptCount val="5"/>
                <c:pt idx="0">
                  <c:v>11.211269503465</c:v>
                </c:pt>
                <c:pt idx="1">
                  <c:v>10.5447254823583</c:v>
                </c:pt>
                <c:pt idx="2">
                  <c:v>9.94795543784878</c:v>
                </c:pt>
                <c:pt idx="3">
                  <c:v>15.6576631667556</c:v>
                </c:pt>
                <c:pt idx="4">
                  <c:v>18.4877327338391</c:v>
                </c:pt>
              </c:numCache>
            </c:numRef>
          </c:val>
        </c:ser>
        <c:ser>
          <c:idx val="2"/>
          <c:order val="2"/>
          <c:tx>
            <c:strRef>
              <c:f>"DPO"</c:f>
              <c:strCache>
                <c:ptCount val="1"/>
                <c:pt idx="0">
                  <c:v>DPO</c:v>
                </c:pt>
              </c:strCache>
            </c:strRef>
          </c:tx>
          <c:spPr>
            <a:solidFill xmlns:a="http://schemas.openxmlformats.org/drawingml/2006/main">
              <a:srgbClr val="9BBB59"/>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KOHC!$D$149:$H$149</c:f>
              <c:numCache>
                <c:formatCode>0</c:formatCode>
                <c:ptCount val="5"/>
                <c:pt idx="0">
                  <c:v>26.6956643917572</c:v>
                </c:pt>
                <c:pt idx="1">
                  <c:v>22.4451272384072</c:v>
                </c:pt>
                <c:pt idx="2">
                  <c:v>12.5316246621639</c:v>
                </c:pt>
                <c:pt idx="3">
                  <c:v>16.3644111717058</c:v>
                </c:pt>
                <c:pt idx="4">
                  <c:v>31.1064888645213</c:v>
                </c:pt>
              </c:numCache>
            </c:numRef>
          </c:val>
        </c:ser>
        <c:ser>
          <c:idx val="3"/>
          <c:order val="3"/>
          <c:tx>
            <c:strRef>
              <c:f>"Cash conversion cycle"</c:f>
              <c:strCache>
                <c:ptCount val="1"/>
                <c:pt idx="0">
                  <c:v>Cash conversion cycle</c:v>
                </c:pt>
              </c:strCache>
            </c:strRef>
          </c:tx>
          <c:spPr>
            <a:solidFill xmlns:a="http://schemas.openxmlformats.org/drawingml/2006/main">
              <a:srgbClr val="8064A2"/>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KOHC!$D$17:$H$17</c:f>
              <c:strCache>
                <c:ptCount val="5"/>
                <c:pt idx="0">
                  <c:v>FY2021</c:v>
                </c:pt>
                <c:pt idx="1">
                  <c:v>FY2022</c:v>
                </c:pt>
                <c:pt idx="2">
                  <c:v>FY2023</c:v>
                </c:pt>
                <c:pt idx="3">
                  <c:v>FY2024</c:v>
                </c:pt>
                <c:pt idx="4">
                  <c:v>FY2025</c:v>
                </c:pt>
              </c:strCache>
            </c:strRef>
          </c:cat>
          <c:val>
            <c:numRef>
              <c:f>KOHC!$D$151:$H$151</c:f>
              <c:numCache>
                <c:formatCode>0</c:formatCode>
                <c:ptCount val="5"/>
                <c:pt idx="0">
                  <c:v>59.6633486432866</c:v>
                </c:pt>
                <c:pt idx="1">
                  <c:v>66.0721958356829</c:v>
                </c:pt>
                <c:pt idx="2">
                  <c:v>82.7888761630929</c:v>
                </c:pt>
                <c:pt idx="3">
                  <c:v>100.802345569594</c:v>
                </c:pt>
                <c:pt idx="4">
                  <c:v>108.04716265277</c:v>
                </c:pt>
              </c:numCache>
            </c:numRef>
          </c:val>
        </c:ser>
        <c:gapWidth val="150"/>
        <c:overlap val="0"/>
        <c:axId val="41992624"/>
        <c:axId val="75686262"/>
      </c:barChart>
      <c:catAx>
        <c:axId val="41992624"/>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75686262"/>
        <c:crosses val="autoZero"/>
        <c:lblAlgn val="ctr"/>
        <c:noMultiLvlLbl val="0"/>
        <c:lblOffset val="100"/>
      </c:catAx>
      <c:valAx>
        <c:axId val="75686262"/>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days</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41992624"/>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LUCK: revenue, gross profit and PAT (PKR m)</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barChart>
        <c:barDir val="col"/>
        <c:grouping val="clustered"/>
        <c:varyColors val="0"/>
        <c:ser>
          <c:idx val="0"/>
          <c:order val="0"/>
          <c:tx>
            <c:strRef>
              <c:f>"Revenue"</c:f>
              <c:strCache>
                <c:ptCount val="1"/>
                <c:pt idx="0">
                  <c:v>Revenue</c:v>
                </c:pt>
              </c:strCache>
            </c:strRef>
          </c:tx>
          <c:spPr>
            <a:solidFill xmlns:a="http://schemas.openxmlformats.org/drawingml/2006/main">
              <a:srgbClr val="4F81B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LUCK!$D$84:$H$84</c:f>
              <c:numCache>
                <c:formatCode>#,##0.0;\(#,##0.0\);\-</c:formatCode>
                <c:ptCount val="5"/>
                <c:pt idx="0">
                  <c:v>62940.805</c:v>
                </c:pt>
                <c:pt idx="1">
                  <c:v>81093.525</c:v>
                </c:pt>
                <c:pt idx="2">
                  <c:v>95832.147</c:v>
                </c:pt>
                <c:pt idx="3">
                  <c:v>115324.942</c:v>
                </c:pt>
                <c:pt idx="4">
                  <c:v>124511.744</c:v>
                </c:pt>
              </c:numCache>
            </c:numRef>
          </c:val>
        </c:ser>
        <c:ser>
          <c:idx val="1"/>
          <c:order val="1"/>
          <c:tx>
            <c:strRef>
              <c:f>"Gross profit"</c:f>
              <c:strCache>
                <c:ptCount val="1"/>
                <c:pt idx="0">
                  <c:v>Gross profit</c:v>
                </c:pt>
              </c:strCache>
            </c:strRef>
          </c:tx>
          <c:spPr>
            <a:solidFill xmlns:a="http://schemas.openxmlformats.org/drawingml/2006/main">
              <a:srgbClr val="C0504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LUCK!$D$86:$H$86</c:f>
              <c:numCache>
                <c:formatCode>#,##0.0;\(#,##0.0\);\-</c:formatCode>
                <c:ptCount val="5"/>
                <c:pt idx="0">
                  <c:v>18955.932</c:v>
                </c:pt>
                <c:pt idx="1">
                  <c:v>22551.841</c:v>
                </c:pt>
                <c:pt idx="2">
                  <c:v>26060.678</c:v>
                </c:pt>
                <c:pt idx="3">
                  <c:v>38804.572</c:v>
                </c:pt>
                <c:pt idx="4">
                  <c:v>42684.684</c:v>
                </c:pt>
              </c:numCache>
            </c:numRef>
          </c:val>
        </c:ser>
        <c:ser>
          <c:idx val="2"/>
          <c:order val="2"/>
          <c:tx>
            <c:strRef>
              <c:f>"Profit after tax"</c:f>
              <c:strCache>
                <c:ptCount val="1"/>
                <c:pt idx="0">
                  <c:v>Profit after tax</c:v>
                </c:pt>
              </c:strCache>
            </c:strRef>
          </c:tx>
          <c:spPr>
            <a:solidFill xmlns:a="http://schemas.openxmlformats.org/drawingml/2006/main">
              <a:srgbClr val="9BBB59"/>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LUCK!$D$99:$H$99</c:f>
              <c:numCache>
                <c:formatCode>#,##0.0;\(#,##0.0\);\-</c:formatCode>
                <c:ptCount val="5"/>
                <c:pt idx="0">
                  <c:v>14070.189</c:v>
                </c:pt>
                <c:pt idx="1">
                  <c:v>15298.618</c:v>
                </c:pt>
                <c:pt idx="2">
                  <c:v>13725.814</c:v>
                </c:pt>
                <c:pt idx="3">
                  <c:v>28106.539</c:v>
                </c:pt>
                <c:pt idx="4">
                  <c:v>33092.162</c:v>
                </c:pt>
              </c:numCache>
            </c:numRef>
          </c:val>
        </c:ser>
        <c:gapWidth val="150"/>
        <c:overlap val="0"/>
        <c:axId val="28600532"/>
        <c:axId val="50875909"/>
      </c:barChart>
      <c:catAx>
        <c:axId val="28600532"/>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50875909"/>
        <c:crosses val="autoZero"/>
        <c:lblAlgn val="ctr"/>
        <c:noMultiLvlLbl val="0"/>
        <c:lblOffset val="100"/>
      </c:catAx>
      <c:valAx>
        <c:axId val="50875909"/>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PKR m</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0;\(#,##0.0\);\-"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28600532"/>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LUCK: margins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"Gross margin"</c:f>
              <c:strCache>
                <c:ptCount val="1"/>
                <c:pt idx="0">
                  <c:v>Gross margin</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LUCK!$D$162:$H$162</c:f>
              <c:numCache>
                <c:formatCode>0.0%</c:formatCode>
                <c:ptCount val="5"/>
                <c:pt idx="0">
                  <c:v>0.301170790554712</c:v>
                </c:pt>
                <c:pt idx="1">
                  <c:v>0.278096691443614</c:v>
                </c:pt>
                <c:pt idx="2">
                  <c:v>0.271940875956791</c:v>
                </c:pt>
                <c:pt idx="3">
                  <c:v>0.336480307963216</c:v>
                </c:pt>
                <c:pt idx="4">
                  <c:v>0.342816529820673</c:v>
                </c:pt>
              </c:numCache>
            </c:numRef>
          </c:val>
          <c:smooth val="1"/>
        </c:ser>
        <c:ser>
          <c:idx val="1"/>
          <c:order val="1"/>
          <c:tx>
            <c:strRef>
              <c:f>"Operating margin"</c:f>
              <c:strCache>
                <c:ptCount val="1"/>
                <c:pt idx="0">
                  <c:v>Operating margin</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LUCK!$D$163:$H$163</c:f>
              <c:numCache>
                <c:formatCode>0.0%</c:formatCode>
                <c:ptCount val="5"/>
                <c:pt idx="0">
                  <c:v>0.180043598107778</c:v>
                </c:pt>
                <c:pt idx="1">
                  <c:v>0.177917398460605</c:v>
                </c:pt>
                <c:pt idx="2">
                  <c:v>0.171817302600974</c:v>
                </c:pt>
                <c:pt idx="3">
                  <c:v>0.228860891167845</c:v>
                </c:pt>
                <c:pt idx="4">
                  <c:v>0.22670718514713</c:v>
                </c:pt>
              </c:numCache>
            </c:numRef>
          </c:val>
          <c:smooth val="1"/>
        </c:ser>
        <c:ser>
          <c:idx val="2"/>
          <c:order val="2"/>
          <c:tx>
            <c:strRef>
              <c:f>"EBITDA margin"</c:f>
              <c:strCache>
                <c:ptCount val="1"/>
                <c:pt idx="0">
                  <c:v>EBITDA margin</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LUCK!$D$169:$H$169</c:f>
              <c:numCache>
                <c:formatCode>0.0%</c:formatCode>
                <c:ptCount val="5"/>
                <c:pt idx="0">
                  <c:v>0.343558967826992</c:v>
                </c:pt>
                <c:pt idx="1">
                  <c:v>0.324853433119352</c:v>
                </c:pt>
                <c:pt idx="2">
                  <c:v>0.290380700747527</c:v>
                </c:pt>
                <c:pt idx="3">
                  <c:v>0.425460036216624</c:v>
                </c:pt>
                <c:pt idx="4">
                  <c:v>0.446796086961885</c:v>
                </c:pt>
              </c:numCache>
            </c:numRef>
          </c:val>
          <c:smooth val="1"/>
        </c:ser>
        <c:ser>
          <c:idx val="3"/>
          <c:order val="3"/>
          <c:tx>
            <c:strRef>
              <c:f>"Net margin"</c:f>
              <c:strCache>
                <c:ptCount val="1"/>
                <c:pt idx="0">
                  <c:v>Net margin</c:v>
                </c:pt>
              </c:strCache>
            </c:strRef>
          </c:tx>
          <c:spPr>
            <a:solidFill xmlns:a="http://schemas.openxmlformats.org/drawingml/2006/main">
              <a:srgbClr val="7D5FA0"/>
            </a:solidFill>
            <a:ln xmlns:a="http://schemas.openxmlformats.org/drawingml/2006/main" w="28440">
              <a:solidFill>
                <a:srgbClr val="7D5FA0"/>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LUCK!$D$164:$H$164</c:f>
              <c:numCache>
                <c:formatCode>0.0%</c:formatCode>
                <c:ptCount val="5"/>
                <c:pt idx="0">
                  <c:v>0.22354637821998</c:v>
                </c:pt>
                <c:pt idx="1">
                  <c:v>0.188654001660428</c:v>
                </c:pt>
                <c:pt idx="2">
                  <c:v>0.143227658251255</c:v>
                </c:pt>
                <c:pt idx="3">
                  <c:v>0.243716047132285</c:v>
                </c:pt>
                <c:pt idx="4">
                  <c:v>0.265775427577338</c:v>
                </c:pt>
              </c:numCache>
            </c:numRef>
          </c:val>
          <c:smooth val="1"/>
        </c:ser>
        <c:axId val="83971727"/>
        <c:axId val="39837123"/>
      </c:lineChart>
      <c:catAx>
        <c:axId val="83971727"/>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39837123"/>
        <c:crosses val="autoZero"/>
        <c:lblAlgn val="ctr"/>
        <c:noMultiLvlLbl val="0"/>
        <c:lblOffset val="100"/>
      </c:catAx>
      <c:valAx>
        <c:axId val="39837123"/>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 of revenue</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83971727"/>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LUCK: liquidity and leverage (x)</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"Current ratio"</c:f>
              <c:strCache>
                <c:ptCount val="1"/>
                <c:pt idx="0">
                  <c:v>Current ratio</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LUCK!$D$138:$H$138</c:f>
              <c:numCache>
                <c:formatCode>0.00\x</c:formatCode>
                <c:ptCount val="5"/>
                <c:pt idx="0">
                  <c:v>1.33860794589382</c:v>
                </c:pt>
                <c:pt idx="1">
                  <c:v>1.47607663003743</c:v>
                </c:pt>
                <c:pt idx="2">
                  <c:v>1.29007163332686</c:v>
                </c:pt>
                <c:pt idx="3">
                  <c:v>1.26322223547432</c:v>
                </c:pt>
                <c:pt idx="4">
                  <c:v>1.71461438759042</c:v>
                </c:pt>
              </c:numCache>
            </c:numRef>
          </c:val>
          <c:smooth val="1"/>
        </c:ser>
        <c:ser>
          <c:idx val="1"/>
          <c:order val="1"/>
          <c:tx>
            <c:strRef>
              <c:f>"Quick ratio"</c:f>
              <c:strCache>
                <c:ptCount val="1"/>
                <c:pt idx="0">
                  <c:v>Quick ratio</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LUCK!$D$139:$H$139</c:f>
              <c:numCache>
                <c:formatCode>0.00\x</c:formatCode>
                <c:ptCount val="5"/>
                <c:pt idx="0">
                  <c:v>0.890008861006851</c:v>
                </c:pt>
                <c:pt idx="1">
                  <c:v>0.870760919192086</c:v>
                </c:pt>
                <c:pt idx="2">
                  <c:v>0.854122265624264</c:v>
                </c:pt>
                <c:pt idx="3">
                  <c:v>0.836983116317007</c:v>
                </c:pt>
                <c:pt idx="4">
                  <c:v>1.2939267138362</c:v>
                </c:pt>
              </c:numCache>
            </c:numRef>
          </c:val>
          <c:smooth val="1"/>
        </c:ser>
        <c:ser>
          <c:idx val="2"/>
          <c:order val="2"/>
          <c:tx>
            <c:strRef>
              <c:f>"Debt-to-equity"</c:f>
              <c:strCache>
                <c:ptCount val="1"/>
                <c:pt idx="0">
                  <c:v>Debt-to-equity</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LUCK!$D$156:$H$156</c:f>
              <c:numCache>
                <c:formatCode>0.00\x</c:formatCode>
                <c:ptCount val="5"/>
                <c:pt idx="0">
                  <c:v>0.381340155602826</c:v>
                </c:pt>
                <c:pt idx="1">
                  <c:v>0.438944311358668</c:v>
                </c:pt>
                <c:pt idx="2">
                  <c:v>0.551173953651494</c:v>
                </c:pt>
                <c:pt idx="3">
                  <c:v>0.583757901605033</c:v>
                </c:pt>
                <c:pt idx="4">
                  <c:v>0.516385785036018</c:v>
                </c:pt>
              </c:numCache>
            </c:numRef>
          </c:val>
          <c:smooth val="1"/>
        </c:ser>
        <c:ser>
          <c:idx val="3"/>
          <c:order val="3"/>
          <c:tx>
            <c:strRef>
              <c:f>"Interest-bearing debt / equity"</c:f>
              <c:strCache>
                <c:ptCount val="1"/>
                <c:pt idx="0">
                  <c:v>Interest-bearing debt / equity</c:v>
                </c:pt>
              </c:strCache>
            </c:strRef>
          </c:tx>
          <c:spPr>
            <a:solidFill xmlns:a="http://schemas.openxmlformats.org/drawingml/2006/main">
              <a:srgbClr val="7D5FA0"/>
            </a:solidFill>
            <a:ln xmlns:a="http://schemas.openxmlformats.org/drawingml/2006/main" w="28440">
              <a:solidFill>
                <a:srgbClr val="7D5FA0"/>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LUCK!$D$182:$H$182</c:f>
              <c:numCache>
                <c:formatCode>0.00\x</c:formatCode>
                <c:ptCount val="5"/>
                <c:pt idx="0">
                  <c:v>0.0926760431941772</c:v>
                </c:pt>
                <c:pt idx="1">
                  <c:v>0.121328836855896</c:v>
                </c:pt>
                <c:pt idx="2">
                  <c:v>0.153181260740715</c:v>
                </c:pt>
                <c:pt idx="3">
                  <c:v>0.137686844706953</c:v>
                </c:pt>
                <c:pt idx="4">
                  <c:v>0.0996848793476679</c:v>
                </c:pt>
              </c:numCache>
            </c:numRef>
          </c:val>
          <c:smooth val="1"/>
        </c:ser>
        <c:axId val="44481805"/>
        <c:axId val="71217125"/>
      </c:lineChart>
      <c:catAx>
        <c:axId val="44481805"/>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71217125"/>
        <c:crosses val="autoZero"/>
        <c:lblAlgn val="ctr"/>
        <c:noMultiLvlLbl val="0"/>
        <c:lblOffset val="100"/>
      </c:catAx>
      <c:valAx>
        <c:axId val="71217125"/>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times</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00\x"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44481805"/>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LUCK: working-capital cycle (days)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barChart>
        <c:barDir val="col"/>
        <c:grouping val="clustered"/>
        <c:varyColors val="0"/>
        <c:ser>
          <c:idx val="0"/>
          <c:order val="0"/>
          <c:tx>
            <c:strRef>
              <c:f>"DIO"</c:f>
              <c:strCache>
                <c:ptCount val="1"/>
                <c:pt idx="0">
                  <c:v>DIO</c:v>
                </c:pt>
              </c:strCache>
            </c:strRef>
          </c:tx>
          <c:spPr>
            <a:solidFill xmlns:a="http://schemas.openxmlformats.org/drawingml/2006/main">
              <a:srgbClr val="4F81B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LUCK!$D$147:$H$147</c:f>
              <c:numCache>
                <c:formatCode>0</c:formatCode>
                <c:ptCount val="5"/>
                <c:pt idx="0">
                  <c:v>95.7099066763249</c:v>
                </c:pt>
                <c:pt idx="1">
                  <c:v>99.7885814576157</c:v>
                </c:pt>
                <c:pt idx="2">
                  <c:v>100.731841979707</c:v>
                </c:pt>
                <c:pt idx="3">
                  <c:v>103.102394695687</c:v>
                </c:pt>
                <c:pt idx="4">
                  <c:v>106.535284354589</c:v>
                </c:pt>
              </c:numCache>
            </c:numRef>
          </c:val>
        </c:ser>
        <c:ser>
          <c:idx val="1"/>
          <c:order val="1"/>
          <c:tx>
            <c:strRef>
              <c:f>"DSO"</c:f>
              <c:strCache>
                <c:ptCount val="1"/>
                <c:pt idx="0">
                  <c:v>DSO</c:v>
                </c:pt>
              </c:strCache>
            </c:strRef>
          </c:tx>
          <c:spPr>
            <a:solidFill xmlns:a="http://schemas.openxmlformats.org/drawingml/2006/main">
              <a:srgbClr val="C0504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LUCK!$D$148:$H$148</c:f>
              <c:numCache>
                <c:formatCode>0</c:formatCode>
                <c:ptCount val="5"/>
                <c:pt idx="0">
                  <c:v>17.7824983331561</c:v>
                </c:pt>
                <c:pt idx="1">
                  <c:v>14.0273183339854</c:v>
                </c:pt>
                <c:pt idx="2">
                  <c:v>16.4015853156248</c:v>
                </c:pt>
                <c:pt idx="3">
                  <c:v>19.0248666676112</c:v>
                </c:pt>
                <c:pt idx="4">
                  <c:v>19.4731456215086</c:v>
                </c:pt>
              </c:numCache>
            </c:numRef>
          </c:val>
        </c:ser>
        <c:ser>
          <c:idx val="2"/>
          <c:order val="2"/>
          <c:tx>
            <c:strRef>
              <c:f>"DPO"</c:f>
              <c:strCache>
                <c:ptCount val="1"/>
                <c:pt idx="0">
                  <c:v>DPO</c:v>
                </c:pt>
              </c:strCache>
            </c:strRef>
          </c:tx>
          <c:spPr>
            <a:solidFill xmlns:a="http://schemas.openxmlformats.org/drawingml/2006/main">
              <a:srgbClr val="9BBB59"/>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LUCK!$D$149:$H$149</c:f>
              <c:numCache>
                <c:formatCode>0</c:formatCode>
                <c:ptCount val="5"/>
                <c:pt idx="0">
                  <c:v>22.7445155974419</c:v>
                </c:pt>
                <c:pt idx="1">
                  <c:v>19.4385651769088</c:v>
                </c:pt>
                <c:pt idx="2">
                  <c:v>21.9286880716242</c:v>
                </c:pt>
                <c:pt idx="3">
                  <c:v>29.1032430318881</c:v>
                </c:pt>
                <c:pt idx="4">
                  <c:v>30.3302992616379</c:v>
                </c:pt>
              </c:numCache>
            </c:numRef>
          </c:val>
        </c:ser>
        <c:ser>
          <c:idx val="3"/>
          <c:order val="3"/>
          <c:tx>
            <c:strRef>
              <c:f>"Cash conversion cycle"</c:f>
              <c:strCache>
                <c:ptCount val="1"/>
                <c:pt idx="0">
                  <c:v>Cash conversion cycle</c:v>
                </c:pt>
              </c:strCache>
            </c:strRef>
          </c:tx>
          <c:spPr>
            <a:solidFill xmlns:a="http://schemas.openxmlformats.org/drawingml/2006/main">
              <a:srgbClr val="8064A2"/>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LUCK!$D$17:$H$17</c:f>
              <c:strCache>
                <c:ptCount val="5"/>
                <c:pt idx="0">
                  <c:v>FY2021</c:v>
                </c:pt>
                <c:pt idx="1">
                  <c:v>FY2022</c:v>
                </c:pt>
                <c:pt idx="2">
                  <c:v>FY2023</c:v>
                </c:pt>
                <c:pt idx="3">
                  <c:v>FY2024</c:v>
                </c:pt>
                <c:pt idx="4">
                  <c:v>FY2025</c:v>
                </c:pt>
              </c:strCache>
            </c:strRef>
          </c:cat>
          <c:val>
            <c:numRef>
              <c:f>LUCK!$D$151:$H$151</c:f>
              <c:numCache>
                <c:formatCode>0</c:formatCode>
                <c:ptCount val="5"/>
                <c:pt idx="0">
                  <c:v>90.747889412039</c:v>
                </c:pt>
                <c:pt idx="1">
                  <c:v>94.3773346146923</c:v>
                </c:pt>
                <c:pt idx="2">
                  <c:v>95.2047392237072</c:v>
                </c:pt>
                <c:pt idx="3">
                  <c:v>93.0240183314101</c:v>
                </c:pt>
                <c:pt idx="4">
                  <c:v>95.6781307144595</c:v>
                </c:pt>
              </c:numCache>
            </c:numRef>
          </c:val>
        </c:ser>
        <c:gapWidth val="150"/>
        <c:overlap val="0"/>
        <c:axId val="16569630"/>
        <c:axId val="75851301"/>
      </c:barChart>
      <c:catAx>
        <c:axId val="16569630"/>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75851301"/>
        <c:crosses val="autoZero"/>
        <c:lblAlgn val="ctr"/>
        <c:noMultiLvlLbl val="0"/>
        <c:lblOffset val="100"/>
      </c:catAx>
      <c:valAx>
        <c:axId val="75851301"/>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days</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16569630"/>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DGKC: revenue, gross profit and PAT (PKR m)</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barChart>
        <c:barDir val="col"/>
        <c:grouping val="clustered"/>
        <c:varyColors val="0"/>
        <c:ser>
          <c:idx val="0"/>
          <c:order val="0"/>
          <c:tx>
            <c:strRef>
              <c:f>"Revenue"</c:f>
              <c:strCache>
                <c:ptCount val="1"/>
                <c:pt idx="0">
                  <c:v>Revenue</c:v>
                </c:pt>
              </c:strCache>
            </c:strRef>
          </c:tx>
          <c:spPr>
            <a:solidFill xmlns:a="http://schemas.openxmlformats.org/drawingml/2006/main">
              <a:srgbClr val="4F81B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DGKC!$D$84:$H$84</c:f>
              <c:numCache>
                <c:formatCode>#,##0.0;\(#,##0.0\);\-</c:formatCode>
                <c:ptCount val="5"/>
                <c:pt idx="0">
                  <c:v>45107.69</c:v>
                </c:pt>
                <c:pt idx="1">
                  <c:v>58043.863</c:v>
                </c:pt>
                <c:pt idx="2">
                  <c:v>64983.821</c:v>
                </c:pt>
                <c:pt idx="3">
                  <c:v>66038.689</c:v>
                </c:pt>
                <c:pt idx="4">
                  <c:v>71892.837</c:v>
                </c:pt>
              </c:numCache>
            </c:numRef>
          </c:val>
        </c:ser>
        <c:ser>
          <c:idx val="1"/>
          <c:order val="1"/>
          <c:tx>
            <c:strRef>
              <c:f>"Gross profit"</c:f>
              <c:strCache>
                <c:ptCount val="1"/>
                <c:pt idx="0">
                  <c:v>Gross profit</c:v>
                </c:pt>
              </c:strCache>
            </c:strRef>
          </c:tx>
          <c:spPr>
            <a:solidFill xmlns:a="http://schemas.openxmlformats.org/drawingml/2006/main">
              <a:srgbClr val="C0504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DGKC!$D$86:$H$86</c:f>
              <c:numCache>
                <c:formatCode>#,##0.0;\(#,##0.0\);\-</c:formatCode>
                <c:ptCount val="5"/>
                <c:pt idx="0">
                  <c:v>8071.892</c:v>
                </c:pt>
                <c:pt idx="1">
                  <c:v>10428.312</c:v>
                </c:pt>
                <c:pt idx="2">
                  <c:v>9555.775</c:v>
                </c:pt>
                <c:pt idx="3">
                  <c:v>10528.26</c:v>
                </c:pt>
                <c:pt idx="4">
                  <c:v>18505.671</c:v>
                </c:pt>
              </c:numCache>
            </c:numRef>
          </c:val>
        </c:ser>
        <c:ser>
          <c:idx val="2"/>
          <c:order val="2"/>
          <c:tx>
            <c:strRef>
              <c:f>"Profit after tax"</c:f>
              <c:strCache>
                <c:ptCount val="1"/>
                <c:pt idx="0">
                  <c:v>Profit after tax</c:v>
                </c:pt>
              </c:strCache>
            </c:strRef>
          </c:tx>
          <c:spPr>
            <a:solidFill xmlns:a="http://schemas.openxmlformats.org/drawingml/2006/main">
              <a:srgbClr val="9BBB59"/>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DGKC!$D$99:$H$99</c:f>
              <c:numCache>
                <c:formatCode>#,##0.0;\(#,##0.0\);\-</c:formatCode>
                <c:ptCount val="5"/>
                <c:pt idx="0">
                  <c:v>3721.273</c:v>
                </c:pt>
                <c:pt idx="1">
                  <c:v>2972.132</c:v>
                </c:pt>
                <c:pt idx="2">
                  <c:v>-3635.976</c:v>
                </c:pt>
                <c:pt idx="3">
                  <c:v>542.396000000002</c:v>
                </c:pt>
                <c:pt idx="4">
                  <c:v>8675.059</c:v>
                </c:pt>
              </c:numCache>
            </c:numRef>
          </c:val>
        </c:ser>
        <c:gapWidth val="150"/>
        <c:overlap val="0"/>
        <c:axId val="74269050"/>
        <c:axId val="83865709"/>
      </c:barChart>
      <c:catAx>
        <c:axId val="74269050"/>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83865709"/>
        <c:crosses val="autoZero"/>
        <c:lblAlgn val="ctr"/>
        <c:noMultiLvlLbl val="0"/>
        <c:lblOffset val="100"/>
      </c:catAx>
      <c:valAx>
        <c:axId val="83865709"/>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PKR m</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0;\(#,##0.0\);\-"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74269050"/>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1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DGKC: margins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"Gross margin"</c:f>
              <c:strCache>
                <c:ptCount val="1"/>
                <c:pt idx="0">
                  <c:v>Gross margin</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DGKC!$D$162:$H$162</c:f>
              <c:numCache>
                <c:formatCode>0.0%</c:formatCode>
                <c:ptCount val="5"/>
                <c:pt idx="0">
                  <c:v>0.178947137394976</c:v>
                </c:pt>
                <c:pt idx="1">
                  <c:v>0.179662611359964</c:v>
                </c:pt>
                <c:pt idx="2">
                  <c:v>0.147048524585835</c:v>
                </c:pt>
                <c:pt idx="3">
                  <c:v>0.159425636084326</c:v>
                </c:pt>
                <c:pt idx="4">
                  <c:v>0.257406325473009</c:v>
                </c:pt>
              </c:numCache>
            </c:numRef>
          </c:val>
          <c:smooth val="1"/>
        </c:ser>
        <c:ser>
          <c:idx val="1"/>
          <c:order val="1"/>
          <c:tx>
            <c:strRef>
              <c:f>"Operating margin"</c:f>
              <c:strCache>
                <c:ptCount val="1"/>
                <c:pt idx="0">
                  <c:v>Operating margin</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DGKC!$D$163:$H$163</c:f>
              <c:numCache>
                <c:formatCode>0.0%</c:formatCode>
                <c:ptCount val="5"/>
                <c:pt idx="0">
                  <c:v>0.114513999719338</c:v>
                </c:pt>
                <c:pt idx="1">
                  <c:v>0.118472610963195</c:v>
                </c:pt>
                <c:pt idx="2">
                  <c:v>0.102453747679749</c:v>
                </c:pt>
                <c:pt idx="3">
                  <c:v>0.100020428933712</c:v>
                </c:pt>
                <c:pt idx="4">
                  <c:v>0.175308800235551</c:v>
                </c:pt>
              </c:numCache>
            </c:numRef>
          </c:val>
          <c:smooth val="1"/>
        </c:ser>
        <c:ser>
          <c:idx val="2"/>
          <c:order val="2"/>
          <c:tx>
            <c:strRef>
              <c:f>"EBITDA margin"</c:f>
              <c:strCache>
                <c:ptCount val="1"/>
                <c:pt idx="0">
                  <c:v>EBITDA margin</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DGKC!$D$169:$H$169</c:f>
              <c:numCache>
                <c:formatCode>0.0%</c:formatCode>
                <c:ptCount val="5"/>
                <c:pt idx="0">
                  <c:v>0.249914970152539</c:v>
                </c:pt>
                <c:pt idx="1">
                  <c:v>0.232655707288124</c:v>
                </c:pt>
                <c:pt idx="2">
                  <c:v>0.213114014948429</c:v>
                </c:pt>
                <c:pt idx="3">
                  <c:v>0.222497860307312</c:v>
                </c:pt>
                <c:pt idx="4">
                  <c:v>0.288034522827358</c:v>
                </c:pt>
              </c:numCache>
            </c:numRef>
          </c:val>
          <c:smooth val="1"/>
        </c:ser>
        <c:ser>
          <c:idx val="3"/>
          <c:order val="3"/>
          <c:tx>
            <c:strRef>
              <c:f>"Net margin"</c:f>
              <c:strCache>
                <c:ptCount val="1"/>
                <c:pt idx="0">
                  <c:v>Net margin</c:v>
                </c:pt>
              </c:strCache>
            </c:strRef>
          </c:tx>
          <c:spPr>
            <a:solidFill xmlns:a="http://schemas.openxmlformats.org/drawingml/2006/main">
              <a:srgbClr val="7D5FA0"/>
            </a:solidFill>
            <a:ln xmlns:a="http://schemas.openxmlformats.org/drawingml/2006/main" w="28440">
              <a:solidFill>
                <a:srgbClr val="7D5FA0"/>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DGKC!$D$164:$H$164</c:f>
              <c:numCache>
                <c:formatCode>0.0%</c:formatCode>
                <c:ptCount val="5"/>
                <c:pt idx="0">
                  <c:v>0.0824975298003511</c:v>
                </c:pt>
                <c:pt idx="1">
                  <c:v>0.0512049310019218</c:v>
                </c:pt>
                <c:pt idx="2">
                  <c:v>-0.0559520191956703</c:v>
                </c:pt>
                <c:pt idx="3">
                  <c:v>0.00821330659668307</c:v>
                </c:pt>
                <c:pt idx="4">
                  <c:v>0.12066652759857</c:v>
                </c:pt>
              </c:numCache>
            </c:numRef>
          </c:val>
          <c:smooth val="1"/>
        </c:ser>
        <c:axId val="16944483"/>
        <c:axId val="33453982"/>
      </c:lineChart>
      <c:catAx>
        <c:axId val="16944483"/>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33453982"/>
        <c:crosses val="autoZero"/>
        <c:lblAlgn val="ctr"/>
        <c:noMultiLvlLbl val="0"/>
        <c:lblOffset val="100"/>
      </c:catAx>
      <c:valAx>
        <c:axId val="33453982"/>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 of revenue</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16944483"/>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1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DGKC: liquidity and leverage (x)</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"Current ratio"</c:f>
              <c:strCache>
                <c:ptCount val="1"/>
                <c:pt idx="0">
                  <c:v>Current ratio</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DGKC!$D$138:$H$138</c:f>
              <c:numCache>
                <c:formatCode>0.00\x</c:formatCode>
                <c:ptCount val="5"/>
                <c:pt idx="0">
                  <c:v>0.91452508864509</c:v>
                </c:pt>
                <c:pt idx="1">
                  <c:v>0.8855287714771</c:v>
                </c:pt>
                <c:pt idx="2">
                  <c:v>0.801767490573856</c:v>
                </c:pt>
                <c:pt idx="3">
                  <c:v>1.29618593125484</c:v>
                </c:pt>
                <c:pt idx="4">
                  <c:v>1.84895179329796</c:v>
                </c:pt>
              </c:numCache>
            </c:numRef>
          </c:val>
          <c:smooth val="1"/>
        </c:ser>
        <c:ser>
          <c:idx val="1"/>
          <c:order val="1"/>
          <c:tx>
            <c:strRef>
              <c:f>"Quick ratio"</c:f>
              <c:strCache>
                <c:ptCount val="1"/>
                <c:pt idx="0">
                  <c:v>Quick ratio</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DGKC!$D$139:$H$139</c:f>
              <c:numCache>
                <c:formatCode>0.00\x</c:formatCode>
                <c:ptCount val="5"/>
                <c:pt idx="0">
                  <c:v>0.527188307782106</c:v>
                </c:pt>
                <c:pt idx="1">
                  <c:v>0.390933907896653</c:v>
                </c:pt>
                <c:pt idx="2">
                  <c:v>0.334899361674459</c:v>
                </c:pt>
                <c:pt idx="3">
                  <c:v>0.667717649230271</c:v>
                </c:pt>
                <c:pt idx="4">
                  <c:v>1.05795876796347</c:v>
                </c:pt>
              </c:numCache>
            </c:numRef>
          </c:val>
          <c:smooth val="1"/>
        </c:ser>
        <c:ser>
          <c:idx val="2"/>
          <c:order val="2"/>
          <c:tx>
            <c:strRef>
              <c:f>"Debt-to-equity"</c:f>
              <c:strCache>
                <c:ptCount val="1"/>
                <c:pt idx="0">
                  <c:v>Debt-to-equity</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DGKC!$D$156:$H$156</c:f>
              <c:numCache>
                <c:formatCode>0.00\x</c:formatCode>
                <c:ptCount val="5"/>
                <c:pt idx="0">
                  <c:v>0.876683297569052</c:v>
                </c:pt>
                <c:pt idx="1">
                  <c:v>0.953171054328677</c:v>
                </c:pt>
                <c:pt idx="2">
                  <c:v>1.09858974156657</c:v>
                </c:pt>
                <c:pt idx="3">
                  <c:v>0.824525326056068</c:v>
                </c:pt>
                <c:pt idx="4">
                  <c:v>0.541439975827813</c:v>
                </c:pt>
              </c:numCache>
            </c:numRef>
          </c:val>
          <c:smooth val="1"/>
        </c:ser>
        <c:ser>
          <c:idx val="3"/>
          <c:order val="3"/>
          <c:tx>
            <c:strRef>
              <c:f>"Interest-bearing debt / equity"</c:f>
              <c:strCache>
                <c:ptCount val="1"/>
                <c:pt idx="0">
                  <c:v>Interest-bearing debt / equity</c:v>
                </c:pt>
              </c:strCache>
            </c:strRef>
          </c:tx>
          <c:spPr>
            <a:solidFill xmlns:a="http://schemas.openxmlformats.org/drawingml/2006/main">
              <a:srgbClr val="7D5FA0"/>
            </a:solidFill>
            <a:ln xmlns:a="http://schemas.openxmlformats.org/drawingml/2006/main" w="28440">
              <a:solidFill>
                <a:srgbClr val="7D5FA0"/>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DGKC!$D$182:$H$182</c:f>
              <c:numCache>
                <c:formatCode>0.00\x</c:formatCode>
                <c:ptCount val="5"/>
                <c:pt idx="0">
                  <c:v>0.596000063855958</c:v>
                </c:pt>
                <c:pt idx="1">
                  <c:v>0.664719145265127</c:v>
                </c:pt>
                <c:pt idx="2">
                  <c:v>0.662513903346971</c:v>
                </c:pt>
                <c:pt idx="3">
                  <c:v>0.452510482278278</c:v>
                </c:pt>
                <c:pt idx="4">
                  <c:v>0.23141104487858</c:v>
                </c:pt>
              </c:numCache>
            </c:numRef>
          </c:val>
          <c:smooth val="1"/>
        </c:ser>
        <c:axId val="48603353"/>
        <c:axId val="63719067"/>
      </c:lineChart>
      <c:catAx>
        <c:axId val="48603353"/>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63719067"/>
        <c:crosses val="autoZero"/>
        <c:lblAlgn val="ctr"/>
        <c:noMultiLvlLbl val="0"/>
        <c:lblOffset val="100"/>
      </c:catAx>
      <c:valAx>
        <c:axId val="63719067"/>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times</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00\x"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48603353"/>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1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DGKC: working-capital cycle (days)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barChart>
        <c:barDir val="col"/>
        <c:grouping val="clustered"/>
        <c:varyColors val="0"/>
        <c:ser>
          <c:idx val="0"/>
          <c:order val="0"/>
          <c:tx>
            <c:strRef>
              <c:f>"DIO"</c:f>
              <c:strCache>
                <c:ptCount val="1"/>
                <c:pt idx="0">
                  <c:v>DIO</c:v>
                </c:pt>
              </c:strCache>
            </c:strRef>
          </c:tx>
          <c:spPr>
            <a:solidFill xmlns:a="http://schemas.openxmlformats.org/drawingml/2006/main">
              <a:srgbClr val="4F81B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DGKC!$D$147:$H$147</c:f>
              <c:numCache>
                <c:formatCode>0</c:formatCode>
                <c:ptCount val="5"/>
                <c:pt idx="0">
                  <c:v>138.954836750109</c:v>
                </c:pt>
                <c:pt idx="1">
                  <c:v>147.191589518727</c:v>
                </c:pt>
                <c:pt idx="2">
                  <c:v>149.879080574119</c:v>
                </c:pt>
                <c:pt idx="3">
                  <c:v>141.297555455751</c:v>
                </c:pt>
                <c:pt idx="4">
                  <c:v>139.294641243927</c:v>
                </c:pt>
              </c:numCache>
            </c:numRef>
          </c:val>
        </c:ser>
        <c:ser>
          <c:idx val="1"/>
          <c:order val="1"/>
          <c:tx>
            <c:strRef>
              <c:f>"DSO"</c:f>
              <c:strCache>
                <c:ptCount val="1"/>
                <c:pt idx="0">
                  <c:v>DSO</c:v>
                </c:pt>
              </c:strCache>
            </c:strRef>
          </c:tx>
          <c:spPr>
            <a:solidFill xmlns:a="http://schemas.openxmlformats.org/drawingml/2006/main">
              <a:srgbClr val="C0504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DGKC!$D$148:$H$148</c:f>
              <c:numCache>
                <c:formatCode>0</c:formatCode>
                <c:ptCount val="5"/>
                <c:pt idx="0">
                  <c:v>16.0310812302736</c:v>
                </c:pt>
                <c:pt idx="1">
                  <c:v>9.88561921697045</c:v>
                </c:pt>
                <c:pt idx="2">
                  <c:v>7.47397748433414</c:v>
                </c:pt>
                <c:pt idx="3">
                  <c:v>5.66297909093865</c:v>
                </c:pt>
                <c:pt idx="4">
                  <c:v>5.96248573414901</c:v>
                </c:pt>
              </c:numCache>
            </c:numRef>
          </c:val>
        </c:ser>
        <c:ser>
          <c:idx val="2"/>
          <c:order val="2"/>
          <c:tx>
            <c:strRef>
              <c:f>"DPO"</c:f>
              <c:strCache>
                <c:ptCount val="1"/>
                <c:pt idx="0">
                  <c:v>DPO</c:v>
                </c:pt>
              </c:strCache>
            </c:strRef>
          </c:tx>
          <c:spPr>
            <a:solidFill xmlns:a="http://schemas.openxmlformats.org/drawingml/2006/main">
              <a:srgbClr val="9BBB59"/>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DGKC!$D$149:$H$149</c:f>
              <c:numCache>
                <c:formatCode>0</c:formatCode>
                <c:ptCount val="5"/>
                <c:pt idx="0">
                  <c:v>57.6583600277764</c:v>
                </c:pt>
                <c:pt idx="1">
                  <c:v>43.1066680820306</c:v>
                </c:pt>
                <c:pt idx="2">
                  <c:v>34.246728091407</c:v>
                </c:pt>
                <c:pt idx="3">
                  <c:v>38.0606808587266</c:v>
                </c:pt>
                <c:pt idx="4">
                  <c:v>30.584254931232</c:v>
                </c:pt>
              </c:numCache>
            </c:numRef>
          </c:val>
        </c:ser>
        <c:ser>
          <c:idx val="3"/>
          <c:order val="3"/>
          <c:tx>
            <c:strRef>
              <c:f>"Cash conversion cycle"</c:f>
              <c:strCache>
                <c:ptCount val="1"/>
                <c:pt idx="0">
                  <c:v>Cash conversion cycle</c:v>
                </c:pt>
              </c:strCache>
            </c:strRef>
          </c:tx>
          <c:spPr>
            <a:solidFill xmlns:a="http://schemas.openxmlformats.org/drawingml/2006/main">
              <a:srgbClr val="8064A2"/>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DGKC!$D$17:$H$17</c:f>
              <c:strCache>
                <c:ptCount val="5"/>
                <c:pt idx="0">
                  <c:v>FY2021</c:v>
                </c:pt>
                <c:pt idx="1">
                  <c:v>FY2022</c:v>
                </c:pt>
                <c:pt idx="2">
                  <c:v>FY2023</c:v>
                </c:pt>
                <c:pt idx="3">
                  <c:v>FY2024</c:v>
                </c:pt>
                <c:pt idx="4">
                  <c:v>FY2025</c:v>
                </c:pt>
              </c:strCache>
            </c:strRef>
          </c:cat>
          <c:val>
            <c:numRef>
              <c:f>DGKC!$D$151:$H$151</c:f>
              <c:numCache>
                <c:formatCode>0</c:formatCode>
                <c:ptCount val="5"/>
                <c:pt idx="0">
                  <c:v>97.3275579526058</c:v>
                </c:pt>
                <c:pt idx="1">
                  <c:v>113.970540653667</c:v>
                </c:pt>
                <c:pt idx="2">
                  <c:v>123.106329967047</c:v>
                </c:pt>
                <c:pt idx="3">
                  <c:v>108.899853687963</c:v>
                </c:pt>
                <c:pt idx="4">
                  <c:v>114.672872046844</c:v>
                </c:pt>
              </c:numCache>
            </c:numRef>
          </c:val>
        </c:ser>
        <c:gapWidth val="150"/>
        <c:overlap val="0"/>
        <c:axId val="25754947"/>
        <c:axId val="759583"/>
      </c:barChart>
      <c:catAx>
        <c:axId val="25754947"/>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759583"/>
        <c:crosses val="autoZero"/>
        <c:lblAlgn val="ctr"/>
        <c:noMultiLvlLbl val="0"/>
        <c:lblOffset val="100"/>
      </c:catAx>
      <c:valAx>
        <c:axId val="759583"/>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days</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25754947"/>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1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MLCF: revenue, gross profit and PAT (PKR m)</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barChart>
        <c:barDir val="col"/>
        <c:grouping val="clustered"/>
        <c:varyColors val="0"/>
        <c:ser>
          <c:idx val="0"/>
          <c:order val="0"/>
          <c:tx>
            <c:strRef>
              <c:f>"Revenue"</c:f>
              <c:strCache>
                <c:ptCount val="1"/>
                <c:pt idx="0">
                  <c:v>Revenue</c:v>
                </c:pt>
              </c:strCache>
            </c:strRef>
          </c:tx>
          <c:spPr>
            <a:solidFill xmlns:a="http://schemas.openxmlformats.org/drawingml/2006/main">
              <a:srgbClr val="4F81B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MLCF!$D$84:$H$84</c:f>
              <c:numCache>
                <c:formatCode>#,##0.0;\(#,##0.0\);\-</c:formatCode>
                <c:ptCount val="5"/>
                <c:pt idx="0">
                  <c:v>35538.301</c:v>
                </c:pt>
                <c:pt idx="1">
                  <c:v>48519.622</c:v>
                </c:pt>
                <c:pt idx="2">
                  <c:v>62075.259</c:v>
                </c:pt>
                <c:pt idx="3">
                  <c:v>66452.348</c:v>
                </c:pt>
                <c:pt idx="4">
                  <c:v>68942.446</c:v>
                </c:pt>
              </c:numCache>
            </c:numRef>
          </c:val>
        </c:ser>
        <c:ser>
          <c:idx val="1"/>
          <c:order val="1"/>
          <c:tx>
            <c:strRef>
              <c:f>"Gross profit"</c:f>
              <c:strCache>
                <c:ptCount val="1"/>
                <c:pt idx="0">
                  <c:v>Gross profit</c:v>
                </c:pt>
              </c:strCache>
            </c:strRef>
          </c:tx>
          <c:spPr>
            <a:solidFill xmlns:a="http://schemas.openxmlformats.org/drawingml/2006/main">
              <a:srgbClr val="C0504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MLCF!$D$86:$H$86</c:f>
              <c:numCache>
                <c:formatCode>#,##0.0;\(#,##0.0\);\-</c:formatCode>
                <c:ptCount val="5"/>
                <c:pt idx="0">
                  <c:v>7402.882</c:v>
                </c:pt>
                <c:pt idx="1">
                  <c:v>12275.466</c:v>
                </c:pt>
                <c:pt idx="2">
                  <c:v>18173.353</c:v>
                </c:pt>
                <c:pt idx="3">
                  <c:v>20964.284</c:v>
                </c:pt>
                <c:pt idx="4">
                  <c:v>23746.816</c:v>
                </c:pt>
              </c:numCache>
            </c:numRef>
          </c:val>
        </c:ser>
        <c:ser>
          <c:idx val="2"/>
          <c:order val="2"/>
          <c:tx>
            <c:strRef>
              <c:f>"Profit after tax"</c:f>
              <c:strCache>
                <c:ptCount val="1"/>
                <c:pt idx="0">
                  <c:v>Profit after tax</c:v>
                </c:pt>
              </c:strCache>
            </c:strRef>
          </c:tx>
          <c:spPr>
            <a:solidFill xmlns:a="http://schemas.openxmlformats.org/drawingml/2006/main">
              <a:srgbClr val="9BBB59"/>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MLCF!$D$99:$H$99</c:f>
              <c:numCache>
                <c:formatCode>#,##0.0;\(#,##0.0\);\-</c:formatCode>
                <c:ptCount val="5"/>
                <c:pt idx="0">
                  <c:v>6254.109</c:v>
                </c:pt>
                <c:pt idx="1">
                  <c:v>3626.34</c:v>
                </c:pt>
                <c:pt idx="2">
                  <c:v>4491.669</c:v>
                </c:pt>
                <c:pt idx="3">
                  <c:v>5272.527</c:v>
                </c:pt>
                <c:pt idx="4">
                  <c:v>17036.374</c:v>
                </c:pt>
              </c:numCache>
            </c:numRef>
          </c:val>
        </c:ser>
        <c:gapWidth val="150"/>
        <c:overlap val="0"/>
        <c:axId val="60668357"/>
        <c:axId val="76162553"/>
      </c:barChart>
      <c:catAx>
        <c:axId val="60668357"/>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76162553"/>
        <c:crosses val="autoZero"/>
        <c:lblAlgn val="ctr"/>
        <c:noMultiLvlLbl val="0"/>
        <c:lblOffset val="100"/>
      </c:catAx>
      <c:valAx>
        <c:axId val="76162553"/>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PKR m</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0;\(#,##0.0\);\-"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60668357"/>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1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MLCF: margins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"Gross margin"</c:f>
              <c:strCache>
                <c:ptCount val="1"/>
                <c:pt idx="0">
                  <c:v>Gross margin</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MLCF!$D$162:$H$162</c:f>
              <c:numCache>
                <c:formatCode>0.0%</c:formatCode>
                <c:ptCount val="5"/>
                <c:pt idx="0">
                  <c:v>0.208307144452404</c:v>
                </c:pt>
                <c:pt idx="1">
                  <c:v>0.253000033677097</c:v>
                </c:pt>
                <c:pt idx="2">
                  <c:v>0.292763224717274</c:v>
                </c:pt>
                <c:pt idx="3">
                  <c:v>0.315478453823784</c:v>
                </c:pt>
                <c:pt idx="4">
                  <c:v>0.344444059904692</c:v>
                </c:pt>
              </c:numCache>
            </c:numRef>
          </c:val>
          <c:smooth val="1"/>
        </c:ser>
        <c:ser>
          <c:idx val="1"/>
          <c:order val="1"/>
          <c:tx>
            <c:strRef>
              <c:f>"Operating margin"</c:f>
              <c:strCache>
                <c:ptCount val="1"/>
                <c:pt idx="0">
                  <c:v>Operating margin</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MLCF!$D$163:$H$163</c:f>
              <c:numCache>
                <c:formatCode>0.0%</c:formatCode>
                <c:ptCount val="5"/>
                <c:pt idx="0">
                  <c:v>0.142139574989812</c:v>
                </c:pt>
                <c:pt idx="1">
                  <c:v>0.182770117211548</c:v>
                </c:pt>
                <c:pt idx="2">
                  <c:v>0.190974136732961</c:v>
                </c:pt>
                <c:pt idx="3">
                  <c:v>0.191318928264205</c:v>
                </c:pt>
                <c:pt idx="4">
                  <c:v>0.228093067658203</c:v>
                </c:pt>
              </c:numCache>
            </c:numRef>
          </c:val>
          <c:smooth val="1"/>
        </c:ser>
        <c:ser>
          <c:idx val="2"/>
          <c:order val="2"/>
          <c:tx>
            <c:strRef>
              <c:f>"EBITDA margin"</c:f>
              <c:strCache>
                <c:ptCount val="1"/>
                <c:pt idx="0">
                  <c:v>EBITDA margin</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MLCF!$D$169:$H$169</c:f>
              <c:numCache>
                <c:formatCode>0.0%</c:formatCode>
                <c:ptCount val="5"/>
                <c:pt idx="0">
                  <c:v>0.339668263826118</c:v>
                </c:pt>
                <c:pt idx="1">
                  <c:v>0.250589648039715</c:v>
                </c:pt>
                <c:pt idx="2">
                  <c:v>0.249322584381001</c:v>
                </c:pt>
                <c:pt idx="3">
                  <c:v>0.264702174255754</c:v>
                </c:pt>
                <c:pt idx="4">
                  <c:v>0.429812498964716</c:v>
                </c:pt>
              </c:numCache>
            </c:numRef>
          </c:val>
          <c:smooth val="1"/>
        </c:ser>
        <c:ser>
          <c:idx val="3"/>
          <c:order val="3"/>
          <c:tx>
            <c:strRef>
              <c:f>"Net margin"</c:f>
              <c:strCache>
                <c:ptCount val="1"/>
                <c:pt idx="0">
                  <c:v>Net margin</c:v>
                </c:pt>
              </c:strCache>
            </c:strRef>
          </c:tx>
          <c:spPr>
            <a:solidFill xmlns:a="http://schemas.openxmlformats.org/drawingml/2006/main">
              <a:srgbClr val="7D5FA0"/>
            </a:solidFill>
            <a:ln xmlns:a="http://schemas.openxmlformats.org/drawingml/2006/main" w="28440">
              <a:solidFill>
                <a:srgbClr val="7D5FA0"/>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MLCF!$D$164:$H$164</c:f>
              <c:numCache>
                <c:formatCode>0.0%</c:formatCode>
                <c:ptCount val="5"/>
                <c:pt idx="0">
                  <c:v>0.17598221704521</c:v>
                </c:pt>
                <c:pt idx="1">
                  <c:v>0.0747396589363372</c:v>
                </c:pt>
                <c:pt idx="2">
                  <c:v>0.0723584415491524</c:v>
                </c:pt>
                <c:pt idx="3">
                  <c:v>0.0793429752098451</c:v>
                </c:pt>
                <c:pt idx="4">
                  <c:v>0.247110089479564</c:v>
                </c:pt>
              </c:numCache>
            </c:numRef>
          </c:val>
          <c:smooth val="1"/>
        </c:ser>
        <c:axId val="8135808"/>
        <c:axId val="56303978"/>
      </c:lineChart>
      <c:catAx>
        <c:axId val="8135808"/>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56303978"/>
        <c:crosses val="autoZero"/>
        <c:lblAlgn val="ctr"/>
        <c:noMultiLvlLbl val="0"/>
        <c:lblOffset val="100"/>
      </c:catAx>
      <c:valAx>
        <c:axId val="56303978"/>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 of revenue</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8135808"/>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1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MLCF: liquidity and leverage (x)</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"Current ratio"</c:f>
              <c:strCache>
                <c:ptCount val="1"/>
                <c:pt idx="0">
                  <c:v>Current ratio</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MLCF!$D$138:$H$138</c:f>
              <c:numCache>
                <c:formatCode>0.00\x</c:formatCode>
                <c:ptCount val="5"/>
                <c:pt idx="0">
                  <c:v>1.47809885681825</c:v>
                </c:pt>
                <c:pt idx="1">
                  <c:v>1.25495574089454</c:v>
                </c:pt>
                <c:pt idx="2">
                  <c:v>1.37154722155463</c:v>
                </c:pt>
                <c:pt idx="3">
                  <c:v>1.44467824151244</c:v>
                </c:pt>
                <c:pt idx="4">
                  <c:v>1.53244113036455</c:v>
                </c:pt>
              </c:numCache>
            </c:numRef>
          </c:val>
          <c:smooth val="1"/>
        </c:ser>
        <c:ser>
          <c:idx val="1"/>
          <c:order val="1"/>
          <c:tx>
            <c:strRef>
              <c:f>"Quick ratio"</c:f>
              <c:strCache>
                <c:ptCount val="1"/>
                <c:pt idx="0">
                  <c:v>Quick ratio</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MLCF!$D$139:$H$139</c:f>
              <c:numCache>
                <c:formatCode>0.00\x</c:formatCode>
                <c:ptCount val="5"/>
                <c:pt idx="0">
                  <c:v>0.439716919103873</c:v>
                </c:pt>
                <c:pt idx="1">
                  <c:v>0.294735241062234</c:v>
                </c:pt>
                <c:pt idx="2">
                  <c:v>0.520456125218709</c:v>
                </c:pt>
                <c:pt idx="3">
                  <c:v>0.609426706384626</c:v>
                </c:pt>
                <c:pt idx="4">
                  <c:v>0.807882825955099</c:v>
                </c:pt>
              </c:numCache>
            </c:numRef>
          </c:val>
          <c:smooth val="1"/>
        </c:ser>
        <c:ser>
          <c:idx val="2"/>
          <c:order val="2"/>
          <c:tx>
            <c:strRef>
              <c:f>"Debt-to-equity"</c:f>
              <c:strCache>
                <c:ptCount val="1"/>
                <c:pt idx="0">
                  <c:v>Debt-to-equity</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MLCF!$D$156:$H$156</c:f>
              <c:numCache>
                <c:formatCode>0.00\x</c:formatCode>
                <c:ptCount val="5"/>
                <c:pt idx="0">
                  <c:v>0.76437918786584</c:v>
                </c:pt>
                <c:pt idx="1">
                  <c:v>1.02702679046816</c:v>
                </c:pt>
                <c:pt idx="2">
                  <c:v>0.997361193882036</c:v>
                </c:pt>
                <c:pt idx="3">
                  <c:v>0.888510258152345</c:v>
                </c:pt>
                <c:pt idx="4">
                  <c:v>0.666717290597164</c:v>
                </c:pt>
              </c:numCache>
            </c:numRef>
          </c:val>
          <c:smooth val="1"/>
        </c:ser>
        <c:ser>
          <c:idx val="3"/>
          <c:order val="3"/>
          <c:tx>
            <c:strRef>
              <c:f>"Interest-bearing debt / equity"</c:f>
              <c:strCache>
                <c:ptCount val="1"/>
                <c:pt idx="0">
                  <c:v>Interest-bearing debt / equity</c:v>
                </c:pt>
              </c:strCache>
            </c:strRef>
          </c:tx>
          <c:spPr>
            <a:solidFill xmlns:a="http://schemas.openxmlformats.org/drawingml/2006/main">
              <a:srgbClr val="7D5FA0"/>
            </a:solidFill>
            <a:ln xmlns:a="http://schemas.openxmlformats.org/drawingml/2006/main" w="28440">
              <a:solidFill>
                <a:srgbClr val="7D5FA0"/>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MLCF!$D$182:$H$182</c:f>
              <c:numCache>
                <c:formatCode>0.00\x</c:formatCode>
                <c:ptCount val="5"/>
                <c:pt idx="0">
                  <c:v>0.432455437686011</c:v>
                </c:pt>
                <c:pt idx="1">
                  <c:v>0.615737684951175</c:v>
                </c:pt>
                <c:pt idx="2">
                  <c:v>0.442507794048749</c:v>
                </c:pt>
                <c:pt idx="3">
                  <c:v>0.368469988202047</c:v>
                </c:pt>
                <c:pt idx="4">
                  <c:v>0.204026660922975</c:v>
                </c:pt>
              </c:numCache>
            </c:numRef>
          </c:val>
          <c:smooth val="1"/>
        </c:ser>
        <c:axId val="43449325"/>
        <c:axId val="52375059"/>
      </c:lineChart>
      <c:catAx>
        <c:axId val="43449325"/>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52375059"/>
        <c:crosses val="autoZero"/>
        <c:lblAlgn val="ctr"/>
        <c:noMultiLvlLbl val="0"/>
        <c:lblOffset val="100"/>
      </c:catAx>
      <c:valAx>
        <c:axId val="52375059"/>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times</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00\x"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43449325"/>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1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MLCF: working-capital cycle (days)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barChart>
        <c:barDir val="col"/>
        <c:grouping val="clustered"/>
        <c:varyColors val="0"/>
        <c:ser>
          <c:idx val="0"/>
          <c:order val="0"/>
          <c:tx>
            <c:strRef>
              <c:f>"DIO"</c:f>
              <c:strCache>
                <c:ptCount val="1"/>
                <c:pt idx="0">
                  <c:v>DIO</c:v>
                </c:pt>
              </c:strCache>
            </c:strRef>
          </c:tx>
          <c:spPr>
            <a:solidFill xmlns:a="http://schemas.openxmlformats.org/drawingml/2006/main">
              <a:srgbClr val="4F81B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MLCF!$D$147:$H$147</c:f>
              <c:numCache>
                <c:formatCode>0</c:formatCode>
                <c:ptCount val="5"/>
                <c:pt idx="0">
                  <c:v>143.117268130963</c:v>
                </c:pt>
                <c:pt idx="1">
                  <c:v>138.159045419626</c:v>
                </c:pt>
                <c:pt idx="2">
                  <c:v>122.006495458307</c:v>
                </c:pt>
                <c:pt idx="3">
                  <c:v>117.690432648442</c:v>
                </c:pt>
                <c:pt idx="4">
                  <c:v>130.985250454524</c:v>
                </c:pt>
              </c:numCache>
            </c:numRef>
          </c:val>
        </c:ser>
        <c:ser>
          <c:idx val="1"/>
          <c:order val="1"/>
          <c:tx>
            <c:strRef>
              <c:f>"DSO"</c:f>
              <c:strCache>
                <c:ptCount val="1"/>
                <c:pt idx="0">
                  <c:v>DSO</c:v>
                </c:pt>
              </c:strCache>
            </c:strRef>
          </c:tx>
          <c:spPr>
            <a:solidFill xmlns:a="http://schemas.openxmlformats.org/drawingml/2006/main">
              <a:srgbClr val="C0504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MLCF!$D$148:$H$148</c:f>
              <c:numCache>
                <c:formatCode>0</c:formatCode>
                <c:ptCount val="5"/>
                <c:pt idx="0">
                  <c:v>24.2994088265503</c:v>
                </c:pt>
                <c:pt idx="1">
                  <c:v>14.0897567173957</c:v>
                </c:pt>
                <c:pt idx="2">
                  <c:v>13.7214643357348</c:v>
                </c:pt>
                <c:pt idx="3">
                  <c:v>18.6468313354406</c:v>
                </c:pt>
                <c:pt idx="4">
                  <c:v>23.2919525004959</c:v>
                </c:pt>
              </c:numCache>
            </c:numRef>
          </c:val>
        </c:ser>
        <c:ser>
          <c:idx val="2"/>
          <c:order val="2"/>
          <c:tx>
            <c:strRef>
              <c:f>"DPO"</c:f>
              <c:strCache>
                <c:ptCount val="1"/>
                <c:pt idx="0">
                  <c:v>DPO</c:v>
                </c:pt>
              </c:strCache>
            </c:strRef>
          </c:tx>
          <c:spPr>
            <a:solidFill xmlns:a="http://schemas.openxmlformats.org/drawingml/2006/main">
              <a:srgbClr val="9BBB59"/>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MLCF!$D$149:$H$149</c:f>
              <c:numCache>
                <c:formatCode>0</c:formatCode>
                <c:ptCount val="5"/>
                <c:pt idx="0">
                  <c:v>48.0135657478568</c:v>
                </c:pt>
                <c:pt idx="1">
                  <c:v>37.7199954663036</c:v>
                </c:pt>
                <c:pt idx="2">
                  <c:v>36.4986980291926</c:v>
                </c:pt>
                <c:pt idx="3">
                  <c:v>37.6310875749735</c:v>
                </c:pt>
                <c:pt idx="4">
                  <c:v>42.1768479607431</c:v>
                </c:pt>
              </c:numCache>
            </c:numRef>
          </c:val>
        </c:ser>
        <c:ser>
          <c:idx val="3"/>
          <c:order val="3"/>
          <c:tx>
            <c:strRef>
              <c:f>"Cash conversion cycle"</c:f>
              <c:strCache>
                <c:ptCount val="1"/>
                <c:pt idx="0">
                  <c:v>Cash conversion cycle</c:v>
                </c:pt>
              </c:strCache>
            </c:strRef>
          </c:tx>
          <c:spPr>
            <a:solidFill xmlns:a="http://schemas.openxmlformats.org/drawingml/2006/main">
              <a:srgbClr val="8064A2"/>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MLCF!$D$17:$H$17</c:f>
              <c:strCache>
                <c:ptCount val="5"/>
                <c:pt idx="0">
                  <c:v>FY2021</c:v>
                </c:pt>
                <c:pt idx="1">
                  <c:v>FY2022</c:v>
                </c:pt>
                <c:pt idx="2">
                  <c:v>FY2023</c:v>
                </c:pt>
                <c:pt idx="3">
                  <c:v>FY2024</c:v>
                </c:pt>
                <c:pt idx="4">
                  <c:v>FY2025</c:v>
                </c:pt>
              </c:strCache>
            </c:strRef>
          </c:cat>
          <c:val>
            <c:numRef>
              <c:f>MLCF!$D$151:$H$151</c:f>
              <c:numCache>
                <c:formatCode>0</c:formatCode>
                <c:ptCount val="5"/>
                <c:pt idx="0">
                  <c:v>119.403111209657</c:v>
                </c:pt>
                <c:pt idx="1">
                  <c:v>114.528806670718</c:v>
                </c:pt>
                <c:pt idx="2">
                  <c:v>99.2292617648487</c:v>
                </c:pt>
                <c:pt idx="3">
                  <c:v>98.7061764089086</c:v>
                </c:pt>
                <c:pt idx="4">
                  <c:v>112.100354994277</c:v>
                </c:pt>
              </c:numCache>
            </c:numRef>
          </c:val>
        </c:ser>
        <c:gapWidth val="150"/>
        <c:overlap val="0"/>
        <c:axId val="97527384"/>
        <c:axId val="54798312"/>
      </c:barChart>
      <c:catAx>
        <c:axId val="97527384"/>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54798312"/>
        <c:crosses val="autoZero"/>
        <c:lblAlgn val="ctr"/>
        <c:noMultiLvlLbl val="0"/>
        <c:lblOffset val="100"/>
      </c:catAx>
      <c:valAx>
        <c:axId val="54798312"/>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days</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97527384"/>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1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FCCL: revenue, gross profit and PAT (PKR m)</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barChart>
        <c:barDir val="col"/>
        <c:grouping val="clustered"/>
        <c:varyColors val="0"/>
        <c:ser>
          <c:idx val="0"/>
          <c:order val="0"/>
          <c:tx>
            <c:strRef>
              <c:f>"Revenue"</c:f>
              <c:strCache>
                <c:ptCount val="1"/>
                <c:pt idx="0">
                  <c:v>Revenue</c:v>
                </c:pt>
              </c:strCache>
            </c:strRef>
          </c:tx>
          <c:spPr>
            <a:solidFill xmlns:a="http://schemas.openxmlformats.org/drawingml/2006/main">
              <a:srgbClr val="4F81B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FCCL!$D$84:$H$84</c:f>
              <c:numCache>
                <c:formatCode>#,##0.0;\(#,##0.0\);\-</c:formatCode>
                <c:ptCount val="5"/>
                <c:pt idx="0">
                  <c:v>24271.285</c:v>
                </c:pt>
                <c:pt idx="1">
                  <c:v>54243.118</c:v>
                </c:pt>
                <c:pt idx="2">
                  <c:v>68069.282</c:v>
                </c:pt>
                <c:pt idx="3">
                  <c:v>80026.226</c:v>
                </c:pt>
                <c:pt idx="4">
                  <c:v>88956.328</c:v>
                </c:pt>
              </c:numCache>
            </c:numRef>
          </c:val>
        </c:ser>
        <c:ser>
          <c:idx val="1"/>
          <c:order val="1"/>
          <c:tx>
            <c:strRef>
              <c:f>"Gross profit"</c:f>
              <c:strCache>
                <c:ptCount val="1"/>
                <c:pt idx="0">
                  <c:v>Gross profit</c:v>
                </c:pt>
              </c:strCache>
            </c:strRef>
          </c:tx>
          <c:spPr>
            <a:solidFill xmlns:a="http://schemas.openxmlformats.org/drawingml/2006/main">
              <a:srgbClr val="C0504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FCCL!$D$86:$H$86</c:f>
              <c:numCache>
                <c:formatCode>#,##0.0;\(#,##0.0\);\-</c:formatCode>
                <c:ptCount val="5"/>
                <c:pt idx="0">
                  <c:v>6064.405</c:v>
                </c:pt>
                <c:pt idx="1">
                  <c:v>15463.576</c:v>
                </c:pt>
                <c:pt idx="2">
                  <c:v>20418.473</c:v>
                </c:pt>
                <c:pt idx="3">
                  <c:v>25680.405</c:v>
                </c:pt>
                <c:pt idx="4">
                  <c:v>31571.35</c:v>
                </c:pt>
              </c:numCache>
            </c:numRef>
          </c:val>
        </c:ser>
        <c:ser>
          <c:idx val="2"/>
          <c:order val="2"/>
          <c:tx>
            <c:strRef>
              <c:f>"Profit after tax"</c:f>
              <c:strCache>
                <c:ptCount val="1"/>
                <c:pt idx="0">
                  <c:v>Profit after tax</c:v>
                </c:pt>
              </c:strCache>
            </c:strRef>
          </c:tx>
          <c:spPr>
            <a:solidFill xmlns:a="http://schemas.openxmlformats.org/drawingml/2006/main">
              <a:srgbClr val="9BBB59"/>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FCCL!$D$99:$H$99</c:f>
              <c:numCache>
                <c:formatCode>#,##0.0;\(#,##0.0\);\-</c:formatCode>
                <c:ptCount val="5"/>
                <c:pt idx="0">
                  <c:v>3471.351</c:v>
                </c:pt>
                <c:pt idx="1">
                  <c:v>7112.54</c:v>
                </c:pt>
                <c:pt idx="2">
                  <c:v>7439.68100000001</c:v>
                </c:pt>
                <c:pt idx="3">
                  <c:v>8223.116</c:v>
                </c:pt>
                <c:pt idx="4">
                  <c:v>13326.202</c:v>
                </c:pt>
              </c:numCache>
            </c:numRef>
          </c:val>
        </c:ser>
        <c:gapWidth val="150"/>
        <c:overlap val="0"/>
        <c:axId val="99003965"/>
        <c:axId val="77453290"/>
      </c:barChart>
      <c:catAx>
        <c:axId val="99003965"/>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77453290"/>
        <c:crosses val="autoZero"/>
        <c:lblAlgn val="ctr"/>
        <c:noMultiLvlLbl val="0"/>
        <c:lblOffset val="100"/>
      </c:catAx>
      <c:valAx>
        <c:axId val="77453290"/>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PKR m</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0;\(#,##0.0\);\-"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99003965"/>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1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FCCL: margins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"Gross margin"</c:f>
              <c:strCache>
                <c:ptCount val="1"/>
                <c:pt idx="0">
                  <c:v>Gross margin</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FCCL!$D$162:$H$162</c:f>
              <c:numCache>
                <c:formatCode>0.0%</c:formatCode>
                <c:ptCount val="5"/>
                <c:pt idx="0">
                  <c:v>0.249859247254523</c:v>
                </c:pt>
                <c:pt idx="1">
                  <c:v>0.285079039888526</c:v>
                </c:pt>
                <c:pt idx="2">
                  <c:v>0.299966040482108</c:v>
                </c:pt>
                <c:pt idx="3">
                  <c:v>0.320899863502247</c:v>
                </c:pt>
                <c:pt idx="4">
                  <c:v>0.354908422029291</c:v>
                </c:pt>
              </c:numCache>
            </c:numRef>
          </c:val>
          <c:smooth val="1"/>
        </c:ser>
        <c:ser>
          <c:idx val="1"/>
          <c:order val="1"/>
          <c:tx>
            <c:strRef>
              <c:f>"Operating margin"</c:f>
              <c:strCache>
                <c:ptCount val="1"/>
                <c:pt idx="0">
                  <c:v>Operating margin</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FCCL!$D$163:$H$163</c:f>
              <c:numCache>
                <c:formatCode>0.0%</c:formatCode>
                <c:ptCount val="5"/>
                <c:pt idx="0">
                  <c:v>0.204859899259557</c:v>
                </c:pt>
                <c:pt idx="1">
                  <c:v>0.216651446917192</c:v>
                </c:pt>
                <c:pt idx="2">
                  <c:v>0.228906469147126</c:v>
                </c:pt>
                <c:pt idx="3">
                  <c:v>0.250562371890435</c:v>
                </c:pt>
                <c:pt idx="4">
                  <c:v>0.286298339562757</c:v>
                </c:pt>
              </c:numCache>
            </c:numRef>
          </c:val>
          <c:smooth val="1"/>
        </c:ser>
        <c:ser>
          <c:idx val="2"/>
          <c:order val="2"/>
          <c:tx>
            <c:strRef>
              <c:f>"EBITDA margin"</c:f>
              <c:strCache>
                <c:ptCount val="1"/>
                <c:pt idx="0">
                  <c:v>EBITDA margin</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FCCL!$D$169:$H$169</c:f>
              <c:numCache>
                <c:formatCode>0.0%</c:formatCode>
                <c:ptCount val="5"/>
                <c:pt idx="0">
                  <c:v>0.28086135530113</c:v>
                </c:pt>
                <c:pt idx="1">
                  <c:v>0.28906612632408</c:v>
                </c:pt>
                <c:pt idx="2">
                  <c:v>0.296686837390176</c:v>
                </c:pt>
                <c:pt idx="3">
                  <c:v>0.311764083439346</c:v>
                </c:pt>
                <c:pt idx="4">
                  <c:v>0.362732946890524</c:v>
                </c:pt>
              </c:numCache>
            </c:numRef>
          </c:val>
          <c:smooth val="1"/>
        </c:ser>
        <c:ser>
          <c:idx val="3"/>
          <c:order val="3"/>
          <c:tx>
            <c:strRef>
              <c:f>"Net margin"</c:f>
              <c:strCache>
                <c:ptCount val="1"/>
                <c:pt idx="0">
                  <c:v>Net margin</c:v>
                </c:pt>
              </c:strCache>
            </c:strRef>
          </c:tx>
          <c:spPr>
            <a:solidFill xmlns:a="http://schemas.openxmlformats.org/drawingml/2006/main">
              <a:srgbClr val="7D5FA0"/>
            </a:solidFill>
            <a:ln xmlns:a="http://schemas.openxmlformats.org/drawingml/2006/main" w="28440">
              <a:solidFill>
                <a:srgbClr val="7D5FA0"/>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FCCL!$D$164:$H$164</c:f>
              <c:numCache>
                <c:formatCode>0.0%</c:formatCode>
                <c:ptCount val="5"/>
                <c:pt idx="0">
                  <c:v>0.143022959023389</c:v>
                </c:pt>
                <c:pt idx="1">
                  <c:v>0.13112336204567</c:v>
                </c:pt>
                <c:pt idx="2">
                  <c:v>0.109295717266417</c:v>
                </c:pt>
                <c:pt idx="3">
                  <c:v>0.102755264255495</c:v>
                </c:pt>
                <c:pt idx="4">
                  <c:v>0.149806116097778</c:v>
                </c:pt>
              </c:numCache>
            </c:numRef>
          </c:val>
          <c:smooth val="1"/>
        </c:ser>
        <c:axId val="85416598"/>
        <c:axId val="37786531"/>
      </c:lineChart>
      <c:catAx>
        <c:axId val="85416598"/>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37786531"/>
        <c:crosses val="autoZero"/>
        <c:lblAlgn val="ctr"/>
        <c:noMultiLvlLbl val="0"/>
        <c:lblOffset val="100"/>
      </c:catAx>
      <c:valAx>
        <c:axId val="37786531"/>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 of revenue</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85416598"/>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1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FCCL: liquidity and leverage (x)</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"Current ratio"</c:f>
              <c:strCache>
                <c:ptCount val="1"/>
                <c:pt idx="0">
                  <c:v>Current ratio</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FCCL!$D$138:$H$138</c:f>
              <c:numCache>
                <c:formatCode>0.00\x</c:formatCode>
                <c:ptCount val="5"/>
                <c:pt idx="0">
                  <c:v>2.01862288296847</c:v>
                </c:pt>
                <c:pt idx="1">
                  <c:v>1.05596889487181</c:v>
                </c:pt>
                <c:pt idx="2">
                  <c:v>0.81211137558007</c:v>
                </c:pt>
                <c:pt idx="3">
                  <c:v>0.959747731167301</c:v>
                </c:pt>
                <c:pt idx="4">
                  <c:v>1.32101408284104</c:v>
                </c:pt>
              </c:numCache>
            </c:numRef>
          </c:val>
          <c:smooth val="1"/>
        </c:ser>
        <c:ser>
          <c:idx val="1"/>
          <c:order val="1"/>
          <c:tx>
            <c:strRef>
              <c:f>"Quick ratio"</c:f>
              <c:strCache>
                <c:ptCount val="1"/>
                <c:pt idx="0">
                  <c:v>Quick ratio</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FCCL!$D$139:$H$139</c:f>
              <c:numCache>
                <c:formatCode>0.00\x</c:formatCode>
                <c:ptCount val="5"/>
                <c:pt idx="0">
                  <c:v>1.13579884676847</c:v>
                </c:pt>
                <c:pt idx="1">
                  <c:v>0.470784210605693</c:v>
                </c:pt>
                <c:pt idx="2">
                  <c:v>0.281217108733133</c:v>
                </c:pt>
                <c:pt idx="3">
                  <c:v>0.342046389887807</c:v>
                </c:pt>
                <c:pt idx="4">
                  <c:v>0.677533807673649</c:v>
                </c:pt>
              </c:numCache>
            </c:numRef>
          </c:val>
          <c:smooth val="1"/>
        </c:ser>
        <c:ser>
          <c:idx val="2"/>
          <c:order val="2"/>
          <c:tx>
            <c:strRef>
              <c:f>"Debt-to-equity"</c:f>
              <c:strCache>
                <c:ptCount val="1"/>
                <c:pt idx="0">
                  <c:v>Debt-to-equity</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FCCL!$D$156:$H$156</c:f>
              <c:numCache>
                <c:formatCode>0.00\x</c:formatCode>
                <c:ptCount val="5"/>
                <c:pt idx="0">
                  <c:v>0.462996748837015</c:v>
                </c:pt>
                <c:pt idx="1">
                  <c:v>0.969273360133917</c:v>
                </c:pt>
                <c:pt idx="2">
                  <c:v>1.13006409118166</c:v>
                </c:pt>
                <c:pt idx="3">
                  <c:v>1.01142515128949</c:v>
                </c:pt>
                <c:pt idx="4">
                  <c:v>0.908638622593109</c:v>
                </c:pt>
              </c:numCache>
            </c:numRef>
          </c:val>
          <c:smooth val="1"/>
        </c:ser>
        <c:ser>
          <c:idx val="3"/>
          <c:order val="3"/>
          <c:tx>
            <c:strRef>
              <c:f>"Interest-bearing debt / equity"</c:f>
              <c:strCache>
                <c:ptCount val="1"/>
                <c:pt idx="0">
                  <c:v>Interest-bearing debt / equity</c:v>
                </c:pt>
              </c:strCache>
            </c:strRef>
          </c:tx>
          <c:spPr>
            <a:solidFill xmlns:a="http://schemas.openxmlformats.org/drawingml/2006/main">
              <a:srgbClr val="7D5FA0"/>
            </a:solidFill>
            <a:ln xmlns:a="http://schemas.openxmlformats.org/drawingml/2006/main" w="28440">
              <a:solidFill>
                <a:srgbClr val="7D5FA0"/>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FCCL!$D$182:$H$182</c:f>
              <c:numCache>
                <c:formatCode>0.00\x</c:formatCode>
                <c:ptCount val="5"/>
                <c:pt idx="0">
                  <c:v>0.110333618309006</c:v>
                </c:pt>
                <c:pt idx="1">
                  <c:v>0.576842831107134</c:v>
                </c:pt>
                <c:pt idx="2">
                  <c:v>0.737099390222469</c:v>
                </c:pt>
                <c:pt idx="3">
                  <c:v>0.599147632456872</c:v>
                </c:pt>
                <c:pt idx="4">
                  <c:v>0.477282569836072</c:v>
                </c:pt>
              </c:numCache>
            </c:numRef>
          </c:val>
          <c:smooth val="1"/>
        </c:ser>
        <c:axId val="183876"/>
        <c:axId val="75861887"/>
      </c:lineChart>
      <c:catAx>
        <c:axId val="183876"/>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75861887"/>
        <c:crosses val="autoZero"/>
        <c:lblAlgn val="ctr"/>
        <c:noMultiLvlLbl val="0"/>
        <c:lblOffset val="100"/>
      </c:catAx>
      <c:valAx>
        <c:axId val="75861887"/>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times</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00\x"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183876"/>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2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FCCL: working-capital cycle (days)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barChart>
        <c:barDir val="col"/>
        <c:grouping val="clustered"/>
        <c:varyColors val="0"/>
        <c:ser>
          <c:idx val="0"/>
          <c:order val="0"/>
          <c:tx>
            <c:strRef>
              <c:f>"DIO"</c:f>
              <c:strCache>
                <c:ptCount val="1"/>
                <c:pt idx="0">
                  <c:v>DIO</c:v>
                </c:pt>
              </c:strCache>
            </c:strRef>
          </c:tx>
          <c:spPr>
            <a:solidFill xmlns:a="http://schemas.openxmlformats.org/drawingml/2006/main">
              <a:srgbClr val="4F81B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FCCL!$D$147:$H$147</c:f>
              <c:numCache>
                <c:formatCode>0</c:formatCode>
                <c:ptCount val="5"/>
                <c:pt idx="0">
                  <c:v>101.575125584394</c:v>
                </c:pt>
                <c:pt idx="1">
                  <c:v>99.189403784088</c:v>
                </c:pt>
                <c:pt idx="2">
                  <c:v>117.810562670615</c:v>
                </c:pt>
                <c:pt idx="3">
                  <c:v>106.51412548354</c:v>
                </c:pt>
                <c:pt idx="4">
                  <c:v>115.47406099903</c:v>
                </c:pt>
              </c:numCache>
            </c:numRef>
          </c:val>
        </c:ser>
        <c:ser>
          <c:idx val="1"/>
          <c:order val="1"/>
          <c:tx>
            <c:strRef>
              <c:f>"DSO"</c:f>
              <c:strCache>
                <c:ptCount val="1"/>
                <c:pt idx="0">
                  <c:v>DSO</c:v>
                </c:pt>
              </c:strCache>
            </c:strRef>
          </c:tx>
          <c:spPr>
            <a:solidFill xmlns:a="http://schemas.openxmlformats.org/drawingml/2006/main">
              <a:srgbClr val="C0504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FCCL!$D$148:$H$148</c:f>
              <c:numCache>
                <c:formatCode>0</c:formatCode>
                <c:ptCount val="5"/>
                <c:pt idx="0">
                  <c:v>18.7997380443598</c:v>
                </c:pt>
                <c:pt idx="1">
                  <c:v>12.9948343861796</c:v>
                </c:pt>
                <c:pt idx="2">
                  <c:v>16.0468792296061</c:v>
                </c:pt>
                <c:pt idx="3">
                  <c:v>20.7929047534992</c:v>
                </c:pt>
                <c:pt idx="4">
                  <c:v>25.5554922129879</c:v>
                </c:pt>
              </c:numCache>
            </c:numRef>
          </c:val>
        </c:ser>
        <c:ser>
          <c:idx val="2"/>
          <c:order val="2"/>
          <c:tx>
            <c:strRef>
              <c:f>"DPO"</c:f>
              <c:strCache>
                <c:ptCount val="1"/>
                <c:pt idx="0">
                  <c:v>DPO</c:v>
                </c:pt>
              </c:strCache>
            </c:strRef>
          </c:tx>
          <c:spPr>
            <a:solidFill xmlns:a="http://schemas.openxmlformats.org/drawingml/2006/main">
              <a:srgbClr val="9BBB59"/>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FCCL!$D$149:$H$149</c:f>
              <c:numCache>
                <c:formatCode>0</c:formatCode>
                <c:ptCount val="5"/>
                <c:pt idx="0">
                  <c:v>12.2050774212825</c:v>
                </c:pt>
                <c:pt idx="1">
                  <c:v>16.6889608959281</c:v>
                </c:pt>
                <c:pt idx="2">
                  <c:v>20.3238047857697</c:v>
                </c:pt>
                <c:pt idx="3">
                  <c:v>17.9659829777896</c:v>
                </c:pt>
                <c:pt idx="4">
                  <c:v>15.1406682163405</c:v>
                </c:pt>
              </c:numCache>
            </c:numRef>
          </c:val>
        </c:ser>
        <c:ser>
          <c:idx val="3"/>
          <c:order val="3"/>
          <c:tx>
            <c:strRef>
              <c:f>"Cash conversion cycle"</c:f>
              <c:strCache>
                <c:ptCount val="1"/>
                <c:pt idx="0">
                  <c:v>Cash conversion cycle</c:v>
                </c:pt>
              </c:strCache>
            </c:strRef>
          </c:tx>
          <c:spPr>
            <a:solidFill xmlns:a="http://schemas.openxmlformats.org/drawingml/2006/main">
              <a:srgbClr val="8064A2"/>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FCCL!$D$17:$H$17</c:f>
              <c:strCache>
                <c:ptCount val="5"/>
                <c:pt idx="0">
                  <c:v>FY2021</c:v>
                </c:pt>
                <c:pt idx="1">
                  <c:v>FY2022</c:v>
                </c:pt>
                <c:pt idx="2">
                  <c:v>FY2023</c:v>
                </c:pt>
                <c:pt idx="3">
                  <c:v>FY2024</c:v>
                </c:pt>
                <c:pt idx="4">
                  <c:v>FY2025</c:v>
                </c:pt>
              </c:strCache>
            </c:strRef>
          </c:cat>
          <c:val>
            <c:numRef>
              <c:f>FCCL!$D$151:$H$151</c:f>
              <c:numCache>
                <c:formatCode>0</c:formatCode>
                <c:ptCount val="5"/>
                <c:pt idx="0">
                  <c:v>108.169786207472</c:v>
                </c:pt>
                <c:pt idx="1">
                  <c:v>95.4952772743396</c:v>
                </c:pt>
                <c:pt idx="2">
                  <c:v>113.533637114451</c:v>
                </c:pt>
                <c:pt idx="3">
                  <c:v>109.34104725925</c:v>
                </c:pt>
                <c:pt idx="4">
                  <c:v>125.888884995678</c:v>
                </c:pt>
              </c:numCache>
            </c:numRef>
          </c:val>
        </c:ser>
        <c:gapWidth val="150"/>
        <c:overlap val="0"/>
        <c:axId val="56967360"/>
        <c:axId val="750607"/>
      </c:barChart>
      <c:catAx>
        <c:axId val="56967360"/>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750607"/>
        <c:crosses val="autoZero"/>
        <c:lblAlgn val="ctr"/>
        <c:noMultiLvlLbl val="0"/>
        <c:lblOffset val="100"/>
      </c:catAx>
      <c:valAx>
        <c:axId val="750607"/>
        <c:scaling>
          <c:orientation val="minMax"/>
        </c:scaling>
        <c:delete val="0"/>
        <c:axPos val="l"/>
        <c:majorGridlines>
          <c:spPr>
            <a:ln xmlns:a="http://schemas.openxmlformats.org/drawingml/2006/main" w="9360">
              <a:solidFill>
                <a:srgbClr val="878787"/>
              </a:solidFill>
            </a:ln>
          </c:spPr>
        </c:majorGridlines>
        <c:title>
          <c:tx>
            <c:rich>
              <a:bodyPr xmlns:a="http://schemas.openxmlformats.org/drawingml/2006/main"/>
              <a:lstStyle xmlns:a="http://schemas.openxmlformats.org/drawingml/2006/main"/>
              <a:p xmlns:a="http://schemas.openxmlformats.org/drawingml/2006/main">
                <a:pPr>
                  <a:buNone/>
                  <a:defRPr sz="1000" b="1" strike="noStrike" spc="-1">
                    <a:solidFill>
                      <a:srgbClr val="000000"/>
                    </a:solidFill>
                    <a:latin typeface="Calibri"/>
                    <a:ea typeface="Calibri"/>
                    <a:cs typeface="Calibri"/>
                  </a:defRPr>
                </a:pPr>
                <a:r>
                  <a:rPr sz="1000" b="1" strike="noStrike" spc="-1">
                    <a:solidFill>
                      <a:srgbClr val="000000"/>
                    </a:solidFill>
                    <a:latin typeface="Calibri"/>
                    <a:ea typeface="Calibri"/>
                    <a:cs typeface="Calibri"/>
                  </a:rPr>
                  <a:t>days</a:t>
                </a:r>
              </a:p>
            </c:rich>
          </c:tx>
          <c:overlay val="0"/>
          <c:txPr>
            <a:bodyPr xmlns:a="http://schemas.openxmlformats.org/drawingml/2006/main" anchorCtr="1"/>
            <a:lstStyle xmlns:a="http://schemas.openxmlformats.org/drawingml/2006/main"/>
            <a:p xmlns:a="http://schemas.openxmlformats.org/drawingml/2006/main">
              <a:pPr>
                <a:defRPr sz="1000" b="1" strike="noStrike" spc="-1">
                  <a:solidFill>
                    <a:srgbClr val="000000"/>
                  </a:solidFill>
                  <a:latin typeface="Calibri"/>
                  <a:ea typeface="Calibri"/>
                  <a:cs typeface="Calibri"/>
                </a:defRPr>
              </a:pPr>
            </a:p>
          </c:txPr>
        </c:title>
        <c:numFmt formatCode="0"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56967360"/>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2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Liquidity: current ratio (x)</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"KOHC"</c:f>
              <c:strCache>
                <c:ptCount val="1"/>
                <c:pt idx="0">
                  <c:v>KOHC</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Comparison'!$D$7:$D$11</c:f>
              <c:strCache>
                <c:ptCount val="5"/>
                <c:pt idx="0">
                  <c:v>FY2021</c:v>
                </c:pt>
                <c:pt idx="1">
                  <c:v>FY2022</c:v>
                </c:pt>
                <c:pt idx="2">
                  <c:v>FY2023</c:v>
                </c:pt>
                <c:pt idx="3">
                  <c:v>FY2024</c:v>
                </c:pt>
                <c:pt idx="4">
                  <c:v>FY2025</c:v>
                </c:pt>
              </c:strCache>
            </c:strRef>
          </c:cat>
          <c:val>
            <c:numRef>
              <c:f>'Industry Comparison'!$E$7:$E$11</c:f>
              <c:numCache>
                <c:formatCode>0.00\x</c:formatCode>
                <c:ptCount val="5"/>
                <c:pt idx="0">
                  <c:v>1.3006446691415</c:v>
                </c:pt>
                <c:pt idx="1">
                  <c:v>1.87350852761098</c:v>
                </c:pt>
                <c:pt idx="2">
                  <c:v>2.31157051545922</c:v>
                </c:pt>
                <c:pt idx="3">
                  <c:v>2.903159053016</c:v>
                </c:pt>
                <c:pt idx="4">
                  <c:v>3.31124868717277</c:v>
                </c:pt>
              </c:numCache>
            </c:numRef>
          </c:val>
          <c:smooth val="1"/>
        </c:ser>
        <c:ser>
          <c:idx val="1"/>
          <c:order val="1"/>
          <c:tx>
            <c:strRef>
              <c:f>"Five-company sample average"</c:f>
              <c:strCache>
                <c:ptCount val="1"/>
                <c:pt idx="0">
                  <c:v>Five-company sample average</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Comparison'!$D$7:$D$11</c:f>
              <c:strCache>
                <c:ptCount val="5"/>
                <c:pt idx="0">
                  <c:v>FY2021</c:v>
                </c:pt>
                <c:pt idx="1">
                  <c:v>FY2022</c:v>
                </c:pt>
                <c:pt idx="2">
                  <c:v>FY2023</c:v>
                </c:pt>
                <c:pt idx="3">
                  <c:v>FY2024</c:v>
                </c:pt>
                <c:pt idx="4">
                  <c:v>FY2025</c:v>
                </c:pt>
              </c:strCache>
            </c:strRef>
          </c:cat>
          <c:val>
            <c:numRef>
              <c:f>'Industry Comparison'!$J$7:$J$11</c:f>
              <c:numCache>
                <c:formatCode>0.00\x</c:formatCode>
                <c:ptCount val="5"/>
                <c:pt idx="0">
                  <c:v>1.41009988869343</c:v>
                </c:pt>
                <c:pt idx="1">
                  <c:v>1.30920771297837</c:v>
                </c:pt>
                <c:pt idx="2">
                  <c:v>1.31741364729893</c:v>
                </c:pt>
                <c:pt idx="3">
                  <c:v>1.57339863848498</c:v>
                </c:pt>
                <c:pt idx="4">
                  <c:v>1.94565401625335</c:v>
                </c:pt>
              </c:numCache>
            </c:numRef>
          </c:val>
          <c:smooth val="1"/>
        </c:ser>
        <c:ser>
          <c:idx val="2"/>
          <c:order val="2"/>
          <c:tx>
            <c:strRef>
              <c:f>"Four-competitor average"</c:f>
              <c:strCache>
                <c:ptCount val="1"/>
                <c:pt idx="0">
                  <c:v>Four-competitor average</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Comparison'!$D$7:$D$11</c:f>
              <c:strCache>
                <c:ptCount val="5"/>
                <c:pt idx="0">
                  <c:v>FY2021</c:v>
                </c:pt>
                <c:pt idx="1">
                  <c:v>FY2022</c:v>
                </c:pt>
                <c:pt idx="2">
                  <c:v>FY2023</c:v>
                </c:pt>
                <c:pt idx="3">
                  <c:v>FY2024</c:v>
                </c:pt>
                <c:pt idx="4">
                  <c:v>FY2025</c:v>
                </c:pt>
              </c:strCache>
            </c:strRef>
          </c:cat>
          <c:val>
            <c:numRef>
              <c:f>'Industry Comparison'!$M$7:$M$11</c:f>
              <c:numCache>
                <c:formatCode>0.00\x</c:formatCode>
                <c:ptCount val="5"/>
                <c:pt idx="0">
                  <c:v>1.43746369358141</c:v>
                </c:pt>
                <c:pt idx="1">
                  <c:v>1.16813250932022</c:v>
                </c:pt>
                <c:pt idx="2">
                  <c:v>1.06887443025885</c:v>
                </c:pt>
                <c:pt idx="3">
                  <c:v>1.24095853485223</c:v>
                </c:pt>
                <c:pt idx="4">
                  <c:v>1.60425534852349</c:v>
                </c:pt>
              </c:numCache>
            </c:numRef>
          </c:val>
          <c:smooth val="1"/>
        </c:ser>
        <c:axId val="17521565"/>
        <c:axId val="80080649"/>
      </c:lineChart>
      <c:catAx>
        <c:axId val="17521565"/>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80080649"/>
        <c:crosses val="autoZero"/>
        <c:lblAlgn val="ctr"/>
        <c:noMultiLvlLbl val="0"/>
        <c:lblOffset val="100"/>
      </c:catAx>
      <c:valAx>
        <c:axId val="80080649"/>
        <c:scaling>
          <c:orientation val="minMax"/>
        </c:scaling>
        <c:delete val="0"/>
        <c:axPos val="l"/>
        <c:majorGridlines>
          <c:spPr>
            <a:ln xmlns:a="http://schemas.openxmlformats.org/drawingml/2006/main" w="9360">
              <a:solidFill>
                <a:srgbClr val="878787"/>
              </a:solidFill>
            </a:ln>
          </c:spPr>
        </c:majorGridlines>
        <c:numFmt formatCode="0.00\x"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17521565"/>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2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Asset efficiency: total asset turnover (x)</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"KOHC"</c:f>
              <c:strCache>
                <c:ptCount val="1"/>
                <c:pt idx="0">
                  <c:v>KOHC</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Comparison'!$D$86:$D$90</c:f>
              <c:strCache>
                <c:ptCount val="5"/>
                <c:pt idx="0">
                  <c:v>FY2021</c:v>
                </c:pt>
                <c:pt idx="1">
                  <c:v>FY2022</c:v>
                </c:pt>
                <c:pt idx="2">
                  <c:v>FY2023</c:v>
                </c:pt>
                <c:pt idx="3">
                  <c:v>FY2024</c:v>
                </c:pt>
                <c:pt idx="4">
                  <c:v>FY2025</c:v>
                </c:pt>
              </c:strCache>
            </c:strRef>
          </c:cat>
          <c:val>
            <c:numRef>
              <c:f>'Industry Comparison'!$E$86:$E$90</c:f>
              <c:numCache>
                <c:formatCode>0.00\x</c:formatCode>
                <c:ptCount val="5"/>
                <c:pt idx="0">
                  <c:v>0.709201162184322</c:v>
                </c:pt>
                <c:pt idx="1">
                  <c:v>0.827742872777826</c:v>
                </c:pt>
                <c:pt idx="2">
                  <c:v>0.838099135080987</c:v>
                </c:pt>
                <c:pt idx="3">
                  <c:v>0.713233660767222</c:v>
                </c:pt>
                <c:pt idx="4">
                  <c:v>0.59752332567838</c:v>
                </c:pt>
              </c:numCache>
            </c:numRef>
          </c:val>
          <c:smooth val="1"/>
        </c:ser>
        <c:ser>
          <c:idx val="1"/>
          <c:order val="1"/>
          <c:tx>
            <c:strRef>
              <c:f>"Five-company sample average"</c:f>
              <c:strCache>
                <c:ptCount val="1"/>
                <c:pt idx="0">
                  <c:v>Five-company sample average</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Comparison'!$D$86:$D$90</c:f>
              <c:strCache>
                <c:ptCount val="5"/>
                <c:pt idx="0">
                  <c:v>FY2021</c:v>
                </c:pt>
                <c:pt idx="1">
                  <c:v>FY2022</c:v>
                </c:pt>
                <c:pt idx="2">
                  <c:v>FY2023</c:v>
                </c:pt>
                <c:pt idx="3">
                  <c:v>FY2024</c:v>
                </c:pt>
                <c:pt idx="4">
                  <c:v>FY2025</c:v>
                </c:pt>
              </c:strCache>
            </c:strRef>
          </c:cat>
          <c:val>
            <c:numRef>
              <c:f>'Industry Comparison'!$J$86:$J$90</c:f>
              <c:numCache>
                <c:formatCode>0.00\x</c:formatCode>
                <c:ptCount val="5"/>
                <c:pt idx="0">
                  <c:v>0.556413728510844</c:v>
                </c:pt>
                <c:pt idx="1">
                  <c:v>0.622759726196981</c:v>
                </c:pt>
                <c:pt idx="2">
                  <c:v>0.611991075132835</c:v>
                </c:pt>
                <c:pt idx="3">
                  <c:v>0.594876753011449</c:v>
                </c:pt>
                <c:pt idx="4">
                  <c:v>0.561682790743242</c:v>
                </c:pt>
              </c:numCache>
            </c:numRef>
          </c:val>
          <c:smooth val="1"/>
        </c:ser>
        <c:ser>
          <c:idx val="2"/>
          <c:order val="2"/>
          <c:tx>
            <c:strRef>
              <c:f>"Four-competitor average"</c:f>
              <c:strCache>
                <c:ptCount val="1"/>
                <c:pt idx="0">
                  <c:v>Four-competitor average</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Comparison'!$D$86:$D$90</c:f>
              <c:strCache>
                <c:ptCount val="5"/>
                <c:pt idx="0">
                  <c:v>FY2021</c:v>
                </c:pt>
                <c:pt idx="1">
                  <c:v>FY2022</c:v>
                </c:pt>
                <c:pt idx="2">
                  <c:v>FY2023</c:v>
                </c:pt>
                <c:pt idx="3">
                  <c:v>FY2024</c:v>
                </c:pt>
                <c:pt idx="4">
                  <c:v>FY2025</c:v>
                </c:pt>
              </c:strCache>
            </c:strRef>
          </c:cat>
          <c:val>
            <c:numRef>
              <c:f>'Industry Comparison'!$M$86:$M$90</c:f>
              <c:numCache>
                <c:formatCode>0.00\x</c:formatCode>
                <c:ptCount val="5"/>
                <c:pt idx="0">
                  <c:v>0.518216870092474</c:v>
                </c:pt>
                <c:pt idx="1">
                  <c:v>0.57151393955177</c:v>
                </c:pt>
                <c:pt idx="2">
                  <c:v>0.555464060145797</c:v>
                </c:pt>
                <c:pt idx="3">
                  <c:v>0.565287526072506</c:v>
                </c:pt>
                <c:pt idx="4">
                  <c:v>0.552722657009457</c:v>
                </c:pt>
              </c:numCache>
            </c:numRef>
          </c:val>
          <c:smooth val="1"/>
        </c:ser>
        <c:axId val="79009599"/>
        <c:axId val="81181802"/>
      </c:lineChart>
      <c:catAx>
        <c:axId val="79009599"/>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81181802"/>
        <c:crosses val="autoZero"/>
        <c:lblAlgn val="ctr"/>
        <c:noMultiLvlLbl val="0"/>
        <c:lblOffset val="100"/>
      </c:catAx>
      <c:valAx>
        <c:axId val="81181802"/>
        <c:scaling>
          <c:orientation val="minMax"/>
        </c:scaling>
        <c:delete val="0"/>
        <c:axPos val="l"/>
        <c:majorGridlines>
          <c:spPr>
            <a:ln xmlns:a="http://schemas.openxmlformats.org/drawingml/2006/main" w="9360">
              <a:solidFill>
                <a:srgbClr val="878787"/>
              </a:solidFill>
            </a:ln>
          </c:spPr>
        </c:majorGridlines>
        <c:numFmt formatCode="0.00\x"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79009599"/>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2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Working capital: cash conversion cycle (days)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"KOHC"</c:f>
              <c:strCache>
                <c:ptCount val="1"/>
                <c:pt idx="0">
                  <c:v>KOHC</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Comparison'!$D$80:$D$84</c:f>
              <c:strCache>
                <c:ptCount val="5"/>
                <c:pt idx="0">
                  <c:v>FY2021</c:v>
                </c:pt>
                <c:pt idx="1">
                  <c:v>FY2022</c:v>
                </c:pt>
                <c:pt idx="2">
                  <c:v>FY2023</c:v>
                </c:pt>
                <c:pt idx="3">
                  <c:v>FY2024</c:v>
                </c:pt>
                <c:pt idx="4">
                  <c:v>FY2025</c:v>
                </c:pt>
              </c:strCache>
            </c:strRef>
          </c:cat>
          <c:val>
            <c:numRef>
              <c:f>'Industry Comparison'!$E$80:$E$84</c:f>
              <c:numCache>
                <c:formatCode>0</c:formatCode>
                <c:ptCount val="5"/>
                <c:pt idx="0">
                  <c:v>59.6633486432866</c:v>
                </c:pt>
                <c:pt idx="1">
                  <c:v>66.0721958356829</c:v>
                </c:pt>
                <c:pt idx="2">
                  <c:v>82.7888761630929</c:v>
                </c:pt>
                <c:pt idx="3">
                  <c:v>100.802345569594</c:v>
                </c:pt>
                <c:pt idx="4">
                  <c:v>108.04716265277</c:v>
                </c:pt>
              </c:numCache>
            </c:numRef>
          </c:val>
          <c:smooth val="1"/>
        </c:ser>
        <c:ser>
          <c:idx val="1"/>
          <c:order val="1"/>
          <c:tx>
            <c:strRef>
              <c:f>"Five-company sample average"</c:f>
              <c:strCache>
                <c:ptCount val="1"/>
                <c:pt idx="0">
                  <c:v>Five-company sample average</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Comparison'!$D$80:$D$84</c:f>
              <c:strCache>
                <c:ptCount val="5"/>
                <c:pt idx="0">
                  <c:v>FY2021</c:v>
                </c:pt>
                <c:pt idx="1">
                  <c:v>FY2022</c:v>
                </c:pt>
                <c:pt idx="2">
                  <c:v>FY2023</c:v>
                </c:pt>
                <c:pt idx="3">
                  <c:v>FY2024</c:v>
                </c:pt>
                <c:pt idx="4">
                  <c:v>FY2025</c:v>
                </c:pt>
              </c:strCache>
            </c:strRef>
          </c:cat>
          <c:val>
            <c:numRef>
              <c:f>'Industry Comparison'!$J$80:$J$84</c:f>
              <c:numCache>
                <c:formatCode>0</c:formatCode>
                <c:ptCount val="5"/>
                <c:pt idx="0">
                  <c:v>95.062338685012</c:v>
                </c:pt>
                <c:pt idx="1">
                  <c:v>96.8888310098198</c:v>
                </c:pt>
                <c:pt idx="2">
                  <c:v>102.772568846629</c:v>
                </c:pt>
                <c:pt idx="3">
                  <c:v>102.154688251425</c:v>
                </c:pt>
                <c:pt idx="4">
                  <c:v>111.277481080806</c:v>
                </c:pt>
              </c:numCache>
            </c:numRef>
          </c:val>
          <c:smooth val="1"/>
        </c:ser>
        <c:ser>
          <c:idx val="2"/>
          <c:order val="2"/>
          <c:tx>
            <c:strRef>
              <c:f>"Four-competitor average"</c:f>
              <c:strCache>
                <c:ptCount val="1"/>
                <c:pt idx="0">
                  <c:v>Four-competitor average</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Comparison'!$D$80:$D$84</c:f>
              <c:strCache>
                <c:ptCount val="5"/>
                <c:pt idx="0">
                  <c:v>FY2021</c:v>
                </c:pt>
                <c:pt idx="1">
                  <c:v>FY2022</c:v>
                </c:pt>
                <c:pt idx="2">
                  <c:v>FY2023</c:v>
                </c:pt>
                <c:pt idx="3">
                  <c:v>FY2024</c:v>
                </c:pt>
                <c:pt idx="4">
                  <c:v>FY2025</c:v>
                </c:pt>
              </c:strCache>
            </c:strRef>
          </c:cat>
          <c:val>
            <c:numRef>
              <c:f>'Industry Comparison'!$M$80:$M$84</c:f>
              <c:numCache>
                <c:formatCode>0</c:formatCode>
                <c:ptCount val="5"/>
                <c:pt idx="0">
                  <c:v>103.912086195443</c:v>
                </c:pt>
                <c:pt idx="1">
                  <c:v>104.592989803354</c:v>
                </c:pt>
                <c:pt idx="2">
                  <c:v>107.768492017513</c:v>
                </c:pt>
                <c:pt idx="3">
                  <c:v>102.492773921883</c:v>
                </c:pt>
                <c:pt idx="4">
                  <c:v>112.085060687815</c:v>
                </c:pt>
              </c:numCache>
            </c:numRef>
          </c:val>
          <c:smooth val="1"/>
        </c:ser>
        <c:axId val="6772324"/>
        <c:axId val="44732807"/>
      </c:lineChart>
      <c:catAx>
        <c:axId val="6772324"/>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44732807"/>
        <c:crosses val="autoZero"/>
        <c:lblAlgn val="ctr"/>
        <c:noMultiLvlLbl val="0"/>
        <c:lblOffset val="100"/>
      </c:catAx>
      <c:valAx>
        <c:axId val="44732807"/>
        <c:scaling>
          <c:orientation val="minMax"/>
        </c:scaling>
        <c:delete val="0"/>
        <c:axPos val="l"/>
        <c:majorGridlines>
          <c:spPr>
            <a:ln xmlns:a="http://schemas.openxmlformats.org/drawingml/2006/main" w="9360">
              <a:solidFill>
                <a:srgbClr val="878787"/>
              </a:solidFill>
            </a:ln>
          </c:spPr>
        </c:majorGridlines>
        <c:numFmt formatCode="0"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6772324"/>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2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Leverage: debt ratio (TL/TA)</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"KOHC"</c:f>
              <c:strCache>
                <c:ptCount val="1"/>
                <c:pt idx="0">
                  <c:v>KOHC</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Comparison'!$D$99:$D$103</c:f>
              <c:strCache>
                <c:ptCount val="5"/>
                <c:pt idx="0">
                  <c:v>FY2021</c:v>
                </c:pt>
                <c:pt idx="1">
                  <c:v>FY2022</c:v>
                </c:pt>
                <c:pt idx="2">
                  <c:v>FY2023</c:v>
                </c:pt>
                <c:pt idx="3">
                  <c:v>FY2024</c:v>
                </c:pt>
                <c:pt idx="4">
                  <c:v>FY2025</c:v>
                </c:pt>
              </c:strCache>
            </c:strRef>
          </c:cat>
          <c:val>
            <c:numRef>
              <c:f>'Industry Comparison'!$E$99:$E$103</c:f>
              <c:numCache>
                <c:formatCode>0.0%</c:formatCode>
                <c:ptCount val="5"/>
                <c:pt idx="0">
                  <c:v>0.384166382555034</c:v>
                </c:pt>
                <c:pt idx="1">
                  <c:v>0.371492491671705</c:v>
                </c:pt>
                <c:pt idx="2">
                  <c:v>0.341611240984833</c:v>
                </c:pt>
                <c:pt idx="3">
                  <c:v>0.301699451850295</c:v>
                </c:pt>
                <c:pt idx="4">
                  <c:v>0.282046726470284</c:v>
                </c:pt>
              </c:numCache>
            </c:numRef>
          </c:val>
          <c:smooth val="1"/>
        </c:ser>
        <c:ser>
          <c:idx val="1"/>
          <c:order val="1"/>
          <c:tx>
            <c:strRef>
              <c:f>"Five-company sample average"</c:f>
              <c:strCache>
                <c:ptCount val="1"/>
                <c:pt idx="0">
                  <c:v>Five-company sample average</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Comparison'!$D$99:$D$103</c:f>
              <c:strCache>
                <c:ptCount val="5"/>
                <c:pt idx="0">
                  <c:v>FY2021</c:v>
                </c:pt>
                <c:pt idx="1">
                  <c:v>FY2022</c:v>
                </c:pt>
                <c:pt idx="2">
                  <c:v>FY2023</c:v>
                </c:pt>
                <c:pt idx="3">
                  <c:v>FY2024</c:v>
                </c:pt>
                <c:pt idx="4">
                  <c:v>FY2025</c:v>
                </c:pt>
              </c:strCache>
            </c:strRef>
          </c:cat>
          <c:val>
            <c:numRef>
              <c:f>'Industry Comparison'!$J$99:$J$103</c:f>
              <c:numCache>
                <c:formatCode>0.0%</c:formatCode>
                <c:ptCount val="5"/>
                <c:pt idx="0">
                  <c:v>0.375415333257628</c:v>
                </c:pt>
                <c:pt idx="1">
                  <c:v>0.432683145823047</c:v>
                </c:pt>
                <c:pt idx="2">
                  <c:v>0.450059545336605</c:v>
                </c:pt>
                <c:pt idx="3">
                  <c:v>0.41910484235227</c:v>
                </c:pt>
                <c:pt idx="4">
                  <c:v>0.369984893835715</c:v>
                </c:pt>
              </c:numCache>
            </c:numRef>
          </c:val>
          <c:smooth val="1"/>
        </c:ser>
        <c:ser>
          <c:idx val="2"/>
          <c:order val="2"/>
          <c:tx>
            <c:strRef>
              <c:f>"Four-competitor average"</c:f>
              <c:strCache>
                <c:ptCount val="1"/>
                <c:pt idx="0">
                  <c:v>Four-competitor average</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Comparison'!$D$99:$D$103</c:f>
              <c:strCache>
                <c:ptCount val="5"/>
                <c:pt idx="0">
                  <c:v>FY2021</c:v>
                </c:pt>
                <c:pt idx="1">
                  <c:v>FY2022</c:v>
                </c:pt>
                <c:pt idx="2">
                  <c:v>FY2023</c:v>
                </c:pt>
                <c:pt idx="3">
                  <c:v>FY2024</c:v>
                </c:pt>
                <c:pt idx="4">
                  <c:v>FY2025</c:v>
                </c:pt>
              </c:strCache>
            </c:strRef>
          </c:cat>
          <c:val>
            <c:numRef>
              <c:f>'Industry Comparison'!$M$99:$M$103</c:f>
              <c:numCache>
                <c:formatCode>0.0%</c:formatCode>
                <c:ptCount val="5"/>
                <c:pt idx="0">
                  <c:v>0.373227570933277</c:v>
                </c:pt>
                <c:pt idx="1">
                  <c:v>0.447980809360882</c:v>
                </c:pt>
                <c:pt idx="2">
                  <c:v>0.477171621424548</c:v>
                </c:pt>
                <c:pt idx="3">
                  <c:v>0.448456189977763</c:v>
                </c:pt>
                <c:pt idx="4">
                  <c:v>0.391969435677072</c:v>
                </c:pt>
              </c:numCache>
            </c:numRef>
          </c:val>
          <c:smooth val="1"/>
        </c:ser>
        <c:axId val="66570554"/>
        <c:axId val="65804786"/>
      </c:lineChart>
      <c:catAx>
        <c:axId val="66570554"/>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65804786"/>
        <c:crosses val="autoZero"/>
        <c:lblAlgn val="ctr"/>
        <c:noMultiLvlLbl val="0"/>
        <c:lblOffset val="100"/>
      </c:catAx>
      <c:valAx>
        <c:axId val="65804786"/>
        <c:scaling>
          <c:orientation val="minMax"/>
        </c:scaling>
        <c:delete val="0"/>
        <c:axPos val="l"/>
        <c:majorGridlines>
          <c:spPr>
            <a:ln xmlns:a="http://schemas.openxmlformats.org/drawingml/2006/main" w="9360">
              <a:solidFill>
                <a:srgbClr val="878787"/>
              </a:solidFill>
            </a:ln>
          </c:spPr>
        </c:majorGridlines>
        <c:numFmt formatCode="0%"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66570554"/>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2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Debt service: times interest earned (x)</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"KOHC"</c:f>
              <c:strCache>
                <c:ptCount val="1"/>
                <c:pt idx="0">
                  <c:v>KOHC</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Comparison'!$D$123:$D$127</c:f>
              <c:strCache>
                <c:ptCount val="5"/>
                <c:pt idx="0">
                  <c:v>FY2021</c:v>
                </c:pt>
                <c:pt idx="1">
                  <c:v>FY2022</c:v>
                </c:pt>
                <c:pt idx="2">
                  <c:v>FY2023</c:v>
                </c:pt>
                <c:pt idx="3">
                  <c:v>FY2024</c:v>
                </c:pt>
                <c:pt idx="4">
                  <c:v>FY2025</c:v>
                </c:pt>
              </c:strCache>
            </c:strRef>
          </c:cat>
          <c:val>
            <c:numRef>
              <c:f>'Industry Comparison'!$E$123:$E$127</c:f>
              <c:numCache>
                <c:formatCode>0.00\x</c:formatCode>
                <c:ptCount val="5"/>
                <c:pt idx="0">
                  <c:v>11.0197069011817</c:v>
                </c:pt>
                <c:pt idx="1">
                  <c:v>18.3631524524966</c:v>
                </c:pt>
                <c:pt idx="2">
                  <c:v>16.398825279874</c:v>
                </c:pt>
                <c:pt idx="3">
                  <c:v>22.3677202242051</c:v>
                </c:pt>
                <c:pt idx="4">
                  <c:v>59.0989531983723</c:v>
                </c:pt>
              </c:numCache>
            </c:numRef>
          </c:val>
          <c:smooth val="1"/>
        </c:ser>
        <c:ser>
          <c:idx val="1"/>
          <c:order val="1"/>
          <c:tx>
            <c:strRef>
              <c:f>"Five-company sample average"</c:f>
              <c:strCache>
                <c:ptCount val="1"/>
                <c:pt idx="0">
                  <c:v>Five-company sample average</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Comparison'!$D$123:$D$127</c:f>
              <c:strCache>
                <c:ptCount val="5"/>
                <c:pt idx="0">
                  <c:v>FY2021</c:v>
                </c:pt>
                <c:pt idx="1">
                  <c:v>FY2022</c:v>
                </c:pt>
                <c:pt idx="2">
                  <c:v>FY2023</c:v>
                </c:pt>
                <c:pt idx="3">
                  <c:v>FY2024</c:v>
                </c:pt>
                <c:pt idx="4">
                  <c:v>FY2025</c:v>
                </c:pt>
              </c:strCache>
            </c:strRef>
          </c:cat>
          <c:val>
            <c:numRef>
              <c:f>'Industry Comparison'!$J$123:$J$127</c:f>
              <c:numCache>
                <c:formatCode>0.00\x</c:formatCode>
                <c:ptCount val="5"/>
                <c:pt idx="0">
                  <c:v>25.6874408306465</c:v>
                </c:pt>
                <c:pt idx="1">
                  <c:v>18.8875537587405</c:v>
                </c:pt>
                <c:pt idx="2">
                  <c:v>9.61611586976683</c:v>
                </c:pt>
                <c:pt idx="3">
                  <c:v>11.655006756916</c:v>
                </c:pt>
                <c:pt idx="4">
                  <c:v>22.4877960397635</c:v>
                </c:pt>
              </c:numCache>
            </c:numRef>
          </c:val>
          <c:smooth val="1"/>
        </c:ser>
        <c:ser>
          <c:idx val="2"/>
          <c:order val="2"/>
          <c:tx>
            <c:strRef>
              <c:f>"Four-competitor average"</c:f>
              <c:strCache>
                <c:ptCount val="1"/>
                <c:pt idx="0">
                  <c:v>Four-competitor average</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Comparison'!$D$123:$D$127</c:f>
              <c:strCache>
                <c:ptCount val="5"/>
                <c:pt idx="0">
                  <c:v>FY2021</c:v>
                </c:pt>
                <c:pt idx="1">
                  <c:v>FY2022</c:v>
                </c:pt>
                <c:pt idx="2">
                  <c:v>FY2023</c:v>
                </c:pt>
                <c:pt idx="3">
                  <c:v>FY2024</c:v>
                </c:pt>
                <c:pt idx="4">
                  <c:v>FY2025</c:v>
                </c:pt>
              </c:strCache>
            </c:strRef>
          </c:cat>
          <c:val>
            <c:numRef>
              <c:f>'Industry Comparison'!$M$123:$M$127</c:f>
              <c:numCache>
                <c:formatCode>0.00\x</c:formatCode>
                <c:ptCount val="5"/>
                <c:pt idx="0">
                  <c:v>29.3543743130127</c:v>
                </c:pt>
                <c:pt idx="1">
                  <c:v>19.0186540853014</c:v>
                </c:pt>
                <c:pt idx="2">
                  <c:v>7.92043851724005</c:v>
                </c:pt>
                <c:pt idx="3">
                  <c:v>8.97682839009368</c:v>
                </c:pt>
                <c:pt idx="4">
                  <c:v>13.3350067501113</c:v>
                </c:pt>
              </c:numCache>
            </c:numRef>
          </c:val>
          <c:smooth val="1"/>
        </c:ser>
        <c:axId val="97887648"/>
        <c:axId val="44682076"/>
      </c:lineChart>
      <c:catAx>
        <c:axId val="97887648"/>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44682076"/>
        <c:crosses val="autoZero"/>
        <c:lblAlgn val="ctr"/>
        <c:noMultiLvlLbl val="0"/>
        <c:lblOffset val="100"/>
      </c:catAx>
      <c:valAx>
        <c:axId val="44682076"/>
        <c:scaling>
          <c:orientation val="minMax"/>
        </c:scaling>
        <c:delete val="0"/>
        <c:axPos val="l"/>
        <c:majorGridlines>
          <c:spPr>
            <a:ln xmlns:a="http://schemas.openxmlformats.org/drawingml/2006/main" w="9360">
              <a:solidFill>
                <a:srgbClr val="878787"/>
              </a:solidFill>
            </a:ln>
          </c:spPr>
        </c:majorGridlines>
        <c:numFmt formatCode="0.00\x"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97887648"/>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2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Profitability: net profit margin</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"KOHC"</c:f>
              <c:strCache>
                <c:ptCount val="1"/>
                <c:pt idx="0">
                  <c:v>KOHC</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Comparison'!$D$148:$D$152</c:f>
              <c:strCache>
                <c:ptCount val="5"/>
                <c:pt idx="0">
                  <c:v>FY2021</c:v>
                </c:pt>
                <c:pt idx="1">
                  <c:v>FY2022</c:v>
                </c:pt>
                <c:pt idx="2">
                  <c:v>FY2023</c:v>
                </c:pt>
                <c:pt idx="3">
                  <c:v>FY2024</c:v>
                </c:pt>
                <c:pt idx="4">
                  <c:v>FY2025</c:v>
                </c:pt>
              </c:strCache>
            </c:strRef>
          </c:cat>
          <c:val>
            <c:numRef>
              <c:f>'Industry Comparison'!$E$148:$E$152</c:f>
              <c:numCache>
                <c:formatCode>0.0%</c:formatCode>
                <c:ptCount val="5"/>
                <c:pt idx="0">
                  <c:v>0.145381908989703</c:v>
                </c:pt>
                <c:pt idx="1">
                  <c:v>0.152820756957864</c:v>
                </c:pt>
                <c:pt idx="2">
                  <c:v>0.149550528713845</c:v>
                </c:pt>
                <c:pt idx="3">
                  <c:v>0.230115612198956</c:v>
                </c:pt>
                <c:pt idx="4">
                  <c:v>0.308377197075949</c:v>
                </c:pt>
              </c:numCache>
            </c:numRef>
          </c:val>
          <c:smooth val="1"/>
        </c:ser>
        <c:ser>
          <c:idx val="1"/>
          <c:order val="1"/>
          <c:tx>
            <c:strRef>
              <c:f>"Five-company sample average"</c:f>
              <c:strCache>
                <c:ptCount val="1"/>
                <c:pt idx="0">
                  <c:v>Five-company sample average</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Comparison'!$D$148:$D$152</c:f>
              <c:strCache>
                <c:ptCount val="5"/>
                <c:pt idx="0">
                  <c:v>FY2021</c:v>
                </c:pt>
                <c:pt idx="1">
                  <c:v>FY2022</c:v>
                </c:pt>
                <c:pt idx="2">
                  <c:v>FY2023</c:v>
                </c:pt>
                <c:pt idx="3">
                  <c:v>FY2024</c:v>
                </c:pt>
                <c:pt idx="4">
                  <c:v>FY2025</c:v>
                </c:pt>
              </c:strCache>
            </c:strRef>
          </c:cat>
          <c:val>
            <c:numRef>
              <c:f>'Industry Comparison'!$J$148:$J$152</c:f>
              <c:numCache>
                <c:formatCode>0.0%</c:formatCode>
                <c:ptCount val="5"/>
                <c:pt idx="0">
                  <c:v>0.154086198615727</c:v>
                </c:pt>
                <c:pt idx="1">
                  <c:v>0.119708542120444</c:v>
                </c:pt>
                <c:pt idx="2">
                  <c:v>0.0836960653169999</c:v>
                </c:pt>
                <c:pt idx="3">
                  <c:v>0.132828641078653</c:v>
                </c:pt>
                <c:pt idx="4">
                  <c:v>0.21834707156584</c:v>
                </c:pt>
              </c:numCache>
            </c:numRef>
          </c:val>
          <c:smooth val="1"/>
        </c:ser>
        <c:ser>
          <c:idx val="2"/>
          <c:order val="2"/>
          <c:tx>
            <c:strRef>
              <c:f>"Four-competitor average"</c:f>
              <c:strCache>
                <c:ptCount val="1"/>
                <c:pt idx="0">
                  <c:v>Four-competitor average</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Comparison'!$D$148:$D$152</c:f>
              <c:strCache>
                <c:ptCount val="5"/>
                <c:pt idx="0">
                  <c:v>FY2021</c:v>
                </c:pt>
                <c:pt idx="1">
                  <c:v>FY2022</c:v>
                </c:pt>
                <c:pt idx="2">
                  <c:v>FY2023</c:v>
                </c:pt>
                <c:pt idx="3">
                  <c:v>FY2024</c:v>
                </c:pt>
                <c:pt idx="4">
                  <c:v>FY2025</c:v>
                </c:pt>
              </c:strCache>
            </c:strRef>
          </c:cat>
          <c:val>
            <c:numRef>
              <c:f>'Industry Comparison'!$M$148:$M$152</c:f>
              <c:numCache>
                <c:formatCode>0.0%</c:formatCode>
                <c:ptCount val="5"/>
                <c:pt idx="0">
                  <c:v>0.156262271022233</c:v>
                </c:pt>
                <c:pt idx="1">
                  <c:v>0.111430488411089</c:v>
                </c:pt>
                <c:pt idx="2">
                  <c:v>0.0672324494677885</c:v>
                </c:pt>
                <c:pt idx="3">
                  <c:v>0.108506898298577</c:v>
                </c:pt>
                <c:pt idx="4">
                  <c:v>0.195839540188312</c:v>
                </c:pt>
              </c:numCache>
            </c:numRef>
          </c:val>
          <c:smooth val="1"/>
        </c:ser>
        <c:axId val="8543468"/>
        <c:axId val="15371865"/>
      </c:lineChart>
      <c:catAx>
        <c:axId val="8543468"/>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15371865"/>
        <c:crosses val="autoZero"/>
        <c:lblAlgn val="ctr"/>
        <c:noMultiLvlLbl val="0"/>
        <c:lblOffset val="100"/>
      </c:catAx>
      <c:valAx>
        <c:axId val="15371865"/>
        <c:scaling>
          <c:orientation val="minMax"/>
        </c:scaling>
        <c:delete val="0"/>
        <c:axPos val="l"/>
        <c:majorGridlines>
          <c:spPr>
            <a:ln xmlns:a="http://schemas.openxmlformats.org/drawingml/2006/main" w="9360">
              <a:solidFill>
                <a:srgbClr val="878787"/>
              </a:solidFill>
            </a:ln>
          </c:spPr>
        </c:majorGridlines>
        <c:numFmt formatCode="0%"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8543468"/>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27.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Profitability: return on equity</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"KOHC"</c:f>
              <c:strCache>
                <c:ptCount val="1"/>
                <c:pt idx="0">
                  <c:v>KOHC</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Comparison'!$D$160:$D$164</c:f>
              <c:strCache>
                <c:ptCount val="5"/>
                <c:pt idx="0">
                  <c:v>FY2021</c:v>
                </c:pt>
                <c:pt idx="1">
                  <c:v>FY2022</c:v>
                </c:pt>
                <c:pt idx="2">
                  <c:v>FY2023</c:v>
                </c:pt>
                <c:pt idx="3">
                  <c:v>FY2024</c:v>
                </c:pt>
                <c:pt idx="4">
                  <c:v>FY2025</c:v>
                </c:pt>
              </c:strCache>
            </c:strRef>
          </c:cat>
          <c:val>
            <c:numRef>
              <c:f>'Industry Comparison'!$E$160:$E$164</c:f>
              <c:numCache>
                <c:formatCode>0.0%</c:formatCode>
                <c:ptCount val="5"/>
                <c:pt idx="0">
                  <c:v>0.170817537532695</c:v>
                </c:pt>
                <c:pt idx="1">
                  <c:v>0.20312531536122</c:v>
                </c:pt>
                <c:pt idx="2">
                  <c:v>0.194490956803241</c:v>
                </c:pt>
                <c:pt idx="3">
                  <c:v>0.241340909650054</c:v>
                </c:pt>
                <c:pt idx="4">
                  <c:v>0.259982908981603</c:v>
                </c:pt>
              </c:numCache>
            </c:numRef>
          </c:val>
          <c:smooth val="1"/>
        </c:ser>
        <c:ser>
          <c:idx val="1"/>
          <c:order val="1"/>
          <c:tx>
            <c:strRef>
              <c:f>"Five-company sample average"</c:f>
              <c:strCache>
                <c:ptCount val="1"/>
                <c:pt idx="0">
                  <c:v>Five-company sample average</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Comparison'!$D$160:$D$164</c:f>
              <c:strCache>
                <c:ptCount val="5"/>
                <c:pt idx="0">
                  <c:v>FY2021</c:v>
                </c:pt>
                <c:pt idx="1">
                  <c:v>FY2022</c:v>
                </c:pt>
                <c:pt idx="2">
                  <c:v>FY2023</c:v>
                </c:pt>
                <c:pt idx="3">
                  <c:v>FY2024</c:v>
                </c:pt>
                <c:pt idx="4">
                  <c:v>FY2025</c:v>
                </c:pt>
              </c:strCache>
            </c:strRef>
          </c:cat>
          <c:val>
            <c:numRef>
              <c:f>'Industry Comparison'!$J$160:$J$164</c:f>
              <c:numCache>
                <c:formatCode>0.0%</c:formatCode>
                <c:ptCount val="5"/>
                <c:pt idx="0">
                  <c:v>0.139845284408115</c:v>
                </c:pt>
                <c:pt idx="1">
                  <c:v>0.127920873613138</c:v>
                </c:pt>
                <c:pt idx="2">
                  <c:v>0.0939329882227227</c:v>
                </c:pt>
                <c:pt idx="3">
                  <c:v>0.134608295578138</c:v>
                </c:pt>
                <c:pt idx="4">
                  <c:v>0.201972119859176</c:v>
                </c:pt>
              </c:numCache>
            </c:numRef>
          </c:val>
          <c:smooth val="1"/>
        </c:ser>
        <c:ser>
          <c:idx val="2"/>
          <c:order val="2"/>
          <c:tx>
            <c:strRef>
              <c:f>"Four-competitor average"</c:f>
              <c:strCache>
                <c:ptCount val="1"/>
                <c:pt idx="0">
                  <c:v>Four-competitor average</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Comparison'!$D$160:$D$164</c:f>
              <c:strCache>
                <c:ptCount val="5"/>
                <c:pt idx="0">
                  <c:v>FY2021</c:v>
                </c:pt>
                <c:pt idx="1">
                  <c:v>FY2022</c:v>
                </c:pt>
                <c:pt idx="2">
                  <c:v>FY2023</c:v>
                </c:pt>
                <c:pt idx="3">
                  <c:v>FY2024</c:v>
                </c:pt>
                <c:pt idx="4">
                  <c:v>FY2025</c:v>
                </c:pt>
              </c:strCache>
            </c:strRef>
          </c:cat>
          <c:val>
            <c:numRef>
              <c:f>'Industry Comparison'!$M$160:$M$164</c:f>
              <c:numCache>
                <c:formatCode>0.0%</c:formatCode>
                <c:ptCount val="5"/>
                <c:pt idx="0">
                  <c:v>0.132102221126969</c:v>
                </c:pt>
                <c:pt idx="1">
                  <c:v>0.109119763176118</c:v>
                </c:pt>
                <c:pt idx="2">
                  <c:v>0.0687934960775933</c:v>
                </c:pt>
                <c:pt idx="3">
                  <c:v>0.107925142060159</c:v>
                </c:pt>
                <c:pt idx="4">
                  <c:v>0.187469422578569</c:v>
                </c:pt>
              </c:numCache>
            </c:numRef>
          </c:val>
          <c:smooth val="1"/>
        </c:ser>
        <c:axId val="42266204"/>
        <c:axId val="91367987"/>
      </c:lineChart>
      <c:catAx>
        <c:axId val="42266204"/>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91367987"/>
        <c:crosses val="autoZero"/>
        <c:lblAlgn val="ctr"/>
        <c:noMultiLvlLbl val="0"/>
        <c:lblOffset val="100"/>
      </c:catAx>
      <c:valAx>
        <c:axId val="91367987"/>
        <c:scaling>
          <c:orientation val="minMax"/>
        </c:scaling>
        <c:delete val="0"/>
        <c:axPos val="l"/>
        <c:majorGridlines>
          <c:spPr>
            <a:ln xmlns:a="http://schemas.openxmlformats.org/drawingml/2006/main" w="9360">
              <a:solidFill>
                <a:srgbClr val="878787"/>
              </a:solidFill>
            </a:ln>
          </c:spPr>
        </c:majorGridlines>
        <c:numFmt formatCode="0%"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42266204"/>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28.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Market valuation: market-to-book (x)</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"KOHC"</c:f>
              <c:strCache>
                <c:ptCount val="1"/>
                <c:pt idx="0">
                  <c:v>KOHC</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Comparison'!$D$191:$D$195</c:f>
              <c:strCache>
                <c:ptCount val="5"/>
                <c:pt idx="0">
                  <c:v>FY2021</c:v>
                </c:pt>
                <c:pt idx="1">
                  <c:v>FY2022</c:v>
                </c:pt>
                <c:pt idx="2">
                  <c:v>FY2023</c:v>
                </c:pt>
                <c:pt idx="3">
                  <c:v>FY2024</c:v>
                </c:pt>
                <c:pt idx="4">
                  <c:v>FY2025</c:v>
                </c:pt>
              </c:strCache>
            </c:strRef>
          </c:cat>
          <c:val>
            <c:numRef>
              <c:f>'Industry Comparison'!$E$191:$E$195</c:f>
              <c:numCache>
                <c:formatCode>0.00\x</c:formatCode>
                <c:ptCount val="5"/>
                <c:pt idx="0">
                  <c:v>1.86630259587061</c:v>
                </c:pt>
                <c:pt idx="1">
                  <c:v>0.959328683281757</c:v>
                </c:pt>
                <c:pt idx="2">
                  <c:v>1.06848700210342</c:v>
                </c:pt>
                <c:pt idx="3">
                  <c:v>1.193701148247572</c:v>
                </c:pt>
                <c:pt idx="4">
                  <c:v>1.454474785051403</c:v>
                </c:pt>
              </c:numCache>
            </c:numRef>
          </c:val>
          <c:smooth val="1"/>
        </c:ser>
        <c:ser>
          <c:idx val="1"/>
          <c:order val="1"/>
          <c:tx>
            <c:strRef>
              <c:f>"Five-company sample average"</c:f>
              <c:strCache>
                <c:ptCount val="1"/>
                <c:pt idx="0">
                  <c:v>Five-company sample average</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Comparison'!$D$191:$D$195</c:f>
              <c:strCache>
                <c:ptCount val="5"/>
                <c:pt idx="0">
                  <c:v>FY2021</c:v>
                </c:pt>
                <c:pt idx="1">
                  <c:v>FY2022</c:v>
                </c:pt>
                <c:pt idx="2">
                  <c:v>FY2023</c:v>
                </c:pt>
                <c:pt idx="3">
                  <c:v>FY2024</c:v>
                </c:pt>
                <c:pt idx="4">
                  <c:v>FY2025</c:v>
                </c:pt>
              </c:strCache>
            </c:strRef>
          </c:cat>
          <c:val>
            <c:numRef>
              <c:f>'Industry Comparison'!$J$191:$J$195</c:f>
              <c:numCache>
                <c:formatCode>0.00\x</c:formatCode>
                <c:ptCount val="5"/>
                <c:pt idx="0">
                  <c:v>1.554778241540698</c:v>
                </c:pt>
                <c:pt idx="1">
                  <c:v>0.7538077292212013</c:v>
                </c:pt>
                <c:pt idx="2">
                  <c:v>0.7446884903408398</c:v>
                </c:pt>
                <c:pt idx="3">
                  <c:v>1.007056537396906</c:v>
                </c:pt>
                <c:pt idx="4">
                  <c:v>1.542960671895352</c:v>
                </c:pt>
              </c:numCache>
            </c:numRef>
          </c:val>
          <c:smooth val="1"/>
        </c:ser>
        <c:ser>
          <c:idx val="2"/>
          <c:order val="2"/>
          <c:tx>
            <c:strRef>
              <c:f>"Four-competitor average"</c:f>
              <c:strCache>
                <c:ptCount val="1"/>
                <c:pt idx="0">
                  <c:v>Four-competitor average</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Comparison'!$D$191:$D$195</c:f>
              <c:strCache>
                <c:ptCount val="5"/>
                <c:pt idx="0">
                  <c:v>FY2021</c:v>
                </c:pt>
                <c:pt idx="1">
                  <c:v>FY2022</c:v>
                </c:pt>
                <c:pt idx="2">
                  <c:v>FY2023</c:v>
                </c:pt>
                <c:pt idx="3">
                  <c:v>FY2024</c:v>
                </c:pt>
                <c:pt idx="4">
                  <c:v>FY2025</c:v>
                </c:pt>
              </c:strCache>
            </c:strRef>
          </c:cat>
          <c:val>
            <c:numRef>
              <c:f>'Industry Comparison'!$M$191:$M$195</c:f>
              <c:numCache>
                <c:formatCode>0.00\x</c:formatCode>
                <c:ptCount val="5"/>
                <c:pt idx="0">
                  <c:v>1.47689715295822</c:v>
                </c:pt>
                <c:pt idx="1">
                  <c:v>0.7024274907060624</c:v>
                </c:pt>
                <c:pt idx="2">
                  <c:v>0.6637388624001948</c:v>
                </c:pt>
                <c:pt idx="3">
                  <c:v>0.9603953846842401</c:v>
                </c:pt>
                <c:pt idx="4">
                  <c:v>1.565082143606339</c:v>
                </c:pt>
              </c:numCache>
            </c:numRef>
          </c:val>
          <c:smooth val="1"/>
        </c:ser>
        <c:axId val="71454650"/>
        <c:axId val="69621783"/>
      </c:lineChart>
      <c:catAx>
        <c:axId val="71454650"/>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69621783"/>
        <c:crosses val="autoZero"/>
        <c:lblAlgn val="ctr"/>
        <c:noMultiLvlLbl val="0"/>
        <c:lblOffset val="100"/>
      </c:catAx>
      <c:valAx>
        <c:axId val="69621783"/>
        <c:scaling>
          <c:orientation val="minMax"/>
        </c:scaling>
        <c:delete val="0"/>
        <c:axPos val="l"/>
        <c:majorGridlines>
          <c:spPr>
            <a:ln xmlns:a="http://schemas.openxmlformats.org/drawingml/2006/main" w="9360">
              <a:solidFill>
                <a:srgbClr val="878787"/>
              </a:solidFill>
            </a:ln>
          </c:spPr>
        </c:majorGridlines>
        <c:numFmt formatCode="0.00\x"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71454650"/>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29.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Cash flow: operating cash flow ratio (x)</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lineChart>
        <c:grouping val="standard"/>
        <c:varyColors val="0"/>
        <c:ser>
          <c:idx val="0"/>
          <c:order val="0"/>
          <c:tx>
            <c:strRef>
              <c:f>"KOHC"</c:f>
              <c:strCache>
                <c:ptCount val="1"/>
                <c:pt idx="0">
                  <c:v>KOHC</c:v>
                </c:pt>
              </c:strCache>
            </c:strRef>
          </c:tx>
          <c:spPr>
            <a:solidFill xmlns:a="http://schemas.openxmlformats.org/drawingml/2006/main">
              <a:srgbClr val="4A7EBB"/>
            </a:solidFill>
            <a:ln xmlns:a="http://schemas.openxmlformats.org/drawingml/2006/main" w="28440">
              <a:solidFill>
                <a:srgbClr val="4A7EBB"/>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Comparison'!$D$222:$D$226</c:f>
              <c:strCache>
                <c:ptCount val="5"/>
                <c:pt idx="0">
                  <c:v>FY2021</c:v>
                </c:pt>
                <c:pt idx="1">
                  <c:v>FY2022</c:v>
                </c:pt>
                <c:pt idx="2">
                  <c:v>FY2023</c:v>
                </c:pt>
                <c:pt idx="3">
                  <c:v>FY2024</c:v>
                </c:pt>
                <c:pt idx="4">
                  <c:v>FY2025</c:v>
                </c:pt>
              </c:strCache>
            </c:strRef>
          </c:cat>
          <c:val>
            <c:numRef>
              <c:f>'Industry Comparison'!$E$222:$E$226</c:f>
              <c:numCache>
                <c:formatCode>0.00\x</c:formatCode>
                <c:ptCount val="5"/>
                <c:pt idx="0">
                  <c:v>0.734824170977452</c:v>
                </c:pt>
                <c:pt idx="1">
                  <c:v>0.959114346632539</c:v>
                </c:pt>
                <c:pt idx="2">
                  <c:v>0.458966568976193</c:v>
                </c:pt>
                <c:pt idx="3">
                  <c:v>0.632819816260917</c:v>
                </c:pt>
                <c:pt idx="4">
                  <c:v>0.824199105287403</c:v>
                </c:pt>
              </c:numCache>
            </c:numRef>
          </c:val>
          <c:smooth val="1"/>
        </c:ser>
        <c:ser>
          <c:idx val="1"/>
          <c:order val="1"/>
          <c:tx>
            <c:strRef>
              <c:f>"Five-company sample average"</c:f>
              <c:strCache>
                <c:ptCount val="1"/>
                <c:pt idx="0">
                  <c:v>Five-company sample average</c:v>
                </c:pt>
              </c:strCache>
            </c:strRef>
          </c:tx>
          <c:spPr>
            <a:solidFill xmlns:a="http://schemas.openxmlformats.org/drawingml/2006/main">
              <a:srgbClr val="BE4B48"/>
            </a:solidFill>
            <a:ln xmlns:a="http://schemas.openxmlformats.org/drawingml/2006/main" w="28440">
              <a:solidFill>
                <a:srgbClr val="BE4B48"/>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Comparison'!$D$222:$D$226</c:f>
              <c:strCache>
                <c:ptCount val="5"/>
                <c:pt idx="0">
                  <c:v>FY2021</c:v>
                </c:pt>
                <c:pt idx="1">
                  <c:v>FY2022</c:v>
                </c:pt>
                <c:pt idx="2">
                  <c:v>FY2023</c:v>
                </c:pt>
                <c:pt idx="3">
                  <c:v>FY2024</c:v>
                </c:pt>
                <c:pt idx="4">
                  <c:v>FY2025</c:v>
                </c:pt>
              </c:strCache>
            </c:strRef>
          </c:cat>
          <c:val>
            <c:numRef>
              <c:f>'Industry Comparison'!$J$222:$J$226</c:f>
              <c:numCache>
                <c:formatCode>0.00\x</c:formatCode>
                <c:ptCount val="5"/>
                <c:pt idx="0">
                  <c:v>0.563083162491846</c:v>
                </c:pt>
                <c:pt idx="1">
                  <c:v>0.488065629804776</c:v>
                </c:pt>
                <c:pt idx="2">
                  <c:v>0.605484210763285</c:v>
                </c:pt>
                <c:pt idx="3">
                  <c:v>0.53644302823672</c:v>
                </c:pt>
                <c:pt idx="4">
                  <c:v>0.685036527823124</c:v>
                </c:pt>
              </c:numCache>
            </c:numRef>
          </c:val>
          <c:smooth val="1"/>
        </c:ser>
        <c:ser>
          <c:idx val="2"/>
          <c:order val="2"/>
          <c:tx>
            <c:strRef>
              <c:f>"Four-competitor average"</c:f>
              <c:strCache>
                <c:ptCount val="1"/>
                <c:pt idx="0">
                  <c:v>Four-competitor average</c:v>
                </c:pt>
              </c:strCache>
            </c:strRef>
          </c:tx>
          <c:spPr>
            <a:solidFill xmlns:a="http://schemas.openxmlformats.org/drawingml/2006/main">
              <a:srgbClr val="98B855"/>
            </a:solidFill>
            <a:ln xmlns:a="http://schemas.openxmlformats.org/drawingml/2006/main" w="28440">
              <a:solidFill>
                <a:srgbClr val="98B855"/>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Comparison'!$D$222:$D$226</c:f>
              <c:strCache>
                <c:ptCount val="5"/>
                <c:pt idx="0">
                  <c:v>FY2021</c:v>
                </c:pt>
                <c:pt idx="1">
                  <c:v>FY2022</c:v>
                </c:pt>
                <c:pt idx="2">
                  <c:v>FY2023</c:v>
                </c:pt>
                <c:pt idx="3">
                  <c:v>FY2024</c:v>
                </c:pt>
                <c:pt idx="4">
                  <c:v>FY2025</c:v>
                </c:pt>
              </c:strCache>
            </c:strRef>
          </c:cat>
          <c:val>
            <c:numRef>
              <c:f>'Industry Comparison'!$M$222:$M$226</c:f>
              <c:numCache>
                <c:formatCode>0.00\x</c:formatCode>
                <c:ptCount val="5"/>
                <c:pt idx="0">
                  <c:v>0.520147910370445</c:v>
                </c:pt>
                <c:pt idx="1">
                  <c:v>0.370303450597835</c:v>
                </c:pt>
                <c:pt idx="2">
                  <c:v>0.642113621210057</c:v>
                </c:pt>
                <c:pt idx="3">
                  <c:v>0.512348831230671</c:v>
                </c:pt>
                <c:pt idx="4">
                  <c:v>0.650245883457054</c:v>
                </c:pt>
              </c:numCache>
            </c:numRef>
          </c:val>
          <c:smooth val="1"/>
        </c:ser>
        <c:axId val="96487197"/>
        <c:axId val="91151116"/>
      </c:lineChart>
      <c:catAx>
        <c:axId val="96487197"/>
        <c:scaling>
          <c:orientation val="minMax"/>
        </c:scaling>
        <c:delete val="0"/>
        <c:axPos val="b"/>
        <c:numFmt formatCode="General"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91151116"/>
        <c:crosses val="autoZero"/>
        <c:lblAlgn val="ctr"/>
        <c:noMultiLvlLbl val="0"/>
        <c:lblOffset val="100"/>
      </c:catAx>
      <c:valAx>
        <c:axId val="91151116"/>
        <c:scaling>
          <c:orientation val="minMax"/>
        </c:scaling>
        <c:delete val="0"/>
        <c:axPos val="l"/>
        <c:majorGridlines>
          <c:spPr>
            <a:ln xmlns:a="http://schemas.openxmlformats.org/drawingml/2006/main" w="9360">
              <a:solidFill>
                <a:srgbClr val="878787"/>
              </a:solidFill>
            </a:ln>
          </c:spPr>
        </c:majorGridlines>
        <c:numFmt formatCode="0.00\x"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96487197"/>
        <c:crosses val="autoZero"/>
        <c:crossBetween val="between"/>
      </c:valAx>
      <c:spPr>
        <a:noFill xmlns:a="http://schemas.openxmlformats.org/drawingml/2006/main"/>
        <a:ln xmlns:a="http://schemas.openxmlformats.org/drawingml/2006/main" w="0">
          <a:noFill/>
        </a:ln>
      </c:spPr>
    </c:plotArea>
    <c:legend>
      <c:legendPos val="r"/>
      <c:overlay val="0"/>
      <c:spPr>
        <a:noFill xmlns:a="http://schemas.openxmlformats.org/drawingml/2006/main"/>
        <a:ln xmlns:a="http://schemas.openxmlformats.org/drawingml/2006/main" w="0">
          <a:no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30.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FY2025 peer snapshot: ROE</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barChart>
        <c:barDir val="bar"/>
        <c:grouping val="clustered"/>
        <c:varyColors val="0"/>
        <c:ser>
          <c:idx val="0"/>
          <c:order val="0"/>
          <c:spPr>
            <a:solidFill xmlns:a="http://schemas.openxmlformats.org/drawingml/2006/main">
              <a:srgbClr val="4F81B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Comparison'!$E$4:$J$4</c:f>
              <c:strCache>
                <c:ptCount val="6"/>
                <c:pt idx="0">
                  <c:v>KOHC</c:v>
                </c:pt>
                <c:pt idx="1">
                  <c:v>LUCK</c:v>
                </c:pt>
                <c:pt idx="2">
                  <c:v>DGKC</c:v>
                </c:pt>
                <c:pt idx="3">
                  <c:v>MLCF</c:v>
                </c:pt>
                <c:pt idx="4">
                  <c:v>FCCL</c:v>
                </c:pt>
                <c:pt idx="5">
                  <c:v>Sample avg (5)</c:v>
                </c:pt>
              </c:strCache>
            </c:strRef>
          </c:cat>
          <c:val>
            <c:numRef>
              <c:f>'Industry Comparison'!$E$164:$J$164</c:f>
              <c:numCache>
                <c:formatCode>0.0%</c:formatCode>
                <c:ptCount val="6"/>
                <c:pt idx="0">
                  <c:v>0.259982908981603</c:v>
                </c:pt>
                <c:pt idx="1">
                  <c:v>0.204479813042153</c:v>
                </c:pt>
                <c:pt idx="2">
                  <c:v>0.1017512616015</c:v>
                </c:pt>
                <c:pt idx="3">
                  <c:v>0.274608595434305</c:v>
                </c:pt>
                <c:pt idx="4">
                  <c:v>0.16903802023632</c:v>
                </c:pt>
                <c:pt idx="5">
                  <c:v>0.201972119859176</c:v>
                </c:pt>
              </c:numCache>
            </c:numRef>
          </c:val>
        </c:ser>
        <c:gapWidth val="150"/>
        <c:overlap val="0"/>
        <c:axId val="33825784"/>
        <c:axId val="17026848"/>
      </c:barChart>
      <c:catAx>
        <c:axId val="33825784"/>
        <c:scaling>
          <c:orientation val="minMax"/>
        </c:scaling>
        <c:delete val="0"/>
        <c:axPos val="l"/>
        <c:numFmt formatCode="0%"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17026848"/>
        <c:crosses val="autoZero"/>
        <c:lblAlgn val="ctr"/>
        <c:noMultiLvlLbl val="0"/>
        <c:lblOffset val="100"/>
      </c:catAx>
      <c:valAx>
        <c:axId val="17026848"/>
        <c:scaling>
          <c:orientation val="minMax"/>
        </c:scaling>
        <c:delete val="0"/>
        <c:axPos val="b"/>
        <c:majorGridlines>
          <c:spPr>
            <a:ln xmlns:a="http://schemas.openxmlformats.org/drawingml/2006/main" w="9360">
              <a:solidFill>
                <a:srgbClr val="878787"/>
              </a:solidFill>
            </a:ln>
          </c:spPr>
        </c:majorGridlines>
        <c:numFmt formatCode="0.0%"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33825784"/>
        <c:crosses val="autoZero"/>
        <c:crossBetween val="between"/>
      </c:valAx>
      <c:spPr>
        <a:noFill xmlns:a="http://schemas.openxmlformats.org/drawingml/2006/main"/>
        <a:ln xmlns:a="http://schemas.openxmlformats.org/drawingml/2006/main" w="0">
          <a:noFill/>
        </a:ln>
      </c:spPr>
    </c:plotArea>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charts/chart3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Calibri"/>
                <a:ea typeface="Calibri"/>
                <a:cs typeface="Calibri"/>
              </a:rPr>
              <a:t>FY2025 peer snapshot: gross margin</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Calibri"/>
              <a:ea typeface="Calibri"/>
              <a:cs typeface="Calibri"/>
            </a:defRPr>
          </a:pPr>
        </a:p>
      </c:txPr>
    </c:title>
    <c:autoTitleDeleted val="0"/>
    <c:plotArea>
      <c:barChart>
        <c:barDir val="bar"/>
        <c:grouping val="clustered"/>
        <c:varyColors val="0"/>
        <c:ser>
          <c:idx val="0"/>
          <c:order val="0"/>
          <c:spPr>
            <a:solidFill xmlns:a="http://schemas.openxmlformats.org/drawingml/2006/main">
              <a:srgbClr val="4F81BD"/>
            </a:solidFill>
            <a:ln xmlns:a="http://schemas.openxmlformats.org/drawingml/2006/main" w="0">
              <a:noFill/>
            </a:ln>
          </c:spPr>
          <c:invertIfNegative val="0"/>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'Industry Comparison'!$E$4:$J$4</c:f>
              <c:strCache>
                <c:ptCount val="6"/>
                <c:pt idx="0">
                  <c:v>KOHC</c:v>
                </c:pt>
                <c:pt idx="1">
                  <c:v>LUCK</c:v>
                </c:pt>
                <c:pt idx="2">
                  <c:v>DGKC</c:v>
                </c:pt>
                <c:pt idx="3">
                  <c:v>MLCF</c:v>
                </c:pt>
                <c:pt idx="4">
                  <c:v>FCCL</c:v>
                </c:pt>
                <c:pt idx="5">
                  <c:v>Sample avg (5)</c:v>
                </c:pt>
              </c:strCache>
            </c:strRef>
          </c:cat>
          <c:val>
            <c:numRef>
              <c:f>'Industry Comparison'!$E$140:$J$140</c:f>
              <c:numCache>
                <c:formatCode>0.0%</c:formatCode>
                <c:ptCount val="6"/>
                <c:pt idx="0">
                  <c:v>0.392202781754451</c:v>
                </c:pt>
                <c:pt idx="1">
                  <c:v>0.342816529820673</c:v>
                </c:pt>
                <c:pt idx="2">
                  <c:v>0.257406325473009</c:v>
                </c:pt>
                <c:pt idx="3">
                  <c:v>0.344444059904692</c:v>
                </c:pt>
                <c:pt idx="4">
                  <c:v>0.354908422029291</c:v>
                </c:pt>
                <c:pt idx="5">
                  <c:v>0.338355623796423</c:v>
                </c:pt>
              </c:numCache>
            </c:numRef>
          </c:val>
        </c:ser>
        <c:gapWidth val="150"/>
        <c:overlap val="0"/>
        <c:axId val="85991366"/>
        <c:axId val="4994858"/>
      </c:barChart>
      <c:catAx>
        <c:axId val="85991366"/>
        <c:scaling>
          <c:orientation val="minMax"/>
        </c:scaling>
        <c:delete val="0"/>
        <c:axPos val="l"/>
        <c:numFmt formatCode="0%" sourceLinked="0"/>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4994858"/>
        <c:crosses val="autoZero"/>
        <c:lblAlgn val="ctr"/>
        <c:noMultiLvlLbl val="0"/>
        <c:lblOffset val="100"/>
      </c:catAx>
      <c:valAx>
        <c:axId val="4994858"/>
        <c:scaling>
          <c:orientation val="minMax"/>
        </c:scaling>
        <c:delete val="0"/>
        <c:axPos val="b"/>
        <c:majorGridlines>
          <c:spPr>
            <a:ln xmlns:a="http://schemas.openxmlformats.org/drawingml/2006/main" w="9360">
              <a:solidFill>
                <a:srgbClr val="878787"/>
              </a:solidFill>
            </a:ln>
          </c:spPr>
        </c:majorGridlines>
        <c:numFmt formatCode="0.0%" sourceLinked="1"/>
        <c:majorTickMark val="none"/>
        <c:minorTickMark val="none"/>
        <c:tickLblPos val="nextTo"/>
        <c:spPr>
          <a:ln xmlns:a="http://schemas.openxmlformats.org/drawingml/2006/main" w="9360">
            <a:solidFill>
              <a:srgbClr val="878787"/>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Calibri"/>
                <a:ea typeface="Calibri"/>
                <a:cs typeface="Calibri"/>
              </a:defRPr>
            </a:pPr>
          </a:p>
        </c:txPr>
        <c:crossAx val="85991366"/>
        <c:crosses val="autoZero"/>
        <c:crossBetween val="between"/>
      </c:valAx>
      <c:spPr>
        <a:noFill xmlns:a="http://schemas.openxmlformats.org/drawingml/2006/main"/>
        <a:ln xmlns:a="http://schemas.openxmlformats.org/drawingml/2006/main" w="0">
          <a:noFill/>
        </a:ln>
      </c:spPr>
    </c:plotArea>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drawing1.xml><?xml version="1.0" encoding="utf-8"?>
<xdr:wsDr xmlns:xdr="http://schemas.openxmlformats.org/drawingml/2006/spreadsheetDrawing">
  <xdr:twoCellAnchor>
    <xdr:from>
      <xdr:col>11</xdr:col>
      <xdr:colOff>0</xdr:colOff>
      <xdr:row>16</xdr:row>
      <xdr:rowOff>160560</xdr:rowOff>
    </xdr:from>
    <xdr:to>
      <xdr:col>20</xdr:col>
      <xdr:colOff>255960</xdr:colOff>
      <xdr:row>31</xdr:row>
      <xdr:rowOff>2880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813d02b5fdc4727"/>
        </a:graphicData>
      </a:graphic>
    </xdr:graphicFrame>
    <xdr:clientData/>
  </xdr:twoCellAnchor>
  <xdr:twoCellAnchor>
    <xdr:from>
      <xdr:col>11</xdr:col>
      <xdr:colOff>0</xdr:colOff>
      <xdr:row>30</xdr:row>
      <xdr:rowOff>160560</xdr:rowOff>
    </xdr:from>
    <xdr:to>
      <xdr:col>20</xdr:col>
      <xdr:colOff>255960</xdr:colOff>
      <xdr:row>45</xdr:row>
      <xdr:rowOff>2520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e06ce85a72943aa"/>
        </a:graphicData>
      </a:graphic>
    </xdr:graphicFrame>
    <xdr:clientData/>
  </xdr:twoCellAnchor>
  <xdr:twoCellAnchor>
    <xdr:from>
      <xdr:col>11</xdr:col>
      <xdr:colOff>0</xdr:colOff>
      <xdr:row>46</xdr:row>
      <xdr:rowOff>160560</xdr:rowOff>
    </xdr:from>
    <xdr:to>
      <xdr:col>20</xdr:col>
      <xdr:colOff>255960</xdr:colOff>
      <xdr:row>61</xdr:row>
      <xdr:rowOff>2880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3fedf645cea4c70"/>
        </a:graphicData>
      </a:graphic>
    </xdr:graphicFrame>
    <xdr:clientData/>
  </xdr:twoCellAnchor>
  <xdr:twoCellAnchor>
    <xdr:from>
      <xdr:col>11</xdr:col>
      <xdr:colOff>0</xdr:colOff>
      <xdr:row>62</xdr:row>
      <xdr:rowOff>160920</xdr:rowOff>
    </xdr:from>
    <xdr:to>
      <xdr:col>20</xdr:col>
      <xdr:colOff>255960</xdr:colOff>
      <xdr:row>77</xdr:row>
      <xdr:rowOff>2880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d80992247ee485c"/>
        </a:graphicData>
      </a:graphic>
    </xdr:graphicFrame>
    <xdr:clientData/>
  </xdr:twoCellAnchor>
</xdr:wsDr>
</file>

<file path=xl/drawings/drawing2.xml><?xml version="1.0" encoding="utf-8"?>
<xdr:wsDr xmlns:xdr="http://schemas.openxmlformats.org/drawingml/2006/spreadsheetDrawing">
  <xdr:twoCellAnchor>
    <xdr:from>
      <xdr:col>11</xdr:col>
      <xdr:colOff>0</xdr:colOff>
      <xdr:row>16</xdr:row>
      <xdr:rowOff>160560</xdr:rowOff>
    </xdr:from>
    <xdr:to>
      <xdr:col>20</xdr:col>
      <xdr:colOff>255960</xdr:colOff>
      <xdr:row>31</xdr:row>
      <xdr:rowOff>2880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4d34be361f3403c"/>
        </a:graphicData>
      </a:graphic>
    </xdr:graphicFrame>
    <xdr:clientData/>
  </xdr:twoCellAnchor>
  <xdr:twoCellAnchor>
    <xdr:from>
      <xdr:col>11</xdr:col>
      <xdr:colOff>0</xdr:colOff>
      <xdr:row>30</xdr:row>
      <xdr:rowOff>160920</xdr:rowOff>
    </xdr:from>
    <xdr:to>
      <xdr:col>20</xdr:col>
      <xdr:colOff>255960</xdr:colOff>
      <xdr:row>45</xdr:row>
      <xdr:rowOff>2880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0fa22f5e8924b32"/>
        </a:graphicData>
      </a:graphic>
    </xdr:graphicFrame>
    <xdr:clientData/>
  </xdr:twoCellAnchor>
  <xdr:twoCellAnchor>
    <xdr:from>
      <xdr:col>11</xdr:col>
      <xdr:colOff>0</xdr:colOff>
      <xdr:row>46</xdr:row>
      <xdr:rowOff>160560</xdr:rowOff>
    </xdr:from>
    <xdr:to>
      <xdr:col>20</xdr:col>
      <xdr:colOff>255960</xdr:colOff>
      <xdr:row>61</xdr:row>
      <xdr:rowOff>2880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88699a1433f4afb"/>
        </a:graphicData>
      </a:graphic>
    </xdr:graphicFrame>
    <xdr:clientData/>
  </xdr:twoCellAnchor>
  <xdr:twoCellAnchor>
    <xdr:from>
      <xdr:col>11</xdr:col>
      <xdr:colOff>0</xdr:colOff>
      <xdr:row>62</xdr:row>
      <xdr:rowOff>160560</xdr:rowOff>
    </xdr:from>
    <xdr:to>
      <xdr:col>20</xdr:col>
      <xdr:colOff>255960</xdr:colOff>
      <xdr:row>77</xdr:row>
      <xdr:rowOff>2880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14bcbd70ab141ac"/>
        </a:graphicData>
      </a:graphic>
    </xdr:graphicFrame>
    <xdr:clientData/>
  </xdr:twoCellAnchor>
</xdr:wsDr>
</file>

<file path=xl/drawings/drawing3.xml><?xml version="1.0" encoding="utf-8"?>
<xdr:wsDr xmlns:xdr="http://schemas.openxmlformats.org/drawingml/2006/spreadsheetDrawing">
  <xdr:twoCellAnchor>
    <xdr:from>
      <xdr:col>11</xdr:col>
      <xdr:colOff>0</xdr:colOff>
      <xdr:row>16</xdr:row>
      <xdr:rowOff>160560</xdr:rowOff>
    </xdr:from>
    <xdr:to>
      <xdr:col>20</xdr:col>
      <xdr:colOff>255960</xdr:colOff>
      <xdr:row>31</xdr:row>
      <xdr:rowOff>2880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4f846a9b95245cf"/>
        </a:graphicData>
      </a:graphic>
    </xdr:graphicFrame>
    <xdr:clientData/>
  </xdr:twoCellAnchor>
  <xdr:twoCellAnchor>
    <xdr:from>
      <xdr:col>11</xdr:col>
      <xdr:colOff>0</xdr:colOff>
      <xdr:row>30</xdr:row>
      <xdr:rowOff>160560</xdr:rowOff>
    </xdr:from>
    <xdr:to>
      <xdr:col>20</xdr:col>
      <xdr:colOff>255960</xdr:colOff>
      <xdr:row>45</xdr:row>
      <xdr:rowOff>2520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73c38a405bc4793"/>
        </a:graphicData>
      </a:graphic>
    </xdr:graphicFrame>
    <xdr:clientData/>
  </xdr:twoCellAnchor>
  <xdr:twoCellAnchor>
    <xdr:from>
      <xdr:col>11</xdr:col>
      <xdr:colOff>0</xdr:colOff>
      <xdr:row>46</xdr:row>
      <xdr:rowOff>160560</xdr:rowOff>
    </xdr:from>
    <xdr:to>
      <xdr:col>20</xdr:col>
      <xdr:colOff>255960</xdr:colOff>
      <xdr:row>61</xdr:row>
      <xdr:rowOff>2880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bc5038f14614163"/>
        </a:graphicData>
      </a:graphic>
    </xdr:graphicFrame>
    <xdr:clientData/>
  </xdr:twoCellAnchor>
  <xdr:twoCellAnchor>
    <xdr:from>
      <xdr:col>11</xdr:col>
      <xdr:colOff>0</xdr:colOff>
      <xdr:row>62</xdr:row>
      <xdr:rowOff>160920</xdr:rowOff>
    </xdr:from>
    <xdr:to>
      <xdr:col>20</xdr:col>
      <xdr:colOff>255960</xdr:colOff>
      <xdr:row>77</xdr:row>
      <xdr:rowOff>2880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d39a52c620340b6"/>
        </a:graphicData>
      </a:graphic>
    </xdr:graphicFrame>
    <xdr:clientData/>
  </xdr:twoCellAnchor>
</xdr:wsDr>
</file>

<file path=xl/drawings/drawing4.xml><?xml version="1.0" encoding="utf-8"?>
<xdr:wsDr xmlns:xdr="http://schemas.openxmlformats.org/drawingml/2006/spreadsheetDrawing">
  <xdr:twoCellAnchor>
    <xdr:from>
      <xdr:col>11</xdr:col>
      <xdr:colOff>0</xdr:colOff>
      <xdr:row>16</xdr:row>
      <xdr:rowOff>160560</xdr:rowOff>
    </xdr:from>
    <xdr:to>
      <xdr:col>20</xdr:col>
      <xdr:colOff>255960</xdr:colOff>
      <xdr:row>31</xdr:row>
      <xdr:rowOff>2880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dc0cfacb7564e5a"/>
        </a:graphicData>
      </a:graphic>
    </xdr:graphicFrame>
    <xdr:clientData/>
  </xdr:twoCellAnchor>
  <xdr:twoCellAnchor>
    <xdr:from>
      <xdr:col>11</xdr:col>
      <xdr:colOff>0</xdr:colOff>
      <xdr:row>30</xdr:row>
      <xdr:rowOff>160920</xdr:rowOff>
    </xdr:from>
    <xdr:to>
      <xdr:col>20</xdr:col>
      <xdr:colOff>255960</xdr:colOff>
      <xdr:row>45</xdr:row>
      <xdr:rowOff>2880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a243d6fe0934918"/>
        </a:graphicData>
      </a:graphic>
    </xdr:graphicFrame>
    <xdr:clientData/>
  </xdr:twoCellAnchor>
  <xdr:twoCellAnchor>
    <xdr:from>
      <xdr:col>11</xdr:col>
      <xdr:colOff>0</xdr:colOff>
      <xdr:row>46</xdr:row>
      <xdr:rowOff>160560</xdr:rowOff>
    </xdr:from>
    <xdr:to>
      <xdr:col>20</xdr:col>
      <xdr:colOff>255960</xdr:colOff>
      <xdr:row>61</xdr:row>
      <xdr:rowOff>2880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5d709dd9e2147b1"/>
        </a:graphicData>
      </a:graphic>
    </xdr:graphicFrame>
    <xdr:clientData/>
  </xdr:twoCellAnchor>
  <xdr:twoCellAnchor>
    <xdr:from>
      <xdr:col>11</xdr:col>
      <xdr:colOff>0</xdr:colOff>
      <xdr:row>62</xdr:row>
      <xdr:rowOff>160560</xdr:rowOff>
    </xdr:from>
    <xdr:to>
      <xdr:col>20</xdr:col>
      <xdr:colOff>255960</xdr:colOff>
      <xdr:row>77</xdr:row>
      <xdr:rowOff>2880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d48e5a503234db0"/>
        </a:graphicData>
      </a:graphic>
    </xdr:graphicFrame>
    <xdr:clientData/>
  </xdr:twoCellAnchor>
</xdr:wsDr>
</file>

<file path=xl/drawings/drawing5.xml><?xml version="1.0" encoding="utf-8"?>
<xdr:wsDr xmlns:xdr="http://schemas.openxmlformats.org/drawingml/2006/spreadsheetDrawing">
  <xdr:twoCellAnchor>
    <xdr:from>
      <xdr:col>11</xdr:col>
      <xdr:colOff>0</xdr:colOff>
      <xdr:row>16</xdr:row>
      <xdr:rowOff>160560</xdr:rowOff>
    </xdr:from>
    <xdr:to>
      <xdr:col>20</xdr:col>
      <xdr:colOff>255960</xdr:colOff>
      <xdr:row>31</xdr:row>
      <xdr:rowOff>2880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cc5839e5dc94315"/>
        </a:graphicData>
      </a:graphic>
    </xdr:graphicFrame>
    <xdr:clientData/>
  </xdr:twoCellAnchor>
  <xdr:twoCellAnchor>
    <xdr:from>
      <xdr:col>11</xdr:col>
      <xdr:colOff>0</xdr:colOff>
      <xdr:row>30</xdr:row>
      <xdr:rowOff>160560</xdr:rowOff>
    </xdr:from>
    <xdr:to>
      <xdr:col>20</xdr:col>
      <xdr:colOff>255960</xdr:colOff>
      <xdr:row>45</xdr:row>
      <xdr:rowOff>2520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e2a987672c64fab"/>
        </a:graphicData>
      </a:graphic>
    </xdr:graphicFrame>
    <xdr:clientData/>
  </xdr:twoCellAnchor>
  <xdr:twoCellAnchor>
    <xdr:from>
      <xdr:col>11</xdr:col>
      <xdr:colOff>0</xdr:colOff>
      <xdr:row>46</xdr:row>
      <xdr:rowOff>160560</xdr:rowOff>
    </xdr:from>
    <xdr:to>
      <xdr:col>20</xdr:col>
      <xdr:colOff>255960</xdr:colOff>
      <xdr:row>61</xdr:row>
      <xdr:rowOff>2880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8e43e51580f4942"/>
        </a:graphicData>
      </a:graphic>
    </xdr:graphicFrame>
    <xdr:clientData/>
  </xdr:twoCellAnchor>
  <xdr:twoCellAnchor>
    <xdr:from>
      <xdr:col>11</xdr:col>
      <xdr:colOff>0</xdr:colOff>
      <xdr:row>62</xdr:row>
      <xdr:rowOff>160920</xdr:rowOff>
    </xdr:from>
    <xdr:to>
      <xdr:col>20</xdr:col>
      <xdr:colOff>255960</xdr:colOff>
      <xdr:row>77</xdr:row>
      <xdr:rowOff>2880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4f07282f9ac4290"/>
        </a:graphicData>
      </a:graphic>
    </xdr:graphicFrame>
    <xdr:clientData/>
  </xdr:twoCellAnchor>
</xdr:wsDr>
</file>

<file path=xl/drawings/drawing6.xml><?xml version="1.0" encoding="utf-8"?>
<xdr:wsDr xmlns:xdr="http://schemas.openxmlformats.org/drawingml/2006/spreadsheetDrawing">
  <xdr:twoCellAnchor>
    <xdr:from>
      <xdr:col>19</xdr:col>
      <xdr:colOff>0</xdr:colOff>
      <xdr:row>3</xdr:row>
      <xdr:rowOff>351360</xdr:rowOff>
    </xdr:from>
    <xdr:to>
      <xdr:col>27</xdr:col>
      <xdr:colOff>507600</xdr:colOff>
      <xdr:row>17</xdr:row>
      <xdr:rowOff>13320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3583f1fff9c4e85"/>
        </a:graphicData>
      </a:graphic>
    </xdr:graphicFrame>
    <xdr:clientData/>
  </xdr:twoCellAnchor>
  <xdr:twoCellAnchor>
    <xdr:from>
      <xdr:col>19</xdr:col>
      <xdr:colOff>0</xdr:colOff>
      <xdr:row>18</xdr:row>
      <xdr:rowOff>160560</xdr:rowOff>
    </xdr:from>
    <xdr:to>
      <xdr:col>27</xdr:col>
      <xdr:colOff>507600</xdr:colOff>
      <xdr:row>32</xdr:row>
      <xdr:rowOff>13320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e039923a68d4cf6"/>
        </a:graphicData>
      </a:graphic>
    </xdr:graphicFrame>
    <xdr:clientData/>
  </xdr:twoCellAnchor>
  <xdr:twoCellAnchor>
    <xdr:from>
      <xdr:col>19</xdr:col>
      <xdr:colOff>0</xdr:colOff>
      <xdr:row>33</xdr:row>
      <xdr:rowOff>160560</xdr:rowOff>
    </xdr:from>
    <xdr:to>
      <xdr:col>27</xdr:col>
      <xdr:colOff>507600</xdr:colOff>
      <xdr:row>47</xdr:row>
      <xdr:rowOff>13320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81e1c46e0c4734"/>
        </a:graphicData>
      </a:graphic>
    </xdr:graphicFrame>
    <xdr:clientData/>
  </xdr:twoCellAnchor>
  <xdr:twoCellAnchor>
    <xdr:from>
      <xdr:col>19</xdr:col>
      <xdr:colOff>0</xdr:colOff>
      <xdr:row>48</xdr:row>
      <xdr:rowOff>160560</xdr:rowOff>
    </xdr:from>
    <xdr:to>
      <xdr:col>27</xdr:col>
      <xdr:colOff>507600</xdr:colOff>
      <xdr:row>62</xdr:row>
      <xdr:rowOff>13320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d8ce76ae5b645ab"/>
        </a:graphicData>
      </a:graphic>
    </xdr:graphicFrame>
    <xdr:clientData/>
  </xdr:twoCellAnchor>
  <xdr:twoCellAnchor>
    <xdr:from>
      <xdr:col>19</xdr:col>
      <xdr:colOff>0</xdr:colOff>
      <xdr:row>63</xdr:row>
      <xdr:rowOff>160560</xdr:rowOff>
    </xdr:from>
    <xdr:to>
      <xdr:col>27</xdr:col>
      <xdr:colOff>507600</xdr:colOff>
      <xdr:row>77</xdr:row>
      <xdr:rowOff>13320</xdr:rowOff>
    </xdr:to>
    <xdr:graphicFrame macro="">
      <xdr:nvGraphicFramePr>
        <xdr:cNvPr id="5"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dfe100f30cf4f87"/>
        </a:graphicData>
      </a:graphic>
    </xdr:graphicFrame>
    <xdr:clientData/>
  </xdr:twoCellAnchor>
  <xdr:twoCellAnchor>
    <xdr:from>
      <xdr:col>19</xdr:col>
      <xdr:colOff>0</xdr:colOff>
      <xdr:row>78</xdr:row>
      <xdr:rowOff>160560</xdr:rowOff>
    </xdr:from>
    <xdr:to>
      <xdr:col>27</xdr:col>
      <xdr:colOff>507600</xdr:colOff>
      <xdr:row>92</xdr:row>
      <xdr:rowOff>13320</xdr:rowOff>
    </xdr:to>
    <xdr:graphicFrame macro="">
      <xdr:nvGraphicFramePr>
        <xdr:cNvPr id="6"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f3e96eefaed4be2"/>
        </a:graphicData>
      </a:graphic>
    </xdr:graphicFrame>
    <xdr:clientData/>
  </xdr:twoCellAnchor>
  <xdr:twoCellAnchor>
    <xdr:from>
      <xdr:col>19</xdr:col>
      <xdr:colOff>0</xdr:colOff>
      <xdr:row>93</xdr:row>
      <xdr:rowOff>160560</xdr:rowOff>
    </xdr:from>
    <xdr:to>
      <xdr:col>27</xdr:col>
      <xdr:colOff>507600</xdr:colOff>
      <xdr:row>107</xdr:row>
      <xdr:rowOff>13320</xdr:rowOff>
    </xdr:to>
    <xdr:graphicFrame macro="">
      <xdr:nvGraphicFramePr>
        <xdr:cNvPr id="7"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1b16ae61285473e"/>
        </a:graphicData>
      </a:graphic>
    </xdr:graphicFrame>
    <xdr:clientData/>
  </xdr:twoCellAnchor>
  <xdr:twoCellAnchor>
    <xdr:from>
      <xdr:col>19</xdr:col>
      <xdr:colOff>0</xdr:colOff>
      <xdr:row>108</xdr:row>
      <xdr:rowOff>160560</xdr:rowOff>
    </xdr:from>
    <xdr:to>
      <xdr:col>27</xdr:col>
      <xdr:colOff>507600</xdr:colOff>
      <xdr:row>122</xdr:row>
      <xdr:rowOff>13320</xdr:rowOff>
    </xdr:to>
    <xdr:graphicFrame macro="">
      <xdr:nvGraphicFramePr>
        <xdr:cNvPr id="8"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b8d8edd95a34b61"/>
        </a:graphicData>
      </a:graphic>
    </xdr:graphicFrame>
    <xdr:clientData/>
  </xdr:twoCellAnchor>
  <xdr:twoCellAnchor>
    <xdr:from>
      <xdr:col>19</xdr:col>
      <xdr:colOff>0</xdr:colOff>
      <xdr:row>123</xdr:row>
      <xdr:rowOff>160560</xdr:rowOff>
    </xdr:from>
    <xdr:to>
      <xdr:col>27</xdr:col>
      <xdr:colOff>507600</xdr:colOff>
      <xdr:row>137</xdr:row>
      <xdr:rowOff>13320</xdr:rowOff>
    </xdr:to>
    <xdr:graphicFrame macro="">
      <xdr:nvGraphicFramePr>
        <xdr:cNvPr id="9"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6ba86368afa49d1"/>
        </a:graphicData>
      </a:graphic>
    </xdr:graphicFrame>
    <xdr:clientData/>
  </xdr:twoCellAnchor>
  <xdr:twoCellAnchor>
    <xdr:from>
      <xdr:col>29</xdr:col>
      <xdr:colOff>0</xdr:colOff>
      <xdr:row>3</xdr:row>
      <xdr:rowOff>351360</xdr:rowOff>
    </xdr:from>
    <xdr:to>
      <xdr:col>37</xdr:col>
      <xdr:colOff>507600</xdr:colOff>
      <xdr:row>17</xdr:row>
      <xdr:rowOff>13320</xdr:rowOff>
    </xdr:to>
    <xdr:graphicFrame macro="">
      <xdr:nvGraphicFramePr>
        <xdr:cNvPr id="10"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e7401a04c60478f"/>
        </a:graphicData>
      </a:graphic>
    </xdr:graphicFrame>
    <xdr:clientData/>
  </xdr:twoCellAnchor>
  <xdr:twoCellAnchor>
    <xdr:from>
      <xdr:col>29</xdr:col>
      <xdr:colOff>0</xdr:colOff>
      <xdr:row>18</xdr:row>
      <xdr:rowOff>160560</xdr:rowOff>
    </xdr:from>
    <xdr:to>
      <xdr:col>37</xdr:col>
      <xdr:colOff>507600</xdr:colOff>
      <xdr:row>32</xdr:row>
      <xdr:rowOff>13320</xdr:rowOff>
    </xdr:to>
    <xdr:graphicFrame macro="">
      <xdr:nvGraphicFramePr>
        <xdr:cNvPr id="1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e0f2b423044426f"/>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KOHC_Financial_Analysis_Audit.xlsx" TargetMode="External" Id="R63bad90b9e0b4bc0" /><Relationship Type="http://schemas.openxmlformats.org/officeDocument/2006/relationships/hyperlink" Target="KOHC_Financial_Analysis_Audit.xlsx" TargetMode="External" Id="R4b29bf553c064653" /><Relationship Type="http://schemas.openxmlformats.org/officeDocument/2006/relationships/hyperlink" Target="KOHC_Financial_Analysis_Audit.xlsx" TargetMode="External" Id="R5a47f612876a4575" /><Relationship Type="http://schemas.openxmlformats.org/officeDocument/2006/relationships/hyperlink" Target="KOHC_Financial_Analysis_Audit.xlsx" TargetMode="External" Id="R7e7f6bee3bd341fa" /><Relationship Type="http://schemas.openxmlformats.org/officeDocument/2006/relationships/hyperlink" Target="KOHC_Financial_Analysis_Audit.xlsx" TargetMode="External" Id="R66078f17a64e4e06" /><Relationship Type="http://schemas.openxmlformats.org/officeDocument/2006/relationships/hyperlink" Target="KOHC_Financial_Analysis_Audit.xlsx" TargetMode="External" Id="R8b24b79fd0b64893" /><Relationship Type="http://schemas.openxmlformats.org/officeDocument/2006/relationships/hyperlink" Target="KOHC_Financial_Analysis_Audit.xlsx" TargetMode="External" Id="Rcafb7ec20a844ca1" /></Relationships>
</file>

<file path=xl/worksheets/_rels/sheet3.xml.rels>&#65279;<?xml version="1.0" encoding="utf-8"?><Relationships xmlns="http://schemas.openxmlformats.org/package/2006/relationships"><Relationship Type="http://schemas.openxmlformats.org/officeDocument/2006/relationships/drawing" Target="/xl/drawings/drawing1.xml" Id="R5faeb1648bfe4d0e" /></Relationships>
</file>

<file path=xl/worksheets/_rels/sheet4.xml.rels>&#65279;<?xml version="1.0" encoding="utf-8"?><Relationships xmlns="http://schemas.openxmlformats.org/package/2006/relationships"><Relationship Type="http://schemas.openxmlformats.org/officeDocument/2006/relationships/drawing" Target="/xl/drawings/drawing2.xml" Id="R4769aadee2634385" /></Relationships>
</file>

<file path=xl/worksheets/_rels/sheet5.xml.rels>&#65279;<?xml version="1.0" encoding="utf-8"?><Relationships xmlns="http://schemas.openxmlformats.org/package/2006/relationships"><Relationship Type="http://schemas.openxmlformats.org/officeDocument/2006/relationships/drawing" Target="/xl/drawings/drawing3.xml" Id="Rebd4d8bb4e984c5d" /></Relationships>
</file>

<file path=xl/worksheets/_rels/sheet6.xml.rels>&#65279;<?xml version="1.0" encoding="utf-8"?><Relationships xmlns="http://schemas.openxmlformats.org/package/2006/relationships"><Relationship Type="http://schemas.openxmlformats.org/officeDocument/2006/relationships/drawing" Target="/xl/drawings/drawing4.xml" Id="Re6660b3908b44d86" /></Relationships>
</file>

<file path=xl/worksheets/_rels/sheet7.xml.rels>&#65279;<?xml version="1.0" encoding="utf-8"?><Relationships xmlns="http://schemas.openxmlformats.org/package/2006/relationships"><Relationship Type="http://schemas.openxmlformats.org/officeDocument/2006/relationships/drawing" Target="/xl/drawings/drawing5.xml" Id="Raf213da68a644cda" /></Relationships>
</file>

<file path=xl/worksheets/_rels/sheet8.xml.rels>&#65279;<?xml version="1.0" encoding="utf-8"?><Relationships xmlns="http://schemas.openxmlformats.org/package/2006/relationships"><Relationship Type="http://schemas.openxmlformats.org/officeDocument/2006/relationships/drawing" Target="/xl/drawings/drawing6.xml" Id="Rc42e79ca251d4cbb" /></Relationships>
</file>

<file path=xl/worksheets/sheet1.xml><?xml version="1.0" encoding="utf-8"?>
<x:worksheet xmlns:x="http://schemas.openxmlformats.org/spreadsheetml/2006/main">
  <x:sheetViews>
    <x:sheetView showGridLines="0" workbookViewId="0"/>
  </x:sheetViews>
  <x:sheetFormatPr defaultColWidth="8.6796875" defaultRowHeight="15"/>
  <x:cols>
    <x:col min="1" max="1" width="30" hidden="0" customWidth="1"/>
    <x:col min="2" max="2" width="52" hidden="0" customWidth="1"/>
    <x:col min="3" max="7" width="14" hidden="0" customWidth="1"/>
    <x:col min="8" max="8" width="40" hidden="0" customWidth="1"/>
  </x:cols>
  <x:sheetData>
    <x:row r="1" ht="18.549999237060547" hidden="0">
      <x:c r="A1" s="1" t="s">
        <x:v>0</x:v>
      </x:c>
    </x:row>
    <x:row r="3" ht="15" hidden="0">
      <x:c r="A3" s="2" t="s">
        <x:v>1</x:v>
      </x:c>
      <x:c r="B3" s="3" t="s">
        <x:v>2</x:v>
      </x:c>
      <x:c r="C3" s="3"/>
      <x:c r="D3" s="3"/>
      <x:c r="E3" s="3"/>
      <x:c r="F3" s="3"/>
      <x:c r="G3" s="3"/>
      <x:c r="H3" s="3"/>
    </x:row>
    <x:row r="4" ht="15" hidden="0">
      <x:c r="A4" s="2" t="s">
        <x:v>3</x:v>
      </x:c>
      <x:c r="B4" s="3" t="s">
        <x:v>4</x:v>
      </x:c>
      <x:c r="C4" s="3"/>
      <x:c r="D4" s="3"/>
      <x:c r="E4" s="3"/>
      <x:c r="F4" s="3"/>
      <x:c r="G4" s="3"/>
      <x:c r="H4" s="3"/>
    </x:row>
    <x:row r="5" ht="15" hidden="0">
      <x:c r="A5" s="2" t="s">
        <x:v>5</x:v>
      </x:c>
      <x:c r="B5" s="3" t="s">
        <x:v>6</x:v>
      </x:c>
      <x:c r="C5" s="3"/>
      <x:c r="D5" s="3"/>
      <x:c r="E5" s="3"/>
      <x:c r="F5" s="3"/>
      <x:c r="G5" s="3"/>
      <x:c r="H5" s="3"/>
    </x:row>
    <x:row r="6" ht="15" hidden="0">
      <x:c r="A6" s="2" t="s">
        <x:v>7</x:v>
      </x:c>
      <x:c r="B6" s="3" t="s">
        <x:v>8</x:v>
      </x:c>
      <x:c r="C6" s="3"/>
      <x:c r="D6" s="3"/>
      <x:c r="E6" s="3"/>
      <x:c r="F6" s="3"/>
      <x:c r="G6" s="3"/>
      <x:c r="H6" s="3"/>
    </x:row>
    <x:row r="7" ht="15" hidden="0">
      <x:c r="A7" s="2" t="s">
        <x:v>9</x:v>
      </x:c>
      <x:c r="B7" s="3" t="s">
        <x:v>10</x:v>
      </x:c>
      <x:c r="C7" s="3"/>
      <x:c r="D7" s="3"/>
      <x:c r="E7" s="3"/>
      <x:c r="F7" s="3"/>
      <x:c r="G7" s="3"/>
      <x:c r="H7" s="3"/>
    </x:row>
    <x:row r="8" ht="15" hidden="0">
      <x:c r="A8" s="2" t="s">
        <x:v>11</x:v>
      </x:c>
      <x:c r="B8" s="3" t="s">
        <x:v>12</x:v>
      </x:c>
      <x:c r="C8" s="3"/>
      <x:c r="D8" s="3"/>
      <x:c r="E8" s="3"/>
      <x:c r="F8" s="3"/>
      <x:c r="G8" s="3"/>
      <x:c r="H8" s="3"/>
    </x:row>
    <x:row r="9" ht="15" hidden="0">
      <x:c r="A9" s="2" t="s">
        <x:v>13</x:v>
      </x:c>
      <x:c r="B9" s="3" t="s">
        <x:v>14</x:v>
      </x:c>
      <x:c r="C9" s="3"/>
      <x:c r="D9" s="3"/>
      <x:c r="E9" s="3"/>
      <x:c r="F9" s="3"/>
      <x:c r="G9" s="3"/>
      <x:c r="H9" s="3"/>
    </x:row>
    <x:row r="10" ht="15" hidden="0">
      <x:c r="A10" s="2" t="s">
        <x:v>15</x:v>
      </x:c>
      <x:c r="B10" s="3" t="s">
        <x:v>16</x:v>
      </x:c>
      <x:c r="C10" s="3"/>
      <x:c r="D10" s="3"/>
      <x:c r="E10" s="3"/>
      <x:c r="F10" s="3"/>
      <x:c r="G10" s="3"/>
      <x:c r="H10" s="3"/>
    </x:row>
    <x:row r="12" ht="15" hidden="0">
      <x:c r="A12" s="4" t="s">
        <x:v>17</x:v>
      </x:c>
    </x:row>
    <x:row r="13" ht="15" hidden="0">
      <x:c r="A13" s="5" t="s">
        <x:v>18</x:v>
      </x:c>
      <x:c r="B13" s="5" t="s">
        <x:v>19</x:v>
      </x:c>
      <x:c r="C13" s="5" t="s">
        <x:v>20</x:v>
      </x:c>
      <x:c r="D13" s="5" t="s">
        <x:v>21</x:v>
      </x:c>
      <x:c r="E13" s="5" t="s">
        <x:v>22</x:v>
      </x:c>
      <x:c r="F13" s="5" t="s">
        <x:v>23</x:v>
      </x:c>
      <x:c r="G13" s="5" t="s">
        <x:v>24</x:v>
      </x:c>
    </x:row>
    <x:row r="14" ht="15" hidden="0">
      <x:c r="A14" t="s">
        <x:v>25</x:v>
      </x:c>
      <x:c r="B14" t="s">
        <x:v>26</x:v>
      </x:c>
      <x:c r="C14" t="s">
        <x:v>11</x:v>
      </x:c>
      <x:c r="D14" t="s">
        <x:v>27</x:v>
      </x:c>
      <x:c r="E14" t="s">
        <x:v>28</x:v>
      </x:c>
      <x:c r="F14" t="s">
        <x:v>29</x:v>
      </x:c>
      <x:c r="G14" s="6" t="s">
        <x:v>30</x:v>
      </x:c>
    </x:row>
    <x:row r="15" ht="15" hidden="0">
      <x:c r="A15" t="s">
        <x:v>31</x:v>
      </x:c>
      <x:c r="B15" t="s">
        <x:v>32</x:v>
      </x:c>
      <x:c r="C15" t="s">
        <x:v>33</x:v>
      </x:c>
      <x:c r="D15" t="s">
        <x:v>27</x:v>
      </x:c>
      <x:c r="E15" t="s">
        <x:v>34</x:v>
      </x:c>
      <x:c r="F15" t="s">
        <x:v>35</x:v>
      </x:c>
      <x:c r="G15" s="6" t="s">
        <x:v>36</x:v>
      </x:c>
    </x:row>
    <x:row r="16" ht="15" hidden="0">
      <x:c r="A16" t="s">
        <x:v>37</x:v>
      </x:c>
      <x:c r="B16" t="s">
        <x:v>38</x:v>
      </x:c>
      <x:c r="C16" t="s">
        <x:v>39</x:v>
      </x:c>
      <x:c r="D16" t="s">
        <x:v>27</x:v>
      </x:c>
      <x:c r="E16" t="s">
        <x:v>34</x:v>
      </x:c>
      <x:c r="F16" t="s">
        <x:v>40</x:v>
      </x:c>
      <x:c r="G16" s="6" t="s">
        <x:v>41</x:v>
      </x:c>
    </x:row>
    <x:row r="17" ht="15" hidden="0">
      <x:c r="A17" t="s">
        <x:v>42</x:v>
      </x:c>
      <x:c r="B17" t="s">
        <x:v>43</x:v>
      </x:c>
      <x:c r="C17" t="s">
        <x:v>44</x:v>
      </x:c>
      <x:c r="D17" t="s">
        <x:v>27</x:v>
      </x:c>
      <x:c r="E17" t="s">
        <x:v>34</x:v>
      </x:c>
      <x:c r="F17" t="s">
        <x:v>40</x:v>
      </x:c>
      <x:c r="G17" s="6" t="s">
        <x:v>45</x:v>
      </x:c>
    </x:row>
    <x:row r="18" ht="15" hidden="0">
      <x:c r="A18" t="s">
        <x:v>46</x:v>
      </x:c>
      <x:c r="B18" t="s">
        <x:v>47</x:v>
      </x:c>
      <x:c r="C18" t="s">
        <x:v>48</x:v>
      </x:c>
      <x:c r="D18" t="s">
        <x:v>27</x:v>
      </x:c>
      <x:c r="E18" t="s">
        <x:v>28</x:v>
      </x:c>
      <x:c r="F18" t="s">
        <x:v>40</x:v>
      </x:c>
      <x:c r="G18" s="6" t="s">
        <x:v>49</x:v>
      </x:c>
    </x:row>
    <x:row r="19" ht="15" hidden="0">
      <x:c r="G19" s="6" t="s">
        <x:v>50</x:v>
      </x:c>
    </x:row>
    <x:row r="20" ht="15" hidden="0">
      <x:c r="G20" s="6" t="s">
        <x:v>51</x:v>
      </x:c>
    </x:row>
    <x:row r="22" ht="15" hidden="0">
      <x:c r="A22" s="4" t="s">
        <x:v>52</x:v>
      </x:c>
    </x:row>
    <x:row r="23" ht="30" hidden="0" customHeight="1">
      <x:c r="A23" s="2" t="s">
        <x:v>53</x:v>
      </x:c>
      <x:c r="B23" s="7" t="s">
        <x:v>54</x:v>
      </x:c>
      <x:c r="C23" s="7"/>
      <x:c r="D23" s="7"/>
      <x:c r="E23" s="7"/>
      <x:c r="F23" s="7"/>
      <x:c r="G23" s="7"/>
      <x:c r="H23" s="7"/>
    </x:row>
    <x:row r="24" ht="30" hidden="0" customHeight="1">
      <x:c r="A24" s="2" t="s">
        <x:v>55</x:v>
      </x:c>
      <x:c r="B24" s="7" t="s">
        <x:v>56</x:v>
      </x:c>
      <x:c r="C24" s="7"/>
      <x:c r="D24" s="7"/>
      <x:c r="E24" s="7"/>
      <x:c r="F24" s="7"/>
      <x:c r="G24" s="7"/>
      <x:c r="H24" s="7"/>
    </x:row>
    <x:row r="25" ht="30" hidden="0" customHeight="1">
      <x:c r="A25" s="2" t="s">
        <x:v>57</x:v>
      </x:c>
      <x:c r="B25" s="7" t="s">
        <x:v>58</x:v>
      </x:c>
      <x:c r="C25" s="7"/>
      <x:c r="D25" s="7"/>
      <x:c r="E25" s="7"/>
      <x:c r="F25" s="7"/>
      <x:c r="G25" s="7"/>
      <x:c r="H25" s="7"/>
    </x:row>
    <x:row r="26" ht="30" hidden="0" customHeight="1">
      <x:c r="A26" s="2" t="s">
        <x:v>59</x:v>
      </x:c>
      <x:c r="B26" s="7" t="str">
        <x:v>Actual, unadjusted PSX historical CLOSE on 30 June 2021, 30 June 2022, 27 June 2023, 28 June 2024 and 30 June 2025. Original report prices and all PSX rows are preserved in PSX Prices and Price Evidence.</x:v>
      </x:c>
      <x:c r="C26" s="7"/>
      <x:c r="D26" s="7"/>
      <x:c r="E26" s="7"/>
      <x:c r="F26" s="7"/>
      <x:c r="G26" s="7"/>
      <x:c r="H26" s="7"/>
    </x:row>
    <x:row r="27" ht="30" hidden="0" customHeight="1">
      <x:c r="A27" s="2" t="s">
        <x:v>60</x:v>
      </x:c>
      <x:c r="B27" s="7" t="s">
        <x:v>61</x:v>
      </x:c>
      <x:c r="C27" s="7"/>
      <x:c r="D27" s="7"/>
      <x:c r="E27" s="7"/>
      <x:c r="F27" s="7"/>
      <x:c r="G27" s="7"/>
      <x:c r="H27" s="7"/>
    </x:row>
    <x:row r="28" ht="30" hidden="0" customHeight="1">
      <x:c r="A28" s="2" t="s">
        <x:v>62</x:v>
      </x:c>
      <x:c r="B28" s="7" t="s">
        <x:v>63</x:v>
      </x:c>
      <x:c r="C28" s="7"/>
      <x:c r="D28" s="7"/>
      <x:c r="E28" s="7"/>
      <x:c r="F28" s="7"/>
      <x:c r="G28" s="7"/>
      <x:c r="H28" s="7"/>
    </x:row>
    <x:row r="29" ht="30" hidden="0" customHeight="1">
      <x:c r="A29" s="2" t="s">
        <x:v>64</x:v>
      </x:c>
      <x:c r="B29" s="7" t="s">
        <x:v>65</x:v>
      </x:c>
      <x:c r="C29" s="7"/>
      <x:c r="D29" s="7"/>
      <x:c r="E29" s="7"/>
      <x:c r="F29" s="7"/>
      <x:c r="G29" s="7"/>
      <x:c r="H29" s="7"/>
    </x:row>
    <x:row r="30" ht="30" hidden="0" customHeight="1">
      <x:c r="A30" s="2" t="s">
        <x:v>66</x:v>
      </x:c>
      <x:c r="B30" s="7" t="s">
        <x:v>67</x:v>
      </x:c>
      <x:c r="C30" s="7"/>
      <x:c r="D30" s="7"/>
      <x:c r="E30" s="7"/>
      <x:c r="F30" s="7"/>
      <x:c r="G30" s="7"/>
      <x:c r="H30" s="7"/>
    </x:row>
    <x:row r="31" ht="30" hidden="0" customHeight="1">
      <x:c r="A31" s="2" t="s">
        <x:v>68</x:v>
      </x:c>
      <x:c r="B31" s="7" t="s">
        <x:v>69</x:v>
      </x:c>
      <x:c r="C31" s="7"/>
      <x:c r="D31" s="7"/>
      <x:c r="E31" s="7"/>
      <x:c r="F31" s="7"/>
      <x:c r="G31" s="7"/>
      <x:c r="H31" s="7"/>
    </x:row>
    <x:row r="32" ht="30" hidden="0" customHeight="1">
      <x:c r="A32" s="2" t="s">
        <x:v>70</x:v>
      </x:c>
      <x:c r="B32" s="7" t="s">
        <x:v>71</x:v>
      </x:c>
      <x:c r="C32" s="7"/>
      <x:c r="D32" s="7"/>
      <x:c r="E32" s="7"/>
      <x:c r="F32" s="7"/>
      <x:c r="G32" s="7"/>
      <x:c r="H32" s="7"/>
    </x:row>
    <x:row r="34" ht="15" hidden="0">
      <x:c r="A34" s="2" t="s">
        <x:v>72</x:v>
      </x:c>
      <x:c r="C34" s="2" t="s">
        <x:v>73</x:v>
      </x:c>
      <x:c r="D34" s="2" t="s">
        <x:v>74</x:v>
      </x:c>
      <x:c r="E34" s="2" t="s">
        <x:v>75</x:v>
      </x:c>
      <x:c r="F34" s="2" t="s">
        <x:v>76</x:v>
      </x:c>
      <x:c r="G34" s="2" t="s">
        <x:v>77</x:v>
      </x:c>
    </x:row>
    <x:row r="35" ht="15" hidden="0">
      <x:c r="A35" t="s">
        <x:v>78</x:v>
      </x:c>
      <x:c r="C35" s="8" t="n">
        <x:v>0.29</x:v>
      </x:c>
      <x:c r="D35" s="8" t="s">
        <x:v>79</x:v>
      </x:c>
      <x:c r="E35" s="8" t="n">
        <x:v>0.39</x:v>
      </x:c>
      <x:c r="F35" s="8" t="n">
        <x:v>0.39</x:v>
      </x:c>
      <x:c r="G35" s="8" t="n">
        <x:v>0.39</x:v>
      </x:c>
      <x:c r="H35" s="9" t="s">
        <x:v>80</x:v>
      </x:c>
    </x:row>
    <x:row r="37" ht="15" hidden="0">
      <x:c r="A37" s="4" t="s">
        <x:v>81</x:v>
      </x:c>
    </x:row>
    <x:row r="38" ht="15" hidden="0">
      <x:c r="A38" s="5" t="s">
        <x:v>82</x:v>
      </x:c>
      <x:c r="B38" s="5" t="s">
        <x:v>83</x:v>
      </x:c>
      <x:c r="C38" s="5" t="s">
        <x:v>84</x:v>
      </x:c>
      <x:c r="D38" s="5" t="s">
        <x:v>85</x:v>
      </x:c>
      <x:c r="E38" s="5" t="s">
        <x:v>86</x:v>
      </x:c>
    </x:row>
    <x:row r="39" ht="15" hidden="0" customHeight="1">
      <x:c r="A39" t="s">
        <x:v>87</x:v>
      </x:c>
      <x:c r="B39" s="10" t="s">
        <x:v>88</x:v>
      </x:c>
      <x:c r="C39" s="11" t="s">
        <x:v>89</x:v>
      </x:c>
      <x:c r="D39" s="11" t="s">
        <x:v>90</x:v>
      </x:c>
      <x:c r="E39" s="11" t="s">
        <x:v>91</x:v>
      </x:c>
    </x:row>
    <x:row r="40" ht="25.5" hidden="0" customHeight="1">
      <x:c r="A40" t="s">
        <x:v>92</x:v>
      </x:c>
      <x:c r="B40" s="10" t="s">
        <x:v>93</x:v>
      </x:c>
      <x:c r="C40" s="11" t="s">
        <x:v>89</x:v>
      </x:c>
      <x:c r="D40" s="11" t="s">
        <x:v>90</x:v>
      </x:c>
      <x:c r="E40" s="11" t="s">
        <x:v>91</x:v>
      </x:c>
    </x:row>
    <x:row r="41" ht="25.5" hidden="0" customHeight="1">
      <x:c r="A41" t="s">
        <x:v>94</x:v>
      </x:c>
      <x:c r="B41" s="10" t="s">
        <x:v>95</x:v>
      </x:c>
      <x:c r="C41" s="11" t="s">
        <x:v>89</x:v>
      </x:c>
      <x:c r="D41" s="11" t="s">
        <x:v>90</x:v>
      </x:c>
      <x:c r="E41" s="11" t="s">
        <x:v>91</x:v>
      </x:c>
    </x:row>
    <x:row r="42" ht="15" hidden="0" customHeight="1">
      <x:c r="A42" t="s">
        <x:v>96</x:v>
      </x:c>
      <x:c r="B42" s="10" t="s">
        <x:v>97</x:v>
      </x:c>
      <x:c r="C42" s="11" t="s">
        <x:v>98</x:v>
      </x:c>
      <x:c r="D42" s="11" t="s">
        <x:v>99</x:v>
      </x:c>
      <x:c r="E42" s="11" t="s">
        <x:v>91</x:v>
      </x:c>
    </x:row>
    <x:row r="43" ht="25.5" hidden="0" customHeight="1">
      <x:c r="A43" t="s">
        <x:v>100</x:v>
      </x:c>
      <x:c r="B43" s="10" t="s">
        <x:v>101</x:v>
      </x:c>
      <x:c r="C43" s="11" t="s">
        <x:v>98</x:v>
      </x:c>
      <x:c r="D43" s="11" t="s">
        <x:v>99</x:v>
      </x:c>
      <x:c r="E43" s="11" t="s">
        <x:v>91</x:v>
      </x:c>
    </x:row>
    <x:row r="44" ht="25.5" hidden="0" customHeight="1">
      <x:c r="A44" t="s">
        <x:v>102</x:v>
      </x:c>
      <x:c r="B44" s="10" t="s">
        <x:v>103</x:v>
      </x:c>
      <x:c r="C44" s="11" t="s">
        <x:v>89</x:v>
      </x:c>
      <x:c r="D44" s="11" t="s">
        <x:v>90</x:v>
      </x:c>
      <x:c r="E44" s="11" t="s">
        <x:v>104</x:v>
      </x:c>
    </x:row>
    <x:row r="45" ht="25.5" hidden="0" customHeight="1">
      <x:c r="A45" t="s">
        <x:v>105</x:v>
      </x:c>
      <x:c r="B45" s="10" t="s">
        <x:v>106</x:v>
      </x:c>
      <x:c r="C45" s="11" t="s">
        <x:v>89</x:v>
      </x:c>
      <x:c r="D45" s="11" t="s">
        <x:v>90</x:v>
      </x:c>
      <x:c r="E45" s="11" t="s">
        <x:v>104</x:v>
      </x:c>
    </x:row>
    <x:row r="46" ht="25.5" hidden="0" customHeight="1">
      <x:c r="A46" t="s">
        <x:v>107</x:v>
      </x:c>
      <x:c r="B46" s="10" t="s">
        <x:v>108</x:v>
      </x:c>
      <x:c r="C46" s="11" t="s">
        <x:v>89</x:v>
      </x:c>
      <x:c r="D46" s="11" t="s">
        <x:v>99</x:v>
      </x:c>
      <x:c r="E46" s="11" t="s">
        <x:v>104</x:v>
      </x:c>
    </x:row>
    <x:row r="47" ht="15" hidden="0" customHeight="1">
      <x:c r="A47" t="s">
        <x:v>109</x:v>
      </x:c>
      <x:c r="B47" s="10" t="s">
        <x:v>110</x:v>
      </x:c>
      <x:c r="C47" s="11" t="s">
        <x:v>111</x:v>
      </x:c>
      <x:c r="D47" s="11" t="s">
        <x:v>112</x:v>
      </x:c>
      <x:c r="E47" s="11" t="s">
        <x:v>104</x:v>
      </x:c>
    </x:row>
    <x:row r="48" ht="15" hidden="0" customHeight="1">
      <x:c r="A48" t="s">
        <x:v>113</x:v>
      </x:c>
      <x:c r="B48" s="10" t="s">
        <x:v>114</x:v>
      </x:c>
      <x:c r="C48" s="11" t="s">
        <x:v>111</x:v>
      </x:c>
      <x:c r="D48" s="11" t="s">
        <x:v>112</x:v>
      </x:c>
      <x:c r="E48" s="11" t="s">
        <x:v>104</x:v>
      </x:c>
    </x:row>
    <x:row r="49" ht="15" hidden="0" customHeight="1">
      <x:c r="A49" t="s">
        <x:v>115</x:v>
      </x:c>
      <x:c r="B49" s="10" t="s">
        <x:v>116</x:v>
      </x:c>
      <x:c r="C49" s="11" t="s">
        <x:v>111</x:v>
      </x:c>
      <x:c r="D49" s="11" t="s">
        <x:v>99</x:v>
      </x:c>
      <x:c r="E49" s="11" t="s">
        <x:v>104</x:v>
      </x:c>
    </x:row>
    <x:row r="50" ht="15" hidden="0" customHeight="1">
      <x:c r="A50" t="s">
        <x:v>117</x:v>
      </x:c>
      <x:c r="B50" s="10" t="s">
        <x:v>118</x:v>
      </x:c>
      <x:c r="C50" s="11" t="s">
        <x:v>111</x:v>
      </x:c>
      <x:c r="D50" s="11" t="s">
        <x:v>112</x:v>
      </x:c>
      <x:c r="E50" s="11" t="s">
        <x:v>104</x:v>
      </x:c>
    </x:row>
    <x:row r="51" ht="15" hidden="0" customHeight="1">
      <x:c r="A51" t="s">
        <x:v>119</x:v>
      </x:c>
      <x:c r="B51" s="10" t="s">
        <x:v>120</x:v>
      </x:c>
      <x:c r="C51" s="11" t="s">
        <x:v>111</x:v>
      </x:c>
      <x:c r="D51" s="11" t="s">
        <x:v>112</x:v>
      </x:c>
      <x:c r="E51" s="11" t="s">
        <x:v>104</x:v>
      </x:c>
    </x:row>
    <x:row r="52" ht="15" hidden="0" customHeight="1">
      <x:c r="A52" t="s">
        <x:v>121</x:v>
      </x:c>
      <x:c r="B52" s="10" t="s">
        <x:v>122</x:v>
      </x:c>
      <x:c r="C52" s="11" t="s">
        <x:v>89</x:v>
      </x:c>
      <x:c r="D52" s="11" t="s">
        <x:v>90</x:v>
      </x:c>
      <x:c r="E52" s="11" t="s">
        <x:v>104</x:v>
      </x:c>
    </x:row>
    <x:row r="53" ht="25.5" hidden="0" customHeight="1">
      <x:c r="A53" t="s">
        <x:v>123</x:v>
      </x:c>
      <x:c r="B53" s="10" t="s">
        <x:v>124</x:v>
      </x:c>
      <x:c r="C53" s="11" t="s">
        <x:v>89</x:v>
      </x:c>
      <x:c r="D53" s="11" t="s">
        <x:v>90</x:v>
      </x:c>
      <x:c r="E53" s="11" t="s">
        <x:v>104</x:v>
      </x:c>
    </x:row>
    <x:row r="54" ht="15" hidden="0" customHeight="1">
      <x:c r="A54" t="s">
        <x:v>125</x:v>
      </x:c>
      <x:c r="B54" s="10" t="s">
        <x:v>126</x:v>
      </x:c>
      <x:c r="C54" s="11" t="s">
        <x:v>127</x:v>
      </x:c>
      <x:c r="D54" s="11" t="s">
        <x:v>112</x:v>
      </x:c>
      <x:c r="E54" s="11" t="s">
        <x:v>128</x:v>
      </x:c>
    </x:row>
    <x:row r="55" ht="15" hidden="0" customHeight="1">
      <x:c r="A55" t="s">
        <x:v>129</x:v>
      </x:c>
      <x:c r="B55" s="10" t="s">
        <x:v>130</x:v>
      </x:c>
      <x:c r="C55" s="11" t="s">
        <x:v>89</x:v>
      </x:c>
      <x:c r="D55" s="11" t="s">
        <x:v>112</x:v>
      </x:c>
      <x:c r="E55" s="11" t="s">
        <x:v>128</x:v>
      </x:c>
    </x:row>
    <x:row r="56" ht="15" hidden="0" customHeight="1">
      <x:c r="A56" t="s">
        <x:v>131</x:v>
      </x:c>
      <x:c r="B56" s="10" t="s">
        <x:v>132</x:v>
      </x:c>
      <x:c r="C56" s="11" t="s">
        <x:v>127</x:v>
      </x:c>
      <x:c r="D56" s="11" t="s">
        <x:v>112</x:v>
      </x:c>
      <x:c r="E56" s="11" t="s">
        <x:v>128</x:v>
      </x:c>
    </x:row>
    <x:row r="57" ht="25.5" hidden="0" customHeight="1">
      <x:c r="A57" t="s">
        <x:v>133</x:v>
      </x:c>
      <x:c r="B57" s="10" t="s">
        <x:v>134</x:v>
      </x:c>
      <x:c r="C57" s="11" t="s">
        <x:v>127</x:v>
      </x:c>
      <x:c r="D57" s="11" t="s">
        <x:v>112</x:v>
      </x:c>
      <x:c r="E57" s="11" t="s">
        <x:v>128</x:v>
      </x:c>
    </x:row>
    <x:row r="58" ht="25.5" hidden="0" customHeight="1">
      <x:c r="A58" t="s">
        <x:v>135</x:v>
      </x:c>
      <x:c r="B58" s="10" t="s">
        <x:v>136</x:v>
      </x:c>
      <x:c r="C58" s="11" t="s">
        <x:v>89</x:v>
      </x:c>
      <x:c r="D58" s="11" t="s">
        <x:v>90</x:v>
      </x:c>
      <x:c r="E58" s="11" t="s">
        <x:v>128</x:v>
      </x:c>
    </x:row>
    <x:row r="59" ht="25.5" hidden="0" customHeight="1">
      <x:c r="A59" t="s">
        <x:v>137</x:v>
      </x:c>
      <x:c r="B59" s="10" t="s">
        <x:v>138</x:v>
      </x:c>
      <x:c r="C59" s="11" t="s">
        <x:v>89</x:v>
      </x:c>
      <x:c r="D59" s="11" t="s">
        <x:v>112</x:v>
      </x:c>
      <x:c r="E59" s="11" t="s">
        <x:v>128</x:v>
      </x:c>
    </x:row>
    <x:row r="60" ht="15" hidden="0" customHeight="1">
      <x:c r="A60" t="s">
        <x:v>139</x:v>
      </x:c>
      <x:c r="B60" s="10" t="s">
        <x:v>140</x:v>
      </x:c>
      <x:c r="C60" s="11" t="s">
        <x:v>127</x:v>
      </x:c>
      <x:c r="D60" s="11" t="s">
        <x:v>90</x:v>
      </x:c>
      <x:c r="E60" s="11" t="s">
        <x:v>141</x:v>
      </x:c>
    </x:row>
    <x:row r="61" ht="25.5" hidden="0" customHeight="1">
      <x:c r="A61" t="s">
        <x:v>142</x:v>
      </x:c>
      <x:c r="B61" s="10" t="s">
        <x:v>143</x:v>
      </x:c>
      <x:c r="C61" s="11" t="s">
        <x:v>127</x:v>
      </x:c>
      <x:c r="D61" s="11" t="s">
        <x:v>90</x:v>
      </x:c>
      <x:c r="E61" s="11" t="s">
        <x:v>141</x:v>
      </x:c>
    </x:row>
    <x:row r="62" ht="15" hidden="0" customHeight="1">
      <x:c r="A62" t="s">
        <x:v>144</x:v>
      </x:c>
      <x:c r="B62" s="10" t="s">
        <x:v>145</x:v>
      </x:c>
      <x:c r="C62" s="11" t="s">
        <x:v>127</x:v>
      </x:c>
      <x:c r="D62" s="11" t="s">
        <x:v>90</x:v>
      </x:c>
      <x:c r="E62" s="11" t="s">
        <x:v>141</x:v>
      </x:c>
    </x:row>
    <x:row r="63" ht="15" hidden="0" customHeight="1">
      <x:c r="A63" t="s">
        <x:v>146</x:v>
      </x:c>
      <x:c r="B63" s="10" t="s">
        <x:v>147</x:v>
      </x:c>
      <x:c r="C63" s="11" t="s">
        <x:v>127</x:v>
      </x:c>
      <x:c r="D63" s="11" t="s">
        <x:v>90</x:v>
      </x:c>
      <x:c r="E63" s="11" t="s">
        <x:v>141</x:v>
      </x:c>
    </x:row>
    <x:row r="64" ht="15" hidden="0" customHeight="1">
      <x:c r="A64" t="s">
        <x:v>148</x:v>
      </x:c>
      <x:c r="B64" s="10" t="s">
        <x:v>149</x:v>
      </x:c>
      <x:c r="C64" s="11" t="s">
        <x:v>127</x:v>
      </x:c>
      <x:c r="D64" s="11" t="s">
        <x:v>90</x:v>
      </x:c>
      <x:c r="E64" s="11" t="s">
        <x:v>141</x:v>
      </x:c>
    </x:row>
    <x:row r="65" ht="15" hidden="0" customHeight="1">
      <x:c r="A65" t="s">
        <x:v>150</x:v>
      </x:c>
      <x:c r="B65" s="10" t="s">
        <x:v>151</x:v>
      </x:c>
      <x:c r="C65" s="11" t="s">
        <x:v>127</x:v>
      </x:c>
      <x:c r="D65" s="11" t="s">
        <x:v>90</x:v>
      </x:c>
      <x:c r="E65" s="11" t="s">
        <x:v>141</x:v>
      </x:c>
    </x:row>
    <x:row r="66" ht="15" hidden="0" customHeight="1">
      <x:c r="A66" t="s">
        <x:v>152</x:v>
      </x:c>
      <x:c r="B66" s="10" t="s">
        <x:v>153</x:v>
      </x:c>
      <x:c r="C66" s="11" t="s">
        <x:v>127</x:v>
      </x:c>
      <x:c r="D66" s="11" t="s">
        <x:v>90</x:v>
      </x:c>
      <x:c r="E66" s="11" t="s">
        <x:v>141</x:v>
      </x:c>
    </x:row>
    <x:row r="67" ht="15" hidden="0" customHeight="1">
      <x:c r="A67" t="s">
        <x:v>154</x:v>
      </x:c>
      <x:c r="B67" s="10" t="s">
        <x:v>155</x:v>
      </x:c>
      <x:c r="C67" s="11" t="s">
        <x:v>127</x:v>
      </x:c>
      <x:c r="D67" s="11" t="s">
        <x:v>90</x:v>
      </x:c>
      <x:c r="E67" s="11" t="s">
        <x:v>141</x:v>
      </x:c>
    </x:row>
    <x:row r="68" ht="15" hidden="0" customHeight="1">
      <x:c r="A68" t="s">
        <x:v>156</x:v>
      </x:c>
      <x:c r="B68" s="10" t="s">
        <x:v>157</x:v>
      </x:c>
      <x:c r="C68" s="11" t="s">
        <x:v>158</x:v>
      </x:c>
      <x:c r="D68" s="11" t="s">
        <x:v>99</x:v>
      </x:c>
      <x:c r="E68" s="11" t="s">
        <x:v>159</x:v>
      </x:c>
    </x:row>
    <x:row r="69" ht="15" hidden="0" customHeight="1">
      <x:c r="A69" t="s">
        <x:v>160</x:v>
      </x:c>
      <x:c r="B69" s="10" t="s">
        <x:v>161</x:v>
      </x:c>
      <x:c r="C69" s="11" t="s">
        <x:v>89</x:v>
      </x:c>
      <x:c r="D69" s="11" t="s">
        <x:v>99</x:v>
      </x:c>
      <x:c r="E69" s="11" t="s">
        <x:v>159</x:v>
      </x:c>
    </x:row>
    <x:row r="70" ht="15" hidden="0" customHeight="1">
      <x:c r="A70" t="s">
        <x:v>162</x:v>
      </x:c>
      <x:c r="B70" s="10" t="s">
        <x:v>163</x:v>
      </x:c>
      <x:c r="C70" s="11" t="s">
        <x:v>158</x:v>
      </x:c>
      <x:c r="D70" s="11" t="s">
        <x:v>99</x:v>
      </x:c>
      <x:c r="E70" s="11" t="s">
        <x:v>159</x:v>
      </x:c>
    </x:row>
    <x:row r="71" ht="15" hidden="0" customHeight="1">
      <x:c r="A71" t="s">
        <x:v>164</x:v>
      </x:c>
      <x:c r="B71" s="10" t="s">
        <x:v>165</x:v>
      </x:c>
      <x:c r="C71" s="11" t="s">
        <x:v>89</x:v>
      </x:c>
      <x:c r="D71" s="11" t="s">
        <x:v>99</x:v>
      </x:c>
      <x:c r="E71" s="11" t="s">
        <x:v>159</x:v>
      </x:c>
    </x:row>
    <x:row r="72" ht="15" hidden="0" customHeight="1">
      <x:c r="A72" t="s">
        <x:v>166</x:v>
      </x:c>
      <x:c r="B72" s="10" t="s">
        <x:v>167</x:v>
      </x:c>
      <x:c r="C72" s="11" t="s">
        <x:v>127</x:v>
      </x:c>
      <x:c r="D72" s="11" t="s">
        <x:v>99</x:v>
      </x:c>
      <x:c r="E72" s="11" t="s">
        <x:v>159</x:v>
      </x:c>
    </x:row>
    <x:row r="73" ht="15" hidden="0" customHeight="1">
      <x:c r="A73" t="s">
        <x:v>168</x:v>
      </x:c>
      <x:c r="B73" s="10" t="s">
        <x:v>169</x:v>
      </x:c>
      <x:c r="C73" s="11" t="s">
        <x:v>127</x:v>
      </x:c>
      <x:c r="D73" s="11" t="s">
        <x:v>99</x:v>
      </x:c>
      <x:c r="E73" s="11" t="s">
        <x:v>159</x:v>
      </x:c>
    </x:row>
    <x:row r="74" ht="25.5" hidden="0" customHeight="1">
      <x:c r="A74" t="s">
        <x:v>170</x:v>
      </x:c>
      <x:c r="B74" s="10" t="s">
        <x:v>171</x:v>
      </x:c>
      <x:c r="C74" s="11" t="s">
        <x:v>89</x:v>
      </x:c>
      <x:c r="D74" s="11" t="s">
        <x:v>90</x:v>
      </x:c>
      <x:c r="E74" s="11" t="s">
        <x:v>172</x:v>
      </x:c>
    </x:row>
    <x:row r="75" ht="15" hidden="0" customHeight="1">
      <x:c r="A75" t="s">
        <x:v>173</x:v>
      </x:c>
      <x:c r="B75" s="10" t="s">
        <x:v>174</x:v>
      </x:c>
      <x:c r="C75" s="11" t="s">
        <x:v>127</x:v>
      </x:c>
      <x:c r="D75" s="11" t="s">
        <x:v>90</x:v>
      </x:c>
      <x:c r="E75" s="11" t="s">
        <x:v>175</x:v>
      </x:c>
    </x:row>
    <x:row r="76" ht="15" hidden="0" customHeight="1">
      <x:c r="A76" t="s">
        <x:v>176</x:v>
      </x:c>
      <x:c r="B76" s="10" t="s">
        <x:v>177</x:v>
      </x:c>
      <x:c r="C76" s="11" t="s">
        <x:v>127</x:v>
      </x:c>
      <x:c r="D76" s="11" t="s">
        <x:v>90</x:v>
      </x:c>
      <x:c r="E76" s="11" t="s">
        <x:v>175</x:v>
      </x:c>
    </x:row>
    <x:row r="77" ht="15" hidden="0" customHeight="1">
      <x:c r="A77" t="s">
        <x:v>178</x:v>
      </x:c>
      <x:c r="B77" s="10" t="s">
        <x:v>179</x:v>
      </x:c>
      <x:c r="C77" s="11" t="s">
        <x:v>89</x:v>
      </x:c>
      <x:c r="D77" s="11" t="s">
        <x:v>112</x:v>
      </x:c>
      <x:c r="E77" s="11" t="s">
        <x:v>175</x:v>
      </x:c>
    </x:row>
    <x:row r="79" ht="15" hidden="0">
      <x:c r="A79" s="4" t="s">
        <x:v>180</x:v>
      </x:c>
    </x:row>
    <x:row r="80" ht="27.75" hidden="0" customHeight="1">
      <x:c r="A80" s="12" t="s">
        <x:v>181</x:v>
      </x:c>
      <x:c r="B80" s="12"/>
      <x:c r="C80" s="12"/>
      <x:c r="D80" s="12"/>
      <x:c r="E80" s="12"/>
      <x:c r="F80" s="12"/>
      <x:c r="G80" s="12"/>
      <x:c r="H80" s="12"/>
    </x:row>
    <x:row r="81" ht="27.75" hidden="0" customHeight="1">
      <x:c r="A81" s="12" t="s">
        <x:v>182</x:v>
      </x:c>
      <x:c r="B81" s="12"/>
      <x:c r="C81" s="12"/>
      <x:c r="D81" s="12"/>
      <x:c r="E81" s="12"/>
      <x:c r="F81" s="12"/>
      <x:c r="G81" s="12"/>
      <x:c r="H81" s="12"/>
    </x:row>
    <x:row r="82" ht="27.75" hidden="0" customHeight="1">
      <x:c r="A82" s="12" t="s">
        <x:v>183</x:v>
      </x:c>
      <x:c r="B82" s="12"/>
      <x:c r="C82" s="12"/>
      <x:c r="D82" s="12"/>
      <x:c r="E82" s="12"/>
      <x:c r="F82" s="12"/>
      <x:c r="G82" s="12"/>
      <x:c r="H82" s="12"/>
    </x:row>
    <x:row r="83" ht="27.75" hidden="0" customHeight="1">
      <x:c r="A83" s="12" t="s">
        <x:v>184</x:v>
      </x:c>
      <x:c r="B83" s="12"/>
      <x:c r="C83" s="12"/>
      <x:c r="D83" s="12"/>
      <x:c r="E83" s="12"/>
      <x:c r="F83" s="12"/>
      <x:c r="G83" s="12"/>
      <x:c r="H83" s="12"/>
    </x:row>
    <x:row r="84" ht="27.75" hidden="0" customHeight="1">
      <x:c r="A84" s="12" t="s">
        <x:v>185</x:v>
      </x:c>
      <x:c r="B84" s="12"/>
      <x:c r="C84" s="12"/>
      <x:c r="D84" s="12"/>
      <x:c r="E84" s="12"/>
      <x:c r="F84" s="12"/>
      <x:c r="G84" s="12"/>
      <x:c r="H84" s="12"/>
    </x:row>
    <x:row r="85" ht="27.75" hidden="0" customHeight="1">
      <x:c r="A85" s="12" t="s">
        <x:v>186</x:v>
      </x:c>
      <x:c r="B85" s="12"/>
      <x:c r="C85" s="12"/>
      <x:c r="D85" s="12"/>
      <x:c r="E85" s="12"/>
      <x:c r="F85" s="12"/>
      <x:c r="G85" s="12"/>
      <x:c r="H85" s="12"/>
    </x:row>
    <x:row r="86" ht="27.75" hidden="0" customHeight="1">
      <x:c r="A86" s="12" t="s">
        <x:v>187</x:v>
      </x:c>
      <x:c r="B86" s="12"/>
      <x:c r="C86" s="12"/>
      <x:c r="D86" s="12"/>
      <x:c r="E86" s="12"/>
      <x:c r="F86" s="12"/>
      <x:c r="G86" s="12"/>
      <x:c r="H86" s="12"/>
    </x:row>
    <x:row r="87" ht="27.75" hidden="0" customHeight="1">
      <x:c r="A87" s="12" t="str">
        <x:v>- All 25 prices and actual trading dates were independently verified against PSX on 22 October 2026. The new market schedules supersede earlier price flags. Non-market audit findings are preserved and have not been re-certified in this revision.</x:v>
      </x:c>
      <x:c r="B87" s="12"/>
      <x:c r="C87" s="12"/>
      <x:c r="D87" s="12"/>
      <x:c r="E87" s="12"/>
      <x:c r="F87" s="12"/>
      <x:c r="G87" s="12"/>
      <x:c r="H87" s="12"/>
    </x:row>
  </x:sheetData>
  <x:mergeCells>
    <x:mergeCell ref="B3:H3"/>
    <x:mergeCell ref="B4:H4"/>
    <x:mergeCell ref="B5:H5"/>
    <x:mergeCell ref="B6:H6"/>
    <x:mergeCell ref="B7:H7"/>
    <x:mergeCell ref="B8:H8"/>
    <x:mergeCell ref="B9:H9"/>
    <x:mergeCell ref="B10:H10"/>
    <x:mergeCell ref="B23:H23"/>
    <x:mergeCell ref="B24:H24"/>
    <x:mergeCell ref="B25:H25"/>
    <x:mergeCell ref="B26:H26"/>
    <x:mergeCell ref="B27:H27"/>
    <x:mergeCell ref="B28:H28"/>
    <x:mergeCell ref="B29:H29"/>
    <x:mergeCell ref="B30:H30"/>
    <x:mergeCell ref="B31:H31"/>
    <x:mergeCell ref="B32:H32"/>
    <x:mergeCell ref="A80:H80"/>
    <x:mergeCell ref="A81:H81"/>
    <x:mergeCell ref="A82:H82"/>
    <x:mergeCell ref="A83:H83"/>
    <x:mergeCell ref="A84:H84"/>
    <x:mergeCell ref="A85:H85"/>
    <x:mergeCell ref="A86:H86"/>
    <x:mergeCell ref="A87:H87"/>
  </x:mergeCells>
  <x:hyperlinks>
    <x:hyperlink xmlns:r="http://schemas.openxmlformats.org/officeDocument/2006/relationships" ref="G14" r:id="R63bad90b9e0b4bc0"/>
    <x:hyperlink xmlns:r="http://schemas.openxmlformats.org/officeDocument/2006/relationships" ref="G15" r:id="R4b29bf553c064653"/>
    <x:hyperlink xmlns:r="http://schemas.openxmlformats.org/officeDocument/2006/relationships" ref="G16" r:id="R5a47f612876a4575"/>
    <x:hyperlink xmlns:r="http://schemas.openxmlformats.org/officeDocument/2006/relationships" ref="G17" r:id="R7e7f6bee3bd341fa"/>
    <x:hyperlink xmlns:r="http://schemas.openxmlformats.org/officeDocument/2006/relationships" ref="G18" r:id="R66078f17a64e4e06"/>
    <x:hyperlink xmlns:r="http://schemas.openxmlformats.org/officeDocument/2006/relationships" ref="G19" r:id="R8b24b79fd0b64893"/>
    <x:hyperlink xmlns:r="http://schemas.openxmlformats.org/officeDocument/2006/relationships" ref="G20" r:id="Rcafb7ec20a844ca1"/>
  </x:hyperlinks>
  <x:pageMargins left="0.7" right="0.7" top="0.75" bottom="0.75" header="0.3" footer="0.3"/>
</x:worksheet>
</file>

<file path=xl/worksheets/sheet2.xml><?xml version="1.0" encoding="utf-8"?>
<x:worksheet xmlns:x="http://schemas.openxmlformats.org/spreadsheetml/2006/main">
  <x:sheetViews>
    <x:sheetView showGridLines="1" workbookViewId="0">
      <x:pane ySplit="3" topLeftCell="A4" activePane="bottomLeft" state="frozen"/>
    </x:sheetView>
  </x:sheetViews>
  <x:sheetFormatPr defaultColWidth="8.6796875" defaultRowHeight="15"/>
  <x:cols>
    <x:col min="1" max="1" width="8" hidden="0" customWidth="1"/>
    <x:col min="2" max="2" width="34" hidden="0" customWidth="1"/>
    <x:col min="3" max="3" width="7" hidden="0" customWidth="1"/>
    <x:col min="4" max="4" width="10" hidden="0" customWidth="1"/>
    <x:col min="5" max="6" width="12" hidden="0" customWidth="1"/>
    <x:col min="7" max="7" width="36" hidden="0" customWidth="1"/>
    <x:col min="8" max="8" width="30" hidden="0" customWidth="1"/>
    <x:col min="9" max="9" width="60" hidden="0" customWidth="1"/>
    <x:col min="10" max="10" width="50" hidden="0" customWidth="1"/>
  </x:cols>
  <x:sheetData>
    <x:row r="1" ht="16.149999618530273" hidden="0">
      <x:c r="A1" s="13" t="s">
        <x:v>188</x:v>
      </x:c>
    </x:row>
    <x:row r="3" ht="41.75" hidden="0">
      <x:c r="A3" s="14" t="s">
        <x:v>19</x:v>
      </x:c>
      <x:c r="B3" s="14" t="s">
        <x:v>82</x:v>
      </x:c>
      <x:c r="C3" s="14" t="s">
        <x:v>189</x:v>
      </x:c>
      <x:c r="D3" s="14" t="s">
        <x:v>190</x:v>
      </x:c>
      <x:c r="E3" s="14" t="s">
        <x:v>191</x:v>
      </x:c>
      <x:c r="F3" s="14" t="s">
        <x:v>192</x:v>
      </x:c>
      <x:c r="G3" s="14" t="s">
        <x:v>193</x:v>
      </x:c>
      <x:c r="H3" s="14" t="s">
        <x:v>194</x:v>
      </x:c>
      <x:c r="I3" s="14" t="s">
        <x:v>195</x:v>
      </x:c>
      <x:c r="J3" s="14" t="s">
        <x:v>196</x:v>
      </x:c>
    </x:row>
    <x:row r="4" ht="15" hidden="0">
      <x:c r="A4" s="9" t="s">
        <x:v>25</x:v>
      </x:c>
      <x:c r="B4" s="9" t="s">
        <x:v>197</x:v>
      </x:c>
      <x:c r="C4" s="9" t="s">
        <x:v>73</x:v>
      </x:c>
      <x:c r="D4" s="15" t="n">
        <x:v>1.3</x:v>
      </x:c>
      <x:c r="E4" s="15" t="n">
        <x:v>1.3006446691415</x:v>
      </x:c>
      <x:c r="F4" s="15" t="n">
        <x:v>1.3006446691415</x:v>
      </x:c>
      <x:c r="G4" s="9" t="s">
        <x:v>198</x:v>
      </x:c>
      <x:c r="H4" s="9" t="s">
        <x:v>199</x:v>
      </x:c>
      <x:c r="I4" s="9"/>
      <x:c r="J4" s="9" t="s">
        <x:v>200</x:v>
      </x:c>
    </x:row>
    <x:row r="5" ht="15" hidden="0">
      <x:c r="A5" s="9" t="s">
        <x:v>25</x:v>
      </x:c>
      <x:c r="B5" s="9" t="s">
        <x:v>197</x:v>
      </x:c>
      <x:c r="C5" s="9" t="s">
        <x:v>74</x:v>
      </x:c>
      <x:c r="D5" s="15" t="n">
        <x:v>1.87</x:v>
      </x:c>
      <x:c r="E5" s="15" t="n">
        <x:v>1.87350852761098</x:v>
      </x:c>
      <x:c r="F5" s="15" t="n">
        <x:v>1.87350852761098</x:v>
      </x:c>
      <x:c r="G5" s="9" t="s">
        <x:v>198</x:v>
      </x:c>
      <x:c r="H5" s="9" t="s">
        <x:v>199</x:v>
      </x:c>
      <x:c r="I5" s="9"/>
      <x:c r="J5" s="9" t="s">
        <x:v>200</x:v>
      </x:c>
    </x:row>
    <x:row r="6" ht="15" hidden="0">
      <x:c r="A6" s="9" t="s">
        <x:v>25</x:v>
      </x:c>
      <x:c r="B6" s="9" t="s">
        <x:v>197</x:v>
      </x:c>
      <x:c r="C6" s="9" t="s">
        <x:v>75</x:v>
      </x:c>
      <x:c r="D6" s="15" t="n">
        <x:v>2.31</x:v>
      </x:c>
      <x:c r="E6" s="15" t="n">
        <x:v>2.31157051545922</x:v>
      </x:c>
      <x:c r="F6" s="15" t="n">
        <x:v>2.31157051545922</x:v>
      </x:c>
      <x:c r="G6" s="9" t="s">
        <x:v>198</x:v>
      </x:c>
      <x:c r="H6" s="9" t="s">
        <x:v>199</x:v>
      </x:c>
      <x:c r="I6" s="9"/>
      <x:c r="J6" s="9" t="s">
        <x:v>200</x:v>
      </x:c>
    </x:row>
    <x:row r="7" ht="15" hidden="0">
      <x:c r="A7" s="9" t="s">
        <x:v>25</x:v>
      </x:c>
      <x:c r="B7" s="9" t="s">
        <x:v>197</x:v>
      </x:c>
      <x:c r="C7" s="9" t="s">
        <x:v>76</x:v>
      </x:c>
      <x:c r="D7" s="15" t="n">
        <x:v>2.9</x:v>
      </x:c>
      <x:c r="E7" s="15" t="n">
        <x:v>2.903159053016</x:v>
      </x:c>
      <x:c r="F7" s="15" t="n">
        <x:v>2.903159053016</x:v>
      </x:c>
      <x:c r="G7" s="9" t="s">
        <x:v>198</x:v>
      </x:c>
      <x:c r="H7" s="9" t="s">
        <x:v>199</x:v>
      </x:c>
      <x:c r="I7" s="9"/>
      <x:c r="J7" s="9" t="s">
        <x:v>200</x:v>
      </x:c>
    </x:row>
    <x:row r="8" ht="15" hidden="0">
      <x:c r="A8" s="9" t="s">
        <x:v>25</x:v>
      </x:c>
      <x:c r="B8" s="9" t="s">
        <x:v>197</x:v>
      </x:c>
      <x:c r="C8" s="9" t="s">
        <x:v>77</x:v>
      </x:c>
      <x:c r="D8" s="15" t="n">
        <x:v>3.31</x:v>
      </x:c>
      <x:c r="E8" s="15" t="n">
        <x:v>3.31124868717277</x:v>
      </x:c>
      <x:c r="F8" s="15" t="n">
        <x:v>3.31124868717277</x:v>
      </x:c>
      <x:c r="G8" s="9" t="s">
        <x:v>198</x:v>
      </x:c>
      <x:c r="H8" s="9" t="s">
        <x:v>199</x:v>
      </x:c>
      <x:c r="I8" s="9"/>
      <x:c r="J8" s="9" t="s">
        <x:v>200</x:v>
      </x:c>
    </x:row>
    <x:row r="9" ht="15" hidden="0">
      <x:c r="A9" s="9" t="s">
        <x:v>25</x:v>
      </x:c>
      <x:c r="B9" s="9" t="s">
        <x:v>201</x:v>
      </x:c>
      <x:c r="C9" s="9" t="s">
        <x:v>73</x:v>
      </x:c>
      <x:c r="D9" s="15" t="n">
        <x:v>0.75</x:v>
      </x:c>
      <x:c r="E9" s="15" t="n">
        <x:v>0.748160438555549</x:v>
      </x:c>
      <x:c r="F9" s="15" t="n">
        <x:v>0.748160438555549</x:v>
      </x:c>
      <x:c r="G9" s="9" t="s">
        <x:v>202</x:v>
      </x:c>
      <x:c r="H9" s="9" t="s">
        <x:v>199</x:v>
      </x:c>
      <x:c r="I9" s="9"/>
      <x:c r="J9" s="9" t="s">
        <x:v>200</x:v>
      </x:c>
    </x:row>
    <x:row r="10" ht="15" hidden="0">
      <x:c r="A10" s="9" t="s">
        <x:v>25</x:v>
      </x:c>
      <x:c r="B10" s="9" t="s">
        <x:v>201</x:v>
      </x:c>
      <x:c r="C10" s="9" t="s">
        <x:v>74</x:v>
      </x:c>
      <x:c r="D10" s="15" t="n">
        <x:v>1.28</x:v>
      </x:c>
      <x:c r="E10" s="15" t="n">
        <x:v>1.27580701104523</x:v>
      </x:c>
      <x:c r="F10" s="15" t="n">
        <x:v>1.27580701104523</x:v>
      </x:c>
      <x:c r="G10" s="9" t="s">
        <x:v>202</x:v>
      </x:c>
      <x:c r="H10" s="9" t="s">
        <x:v>199</x:v>
      </x:c>
      <x:c r="I10" s="9"/>
      <x:c r="J10" s="9" t="s">
        <x:v>200</x:v>
      </x:c>
    </x:row>
    <x:row r="11" ht="15" hidden="0">
      <x:c r="A11" s="9" t="s">
        <x:v>25</x:v>
      </x:c>
      <x:c r="B11" s="9" t="s">
        <x:v>201</x:v>
      </x:c>
      <x:c r="C11" s="9" t="s">
        <x:v>75</x:v>
      </x:c>
      <x:c r="D11" s="15" t="n">
        <x:v>1.54</x:v>
      </x:c>
      <x:c r="E11" s="15" t="n">
        <x:v>1.53921103006347</x:v>
      </x:c>
      <x:c r="F11" s="15" t="n">
        <x:v>1.53921103006347</x:v>
      </x:c>
      <x:c r="G11" s="9" t="s">
        <x:v>202</x:v>
      </x:c>
      <x:c r="H11" s="9" t="s">
        <x:v>199</x:v>
      </x:c>
      <x:c r="I11" s="9"/>
      <x:c r="J11" s="9" t="s">
        <x:v>200</x:v>
      </x:c>
    </x:row>
    <x:row r="12" ht="15" hidden="0">
      <x:c r="A12" s="9" t="s">
        <x:v>25</x:v>
      </x:c>
      <x:c r="B12" s="9" t="s">
        <x:v>201</x:v>
      </x:c>
      <x:c r="C12" s="9" t="s">
        <x:v>76</x:v>
      </x:c>
      <x:c r="D12" s="15" t="n">
        <x:v>2.22</x:v>
      </x:c>
      <x:c r="E12" s="15" t="n">
        <x:v>2.22005933992124</x:v>
      </x:c>
      <x:c r="F12" s="15" t="n">
        <x:v>2.22005933992124</x:v>
      </x:c>
      <x:c r="G12" s="9" t="s">
        <x:v>202</x:v>
      </x:c>
      <x:c r="H12" s="9" t="s">
        <x:v>199</x:v>
      </x:c>
      <x:c r="I12" s="9"/>
      <x:c r="J12" s="9" t="s">
        <x:v>200</x:v>
      </x:c>
    </x:row>
    <x:row r="13" ht="15" hidden="0">
      <x:c r="A13" s="9" t="s">
        <x:v>25</x:v>
      </x:c>
      <x:c r="B13" s="9" t="s">
        <x:v>201</x:v>
      </x:c>
      <x:c r="C13" s="9" t="s">
        <x:v>77</x:v>
      </x:c>
      <x:c r="D13" s="15" t="n">
        <x:v>2.67</x:v>
      </x:c>
      <x:c r="E13" s="15" t="n">
        <x:v>2.6677003784341</x:v>
      </x:c>
      <x:c r="F13" s="15" t="n">
        <x:v>2.6677003784341</x:v>
      </x:c>
      <x:c r="G13" s="9" t="s">
        <x:v>202</x:v>
      </x:c>
      <x:c r="H13" s="9" t="s">
        <x:v>199</x:v>
      </x:c>
      <x:c r="I13" s="9"/>
      <x:c r="J13" s="9" t="s">
        <x:v>200</x:v>
      </x:c>
    </x:row>
    <x:row r="14" ht="15" hidden="0">
      <x:c r="A14" s="9" t="s">
        <x:v>25</x:v>
      </x:c>
      <x:c r="B14" s="9" t="s">
        <x:v>203</x:v>
      </x:c>
      <x:c r="C14" s="9" t="s">
        <x:v>73</x:v>
      </x:c>
      <x:c r="D14" s="15" t="n">
        <x:v>5.75</x:v>
      </x:c>
      <x:c r="E14" s="15" t="n">
        <x:v>4.85709860132552</x:v>
      </x:c>
      <x:c r="F14" s="9"/>
      <x:c r="G14" s="9" t="s">
        <x:v>204</x:v>
      </x:c>
      <x:c r="H14" s="9" t="s">
        <x:v>205</x:v>
      </x:c>
      <x:c r="I14" s="9" t="s">
        <x:v>206</x:v>
      </x:c>
      <x:c r="J14" s="9" t="s">
        <x:v>200</x:v>
      </x:c>
    </x:row>
    <x:row r="15" ht="15" hidden="0">
      <x:c r="A15" s="9" t="s">
        <x:v>25</x:v>
      </x:c>
      <x:c r="B15" s="9" t="s">
        <x:v>203</x:v>
      </x:c>
      <x:c r="C15" s="9" t="s">
        <x:v>74</x:v>
      </x:c>
      <x:c r="D15" s="15" t="n">
        <x:v>5.8</x:v>
      </x:c>
      <x:c r="E15" s="15" t="n">
        <x:v>4.68113172157169</x:v>
      </x:c>
      <x:c r="F15" s="9"/>
      <x:c r="G15" s="9" t="s">
        <x:v>204</x:v>
      </x:c>
      <x:c r="H15" s="9" t="s">
        <x:v>205</x:v>
      </x:c>
      <x:c r="I15" s="9" t="s">
        <x:v>206</x:v>
      </x:c>
      <x:c r="J15" s="9" t="s">
        <x:v>200</x:v>
      </x:c>
    </x:row>
    <x:row r="16" ht="15" hidden="0">
      <x:c r="A16" s="9" t="s">
        <x:v>25</x:v>
      </x:c>
      <x:c r="B16" s="9" t="s">
        <x:v>203</x:v>
      </x:c>
      <x:c r="C16" s="9" t="s">
        <x:v>75</x:v>
      </x:c>
      <x:c r="D16" s="15" t="n">
        <x:v>5.08</x:v>
      </x:c>
      <x:c r="E16" s="15" t="n">
        <x:v>4.27537914377139</x:v>
      </x:c>
      <x:c r="F16" s="9"/>
      <x:c r="G16" s="9" t="s">
        <x:v>204</x:v>
      </x:c>
      <x:c r="H16" s="9" t="s">
        <x:v>205</x:v>
      </x:c>
      <x:c r="I16" s="9" t="s">
        <x:v>206</x:v>
      </x:c>
      <x:c r="J16" s="9" t="s">
        <x:v>200</x:v>
      </x:c>
    </x:row>
    <x:row r="17" ht="15" hidden="0">
      <x:c r="A17" s="9" t="s">
        <x:v>25</x:v>
      </x:c>
      <x:c r="B17" s="9" t="s">
        <x:v>203</x:v>
      </x:c>
      <x:c r="C17" s="9" t="s">
        <x:v>76</x:v>
      </x:c>
      <x:c r="D17" s="15" t="n">
        <x:v>5.1</x:v>
      </x:c>
      <x:c r="E17" s="15" t="n">
        <x:v>3.59573696451106</x:v>
      </x:c>
      <x:c r="F17" s="9"/>
      <x:c r="G17" s="9" t="s">
        <x:v>204</x:v>
      </x:c>
      <x:c r="H17" s="9" t="s">
        <x:v>205</x:v>
      </x:c>
      <x:c r="I17" s="9" t="s">
        <x:v>206</x:v>
      </x:c>
      <x:c r="J17" s="9" t="s">
        <x:v>200</x:v>
      </x:c>
    </x:row>
    <x:row r="18" ht="15" hidden="0">
      <x:c r="A18" s="9" t="s">
        <x:v>25</x:v>
      </x:c>
      <x:c r="B18" s="9" t="s">
        <x:v>203</x:v>
      </x:c>
      <x:c r="C18" s="9" t="s">
        <x:v>77</x:v>
      </x:c>
      <x:c r="D18" s="15" t="n">
        <x:v>5</x:v>
      </x:c>
      <x:c r="E18" s="15" t="n">
        <x:v>3.02488062644293</x:v>
      </x:c>
      <x:c r="F18" s="9"/>
      <x:c r="G18" s="9" t="s">
        <x:v>204</x:v>
      </x:c>
      <x:c r="H18" s="9" t="s">
        <x:v>205</x:v>
      </x:c>
      <x:c r="I18" s="9" t="s">
        <x:v>206</x:v>
      </x:c>
      <x:c r="J18" s="9" t="s">
        <x:v>200</x:v>
      </x:c>
    </x:row>
    <x:row r="19" ht="15" hidden="0">
      <x:c r="A19" s="9" t="s">
        <x:v>25</x:v>
      </x:c>
      <x:c r="B19" s="9" t="s">
        <x:v>207</x:v>
      </x:c>
      <x:c r="C19" s="9" t="s">
        <x:v>73</x:v>
      </x:c>
      <x:c r="D19" s="15" t="n">
        <x:v>14.92</x:v>
      </x:c>
      <x:c r="E19" s="15" t="n">
        <x:v>11.211269503465</x:v>
      </x:c>
      <x:c r="F19" s="15" t="n">
        <x:v>14.922758056173</x:v>
      </x:c>
      <x:c r="G19" s="9" t="s">
        <x:v>208</x:v>
      </x:c>
      <x:c r="H19" s="9" t="s">
        <x:v>209</x:v>
      </x:c>
      <x:c r="I19" s="9"/>
      <x:c r="J19" s="9" t="s">
        <x:v>200</x:v>
      </x:c>
    </x:row>
    <x:row r="20" ht="15" hidden="0">
      <x:c r="A20" s="9" t="s">
        <x:v>25</x:v>
      </x:c>
      <x:c r="B20" s="9" t="s">
        <x:v>207</x:v>
      </x:c>
      <x:c r="C20" s="9" t="s">
        <x:v>74</x:v>
      </x:c>
      <x:c r="D20" s="15" t="n">
        <x:v>10.17</x:v>
      </x:c>
      <x:c r="E20" s="15" t="n">
        <x:v>10.5447254823583</x:v>
      </x:c>
      <x:c r="F20" s="15" t="n">
        <x:v>10.1698732557146</x:v>
      </x:c>
      <x:c r="G20" s="9" t="s">
        <x:v>208</x:v>
      </x:c>
      <x:c r="H20" s="9" t="s">
        <x:v>209</x:v>
      </x:c>
      <x:c r="I20" s="9"/>
      <x:c r="J20" s="9" t="s">
        <x:v>200</x:v>
      </x:c>
    </x:row>
    <x:row r="21" ht="15" hidden="0">
      <x:c r="A21" s="9" t="s">
        <x:v>25</x:v>
      </x:c>
      <x:c r="B21" s="9" t="s">
        <x:v>207</x:v>
      </x:c>
      <x:c r="C21" s="9" t="s">
        <x:v>75</x:v>
      </x:c>
      <x:c r="D21" s="15" t="n">
        <x:v>11.31</x:v>
      </x:c>
      <x:c r="E21" s="15" t="n">
        <x:v>9.94795543784879</x:v>
      </x:c>
      <x:c r="F21" s="15" t="n">
        <x:v>11.3054597505498</x:v>
      </x:c>
      <x:c r="G21" s="9" t="s">
        <x:v>208</x:v>
      </x:c>
      <x:c r="H21" s="9" t="s">
        <x:v>209</x:v>
      </x:c>
      <x:c r="I21" s="9"/>
      <x:c r="J21" s="9" t="s">
        <x:v>200</x:v>
      </x:c>
    </x:row>
    <x:row r="22" ht="15" hidden="0">
      <x:c r="A22" s="9" t="s">
        <x:v>25</x:v>
      </x:c>
      <x:c r="B22" s="9" t="s">
        <x:v>207</x:v>
      </x:c>
      <x:c r="C22" s="9" t="s">
        <x:v>76</x:v>
      </x:c>
      <x:c r="D22" s="15" t="n">
        <x:v>19.93</x:v>
      </x:c>
      <x:c r="E22" s="15" t="n">
        <x:v>15.6576631667556</x:v>
      </x:c>
      <x:c r="F22" s="15" t="n">
        <x:v>19.9297533763925</x:v>
      </x:c>
      <x:c r="G22" s="9" t="s">
        <x:v>208</x:v>
      </x:c>
      <x:c r="H22" s="9" t="s">
        <x:v>209</x:v>
      </x:c>
      <x:c r="I22" s="9"/>
      <x:c r="J22" s="9" t="s">
        <x:v>200</x:v>
      </x:c>
    </x:row>
    <x:row r="23" ht="15" hidden="0">
      <x:c r="A23" s="9" t="s">
        <x:v>25</x:v>
      </x:c>
      <x:c r="B23" s="9" t="s">
        <x:v>207</x:v>
      </x:c>
      <x:c r="C23" s="9" t="s">
        <x:v>77</x:v>
      </x:c>
      <x:c r="D23" s="15" t="n">
        <x:v>16.46</x:v>
      </x:c>
      <x:c r="E23" s="15" t="n">
        <x:v>18.4877327338391</x:v>
      </x:c>
      <x:c r="F23" s="15" t="n">
        <x:v>16.4552546657887</x:v>
      </x:c>
      <x:c r="G23" s="9" t="s">
        <x:v>208</x:v>
      </x:c>
      <x:c r="H23" s="9" t="s">
        <x:v>209</x:v>
      </x:c>
      <x:c r="I23" s="9"/>
      <x:c r="J23" s="9" t="s">
        <x:v>200</x:v>
      </x:c>
    </x:row>
    <x:row r="24" ht="15" hidden="0">
      <x:c r="A24" s="9" t="s">
        <x:v>25</x:v>
      </x:c>
      <x:c r="B24" s="9" t="s">
        <x:v>210</x:v>
      </x:c>
      <x:c r="C24" s="9" t="s">
        <x:v>73</x:v>
      </x:c>
      <x:c r="D24" s="15" t="n">
        <x:v>33.74</x:v>
      </x:c>
      <x:c r="E24" s="15" t="n">
        <x:v>26.6956643917572</x:v>
      </x:c>
      <x:c r="F24" s="9"/>
      <x:c r="G24" s="9" t="s">
        <x:v>204</x:v>
      </x:c>
      <x:c r="H24" s="9" t="s">
        <x:v>205</x:v>
      </x:c>
      <x:c r="I24" s="9" t="s">
        <x:v>206</x:v>
      </x:c>
      <x:c r="J24" s="9" t="s">
        <x:v>200</x:v>
      </x:c>
    </x:row>
    <x:row r="25" ht="15" hidden="0">
      <x:c r="A25" s="9" t="s">
        <x:v>25</x:v>
      </x:c>
      <x:c r="B25" s="9" t="s">
        <x:v>210</x:v>
      </x:c>
      <x:c r="C25" s="9" t="s">
        <x:v>74</x:v>
      </x:c>
      <x:c r="D25" s="15" t="n">
        <x:v>20.97</x:v>
      </x:c>
      <x:c r="E25" s="15" t="n">
        <x:v>22.4451272384072</x:v>
      </x:c>
      <x:c r="F25" s="9"/>
      <x:c r="G25" s="9" t="s">
        <x:v>204</x:v>
      </x:c>
      <x:c r="H25" s="9" t="s">
        <x:v>205</x:v>
      </x:c>
      <x:c r="I25" s="9" t="s">
        <x:v>206</x:v>
      </x:c>
      <x:c r="J25" s="9" t="s">
        <x:v>200</x:v>
      </x:c>
    </x:row>
    <x:row r="26" ht="15" hidden="0">
      <x:c r="A26" s="9" t="s">
        <x:v>25</x:v>
      </x:c>
      <x:c r="B26" s="9" t="s">
        <x:v>210</x:v>
      </x:c>
      <x:c r="C26" s="9" t="s">
        <x:v>75</x:v>
      </x:c>
      <x:c r="D26" s="15" t="n">
        <x:v>9.14</x:v>
      </x:c>
      <x:c r="E26" s="15" t="n">
        <x:v>12.5316246621639</x:v>
      </x:c>
      <x:c r="F26" s="9"/>
      <x:c r="G26" s="9" t="s">
        <x:v>204</x:v>
      </x:c>
      <x:c r="H26" s="9" t="s">
        <x:v>205</x:v>
      </x:c>
      <x:c r="I26" s="9" t="s">
        <x:v>206</x:v>
      </x:c>
      <x:c r="J26" s="9" t="s">
        <x:v>200</x:v>
      </x:c>
    </x:row>
    <x:row r="27" ht="15" hidden="0">
      <x:c r="A27" s="9" t="s">
        <x:v>25</x:v>
      </x:c>
      <x:c r="B27" s="9" t="s">
        <x:v>210</x:v>
      </x:c>
      <x:c r="C27" s="9" t="s">
        <x:v>76</x:v>
      </x:c>
      <x:c r="D27" s="15" t="n">
        <x:v>24.36</x:v>
      </x:c>
      <x:c r="E27" s="15" t="n">
        <x:v>16.3644111717058</x:v>
      </x:c>
      <x:c r="F27" s="9"/>
      <x:c r="G27" s="9" t="s">
        <x:v>204</x:v>
      </x:c>
      <x:c r="H27" s="9" t="s">
        <x:v>205</x:v>
      </x:c>
      <x:c r="I27" s="9" t="s">
        <x:v>206</x:v>
      </x:c>
      <x:c r="J27" s="9" t="s">
        <x:v>200</x:v>
      </x:c>
    </x:row>
    <x:row r="28" ht="15" hidden="0">
      <x:c r="A28" s="9" t="s">
        <x:v>25</x:v>
      </x:c>
      <x:c r="B28" s="9" t="s">
        <x:v>210</x:v>
      </x:c>
      <x:c r="C28" s="9" t="s">
        <x:v>77</x:v>
      </x:c>
      <x:c r="D28" s="15" t="n">
        <x:v>34.79</x:v>
      </x:c>
      <x:c r="E28" s="15" t="n">
        <x:v>31.1064888645213</x:v>
      </x:c>
      <x:c r="F28" s="9"/>
      <x:c r="G28" s="9" t="s">
        <x:v>204</x:v>
      </x:c>
      <x:c r="H28" s="9" t="s">
        <x:v>205</x:v>
      </x:c>
      <x:c r="I28" s="9" t="s">
        <x:v>206</x:v>
      </x:c>
      <x:c r="J28" s="9" t="s">
        <x:v>200</x:v>
      </x:c>
    </x:row>
    <x:row r="29" ht="15" hidden="0">
      <x:c r="A29" s="9" t="s">
        <x:v>25</x:v>
      </x:c>
      <x:c r="B29" s="9" t="s">
        <x:v>211</x:v>
      </x:c>
      <x:c r="C29" s="9" t="s">
        <x:v>73</x:v>
      </x:c>
      <x:c r="D29" s="15" t="n">
        <x:v>44.66</x:v>
      </x:c>
      <x:c r="E29" s="9"/>
      <x:c r="F29" s="9"/>
      <x:c r="G29" s="9"/>
      <x:c r="H29" s="9" t="s">
        <x:v>212</x:v>
      </x:c>
      <x:c r="I29" s="9" t="s">
        <x:v>213</x:v>
      </x:c>
      <x:c r="J29" s="9" t="s">
        <x:v>200</x:v>
      </x:c>
    </x:row>
    <x:row r="30" ht="15" hidden="0">
      <x:c r="A30" s="9" t="s">
        <x:v>25</x:v>
      </x:c>
      <x:c r="B30" s="9" t="s">
        <x:v>211</x:v>
      </x:c>
      <x:c r="C30" s="9" t="s">
        <x:v>74</x:v>
      </x:c>
      <x:c r="D30" s="15" t="n">
        <x:v>52.16</x:v>
      </x:c>
      <x:c r="E30" s="9"/>
      <x:c r="F30" s="9"/>
      <x:c r="G30" s="9"/>
      <x:c r="H30" s="9" t="s">
        <x:v>212</x:v>
      </x:c>
      <x:c r="I30" s="9" t="s">
        <x:v>213</x:v>
      </x:c>
      <x:c r="J30" s="9" t="s">
        <x:v>200</x:v>
      </x:c>
    </x:row>
    <x:row r="31" ht="15" hidden="0">
      <x:c r="A31" s="9" t="s">
        <x:v>25</x:v>
      </x:c>
      <x:c r="B31" s="9" t="s">
        <x:v>211</x:v>
      </x:c>
      <x:c r="C31" s="9" t="s">
        <x:v>75</x:v>
      </x:c>
      <x:c r="D31" s="15" t="n">
        <x:v>73.96</x:v>
      </x:c>
      <x:c r="E31" s="9"/>
      <x:c r="F31" s="9"/>
      <x:c r="G31" s="9"/>
      <x:c r="H31" s="9" t="s">
        <x:v>212</x:v>
      </x:c>
      <x:c r="I31" s="9" t="s">
        <x:v>213</x:v>
      </x:c>
      <x:c r="J31" s="9" t="s">
        <x:v>200</x:v>
      </x:c>
    </x:row>
    <x:row r="32" ht="15" hidden="0">
      <x:c r="A32" s="9" t="s">
        <x:v>25</x:v>
      </x:c>
      <x:c r="B32" s="9" t="s">
        <x:v>211</x:v>
      </x:c>
      <x:c r="C32" s="9" t="s">
        <x:v>76</x:v>
      </x:c>
      <x:c r="D32" s="15" t="n">
        <x:v>67.15</x:v>
      </x:c>
      <x:c r="E32" s="9"/>
      <x:c r="F32" s="9"/>
      <x:c r="G32" s="9"/>
      <x:c r="H32" s="9" t="s">
        <x:v>212</x:v>
      </x:c>
      <x:c r="I32" s="9" t="s">
        <x:v>213</x:v>
      </x:c>
      <x:c r="J32" s="9" t="s">
        <x:v>200</x:v>
      </x:c>
    </x:row>
    <x:row r="33" ht="15" hidden="0">
      <x:c r="A33" s="9" t="s">
        <x:v>25</x:v>
      </x:c>
      <x:c r="B33" s="9" t="s">
        <x:v>211</x:v>
      </x:c>
      <x:c r="C33" s="9" t="s">
        <x:v>77</x:v>
      </x:c>
      <x:c r="D33" s="15" t="n">
        <x:v>54.64</x:v>
      </x:c>
      <x:c r="E33" s="9"/>
      <x:c r="F33" s="9"/>
      <x:c r="G33" s="9"/>
      <x:c r="H33" s="9" t="s">
        <x:v>212</x:v>
      </x:c>
      <x:c r="I33" s="9" t="s">
        <x:v>213</x:v>
      </x:c>
      <x:c r="J33" s="9" t="s">
        <x:v>200</x:v>
      </x:c>
    </x:row>
    <x:row r="34" ht="15" hidden="0">
      <x:c r="A34" s="9" t="s">
        <x:v>25</x:v>
      </x:c>
      <x:c r="B34" s="9" t="s">
        <x:v>214</x:v>
      </x:c>
      <x:c r="C34" s="9" t="s">
        <x:v>73</x:v>
      </x:c>
      <x:c r="D34" s="15" t="n">
        <x:v>0.67</x:v>
      </x:c>
      <x:c r="E34" s="15" t="n">
        <x:v>0.709201162184322</x:v>
      </x:c>
      <x:c r="F34" s="15" t="n">
        <x:v>0.666650826227973</x:v>
      </x:c>
      <x:c r="G34" s="9" t="s">
        <x:v>215</x:v>
      </x:c>
      <x:c r="H34" s="9" t="s">
        <x:v>209</x:v>
      </x:c>
      <x:c r="I34" s="9"/>
      <x:c r="J34" s="9" t="s">
        <x:v>200</x:v>
      </x:c>
    </x:row>
    <x:row r="35" ht="15" hidden="0">
      <x:c r="A35" s="9" t="s">
        <x:v>25</x:v>
      </x:c>
      <x:c r="B35" s="9" t="s">
        <x:v>214</x:v>
      </x:c>
      <x:c r="C35" s="9" t="s">
        <x:v>74</x:v>
      </x:c>
      <x:c r="D35" s="15" t="n">
        <x:v>0.76</x:v>
      </x:c>
      <x:c r="E35" s="15" t="n">
        <x:v>0.827742872777826</x:v>
      </x:c>
      <x:c r="F35" s="15" t="n">
        <x:v>0.758395448423302</x:v>
      </x:c>
      <x:c r="G35" s="9" t="s">
        <x:v>215</x:v>
      </x:c>
      <x:c r="H35" s="9" t="s">
        <x:v>209</x:v>
      </x:c>
      <x:c r="I35" s="9"/>
      <x:c r="J35" s="9" t="s">
        <x:v>200</x:v>
      </x:c>
    </x:row>
    <x:row r="36" ht="15" hidden="0">
      <x:c r="A36" s="9" t="s">
        <x:v>25</x:v>
      </x:c>
      <x:c r="B36" s="9" t="s">
        <x:v>214</x:v>
      </x:c>
      <x:c r="C36" s="9" t="s">
        <x:v>75</x:v>
      </x:c>
      <x:c r="D36" s="15" t="n">
        <x:v>0.79</x:v>
      </x:c>
      <x:c r="E36" s="15" t="n">
        <x:v>0.838099135080987</x:v>
      </x:c>
      <x:c r="F36" s="15" t="n">
        <x:v>0.785818210889628</x:v>
      </x:c>
      <x:c r="G36" s="9" t="s">
        <x:v>215</x:v>
      </x:c>
      <x:c r="H36" s="9" t="s">
        <x:v>209</x:v>
      </x:c>
      <x:c r="I36" s="9"/>
      <x:c r="J36" s="9" t="s">
        <x:v>200</x:v>
      </x:c>
    </x:row>
    <x:row r="37" ht="15" hidden="0">
      <x:c r="A37" s="9" t="s">
        <x:v>25</x:v>
      </x:c>
      <x:c r="B37" s="9" t="s">
        <x:v>214</x:v>
      </x:c>
      <x:c r="C37" s="9" t="s">
        <x:v>76</x:v>
      </x:c>
      <x:c r="D37" s="15" t="n">
        <x:v>0.66</x:v>
      </x:c>
      <x:c r="E37" s="15" t="n">
        <x:v>0.713233660767222</x:v>
      </x:c>
      <x:c r="F37" s="15" t="n">
        <x:v>0.656791361575046</x:v>
      </x:c>
      <x:c r="G37" s="9" t="s">
        <x:v>215</x:v>
      </x:c>
      <x:c r="H37" s="9" t="s">
        <x:v>209</x:v>
      </x:c>
      <x:c r="I37" s="9"/>
      <x:c r="J37" s="9" t="s">
        <x:v>200</x:v>
      </x:c>
    </x:row>
    <x:row r="38" ht="15" hidden="0">
      <x:c r="A38" s="9" t="s">
        <x:v>25</x:v>
      </x:c>
      <x:c r="B38" s="9" t="s">
        <x:v>214</x:v>
      </x:c>
      <x:c r="C38" s="9" t="s">
        <x:v>77</x:v>
      </x:c>
      <x:c r="D38" s="15" t="n">
        <x:v>0.56</x:v>
      </x:c>
      <x:c r="E38" s="15" t="n">
        <x:v>0.59752332567838</x:v>
      </x:c>
      <x:c r="F38" s="15" t="n">
        <x:v>0.561959534853426</x:v>
      </x:c>
      <x:c r="G38" s="9" t="s">
        <x:v>215</x:v>
      </x:c>
      <x:c r="H38" s="9" t="s">
        <x:v>209</x:v>
      </x:c>
      <x:c r="I38" s="9"/>
      <x:c r="J38" s="9" t="s">
        <x:v>200</x:v>
      </x:c>
    </x:row>
    <x:row r="39" ht="15" hidden="0">
      <x:c r="A39" s="9" t="s">
        <x:v>25</x:v>
      </x:c>
      <x:c r="B39" s="9" t="s">
        <x:v>216</x:v>
      </x:c>
      <x:c r="C39" s="9" t="s">
        <x:v>73</x:v>
      </x:c>
      <x:c r="D39" s="15" t="n">
        <x:v>1.11</x:v>
      </x:c>
      <x:c r="E39" s="15" t="n">
        <x:v>1.08447910079886</x:v>
      </x:c>
      <x:c r="F39" s="15" t="n">
        <x:v>1.10590293427275</x:v>
      </x:c>
      <x:c r="G39" s="9" t="s">
        <x:v>217</x:v>
      </x:c>
      <x:c r="H39" s="9" t="s">
        <x:v>209</x:v>
      </x:c>
      <x:c r="I39" s="9"/>
      <x:c r="J39" s="9" t="s">
        <x:v>200</x:v>
      </x:c>
    </x:row>
    <x:row r="40" ht="15" hidden="0">
      <x:c r="A40" s="9" t="s">
        <x:v>25</x:v>
      </x:c>
      <x:c r="B40" s="9" t="s">
        <x:v>216</x:v>
      </x:c>
      <x:c r="C40" s="9" t="s">
        <x:v>74</x:v>
      </x:c>
      <x:c r="D40" s="15" t="n">
        <x:v>1.55</x:v>
      </x:c>
      <x:c r="E40" s="15" t="n">
        <x:v>1.53079789049734</x:v>
      </x:c>
      <x:c r="F40" s="15" t="n">
        <x:v>1.55077034569966</x:v>
      </x:c>
      <x:c r="G40" s="9" t="s">
        <x:v>217</x:v>
      </x:c>
      <x:c r="H40" s="9" t="s">
        <x:v>209</x:v>
      </x:c>
      <x:c r="I40" s="9"/>
      <x:c r="J40" s="9" t="s">
        <x:v>200</x:v>
      </x:c>
    </x:row>
    <x:row r="41" ht="15" hidden="0">
      <x:c r="A41" s="9" t="s">
        <x:v>25</x:v>
      </x:c>
      <x:c r="B41" s="9" t="s">
        <x:v>216</x:v>
      </x:c>
      <x:c r="C41" s="9" t="s">
        <x:v>75</x:v>
      </x:c>
      <x:c r="D41" s="15" t="n">
        <x:v>1.92</x:v>
      </x:c>
      <x:c r="E41" s="15" t="n">
        <x:v>1.87633767247264</x:v>
      </x:c>
      <x:c r="F41" s="15" t="n">
        <x:v>1.91860590332967</x:v>
      </x:c>
      <x:c r="G41" s="9" t="s">
        <x:v>217</x:v>
      </x:c>
      <x:c r="H41" s="9" t="s">
        <x:v>209</x:v>
      </x:c>
      <x:c r="I41" s="9"/>
      <x:c r="J41" s="9" t="s">
        <x:v>200</x:v>
      </x:c>
    </x:row>
    <x:row r="42" ht="15" hidden="0">
      <x:c r="A42" s="9" t="s">
        <x:v>25</x:v>
      </x:c>
      <x:c r="B42" s="9" t="s">
        <x:v>216</x:v>
      </x:c>
      <x:c r="C42" s="9" t="s">
        <x:v>76</x:v>
      </x:c>
      <x:c r="D42" s="15" t="n">
        <x:v>1.83</x:v>
      </x:c>
      <x:c r="E42" s="15" t="n">
        <x:v>1.86507194606846</x:v>
      </x:c>
      <x:c r="F42" s="15" t="n">
        <x:v>1.8266859443274</x:v>
      </x:c>
      <x:c r="G42" s="9" t="s">
        <x:v>217</x:v>
      </x:c>
      <x:c r="H42" s="9" t="s">
        <x:v>209</x:v>
      </x:c>
      <x:c r="I42" s="9"/>
      <x:c r="J42" s="9" t="s">
        <x:v>200</x:v>
      </x:c>
    </x:row>
    <x:row r="43" ht="15" hidden="0">
      <x:c r="A43" s="9" t="s">
        <x:v>25</x:v>
      </x:c>
      <x:c r="B43" s="9" t="s">
        <x:v>216</x:v>
      </x:c>
      <x:c r="C43" s="9" t="s">
        <x:v>77</x:v>
      </x:c>
      <x:c r="D43" s="15" t="n">
        <x:v>1.8</x:v>
      </x:c>
      <x:c r="E43" s="15" t="n">
        <x:v>1.78611045631887</x:v>
      </x:c>
      <x:c r="F43" s="15" t="n">
        <x:v>1.79825988676525</x:v>
      </x:c>
      <x:c r="G43" s="9" t="s">
        <x:v>217</x:v>
      </x:c>
      <x:c r="H43" s="9" t="s">
        <x:v>209</x:v>
      </x:c>
      <x:c r="I43" s="9"/>
      <x:c r="J43" s="9" t="s">
        <x:v>200</x:v>
      </x:c>
    </x:row>
    <x:row r="44" ht="15" hidden="0">
      <x:c r="A44" s="9" t="s">
        <x:v>25</x:v>
      </x:c>
      <x:c r="B44" s="9" t="s">
        <x:v>218</x:v>
      </x:c>
      <x:c r="C44" s="9" t="s">
        <x:v>73</x:v>
      </x:c>
      <x:c r="D44" s="15" t="n">
        <x:v>10.45</x:v>
      </x:c>
      <x:c r="E44" s="15" t="n">
        <x:v>11.0197069011818</x:v>
      </x:c>
      <x:c r="F44" s="15" t="n">
        <x:v>10.449576359043</x:v>
      </x:c>
      <x:c r="G44" s="9" t="s">
        <x:v>219</x:v>
      </x:c>
      <x:c r="H44" s="9" t="s">
        <x:v>209</x:v>
      </x:c>
      <x:c r="I44" s="9"/>
      <x:c r="J44" s="9" t="s">
        <x:v>200</x:v>
      </x:c>
    </x:row>
    <x:row r="45" ht="15" hidden="0">
      <x:c r="A45" s="9" t="s">
        <x:v>25</x:v>
      </x:c>
      <x:c r="B45" s="9" t="s">
        <x:v>218</x:v>
      </x:c>
      <x:c r="C45" s="9" t="s">
        <x:v>74</x:v>
      </x:c>
      <x:c r="D45" s="15" t="n">
        <x:v>17.6</x:v>
      </x:c>
      <x:c r="E45" s="15" t="n">
        <x:v>18.3631524524966</x:v>
      </x:c>
      <x:c r="F45" s="15" t="n">
        <x:v>17.5990507853185</x:v>
      </x:c>
      <x:c r="G45" s="9" t="s">
        <x:v>219</x:v>
      </x:c>
      <x:c r="H45" s="9" t="s">
        <x:v>209</x:v>
      </x:c>
      <x:c r="I45" s="9"/>
      <x:c r="J45" s="9" t="s">
        <x:v>200</x:v>
      </x:c>
    </x:row>
    <x:row r="46" ht="15" hidden="0">
      <x:c r="A46" s="9" t="s">
        <x:v>25</x:v>
      </x:c>
      <x:c r="B46" s="9" t="s">
        <x:v>218</x:v>
      </x:c>
      <x:c r="C46" s="9" t="s">
        <x:v>75</x:v>
      </x:c>
      <x:c r="D46" s="15" t="n">
        <x:v>15.14</x:v>
      </x:c>
      <x:c r="E46" s="15" t="n">
        <x:v>16.398825279874</x:v>
      </x:c>
      <x:c r="F46" s="15" t="n">
        <x:v>15.141858594455</x:v>
      </x:c>
      <x:c r="G46" s="9" t="s">
        <x:v>219</x:v>
      </x:c>
      <x:c r="H46" s="9" t="s">
        <x:v>209</x:v>
      </x:c>
      <x:c r="I46" s="9"/>
      <x:c r="J46" s="9" t="s">
        <x:v>200</x:v>
      </x:c>
    </x:row>
    <x:row r="47" ht="15" hidden="0">
      <x:c r="A47" s="9" t="s">
        <x:v>25</x:v>
      </x:c>
      <x:c r="B47" s="9" t="s">
        <x:v>218</x:v>
      </x:c>
      <x:c r="C47" s="9" t="s">
        <x:v>76</x:v>
      </x:c>
      <x:c r="D47" s="15" t="n">
        <x:v>21.34</x:v>
      </x:c>
      <x:c r="E47" s="15" t="n">
        <x:v>22.3677202242051</x:v>
      </x:c>
      <x:c r="F47" s="15" t="n">
        <x:v>21.3375770095772</x:v>
      </x:c>
      <x:c r="G47" s="9" t="s">
        <x:v>219</x:v>
      </x:c>
      <x:c r="H47" s="9" t="s">
        <x:v>209</x:v>
      </x:c>
      <x:c r="I47" s="9"/>
      <x:c r="J47" s="9" t="s">
        <x:v>200</x:v>
      </x:c>
    </x:row>
    <x:row r="48" ht="15" hidden="0">
      <x:c r="A48" s="9" t="s">
        <x:v>25</x:v>
      </x:c>
      <x:c r="B48" s="9" t="s">
        <x:v>218</x:v>
      </x:c>
      <x:c r="C48" s="9" t="s">
        <x:v>77</x:v>
      </x:c>
      <x:c r="D48" s="15" t="n">
        <x:v>51.72</x:v>
      </x:c>
      <x:c r="E48" s="15" t="n">
        <x:v>59.0989531983723</x:v>
      </x:c>
      <x:c r="F48" s="15" t="n">
        <x:v>51.7181478174564</x:v>
      </x:c>
      <x:c r="G48" s="9" t="s">
        <x:v>219</x:v>
      </x:c>
      <x:c r="H48" s="9" t="s">
        <x:v>209</x:v>
      </x:c>
      <x:c r="I48" s="9"/>
      <x:c r="J48" s="9" t="s">
        <x:v>200</x:v>
      </x:c>
    </x:row>
    <x:row r="49" ht="15" hidden="0">
      <x:c r="A49" s="9" t="s">
        <x:v>25</x:v>
      </x:c>
      <x:c r="B49" s="9" t="s">
        <x:v>220</x:v>
      </x:c>
      <x:c r="C49" s="9" t="s">
        <x:v>73</x:v>
      </x:c>
      <x:c r="D49" s="15" t="n">
        <x:v>0.248</x:v>
      </x:c>
      <x:c r="E49" s="15" t="n">
        <x:v>0.247963413008289</x:v>
      </x:c>
      <x:c r="F49" s="15" t="n">
        <x:v>0.247963413008289</x:v>
      </x:c>
      <x:c r="G49" s="9" t="s">
        <x:v>221</x:v>
      </x:c>
      <x:c r="H49" s="9" t="s">
        <x:v>199</x:v>
      </x:c>
      <x:c r="I49" s="9"/>
      <x:c r="J49" s="9" t="s">
        <x:v>200</x:v>
      </x:c>
    </x:row>
    <x:row r="50" ht="15" hidden="0">
      <x:c r="A50" s="9" t="s">
        <x:v>25</x:v>
      </x:c>
      <x:c r="B50" s="9" t="s">
        <x:v>220</x:v>
      </x:c>
      <x:c r="C50" s="9" t="s">
        <x:v>74</x:v>
      </x:c>
      <x:c r="D50" s="15" t="n">
        <x:v>0.2984</x:v>
      </x:c>
      <x:c r="E50" s="15" t="n">
        <x:v>0.298439142135099</x:v>
      </x:c>
      <x:c r="F50" s="15" t="n">
        <x:v>0.298439142135099</x:v>
      </x:c>
      <x:c r="G50" s="9" t="s">
        <x:v>221</x:v>
      </x:c>
      <x:c r="H50" s="9" t="s">
        <x:v>199</x:v>
      </x:c>
      <x:c r="I50" s="9"/>
      <x:c r="J50" s="9" t="s">
        <x:v>200</x:v>
      </x:c>
    </x:row>
    <x:row r="51" ht="15" hidden="0">
      <x:c r="A51" s="9" t="s">
        <x:v>25</x:v>
      </x:c>
      <x:c r="B51" s="9" t="s">
        <x:v>220</x:v>
      </x:c>
      <x:c r="C51" s="9" t="s">
        <x:v>75</x:v>
      </x:c>
      <x:c r="D51" s="15" t="n">
        <x:v>0.268</x:v>
      </x:c>
      <x:c r="E51" s="15" t="n">
        <x:v>0.268043568189896</x:v>
      </x:c>
      <x:c r="F51" s="15" t="n">
        <x:v>0.268043568189896</x:v>
      </x:c>
      <x:c r="G51" s="9" t="s">
        <x:v>221</x:v>
      </x:c>
      <x:c r="H51" s="9" t="s">
        <x:v>199</x:v>
      </x:c>
      <x:c r="I51" s="9"/>
      <x:c r="J51" s="9" t="s">
        <x:v>200</x:v>
      </x:c>
    </x:row>
    <x:row r="52" ht="15" hidden="0">
      <x:c r="A52" s="9" t="s">
        <x:v>25</x:v>
      </x:c>
      <x:c r="B52" s="9" t="s">
        <x:v>220</x:v>
      </x:c>
      <x:c r="C52" s="9" t="s">
        <x:v>76</x:v>
      </x:c>
      <x:c r="D52" s="15" t="n">
        <x:v>0.2913</x:v>
      </x:c>
      <x:c r="E52" s="15" t="n">
        <x:v>0.291258514674256</x:v>
      </x:c>
      <x:c r="F52" s="15" t="n">
        <x:v>0.291258514674256</x:v>
      </x:c>
      <x:c r="G52" s="9" t="s">
        <x:v>221</x:v>
      </x:c>
      <x:c r="H52" s="9" t="s">
        <x:v>199</x:v>
      </x:c>
      <x:c r="I52" s="9"/>
      <x:c r="J52" s="9" t="s">
        <x:v>200</x:v>
      </x:c>
    </x:row>
    <x:row r="53" ht="15" hidden="0">
      <x:c r="A53" s="9" t="s">
        <x:v>25</x:v>
      </x:c>
      <x:c r="B53" s="9" t="s">
        <x:v>220</x:v>
      </x:c>
      <x:c r="C53" s="9" t="s">
        <x:v>77</x:v>
      </x:c>
      <x:c r="D53" s="15" t="n">
        <x:v>0.3922</x:v>
      </x:c>
      <x:c r="E53" s="15" t="n">
        <x:v>0.392202781754451</x:v>
      </x:c>
      <x:c r="F53" s="15" t="n">
        <x:v>0.392202781754451</x:v>
      </x:c>
      <x:c r="G53" s="9" t="s">
        <x:v>221</x:v>
      </x:c>
      <x:c r="H53" s="9" t="s">
        <x:v>199</x:v>
      </x:c>
      <x:c r="I53" s="9"/>
      <x:c r="J53" s="9" t="s">
        <x:v>200</x:v>
      </x:c>
    </x:row>
    <x:row r="54" ht="15" hidden="0">
      <x:c r="A54" s="9" t="s">
        <x:v>25</x:v>
      </x:c>
      <x:c r="B54" s="9" t="s">
        <x:v>222</x:v>
      </x:c>
      <x:c r="C54" s="9" t="s">
        <x:v>73</x:v>
      </x:c>
      <x:c r="D54" s="15" t="n">
        <x:v>0.1454</x:v>
      </x:c>
      <x:c r="E54" s="15" t="n">
        <x:v>0.145381908989703</x:v>
      </x:c>
      <x:c r="F54" s="15" t="n">
        <x:v>0.145381908989703</x:v>
      </x:c>
      <x:c r="G54" s="9" t="s">
        <x:v>223</x:v>
      </x:c>
      <x:c r="H54" s="9" t="s">
        <x:v>199</x:v>
      </x:c>
      <x:c r="I54" s="9"/>
      <x:c r="J54" s="9" t="s">
        <x:v>200</x:v>
      </x:c>
    </x:row>
    <x:row r="55" ht="15" hidden="0">
      <x:c r="A55" s="9" t="s">
        <x:v>25</x:v>
      </x:c>
      <x:c r="B55" s="9" t="s">
        <x:v>222</x:v>
      </x:c>
      <x:c r="C55" s="9" t="s">
        <x:v>74</x:v>
      </x:c>
      <x:c r="D55" s="15" t="n">
        <x:v>0.1528</x:v>
      </x:c>
      <x:c r="E55" s="15" t="n">
        <x:v>0.152820756957864</x:v>
      </x:c>
      <x:c r="F55" s="15" t="n">
        <x:v>0.152820756957864</x:v>
      </x:c>
      <x:c r="G55" s="9" t="s">
        <x:v>223</x:v>
      </x:c>
      <x:c r="H55" s="9" t="s">
        <x:v>199</x:v>
      </x:c>
      <x:c r="I55" s="9"/>
      <x:c r="J55" s="9" t="s">
        <x:v>200</x:v>
      </x:c>
    </x:row>
    <x:row r="56" ht="15" hidden="0">
      <x:c r="A56" s="9" t="s">
        <x:v>25</x:v>
      </x:c>
      <x:c r="B56" s="9" t="s">
        <x:v>222</x:v>
      </x:c>
      <x:c r="C56" s="9" t="s">
        <x:v>75</x:v>
      </x:c>
      <x:c r="D56" s="15" t="n">
        <x:v>0.1496</x:v>
      </x:c>
      <x:c r="E56" s="15" t="n">
        <x:v>0.149550528713846</x:v>
      </x:c>
      <x:c r="F56" s="15" t="n">
        <x:v>0.149550528713846</x:v>
      </x:c>
      <x:c r="G56" s="9" t="s">
        <x:v>223</x:v>
      </x:c>
      <x:c r="H56" s="9" t="s">
        <x:v>199</x:v>
      </x:c>
      <x:c r="I56" s="9"/>
      <x:c r="J56" s="9" t="s">
        <x:v>200</x:v>
      </x:c>
    </x:row>
    <x:row r="57" ht="15" hidden="0">
      <x:c r="A57" s="9" t="s">
        <x:v>25</x:v>
      </x:c>
      <x:c r="B57" s="9" t="s">
        <x:v>222</x:v>
      </x:c>
      <x:c r="C57" s="9" t="s">
        <x:v>76</x:v>
      </x:c>
      <x:c r="D57" s="15" t="n">
        <x:v>0.2301</x:v>
      </x:c>
      <x:c r="E57" s="15" t="n">
        <x:v>0.230115612198956</x:v>
      </x:c>
      <x:c r="F57" s="15" t="n">
        <x:v>0.230115612198956</x:v>
      </x:c>
      <x:c r="G57" s="9" t="s">
        <x:v>223</x:v>
      </x:c>
      <x:c r="H57" s="9" t="s">
        <x:v>199</x:v>
      </x:c>
      <x:c r="I57" s="9"/>
      <x:c r="J57" s="9" t="s">
        <x:v>200</x:v>
      </x:c>
    </x:row>
    <x:row r="58" ht="15" hidden="0">
      <x:c r="A58" s="9" t="s">
        <x:v>25</x:v>
      </x:c>
      <x:c r="B58" s="9" t="s">
        <x:v>222</x:v>
      </x:c>
      <x:c r="C58" s="9" t="s">
        <x:v>77</x:v>
      </x:c>
      <x:c r="D58" s="15" t="n">
        <x:v>0.3084</x:v>
      </x:c>
      <x:c r="E58" s="15" t="n">
        <x:v>0.308377197075949</x:v>
      </x:c>
      <x:c r="F58" s="15" t="n">
        <x:v>0.308377197075949</x:v>
      </x:c>
      <x:c r="G58" s="9" t="s">
        <x:v>223</x:v>
      </x:c>
      <x:c r="H58" s="9" t="s">
        <x:v>199</x:v>
      </x:c>
      <x:c r="I58" s="9"/>
      <x:c r="J58" s="9" t="s">
        <x:v>200</x:v>
      </x:c>
    </x:row>
    <x:row r="59" ht="15" hidden="0">
      <x:c r="A59" s="9" t="s">
        <x:v>25</x:v>
      </x:c>
      <x:c r="B59" s="9" t="s">
        <x:v>224</x:v>
      </x:c>
      <x:c r="C59" s="9" t="s">
        <x:v>73</x:v>
      </x:c>
      <x:c r="D59" s="15" t="n">
        <x:v>0.1574</x:v>
      </x:c>
      <x:c r="E59" s="15" t="n">
        <x:v>0.170817537532695</x:v>
      </x:c>
      <x:c r="F59" s="15" t="n">
        <x:v>0.157378498024666</x:v>
      </x:c>
      <x:c r="G59" s="9" t="s">
        <x:v>225</x:v>
      </x:c>
      <x:c r="H59" s="9" t="s">
        <x:v>209</x:v>
      </x:c>
      <x:c r="I59" s="9"/>
      <x:c r="J59" s="9" t="s">
        <x:v>200</x:v>
      </x:c>
    </x:row>
    <x:row r="60" ht="15" hidden="0">
      <x:c r="A60" s="9" t="s">
        <x:v>25</x:v>
      </x:c>
      <x:c r="B60" s="9" t="s">
        <x:v>224</x:v>
      </x:c>
      <x:c r="C60" s="9" t="s">
        <x:v>74</x:v>
      </x:c>
      <x:c r="D60" s="15" t="n">
        <x:v>0.1844</x:v>
      </x:c>
      <x:c r="E60" s="15" t="n">
        <x:v>0.20312531536122</x:v>
      </x:c>
      <x:c r="F60" s="15" t="n">
        <x:v>0.184402835233766</x:v>
      </x:c>
      <x:c r="G60" s="9" t="s">
        <x:v>225</x:v>
      </x:c>
      <x:c r="H60" s="9" t="s">
        <x:v>209</x:v>
      </x:c>
      <x:c r="I60" s="9"/>
      <x:c r="J60" s="9" t="s">
        <x:v>200</x:v>
      </x:c>
    </x:row>
    <x:row r="61" ht="15" hidden="0">
      <x:c r="A61" s="9" t="s">
        <x:v>25</x:v>
      </x:c>
      <x:c r="B61" s="9" t="s">
        <x:v>224</x:v>
      </x:c>
      <x:c r="C61" s="9" t="s">
        <x:v>75</x:v>
      </x:c>
      <x:c r="D61" s="15" t="n">
        <x:v>0.1785</x:v>
      </x:c>
      <x:c r="E61" s="15" t="n">
        <x:v>0.194490956803241</x:v>
      </x:c>
      <x:c r="F61" s="15" t="n">
        <x:v>0.178495649116641</x:v>
      </x:c>
      <x:c r="G61" s="9" t="s">
        <x:v>225</x:v>
      </x:c>
      <x:c r="H61" s="9" t="s">
        <x:v>209</x:v>
      </x:c>
      <x:c r="I61" s="9"/>
      <x:c r="J61" s="9" t="s">
        <x:v>200</x:v>
      </x:c>
    </x:row>
    <x:row r="62" ht="15" hidden="0">
      <x:c r="A62" s="9" t="s">
        <x:v>25</x:v>
      </x:c>
      <x:c r="B62" s="9" t="s">
        <x:v>224</x:v>
      </x:c>
      <x:c r="C62" s="9" t="s">
        <x:v>76</x:v>
      </x:c>
      <x:c r="D62" s="15" t="n">
        <x:v>0.2164</x:v>
      </x:c>
      <x:c r="E62" s="15" t="n">
        <x:v>0.241340909650054</x:v>
      </x:c>
      <x:c r="F62" s="15" t="n">
        <x:v>0.216436814572608</x:v>
      </x:c>
      <x:c r="G62" s="9" t="s">
        <x:v>225</x:v>
      </x:c>
      <x:c r="H62" s="9" t="s">
        <x:v>209</x:v>
      </x:c>
      <x:c r="I62" s="9"/>
      <x:c r="J62" s="9" t="s">
        <x:v>200</x:v>
      </x:c>
    </x:row>
    <x:row r="63" ht="15" hidden="0">
      <x:c r="A63" s="9" t="s">
        <x:v>25</x:v>
      </x:c>
      <x:c r="B63" s="9" t="s">
        <x:v>224</x:v>
      </x:c>
      <x:c r="C63" s="9" t="s">
        <x:v>77</x:v>
      </x:c>
      <x:c r="D63" s="15" t="n">
        <x:v>0.2414</x:v>
      </x:c>
      <x:c r="E63" s="15" t="n">
        <x:v>0.259982908981603</x:v>
      </x:c>
      <x:c r="F63" s="15" t="n">
        <x:v>0.24137435208871</x:v>
      </x:c>
      <x:c r="G63" s="9" t="s">
        <x:v>225</x:v>
      </x:c>
      <x:c r="H63" s="9" t="s">
        <x:v>209</x:v>
      </x:c>
      <x:c r="I63" s="9"/>
      <x:c r="J63" s="9" t="s">
        <x:v>200</x:v>
      </x:c>
    </x:row>
    <x:row r="64" ht="15" hidden="0">
      <x:c r="A64" s="9" t="s">
        <x:v>25</x:v>
      </x:c>
      <x:c r="B64" s="9" t="s">
        <x:v>226</x:v>
      </x:c>
      <x:c r="C64" s="9" t="s">
        <x:v>73</x:v>
      </x:c>
      <x:c r="D64" s="15" t="n">
        <x:v>0.2757</x:v>
      </x:c>
      <x:c r="E64" s="15" t="n">
        <x:v>0.275745065596762</x:v>
      </x:c>
      <x:c r="F64" s="15" t="n">
        <x:v>0.275745065596762</x:v>
      </x:c>
      <x:c r="G64" s="9" t="s">
        <x:v>155</x:v>
      </x:c>
      <x:c r="H64" s="9" t="s">
        <x:v>199</x:v>
      </x:c>
      <x:c r="I64" s="9"/>
      <x:c r="J64" s="9" t="s">
        <x:v>200</x:v>
      </x:c>
    </x:row>
    <x:row r="65" ht="15" hidden="0">
      <x:c r="A65" s="9" t="s">
        <x:v>25</x:v>
      </x:c>
      <x:c r="B65" s="9" t="s">
        <x:v>226</x:v>
      </x:c>
      <x:c r="C65" s="9" t="s">
        <x:v>74</x:v>
      </x:c>
      <x:c r="D65" s="15" t="n">
        <x:v>0.3218</x:v>
      </x:c>
      <x:c r="E65" s="15" t="n">
        <x:v>0.321845853135265</x:v>
      </x:c>
      <x:c r="F65" s="15" t="n">
        <x:v>0.321845853135265</x:v>
      </x:c>
      <x:c r="G65" s="9" t="s">
        <x:v>155</x:v>
      </x:c>
      <x:c r="H65" s="9" t="s">
        <x:v>199</x:v>
      </x:c>
      <x:c r="I65" s="9"/>
      <x:c r="J65" s="9" t="s">
        <x:v>200</x:v>
      </x:c>
    </x:row>
    <x:row r="66" ht="15" hidden="0">
      <x:c r="A66" s="9" t="s">
        <x:v>25</x:v>
      </x:c>
      <x:c r="B66" s="9" t="s">
        <x:v>226</x:v>
      </x:c>
      <x:c r="C66" s="9" t="s">
        <x:v>75</x:v>
      </x:c>
      <x:c r="D66" s="15" t="n">
        <x:v>0.3167</x:v>
      </x:c>
      <x:c r="E66" s="15" t="n">
        <x:v>0.316678599939661</x:v>
      </x:c>
      <x:c r="F66" s="15" t="n">
        <x:v>0.316678599939661</x:v>
      </x:c>
      <x:c r="G66" s="9" t="s">
        <x:v>155</x:v>
      </x:c>
      <x:c r="H66" s="9" t="s">
        <x:v>199</x:v>
      </x:c>
      <x:c r="I66" s="9"/>
      <x:c r="J66" s="9" t="s">
        <x:v>200</x:v>
      </x:c>
    </x:row>
    <x:row r="67" ht="15" hidden="0">
      <x:c r="A67" s="9" t="s">
        <x:v>25</x:v>
      </x:c>
      <x:c r="B67" s="9" t="s">
        <x:v>226</x:v>
      </x:c>
      <x:c r="C67" s="9" t="s">
        <x:v>76</x:v>
      </x:c>
      <x:c r="D67" s="15" t="n">
        <x:v>0.4046</x:v>
      </x:c>
      <x:c r="E67" s="15" t="n">
        <x:v>0.404588775484486</x:v>
      </x:c>
      <x:c r="F67" s="15" t="n">
        <x:v>0.404588775484486</x:v>
      </x:c>
      <x:c r="G67" s="9" t="s">
        <x:v>155</x:v>
      </x:c>
      <x:c r="H67" s="9" t="s">
        <x:v>199</x:v>
      </x:c>
      <x:c r="I67" s="9"/>
      <x:c r="J67" s="9" t="s">
        <x:v>200</x:v>
      </x:c>
    </x:row>
    <x:row r="68" ht="15" hidden="0">
      <x:c r="A68" s="9" t="s">
        <x:v>25</x:v>
      </x:c>
      <x:c r="B68" s="9" t="s">
        <x:v>226</x:v>
      </x:c>
      <x:c r="C68" s="9" t="s">
        <x:v>77</x:v>
      </x:c>
      <x:c r="D68" s="15" t="n">
        <x:v>0.5158</x:v>
      </x:c>
      <x:c r="E68" s="15" t="n">
        <x:v>0.515821702755359</x:v>
      </x:c>
      <x:c r="F68" s="15" t="n">
        <x:v>0.515821702755359</x:v>
      </x:c>
      <x:c r="G68" s="9" t="s">
        <x:v>155</x:v>
      </x:c>
      <x:c r="H68" s="9" t="s">
        <x:v>199</x:v>
      </x:c>
      <x:c r="I68" s="9"/>
      <x:c r="J68" s="9" t="s">
        <x:v>200</x:v>
      </x:c>
    </x:row>
    <x:row r="69" ht="15" hidden="0">
      <x:c r="A69" s="9" t="s">
        <x:v>25</x:v>
      </x:c>
      <x:c r="B69" s="9" t="s">
        <x:v>227</x:v>
      </x:c>
      <x:c r="C69" s="9" t="s">
        <x:v>73</x:v>
      </x:c>
      <x:c r="D69" s="15" t="n">
        <x:v>11.86</x:v>
      </x:c>
      <x:c r="E69" s="15" t="n">
        <x:f>KOHC!D174</x:f>
        <x:v>11.858688571154802</x:v>
      </x:c>
      <x:c r="F69" s="15" t="n">
        <x:f>'PSX Prices'!F6/(KOHC!D99/'PSX Prices'!O6)</x:f>
        <x:v>11.859262869598847</x:v>
      </x:c>
      <x:c r="G69" s="9" t="str">
        <x:v>Report price / (PAT / report-basis weighted shares)</x:v>
      </x:c>
      <x:c r="H69" s="9" t="str">
        <x:f>IF(AND(ISNUMBER(D69),ISNUMBER(F69)),IF(ROUND(D69,2)=ROUND(F69,2),"Reconstructed","Published value unresolved"),"Not comparable")</x:f>
        <x:v>Reconstructed</x:v>
      </x:c>
      <x:c r="I69"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69" s="9" t="s">
        <x:v>200</x:v>
      </x:c>
    </x:row>
    <x:row r="70" ht="15" hidden="0">
      <x:c r="A70" s="9" t="s">
        <x:v>25</x:v>
      </x:c>
      <x:c r="B70" s="9" t="s">
        <x:v>227</x:v>
      </x:c>
      <x:c r="C70" s="9" t="s">
        <x:v>74</x:v>
      </x:c>
      <x:c r="D70" s="15" t="n">
        <x:v>5.2</x:v>
      </x:c>
      <x:c r="E70" s="15" t="n">
        <x:f>KOHC!E174</x:f>
        <x:v>5.202353217973155</x:v>
      </x:c>
      <x:c r="F70" s="15" t="n">
        <x:f>'PSX Prices'!F7/(KOHC!E99/'PSX Prices'!O7)</x:f>
        <x:v>5.203152780444218</x:v>
      </x:c>
      <x:c r="G70" s="9" t="str">
        <x:v>Report price / (PAT / report-basis weighted shares)</x:v>
      </x:c>
      <x:c r="H70" s="9" t="str">
        <x:f>IF(AND(ISNUMBER(D70),ISNUMBER(F70)),IF(ROUND(D70,2)=ROUND(F70,2),"Reconstructed","Published value unresolved"),"Not comparable")</x:f>
        <x:v>Reconstructed</x:v>
      </x:c>
      <x:c r="I70"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70" s="9" t="s">
        <x:v>200</x:v>
      </x:c>
    </x:row>
    <x:row r="71" ht="15" hidden="0">
      <x:c r="A71" s="9" t="s">
        <x:v>25</x:v>
      </x:c>
      <x:c r="B71" s="9" t="s">
        <x:v>227</x:v>
      </x:c>
      <x:c r="C71" s="9" t="s">
        <x:v>75</x:v>
      </x:c>
      <x:c r="D71" s="15" t="n">
        <x:v>5.99</x:v>
      </x:c>
      <x:c r="E71" s="15" t="n">
        <x:f>KOHC!F174</x:f>
        <x:v>5.986067488990722</x:v>
      </x:c>
      <x:c r="F71" s="15" t="n">
        <x:f>'PSX Prices'!F8/(KOHC!F99/'PSX Prices'!O8)</x:f>
        <x:v>5.985377333057246</x:v>
      </x:c>
      <x:c r="G71" s="9" t="str">
        <x:v>Report price / (PAT / report-basis weighted shares)</x:v>
      </x:c>
      <x:c r="H71" s="9" t="str">
        <x:f>IF(AND(ISNUMBER(D71),ISNUMBER(F71)),IF(ROUND(D71,2)=ROUND(F71,2),"Reconstructed","Published value unresolved"),"Not comparable")</x:f>
        <x:v>Reconstructed</x:v>
      </x:c>
      <x:c r="I71"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71" s="9" t="s">
        <x:v>200</x:v>
      </x:c>
    </x:row>
    <x:row r="72" ht="15" hidden="0">
      <x:c r="A72" s="9" t="s">
        <x:v>25</x:v>
      </x:c>
      <x:c r="B72" s="9" t="s">
        <x:v>227</x:v>
      </x:c>
      <x:c r="C72" s="9" t="s">
        <x:v>76</x:v>
      </x:c>
      <x:c r="D72" s="15" t="n">
        <x:v>5.41</x:v>
      </x:c>
      <x:c r="E72" s="15" t="n">
        <x:f>KOHC!G174</x:f>
        <x:v>5.531397528519306</x:v>
      </x:c>
      <x:c r="F72" s="15" t="n">
        <x:f>'PSX Prices'!F9/(KOHC!G99/'PSX Prices'!O9)</x:f>
        <x:v>5.411461863543624</x:v>
      </x:c>
      <x:c r="G72" s="9" t="str">
        <x:v>Report price / (PAT / report-basis weighted shares)</x:v>
      </x:c>
      <x:c r="H72" s="9" t="str">
        <x:f>IF(AND(ISNUMBER(D72),ISNUMBER(F72)),IF(ROUND(D72,2)=ROUND(F72,2),"Reconstructed","Published value unresolved"),"Not comparable")</x:f>
        <x:v>Reconstructed</x:v>
      </x:c>
      <x:c r="I72"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72" s="9" t="s">
        <x:v>200</x:v>
      </x:c>
    </x:row>
    <x:row r="73" ht="15" hidden="0">
      <x:c r="A73" s="9" t="s">
        <x:v>25</x:v>
      </x:c>
      <x:c r="B73" s="9" t="s">
        <x:v>227</x:v>
      </x:c>
      <x:c r="C73" s="9" t="s">
        <x:v>77</x:v>
      </x:c>
      <x:c r="D73" s="15" t="n">
        <x:v>6.32</x:v>
      </x:c>
      <x:c r="E73" s="15" t="n">
        <x:f>KOHC!H174</x:f>
        <x:v>6.339354531361382</x:v>
      </x:c>
      <x:c r="F73" s="15" t="n">
        <x:f>'PSX Prices'!F10/(KOHC!H99/'PSX Prices'!O10)</x:f>
        <x:v>6.322476768611817</x:v>
      </x:c>
      <x:c r="G73" s="9" t="str">
        <x:v>Report price / (PAT / report-basis weighted shares)</x:v>
      </x:c>
      <x:c r="H73" s="9" t="str">
        <x:f>IF(AND(ISNUMBER(D73),ISNUMBER(F73)),IF(ROUND(D73,2)=ROUND(F73,2),"Reconstructed","Published value unresolved"),"Not comparable")</x:f>
        <x:v>Reconstructed</x:v>
      </x:c>
      <x:c r="I73"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73" s="9" t="s">
        <x:v>200</x:v>
      </x:c>
    </x:row>
    <x:row r="74" ht="15" hidden="0">
      <x:c r="A74" s="9" t="s">
        <x:v>25</x:v>
      </x:c>
      <x:c r="B74" s="9" t="s">
        <x:v>228</x:v>
      </x:c>
      <x:c r="C74" s="9" t="s">
        <x:v>73</x:v>
      </x:c>
      <x:c r="D74" s="15" t="n">
        <x:v>0.23</x:v>
      </x:c>
      <x:c r="E74" s="15" t="n">
        <x:f>KOHC!D172</x:f>
        <x:v>1.8663025958706099</x:v>
      </x:c>
      <x:c r="F74" s="9" t="n">
        <x:f>'PSX Prices'!F6/'PSX Prices'!M6</x:f>
        <x:v>1.8662449164030728</x:v>
      </x:c>
      <x:c r="G74" s="9" t="str">
        <x:v>Diagnostic: reported price / reported BVPS; company convention unresolved</x:v>
      </x:c>
      <x:c r="H74" s="9" t="str">
        <x:f>IF(AND(ISNUMBER(D74),ISNUMBER(F74)),IF(ROUND(D74,2)=ROUND(F74,2),"Reconstructed","Published value unresolved"),"Not comparable")</x:f>
        <x:v>Published value unresolved</x:v>
      </x:c>
      <x:c r="I74"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74" s="9" t="s">
        <x:v>200</x:v>
      </x:c>
    </x:row>
    <x:row r="75" ht="15" hidden="0">
      <x:c r="A75" s="9" t="s">
        <x:v>25</x:v>
      </x:c>
      <x:c r="B75" s="9" t="s">
        <x:v>228</x:v>
      </x:c>
      <x:c r="C75" s="9" t="s">
        <x:v>74</x:v>
      </x:c>
      <x:c r="D75" s="15" t="n">
        <x:v>0.12</x:v>
      </x:c>
      <x:c r="E75" s="15" t="n">
        <x:f>KOHC!E172</x:f>
        <x:v>0.959328683281757</x:v>
      </x:c>
      <x:c r="F75" s="9" t="n">
        <x:f>'PSX Prices'!F7/'PSX Prices'!M7</x:f>
        <x:v>0.9594544784371545</x:v>
      </x:c>
      <x:c r="G75" s="9" t="str">
        <x:v>Diagnostic: reported price / reported BVPS; company convention unresolved</x:v>
      </x:c>
      <x:c r="H75" s="9" t="str">
        <x:f>IF(AND(ISNUMBER(D75),ISNUMBER(F75)),IF(ROUND(D75,2)=ROUND(F75,2),"Reconstructed","Published value unresolved"),"Not comparable")</x:f>
        <x:v>Published value unresolved</x:v>
      </x:c>
      <x:c r="I75"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75" s="9" t="s">
        <x:v>200</x:v>
      </x:c>
    </x:row>
    <x:row r="76" ht="15" hidden="0">
      <x:c r="A76" s="9" t="s">
        <x:v>25</x:v>
      </x:c>
      <x:c r="B76" s="9" t="s">
        <x:v>228</x:v>
      </x:c>
      <x:c r="C76" s="9" t="s">
        <x:v>75</x:v>
      </x:c>
      <x:c r="D76" s="15" t="n">
        <x:v>0.14</x:v>
      </x:c>
      <x:c r="E76" s="15" t="n">
        <x:f>KOHC!F172</x:f>
        <x:v>1.0684870021034203</x:v>
      </x:c>
      <x:c r="F76" s="9" t="n">
        <x:f>'PSX Prices'!F8/'PSX Prices'!M8</x:f>
        <x:v>1.0683708038189097</x:v>
      </x:c>
      <x:c r="G76" s="9" t="str">
        <x:v>Diagnostic: reported price / reported BVPS; company convention unresolved</x:v>
      </x:c>
      <x:c r="H76" s="9" t="str">
        <x:f>IF(AND(ISNUMBER(D76),ISNUMBER(F76)),IF(ROUND(D76,2)=ROUND(F76,2),"Reconstructed","Published value unresolved"),"Not comparable")</x:f>
        <x:v>Published value unresolved</x:v>
      </x:c>
      <x:c r="I76"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76" s="9" t="s">
        <x:v>200</x:v>
      </x:c>
    </x:row>
    <x:row r="77" ht="15" hidden="0">
      <x:c r="A77" s="9" t="s">
        <x:v>25</x:v>
      </x:c>
      <x:c r="B77" s="9" t="s">
        <x:v>228</x:v>
      </x:c>
      <x:c r="C77" s="9" t="s">
        <x:v>76</x:v>
      </x:c>
      <x:c r="D77" s="15" t="n">
        <x:v>0.82</x:v>
      </x:c>
      <x:c r="E77" s="15" t="n">
        <x:f>KOHC!G172</x:f>
        <x:v>1.1937011482475721</x:v>
      </x:c>
      <x:c r="F77" s="9" t="n">
        <x:f>'PSX Prices'!F9/'PSX Prices'!M9</x:f>
        <x:v>1.1711281070745696</x:v>
      </x:c>
      <x:c r="G77" s="9" t="str">
        <x:v>Diagnostic: reported price / reported BVPS; company convention unresolved</x:v>
      </x:c>
      <x:c r="H77" s="9" t="str">
        <x:f>IF(AND(ISNUMBER(D77),ISNUMBER(F77)),IF(ROUND(D77,2)=ROUND(F77,2),"Reconstructed","Published value unresolved"),"Not comparable")</x:f>
        <x:v>Published value unresolved</x:v>
      </x:c>
      <x:c r="I77"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77" s="9" t="s">
        <x:v>200</x:v>
      </x:c>
    </x:row>
    <x:row r="78" ht="15" hidden="0">
      <x:c r="A78" s="9" t="s">
        <x:v>25</x:v>
      </x:c>
      <x:c r="B78" s="9" t="s">
        <x:v>228</x:v>
      </x:c>
      <x:c r="C78" s="9" t="s">
        <x:v>77</x:v>
      </x:c>
      <x:c r="D78" s="15" t="n">
        <x:v>1.1</x:v>
      </x:c>
      <x:c r="E78" s="15" t="n">
        <x:f>KOHC!H172</x:f>
        <x:v>1.4544747850514033</x:v>
      </x:c>
      <x:c r="F78" s="9" t="n">
        <x:f>'PSX Prices'!F10/'PSX Prices'!M10</x:f>
        <x:v>1.5262202501008473</x:v>
      </x:c>
      <x:c r="G78" s="9" t="str">
        <x:v>Diagnostic: reported price / reported BVPS; company convention unresolved</x:v>
      </x:c>
      <x:c r="H78" s="9" t="str">
        <x:f>IF(AND(ISNUMBER(D78),ISNUMBER(F78)),IF(ROUND(D78,2)=ROUND(F78,2),"Reconstructed","Published value unresolved"),"Not comparable")</x:f>
        <x:v>Published value unresolved</x:v>
      </x:c>
      <x:c r="I78"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78" s="9" t="s">
        <x:v>200</x:v>
      </x:c>
    </x:row>
    <x:row r="79" ht="15" hidden="0">
      <x:c r="A79" s="9" t="s">
        <x:v>25</x:v>
      </x:c>
      <x:c r="B79" s="9" t="s">
        <x:v>229</x:v>
      </x:c>
      <x:c r="C79" s="9" t="s">
        <x:v>73</x:v>
      </x:c>
      <x:c r="D79" s="15" t="n">
        <x:v>0.21</x:v>
      </x:c>
      <x:c r="E79" s="15" t="n">
        <x:v>0.214002846671619</x:v>
      </x:c>
      <x:c r="F79" s="15" t="n">
        <x:v>0.214002846671619</x:v>
      </x:c>
      <x:c r="G79" s="9" t="s">
        <x:v>230</x:v>
      </x:c>
      <x:c r="H79" s="9" t="s">
        <x:v>199</x:v>
      </x:c>
      <x:c r="I79" s="9"/>
      <x:c r="J79" s="9" t="s">
        <x:v>200</x:v>
      </x:c>
    </x:row>
    <x:row r="80" ht="15" hidden="0">
      <x:c r="A80" s="9" t="s">
        <x:v>25</x:v>
      </x:c>
      <x:c r="B80" s="9" t="s">
        <x:v>229</x:v>
      </x:c>
      <x:c r="C80" s="9" t="s">
        <x:v>74</x:v>
      </x:c>
      <x:c r="D80" s="15" t="n">
        <x:v>0.13</x:v>
      </x:c>
      <x:c r="E80" s="15" t="n">
        <x:v>0.134972872758543</x:v>
      </x:c>
      <x:c r="F80" s="15" t="n">
        <x:v>0.134972872758543</x:v>
      </x:c>
      <x:c r="G80" s="9" t="s">
        <x:v>230</x:v>
      </x:c>
      <x:c r="H80" s="9" t="s">
        <x:v>199</x:v>
      </x:c>
      <x:c r="I80" s="9"/>
      <x:c r="J80" s="9" t="s">
        <x:v>200</x:v>
      </x:c>
    </x:row>
    <x:row r="81" ht="15" hidden="0">
      <x:c r="A81" s="9" t="s">
        <x:v>25</x:v>
      </x:c>
      <x:c r="B81" s="9" t="s">
        <x:v>229</x:v>
      </x:c>
      <x:c r="C81" s="9" t="s">
        <x:v>75</x:v>
      </x:c>
      <x:c r="D81" s="15" t="n">
        <x:v>0.09</x:v>
      </x:c>
      <x:c r="E81" s="15" t="n">
        <x:v>0.0889373914621335</x:v>
      </x:c>
      <x:c r="F81" s="15" t="n">
        <x:v>0.0889373914621335</x:v>
      </x:c>
      <x:c r="G81" s="9" t="s">
        <x:v>230</x:v>
      </x:c>
      <x:c r="H81" s="9" t="s">
        <x:v>199</x:v>
      </x:c>
      <x:c r="I81" s="9"/>
      <x:c r="J81" s="9" t="s">
        <x:v>200</x:v>
      </x:c>
    </x:row>
    <x:row r="82" ht="15" hidden="0">
      <x:c r="A82" s="9" t="s">
        <x:v>25</x:v>
      </x:c>
      <x:c r="B82" s="9" t="s">
        <x:v>229</x:v>
      </x:c>
      <x:c r="C82" s="9" t="s">
        <x:v>76</x:v>
      </x:c>
      <x:c r="D82" s="15" t="n">
        <x:v>0.05</x:v>
      </x:c>
      <x:c r="E82" s="15" t="n">
        <x:v>0.0527452465390166</x:v>
      </x:c>
      <x:c r="F82" s="15" t="n">
        <x:v>0.0527452465390166</x:v>
      </x:c>
      <x:c r="G82" s="9" t="s">
        <x:v>230</x:v>
      </x:c>
      <x:c r="H82" s="9" t="s">
        <x:v>199</x:v>
      </x:c>
      <x:c r="I82" s="9"/>
      <x:c r="J82" s="9" t="s">
        <x:v>200</x:v>
      </x:c>
    </x:row>
    <x:row r="83" ht="15" hidden="0">
      <x:c r="A83" s="9" t="s">
        <x:v>25</x:v>
      </x:c>
      <x:c r="B83" s="9" t="s">
        <x:v>229</x:v>
      </x:c>
      <x:c r="C83" s="9" t="s">
        <x:v>77</x:v>
      </x:c>
      <x:c r="D83" s="15" t="n">
        <x:v>0.04</x:v>
      </x:c>
      <x:c r="E83" s="15" t="n">
        <x:v>0.0455772942895468</x:v>
      </x:c>
      <x:c r="F83" s="15" t="n">
        <x:v>0.0455772942895468</x:v>
      </x:c>
      <x:c r="G83" s="9" t="s">
        <x:v>230</x:v>
      </x:c>
      <x:c r="H83" s="9" t="s">
        <x:v>231</x:v>
      </x:c>
      <x:c r="I83" s="9"/>
      <x:c r="J83" s="9" t="s">
        <x:v>200</x:v>
      </x:c>
    </x:row>
    <x:row r="84" ht="15" hidden="0">
      <x:c r="A84" s="9" t="s">
        <x:v>25</x:v>
      </x:c>
      <x:c r="B84" s="9" t="s">
        <x:v>232</x:v>
      </x:c>
      <x:c r="C84" s="9" t="s">
        <x:v>73</x:v>
      </x:c>
      <x:c r="D84" s="15" t="n">
        <x:v>0.206</x:v>
      </x:c>
      <x:c r="E84" s="15" t="n">
        <x:v>0.200141886988245</x:v>
      </x:c>
      <x:c r="F84" s="9"/>
      <x:c r="G84" s="9" t="s">
        <x:v>204</x:v>
      </x:c>
      <x:c r="H84" s="9" t="s">
        <x:v>205</x:v>
      </x:c>
      <x:c r="I84" s="9" t="s">
        <x:v>206</x:v>
      </x:c>
      <x:c r="J84" s="9" t="s">
        <x:v>200</x:v>
      </x:c>
    </x:row>
    <x:row r="85" ht="15" hidden="0">
      <x:c r="A85" s="9" t="s">
        <x:v>25</x:v>
      </x:c>
      <x:c r="B85" s="9" t="s">
        <x:v>232</x:v>
      </x:c>
      <x:c r="C85" s="9" t="s">
        <x:v>74</x:v>
      </x:c>
      <x:c r="D85" s="15" t="n">
        <x:v>0.3075</x:v>
      </x:c>
      <x:c r="E85" s="15" t="n">
        <x:v>0.303417802575233</x:v>
      </x:c>
      <x:c r="F85" s="9"/>
      <x:c r="G85" s="9" t="s">
        <x:v>204</x:v>
      </x:c>
      <x:c r="H85" s="9" t="s">
        <x:v>205</x:v>
      </x:c>
      <x:c r="I85" s="9" t="s">
        <x:v>206</x:v>
      </x:c>
      <x:c r="J85" s="9" t="s">
        <x:v>200</x:v>
      </x:c>
    </x:row>
    <x:row r="86" ht="15" hidden="0">
      <x:c r="A86" s="9" t="s">
        <x:v>25</x:v>
      </x:c>
      <x:c r="B86" s="9" t="s">
        <x:v>232</x:v>
      </x:c>
      <x:c r="C86" s="9" t="s">
        <x:v>75</x:v>
      </x:c>
      <x:c r="D86" s="15" t="n">
        <x:v>0.2799</x:v>
      </x:c>
      <x:c r="E86" s="15" t="n">
        <x:v>0.305105952286346</x:v>
      </x:c>
      <x:c r="F86" s="9"/>
      <x:c r="G86" s="9" t="s">
        <x:v>204</x:v>
      </x:c>
      <x:c r="H86" s="9" t="s">
        <x:v>205</x:v>
      </x:c>
      <x:c r="I86" s="9" t="s">
        <x:v>206</x:v>
      </x:c>
      <x:c r="J86" s="9" t="s">
        <x:v>200</x:v>
      </x:c>
    </x:row>
    <x:row r="87" ht="15" hidden="0">
      <x:c r="A87" s="9" t="s">
        <x:v>25</x:v>
      </x:c>
      <x:c r="B87" s="9" t="s">
        <x:v>232</x:v>
      </x:c>
      <x:c r="C87" s="9" t="s">
        <x:v>76</x:v>
      </x:c>
      <x:c r="D87" s="15" t="n">
        <x:v>0.2599</x:v>
      </x:c>
      <x:c r="E87" s="15" t="n">
        <x:v>0.330879011454611</x:v>
      </x:c>
      <x:c r="F87" s="9"/>
      <x:c r="G87" s="9" t="s">
        <x:v>204</x:v>
      </x:c>
      <x:c r="H87" s="9" t="s">
        <x:v>205</x:v>
      </x:c>
      <x:c r="I87" s="9" t="s">
        <x:v>206</x:v>
      </x:c>
      <x:c r="J87" s="9" t="s">
        <x:v>200</x:v>
      </x:c>
    </x:row>
    <x:row r="88" ht="15" hidden="0">
      <x:c r="A88" s="9" t="s">
        <x:v>25</x:v>
      </x:c>
      <x:c r="B88" s="9" t="s">
        <x:v>232</x:v>
      </x:c>
      <x:c r="C88" s="9" t="s">
        <x:v>77</x:v>
      </x:c>
      <x:c r="D88" s="15" t="n">
        <x:v>0.2798</x:v>
      </x:c>
      <x:c r="E88" s="15" t="n">
        <x:v>0.351801841097708</x:v>
      </x:c>
      <x:c r="F88" s="9"/>
      <x:c r="G88" s="9" t="s">
        <x:v>204</x:v>
      </x:c>
      <x:c r="H88" s="9" t="s">
        <x:v>205</x:v>
      </x:c>
      <x:c r="I88" s="9" t="s">
        <x:v>206</x:v>
      </x:c>
      <x:c r="J88" s="9" t="s">
        <x:v>200</x:v>
      </x:c>
    </x:row>
    <x:row r="89" ht="15" hidden="0">
      <x:c r="A89" s="9" t="s">
        <x:v>31</x:v>
      </x:c>
      <x:c r="B89" s="9" t="s">
        <x:v>203</x:v>
      </x:c>
      <x:c r="C89" s="9" t="s">
        <x:v>73</x:v>
      </x:c>
      <x:c r="D89" s="15" t="n">
        <x:v>3.81</x:v>
      </x:c>
      <x:c r="E89" s="15" t="n">
        <x:v>3.81360731271393</x:v>
      </x:c>
      <x:c r="F89" s="15" t="n">
        <x:v>3.81360731271393</x:v>
      </x:c>
      <x:c r="G89" s="9" t="s">
        <x:v>233</x:v>
      </x:c>
      <x:c r="H89" s="9" t="s">
        <x:v>199</x:v>
      </x:c>
      <x:c r="I89" s="9"/>
      <x:c r="J89" s="9" t="s">
        <x:v>234</x:v>
      </x:c>
    </x:row>
    <x:row r="90" ht="15" hidden="0">
      <x:c r="A90" s="9" t="s">
        <x:v>31</x:v>
      </x:c>
      <x:c r="B90" s="9" t="s">
        <x:v>203</x:v>
      </x:c>
      <x:c r="C90" s="9" t="s">
        <x:v>74</x:v>
      </x:c>
      <x:c r="D90" s="15" t="n">
        <x:v>3.66</x:v>
      </x:c>
      <x:c r="E90" s="15" t="n">
        <x:v>3.65773312605942</x:v>
      </x:c>
      <x:c r="F90" s="15" t="n">
        <x:v>3.65773312605942</x:v>
      </x:c>
      <x:c r="G90" s="9" t="s">
        <x:v>233</x:v>
      </x:c>
      <x:c r="H90" s="9" t="s">
        <x:v>199</x:v>
      </x:c>
      <x:c r="I90" s="9"/>
      <x:c r="J90" s="9" t="s">
        <x:v>234</x:v>
      </x:c>
    </x:row>
    <x:row r="91" ht="15" hidden="0">
      <x:c r="A91" s="9" t="s">
        <x:v>31</x:v>
      </x:c>
      <x:c r="B91" s="9" t="s">
        <x:v>203</x:v>
      </x:c>
      <x:c r="C91" s="9" t="s">
        <x:v>75</x:v>
      </x:c>
      <x:c r="D91" s="15" t="n">
        <x:v>3.62</x:v>
      </x:c>
      <x:c r="E91" s="15" t="n">
        <x:v>3.62348183877679</x:v>
      </x:c>
      <x:c r="F91" s="15" t="n">
        <x:v>3.62348183877679</x:v>
      </x:c>
      <x:c r="G91" s="9" t="s">
        <x:v>233</x:v>
      </x:c>
      <x:c r="H91" s="9" t="s">
        <x:v>199</x:v>
      </x:c>
      <x:c r="I91" s="9"/>
      <x:c r="J91" s="9" t="s">
        <x:v>234</x:v>
      </x:c>
    </x:row>
    <x:row r="92" ht="15" hidden="0">
      <x:c r="A92" s="9" t="s">
        <x:v>31</x:v>
      </x:c>
      <x:c r="B92" s="9" t="s">
        <x:v>203</x:v>
      </x:c>
      <x:c r="C92" s="9" t="s">
        <x:v>76</x:v>
      </x:c>
      <x:c r="D92" s="15" t="n">
        <x:v>3.54</x:v>
      </x:c>
      <x:c r="E92" s="15" t="n">
        <x:v>3.54016995509484</x:v>
      </x:c>
      <x:c r="F92" s="15" t="n">
        <x:v>3.54016995509484</x:v>
      </x:c>
      <x:c r="G92" s="9" t="s">
        <x:v>233</x:v>
      </x:c>
      <x:c r="H92" s="9" t="s">
        <x:v>199</x:v>
      </x:c>
      <x:c r="I92" s="9"/>
      <x:c r="J92" s="9" t="s">
        <x:v>234</x:v>
      </x:c>
    </x:row>
    <x:row r="93" ht="15" hidden="0">
      <x:c r="A93" s="9" t="s">
        <x:v>31</x:v>
      </x:c>
      <x:c r="B93" s="9" t="s">
        <x:v>203</x:v>
      </x:c>
      <x:c r="C93" s="9" t="s">
        <x:v>77</x:v>
      </x:c>
      <x:c r="D93" s="15" t="n">
        <x:v>3.43</x:v>
      </x:c>
      <x:c r="E93" s="15" t="n">
        <x:v>3.42609495259003</x:v>
      </x:c>
      <x:c r="F93" s="15" t="n">
        <x:v>3.42609495259003</x:v>
      </x:c>
      <x:c r="G93" s="9" t="s">
        <x:v>233</x:v>
      </x:c>
      <x:c r="H93" s="9" t="s">
        <x:v>199</x:v>
      </x:c>
      <x:c r="I93" s="9"/>
      <x:c r="J93" s="9" t="s">
        <x:v>234</x:v>
      </x:c>
    </x:row>
    <x:row r="94" ht="15" hidden="0">
      <x:c r="A94" s="9" t="s">
        <x:v>31</x:v>
      </x:c>
      <x:c r="B94" s="9" t="s">
        <x:v>235</x:v>
      </x:c>
      <x:c r="C94" s="9" t="s">
        <x:v>73</x:v>
      </x:c>
      <x:c r="D94" s="15" t="n">
        <x:v>17.78</x:v>
      </x:c>
      <x:c r="E94" s="15" t="n">
        <x:v>17.7824983331561</x:v>
      </x:c>
      <x:c r="F94" s="15" t="n">
        <x:v>17.7824983331561</x:v>
      </x:c>
      <x:c r="G94" s="9" t="s">
        <x:v>236</x:v>
      </x:c>
      <x:c r="H94" s="9" t="s">
        <x:v>199</x:v>
      </x:c>
      <x:c r="I94" s="9"/>
      <x:c r="J94" s="9" t="s">
        <x:v>234</x:v>
      </x:c>
    </x:row>
    <x:row r="95" ht="15" hidden="0">
      <x:c r="A95" s="9" t="s">
        <x:v>31</x:v>
      </x:c>
      <x:c r="B95" s="9" t="s">
        <x:v>235</x:v>
      </x:c>
      <x:c r="C95" s="9" t="s">
        <x:v>74</x:v>
      </x:c>
      <x:c r="D95" s="15" t="n">
        <x:v>14.03</x:v>
      </x:c>
      <x:c r="E95" s="15" t="n">
        <x:v>14.0273183339854</x:v>
      </x:c>
      <x:c r="F95" s="15" t="n">
        <x:v>14.0273183339854</x:v>
      </x:c>
      <x:c r="G95" s="9" t="s">
        <x:v>236</x:v>
      </x:c>
      <x:c r="H95" s="9" t="s">
        <x:v>199</x:v>
      </x:c>
      <x:c r="I95" s="9"/>
      <x:c r="J95" s="9" t="s">
        <x:v>234</x:v>
      </x:c>
    </x:row>
    <x:row r="96" ht="15" hidden="0">
      <x:c r="A96" s="9" t="s">
        <x:v>31</x:v>
      </x:c>
      <x:c r="B96" s="9" t="s">
        <x:v>235</x:v>
      </x:c>
      <x:c r="C96" s="9" t="s">
        <x:v>75</x:v>
      </x:c>
      <x:c r="D96" s="15" t="n">
        <x:v>16.4</x:v>
      </x:c>
      <x:c r="E96" s="15" t="n">
        <x:v>16.4015853156248</x:v>
      </x:c>
      <x:c r="F96" s="15" t="n">
        <x:v>16.4015853156248</x:v>
      </x:c>
      <x:c r="G96" s="9" t="s">
        <x:v>236</x:v>
      </x:c>
      <x:c r="H96" s="9" t="s">
        <x:v>199</x:v>
      </x:c>
      <x:c r="I96" s="9"/>
      <x:c r="J96" s="9" t="s">
        <x:v>234</x:v>
      </x:c>
    </x:row>
    <x:row r="97" ht="15" hidden="0">
      <x:c r="A97" s="9" t="s">
        <x:v>31</x:v>
      </x:c>
      <x:c r="B97" s="9" t="s">
        <x:v>235</x:v>
      </x:c>
      <x:c r="C97" s="9" t="s">
        <x:v>76</x:v>
      </x:c>
      <x:c r="D97" s="15" t="n">
        <x:v>19.02</x:v>
      </x:c>
      <x:c r="E97" s="15" t="n">
        <x:v>19.0248666676113</x:v>
      </x:c>
      <x:c r="F97" s="15" t="n">
        <x:v>19.0248666676113</x:v>
      </x:c>
      <x:c r="G97" s="9" t="s">
        <x:v>236</x:v>
      </x:c>
      <x:c r="H97" s="9" t="s">
        <x:v>199</x:v>
      </x:c>
      <x:c r="I97" s="9"/>
      <x:c r="J97" s="9" t="s">
        <x:v>234</x:v>
      </x:c>
    </x:row>
    <x:row r="98" ht="15" hidden="0">
      <x:c r="A98" s="9" t="s">
        <x:v>31</x:v>
      </x:c>
      <x:c r="B98" s="9" t="s">
        <x:v>235</x:v>
      </x:c>
      <x:c r="C98" s="9" t="s">
        <x:v>77</x:v>
      </x:c>
      <x:c r="D98" s="15" t="n">
        <x:v>19.48</x:v>
      </x:c>
      <x:c r="E98" s="15" t="n">
        <x:v>19.4731456215086</x:v>
      </x:c>
      <x:c r="F98" s="15" t="n">
        <x:v>19.4731456215086</x:v>
      </x:c>
      <x:c r="G98" s="9" t="s">
        <x:v>236</x:v>
      </x:c>
      <x:c r="H98" s="9" t="s">
        <x:v>237</x:v>
      </x:c>
      <x:c r="I98" s="9"/>
      <x:c r="J98" s="9" t="s">
        <x:v>234</x:v>
      </x:c>
    </x:row>
    <x:row r="99" ht="15" hidden="0">
      <x:c r="A99" s="9" t="s">
        <x:v>31</x:v>
      </x:c>
      <x:c r="B99" s="9" t="s">
        <x:v>238</x:v>
      </x:c>
      <x:c r="C99" s="9" t="s">
        <x:v>73</x:v>
      </x:c>
      <x:c r="D99" s="15" t="n">
        <x:v>166.67</x:v>
      </x:c>
      <x:c r="E99" s="15" t="n">
        <x:v>22.7445155974419</x:v>
      </x:c>
      <x:c r="F99" s="9"/>
      <x:c r="G99" s="9" t="s">
        <x:v>204</x:v>
      </x:c>
      <x:c r="H99" s="9" t="s">
        <x:v>205</x:v>
      </x:c>
      <x:c r="I99" s="9" t="s">
        <x:v>206</x:v>
      </x:c>
      <x:c r="J99" s="9" t="s">
        <x:v>234</x:v>
      </x:c>
    </x:row>
    <x:row r="100" ht="15" hidden="0">
      <x:c r="A100" s="9" t="s">
        <x:v>31</x:v>
      </x:c>
      <x:c r="B100" s="9" t="s">
        <x:v>238</x:v>
      </x:c>
      <x:c r="C100" s="9" t="s">
        <x:v>74</x:v>
      </x:c>
      <x:c r="D100" s="15" t="n">
        <x:v>137.22</x:v>
      </x:c>
      <x:c r="E100" s="15" t="n">
        <x:v>19.4385651769088</x:v>
      </x:c>
      <x:c r="F100" s="9"/>
      <x:c r="G100" s="9" t="s">
        <x:v>204</x:v>
      </x:c>
      <x:c r="H100" s="9" t="s">
        <x:v>205</x:v>
      </x:c>
      <x:c r="I100" s="9" t="s">
        <x:v>206</x:v>
      </x:c>
      <x:c r="J100" s="9" t="s">
        <x:v>234</x:v>
      </x:c>
    </x:row>
    <x:row r="101" ht="15" hidden="0">
      <x:c r="A101" s="9" t="s">
        <x:v>31</x:v>
      </x:c>
      <x:c r="B101" s="9" t="s">
        <x:v>238</x:v>
      </x:c>
      <x:c r="C101" s="9" t="s">
        <x:v>75</x:v>
      </x:c>
      <x:c r="D101" s="15" t="n">
        <x:v>138.78</x:v>
      </x:c>
      <x:c r="E101" s="15" t="n">
        <x:v>21.9286880716242</x:v>
      </x:c>
      <x:c r="F101" s="9"/>
      <x:c r="G101" s="9" t="s">
        <x:v>204</x:v>
      </x:c>
      <x:c r="H101" s="9" t="s">
        <x:v>205</x:v>
      </x:c>
      <x:c r="I101" s="9" t="s">
        <x:v>206</x:v>
      </x:c>
      <x:c r="J101" s="9" t="s">
        <x:v>234</x:v>
      </x:c>
    </x:row>
    <x:row r="102" ht="15" hidden="0">
      <x:c r="A102" s="9" t="s">
        <x:v>31</x:v>
      </x:c>
      <x:c r="B102" s="9" t="s">
        <x:v>238</x:v>
      </x:c>
      <x:c r="C102" s="9" t="s">
        <x:v>76</x:v>
      </x:c>
      <x:c r="D102" s="15" t="n">
        <x:v>143.14</x:v>
      </x:c>
      <x:c r="E102" s="15" t="n">
        <x:v>29.1032430318881</x:v>
      </x:c>
      <x:c r="F102" s="9"/>
      <x:c r="G102" s="9" t="s">
        <x:v>204</x:v>
      </x:c>
      <x:c r="H102" s="9" t="s">
        <x:v>205</x:v>
      </x:c>
      <x:c r="I102" s="9" t="s">
        <x:v>206</x:v>
      </x:c>
      <x:c r="J102" s="9" t="s">
        <x:v>234</x:v>
      </x:c>
    </x:row>
    <x:row r="103" ht="15" hidden="0">
      <x:c r="A103" s="9" t="s">
        <x:v>31</x:v>
      </x:c>
      <x:c r="B103" s="9" t="s">
        <x:v>238</x:v>
      </x:c>
      <x:c r="C103" s="9" t="s">
        <x:v>77</x:v>
      </x:c>
      <x:c r="D103" s="15" t="n">
        <x:v>127.62</x:v>
      </x:c>
      <x:c r="E103" s="15" t="n">
        <x:v>30.3302992616379</x:v>
      </x:c>
      <x:c r="F103" s="9"/>
      <x:c r="G103" s="9" t="s">
        <x:v>204</x:v>
      </x:c>
      <x:c r="H103" s="9" t="s">
        <x:v>205</x:v>
      </x:c>
      <x:c r="I103" s="9" t="s">
        <x:v>206</x:v>
      </x:c>
      <x:c r="J103" s="9" t="s">
        <x:v>234</x:v>
      </x:c>
    </x:row>
    <x:row r="104" ht="15" hidden="0">
      <x:c r="A104" s="9" t="s">
        <x:v>31</x:v>
      </x:c>
      <x:c r="B104" s="9" t="s">
        <x:v>214</x:v>
      </x:c>
      <x:c r="C104" s="9" t="s">
        <x:v>73</x:v>
      </x:c>
      <x:c r="D104" s="15" t="n">
        <x:v>0.4</x:v>
      </x:c>
      <x:c r="E104" s="15" t="n">
        <x:v>0.4307524710052</x:v>
      </x:c>
      <x:c r="F104" s="15" t="n">
        <x:v>0.402517011434215</x:v>
      </x:c>
      <x:c r="G104" s="9" t="s">
        <x:v>215</x:v>
      </x:c>
      <x:c r="H104" s="9" t="s">
        <x:v>209</x:v>
      </x:c>
      <x:c r="I104" s="9"/>
      <x:c r="J104" s="9" t="s">
        <x:v>234</x:v>
      </x:c>
    </x:row>
    <x:row r="105" ht="15" hidden="0">
      <x:c r="A105" s="9" t="s">
        <x:v>31</x:v>
      </x:c>
      <x:c r="B105" s="9" t="s">
        <x:v>214</x:v>
      </x:c>
      <x:c r="C105" s="9" t="s">
        <x:v>74</x:v>
      </x:c>
      <x:c r="D105" s="15" t="n">
        <x:v>0.44</x:v>
      </x:c>
      <x:c r="E105" s="15" t="n">
        <x:v>0.475161414703049</x:v>
      </x:c>
      <x:c r="F105" s="15" t="n">
        <x:v>0.438432562671343</x:v>
      </x:c>
      <x:c r="G105" s="9" t="s">
        <x:v>215</x:v>
      </x:c>
      <x:c r="H105" s="9" t="s">
        <x:v>209</x:v>
      </x:c>
      <x:c r="I105" s="9"/>
      <x:c r="J105" s="9" t="s">
        <x:v>234</x:v>
      </x:c>
    </x:row>
    <x:row r="106" ht="15" hidden="0">
      <x:c r="A106" s="9" t="s">
        <x:v>31</x:v>
      </x:c>
      <x:c r="B106" s="9" t="s">
        <x:v>214</x:v>
      </x:c>
      <x:c r="C106" s="9" t="s">
        <x:v>75</x:v>
      </x:c>
      <x:c r="D106" s="15" t="n">
        <x:v>0.45</x:v>
      </x:c>
      <x:c r="E106" s="15" t="n">
        <x:v>0.481518447947511</x:v>
      </x:c>
      <x:c r="F106" s="15" t="n">
        <x:v>0.449749233227119</x:v>
      </x:c>
      <x:c r="G106" s="9" t="s">
        <x:v>215</x:v>
      </x:c>
      <x:c r="H106" s="9" t="s">
        <x:v>209</x:v>
      </x:c>
      <x:c r="I106" s="9"/>
      <x:c r="J106" s="9" t="s">
        <x:v>234</x:v>
      </x:c>
    </x:row>
    <x:row r="107" ht="15" hidden="0">
      <x:c r="A107" s="9" t="s">
        <x:v>31</x:v>
      </x:c>
      <x:c r="B107" s="9" t="s">
        <x:v>214</x:v>
      </x:c>
      <x:c r="C107" s="9" t="s">
        <x:v>76</x:v>
      </x:c>
      <x:c r="D107" s="15" t="n">
        <x:v>0.49</x:v>
      </x:c>
      <x:c r="E107" s="15" t="n">
        <x:v>0.515883137230506</x:v>
      </x:c>
      <x:c r="F107" s="15" t="n">
        <x:v>0.492803534974583</x:v>
      </x:c>
      <x:c r="G107" s="9" t="s">
        <x:v>215</x:v>
      </x:c>
      <x:c r="H107" s="9" t="s">
        <x:v>209</x:v>
      </x:c>
      <x:c r="I107" s="9"/>
      <x:c r="J107" s="9" t="s">
        <x:v>234</x:v>
      </x:c>
    </x:row>
    <x:row r="108" ht="15" hidden="0">
      <x:c r="A108" s="9" t="s">
        <x:v>31</x:v>
      </x:c>
      <x:c r="B108" s="9" t="s">
        <x:v>214</x:v>
      </x:c>
      <x:c r="C108" s="9" t="s">
        <x:v>77</x:v>
      </x:c>
      <x:c r="D108" s="15" t="n">
        <x:v>0.47</x:v>
      </x:c>
      <x:c r="E108" s="15" t="n">
        <x:v>0.497285016007073</x:v>
      </x:c>
      <x:c r="F108" s="15" t="n">
        <x:v>0.466776620618342</x:v>
      </x:c>
      <x:c r="G108" s="9" t="s">
        <x:v>215</x:v>
      </x:c>
      <x:c r="H108" s="9" t="s">
        <x:v>209</x:v>
      </x:c>
      <x:c r="I108" s="9"/>
      <x:c r="J108" s="9" t="s">
        <x:v>234</x:v>
      </x:c>
    </x:row>
    <x:row r="109" ht="15" hidden="0">
      <x:c r="A109" s="9" t="s">
        <x:v>31</x:v>
      </x:c>
      <x:c r="B109" s="9" t="s">
        <x:v>216</x:v>
      </x:c>
      <x:c r="C109" s="9" t="s">
        <x:v>73</x:v>
      </x:c>
      <x:c r="D109" s="15" t="n">
        <x:v>1.01</x:v>
      </x:c>
      <x:c r="E109" s="15" t="n">
        <x:v>1.06419340843922</x:v>
      </x:c>
      <x:c r="F109" s="15" t="n">
        <x:v>1.00882927501125</x:v>
      </x:c>
      <x:c r="G109" s="9" t="s">
        <x:v>239</x:v>
      </x:c>
      <x:c r="H109" s="9" t="s">
        <x:v>209</x:v>
      </x:c>
      <x:c r="I109" s="9"/>
      <x:c r="J109" s="9" t="s">
        <x:v>234</x:v>
      </x:c>
    </x:row>
    <x:row r="110" ht="15" hidden="0">
      <x:c r="A110" s="9" t="s">
        <x:v>31</x:v>
      </x:c>
      <x:c r="B110" s="9" t="s">
        <x:v>216</x:v>
      </x:c>
      <x:c r="C110" s="9" t="s">
        <x:v>74</x:v>
      </x:c>
      <x:c r="D110" s="15" t="n">
        <x:v>0.98</x:v>
      </x:c>
      <x:c r="E110" s="15" t="n">
        <x:v>1.3656161868044</x:v>
      </x:c>
      <x:c r="F110" s="15" t="n">
        <x:v>0.98532795146599</x:v>
      </x:c>
      <x:c r="G110" s="9" t="s">
        <x:v>239</x:v>
      </x:c>
      <x:c r="H110" s="9" t="s">
        <x:v>237</x:v>
      </x:c>
      <x:c r="I110" s="9"/>
      <x:c r="J110" s="9" t="s">
        <x:v>234</x:v>
      </x:c>
    </x:row>
    <x:row r="111" ht="15" hidden="0">
      <x:c r="A111" s="9" t="s">
        <x:v>31</x:v>
      </x:c>
      <x:c r="B111" s="9" t="s">
        <x:v>216</x:v>
      </x:c>
      <x:c r="C111" s="9" t="s">
        <x:v>75</x:v>
      </x:c>
      <x:c r="D111" s="15" t="n">
        <x:v>1</x:v>
      </x:c>
      <x:c r="E111" s="15" t="n">
        <x:v>1.27395710027299</x:v>
      </x:c>
      <x:c r="F111" s="15" t="n">
        <x:v>1.00221543946952</x:v>
      </x:c>
      <x:c r="G111" s="9" t="s">
        <x:v>239</x:v>
      </x:c>
      <x:c r="H111" s="9" t="s">
        <x:v>209</x:v>
      </x:c>
      <x:c r="I111" s="9"/>
      <x:c r="J111" s="9" t="s">
        <x:v>234</x:v>
      </x:c>
    </x:row>
    <x:row r="112" ht="15" hidden="0">
      <x:c r="A112" s="9" t="s">
        <x:v>31</x:v>
      </x:c>
      <x:c r="B112" s="9" t="s">
        <x:v>216</x:v>
      </x:c>
      <x:c r="C112" s="9" t="s">
        <x:v>76</x:v>
      </x:c>
      <x:c r="D112" s="15" t="n">
        <x:v>1.07</x:v>
      </x:c>
      <x:c r="E112" s="15" t="n">
        <x:v>1.24216461259893</x:v>
      </x:c>
      <x:c r="F112" s="15" t="n">
        <x:v>1.07520087853163</x:v>
      </x:c>
      <x:c r="G112" s="9" t="s">
        <x:v>239</x:v>
      </x:c>
      <x:c r="H112" s="9" t="s">
        <x:v>237</x:v>
      </x:c>
      <x:c r="I112" s="9"/>
      <x:c r="J112" s="9" t="s">
        <x:v>234</x:v>
      </x:c>
    </x:row>
    <x:row r="113" ht="15" hidden="0">
      <x:c r="A113" s="9" t="s">
        <x:v>31</x:v>
      </x:c>
      <x:c r="B113" s="9" t="s">
        <x:v>216</x:v>
      </x:c>
      <x:c r="C113" s="9" t="s">
        <x:v>77</x:v>
      </x:c>
      <x:c r="D113" s="15" t="n">
        <x:v>1.16</x:v>
      </x:c>
      <x:c r="E113" s="15" t="n">
        <x:v>1.26014775149413</x:v>
      </x:c>
      <x:c r="F113" s="15" t="n">
        <x:v>1.15922373708388</x:v>
      </x:c>
      <x:c r="G113" s="9" t="s">
        <x:v>239</x:v>
      </x:c>
      <x:c r="H113" s="9" t="s">
        <x:v>209</x:v>
      </x:c>
      <x:c r="I113" s="9"/>
      <x:c r="J113" s="9" t="s">
        <x:v>234</x:v>
      </x:c>
    </x:row>
    <x:row r="114" ht="15" hidden="0">
      <x:c r="A114" s="9" t="s">
        <x:v>31</x:v>
      </x:c>
      <x:c r="B114" s="9" t="s">
        <x:v>218</x:v>
      </x:c>
      <x:c r="C114" s="9" t="s">
        <x:v>73</x:v>
      </x:c>
      <x:c r="D114" s="15" t="n">
        <x:v>38.57</x:v>
      </x:c>
      <x:c r="E114" s="15" t="n">
        <x:v>52.0422282633184</x:v>
      </x:c>
      <x:c r="F114" s="9"/>
      <x:c r="G114" s="9" t="s">
        <x:v>204</x:v>
      </x:c>
      <x:c r="H114" s="9" t="s">
        <x:v>205</x:v>
      </x:c>
      <x:c r="I114" s="9" t="s">
        <x:v>206</x:v>
      </x:c>
      <x:c r="J114" s="9" t="s">
        <x:v>234</x:v>
      </x:c>
    </x:row>
    <x:row r="115" ht="15" hidden="0">
      <x:c r="A115" s="9" t="s">
        <x:v>31</x:v>
      </x:c>
      <x:c r="B115" s="9" t="s">
        <x:v>218</x:v>
      </x:c>
      <x:c r="C115" s="9" t="s">
        <x:v>74</x:v>
      </x:c>
      <x:c r="D115" s="15" t="n">
        <x:v>41.25</x:v>
      </x:c>
      <x:c r="E115" s="15" t="n">
        <x:v>55.2973610769625</x:v>
      </x:c>
      <x:c r="F115" s="9"/>
      <x:c r="G115" s="9" t="s">
        <x:v>204</x:v>
      </x:c>
      <x:c r="H115" s="9" t="s">
        <x:v>205</x:v>
      </x:c>
      <x:c r="I115" s="9" t="s">
        <x:v>206</x:v>
      </x:c>
      <x:c r="J115" s="9" t="s">
        <x:v>234</x:v>
      </x:c>
    </x:row>
    <x:row r="116" ht="15" hidden="0">
      <x:c r="A116" s="9" t="s">
        <x:v>31</x:v>
      </x:c>
      <x:c r="B116" s="9" t="s">
        <x:v>218</x:v>
      </x:c>
      <x:c r="C116" s="9" t="s">
        <x:v>75</x:v>
      </x:c>
      <x:c r="D116" s="15" t="n">
        <x:v>16.16</x:v>
      </x:c>
      <x:c r="E116" s="15" t="n">
        <x:v>19.4279614358351</x:v>
      </x:c>
      <x:c r="F116" s="9"/>
      <x:c r="G116" s="9" t="s">
        <x:v>204</x:v>
      </x:c>
      <x:c r="H116" s="9" t="s">
        <x:v>205</x:v>
      </x:c>
      <x:c r="I116" s="9" t="s">
        <x:v>206</x:v>
      </x:c>
      <x:c r="J116" s="9" t="s">
        <x:v>234</x:v>
      </x:c>
    </x:row>
    <x:row r="117" ht="15" hidden="0">
      <x:c r="A117" s="9" t="s">
        <x:v>31</x:v>
      </x:c>
      <x:c r="B117" s="9" t="s">
        <x:v>218</x:v>
      </x:c>
      <x:c r="C117" s="9" t="s">
        <x:v>76</x:v>
      </x:c>
      <x:c r="D117" s="15" t="n">
        <x:v>18.26</x:v>
      </x:c>
      <x:c r="E117" s="15" t="n">
        <x:v>27.5346160130981</x:v>
      </x:c>
      <x:c r="F117" s="9"/>
      <x:c r="G117" s="9" t="s">
        <x:v>204</x:v>
      </x:c>
      <x:c r="H117" s="9" t="s">
        <x:v>205</x:v>
      </x:c>
      <x:c r="I117" s="9" t="s">
        <x:v>206</x:v>
      </x:c>
      <x:c r="J117" s="9" t="s">
        <x:v>234</x:v>
      </x:c>
    </x:row>
    <x:row r="118" ht="15" hidden="0">
      <x:c r="A118" s="9" t="s">
        <x:v>31</x:v>
      </x:c>
      <x:c r="B118" s="9" t="s">
        <x:v>218</x:v>
      </x:c>
      <x:c r="C118" s="9" t="s">
        <x:v>77</x:v>
      </x:c>
      <x:c r="D118" s="15" t="n">
        <x:v>22.83</x:v>
      </x:c>
      <x:c r="E118" s="15" t="n">
        <x:v>36.7208914917797</x:v>
      </x:c>
      <x:c r="F118" s="9"/>
      <x:c r="G118" s="9" t="s">
        <x:v>204</x:v>
      </x:c>
      <x:c r="H118" s="9" t="s">
        <x:v>205</x:v>
      </x:c>
      <x:c r="I118" s="9" t="s">
        <x:v>206</x:v>
      </x:c>
      <x:c r="J118" s="9" t="s">
        <x:v>234</x:v>
      </x:c>
    </x:row>
    <x:row r="119" ht="15" hidden="0">
      <x:c r="A119" s="9" t="s">
        <x:v>31</x:v>
      </x:c>
      <x:c r="B119" s="9" t="s">
        <x:v>240</x:v>
      </x:c>
      <x:c r="C119" s="9" t="s">
        <x:v>73</x:v>
      </x:c>
      <x:c r="D119" s="15" t="n">
        <x:v>8.7</x:v>
      </x:c>
      <x:c r="E119" s="15" t="n">
        <x:v>8.70208828759181</x:v>
      </x:c>
      <x:c r="F119" s="15" t="n">
        <x:v>8.70208828759181</x:v>
      </x:c>
      <x:c r="G119" s="9" t="s">
        <x:v>241</x:v>
      </x:c>
      <x:c r="H119" s="9" t="s">
        <x:v>199</x:v>
      </x:c>
      <x:c r="I119" s="9"/>
      <x:c r="J119" s="9" t="s">
        <x:v>234</x:v>
      </x:c>
    </x:row>
    <x:row r="120" ht="15" hidden="0">
      <x:c r="A120" s="9" t="s">
        <x:v>31</x:v>
      </x:c>
      <x:c r="B120" s="9" t="s">
        <x:v>240</x:v>
      </x:c>
      <x:c r="C120" s="9" t="s">
        <x:v>74</x:v>
      </x:c>
      <x:c r="D120" s="15" t="n">
        <x:v>9.46</x:v>
      </x:c>
      <x:c r="E120" s="15" t="n">
        <x:v>9.46184337069965</x:v>
      </x:c>
      <x:c r="F120" s="15" t="n">
        <x:v>9.46184337069965</x:v>
      </x:c>
      <x:c r="G120" s="9" t="s">
        <x:v>241</x:v>
      </x:c>
      <x:c r="H120" s="9" t="s">
        <x:v>199</x:v>
      </x:c>
      <x:c r="I120" s="9"/>
      <x:c r="J120" s="9" t="s">
        <x:v>234</x:v>
      </x:c>
    </x:row>
    <x:row r="121" ht="15" hidden="0">
      <x:c r="A121" s="9" t="s">
        <x:v>31</x:v>
      </x:c>
      <x:c r="B121" s="9" t="s">
        <x:v>240</x:v>
      </x:c>
      <x:c r="C121" s="9" t="s">
        <x:v>75</x:v>
      </x:c>
      <x:c r="D121" s="15" t="n">
        <x:v>8.49</x:v>
      </x:c>
      <x:c r="E121" s="15" t="n">
        <x:v>8.61230246996854</x:v>
      </x:c>
      <x:c r="F121" s="15" t="n">
        <x:v>8.61230246996854</x:v>
      </x:c>
      <x:c r="G121" s="9" t="s">
        <x:v>241</x:v>
      </x:c>
      <x:c r="H121" s="9" t="s">
        <x:v>242</x:v>
      </x:c>
      <x:c r="I121" s="9" t="s">
        <x:v>243</x:v>
      </x:c>
      <x:c r="J121" s="9" t="s">
        <x:v>234</x:v>
      </x:c>
    </x:row>
    <x:row r="122" ht="15" hidden="0">
      <x:c r="A122" s="9" t="s">
        <x:v>31</x:v>
      </x:c>
      <x:c r="B122" s="9" t="s">
        <x:v>240</x:v>
      </x:c>
      <x:c r="C122" s="9" t="s">
        <x:v>76</x:v>
      </x:c>
      <x:c r="D122" s="15" t="n">
        <x:v>18.91</x:v>
      </x:c>
      <x:c r="E122" s="15" t="n">
        <x:v>18.9081178354233</x:v>
      </x:c>
      <x:c r="F122" s="15" t="n">
        <x:v>18.9081178354233</x:v>
      </x:c>
      <x:c r="G122" s="9" t="s">
        <x:v>241</x:v>
      </x:c>
      <x:c r="H122" s="9" t="s">
        <x:v>199</x:v>
      </x:c>
      <x:c r="I122" s="9"/>
      <x:c r="J122" s="9" t="s">
        <x:v>234</x:v>
      </x:c>
    </x:row>
    <x:row r="123" ht="15" hidden="0">
      <x:c r="A123" s="9" t="s">
        <x:v>31</x:v>
      </x:c>
      <x:c r="B123" s="9" t="s">
        <x:v>240</x:v>
      </x:c>
      <x:c r="C123" s="9" t="s">
        <x:v>77</x:v>
      </x:c>
      <x:c r="D123" s="15" t="n">
        <x:v>22.59</x:v>
      </x:c>
      <x:c r="E123" s="15" t="n">
        <x:v>22.5885064846416</x:v>
      </x:c>
      <x:c r="F123" s="15" t="n">
        <x:v>22.5885064846416</x:v>
      </x:c>
      <x:c r="G123" s="9" t="s">
        <x:v>241</x:v>
      </x:c>
      <x:c r="H123" s="9" t="s">
        <x:v>199</x:v>
      </x:c>
      <x:c r="I123" s="9"/>
      <x:c r="J123" s="9" t="s">
        <x:v>234</x:v>
      </x:c>
    </x:row>
    <x:row r="124" ht="15" hidden="0">
      <x:c r="A124" s="9" t="s">
        <x:v>37</x:v>
      </x:c>
      <x:c r="B124" s="9" t="s">
        <x:v>197</x:v>
      </x:c>
      <x:c r="C124" s="9" t="s">
        <x:v>73</x:v>
      </x:c>
      <x:c r="D124" s="15" t="n">
        <x:v>0.91</x:v>
      </x:c>
      <x:c r="E124" s="15" t="n">
        <x:v>0.91452508864509</x:v>
      </x:c>
      <x:c r="F124" s="15" t="n">
        <x:v>0.91452508864509</x:v>
      </x:c>
      <x:c r="G124" s="9" t="s">
        <x:v>198</x:v>
      </x:c>
      <x:c r="H124" s="9" t="s">
        <x:v>199</x:v>
      </x:c>
      <x:c r="I124" s="9"/>
      <x:c r="J124" s="9" t="s">
        <x:v>244</x:v>
      </x:c>
    </x:row>
    <x:row r="125" ht="15" hidden="0">
      <x:c r="A125" s="9" t="s">
        <x:v>37</x:v>
      </x:c>
      <x:c r="B125" s="9" t="s">
        <x:v>197</x:v>
      </x:c>
      <x:c r="C125" s="9" t="s">
        <x:v>74</x:v>
      </x:c>
      <x:c r="D125" s="15" t="n">
        <x:v>0.89</x:v>
      </x:c>
      <x:c r="E125" s="15" t="n">
        <x:v>0.8855287714771</x:v>
      </x:c>
      <x:c r="F125" s="15" t="n">
        <x:v>0.8855287714771</x:v>
      </x:c>
      <x:c r="G125" s="9" t="s">
        <x:v>198</x:v>
      </x:c>
      <x:c r="H125" s="9" t="s">
        <x:v>199</x:v>
      </x:c>
      <x:c r="I125" s="9"/>
      <x:c r="J125" s="9" t="s">
        <x:v>244</x:v>
      </x:c>
    </x:row>
    <x:row r="126" ht="15" hidden="0">
      <x:c r="A126" s="9" t="s">
        <x:v>37</x:v>
      </x:c>
      <x:c r="B126" s="9" t="s">
        <x:v>197</x:v>
      </x:c>
      <x:c r="C126" s="9" t="s">
        <x:v>75</x:v>
      </x:c>
      <x:c r="D126" s="15" t="n">
        <x:v>0.8</x:v>
      </x:c>
      <x:c r="E126" s="15" t="n">
        <x:v>0.801767490573856</x:v>
      </x:c>
      <x:c r="F126" s="15" t="n">
        <x:v>0.801767490573856</x:v>
      </x:c>
      <x:c r="G126" s="9" t="s">
        <x:v>198</x:v>
      </x:c>
      <x:c r="H126" s="9" t="s">
        <x:v>199</x:v>
      </x:c>
      <x:c r="I126" s="9"/>
      <x:c r="J126" s="9" t="s">
        <x:v>244</x:v>
      </x:c>
    </x:row>
    <x:row r="127" ht="15" hidden="0">
      <x:c r="A127" s="9" t="s">
        <x:v>37</x:v>
      </x:c>
      <x:c r="B127" s="9" t="s">
        <x:v>197</x:v>
      </x:c>
      <x:c r="C127" s="9" t="s">
        <x:v>76</x:v>
      </x:c>
      <x:c r="D127" s="15" t="n">
        <x:v>1.3</x:v>
      </x:c>
      <x:c r="E127" s="15" t="n">
        <x:v>1.29618593125484</x:v>
      </x:c>
      <x:c r="F127" s="15" t="n">
        <x:v>1.29618593125484</x:v>
      </x:c>
      <x:c r="G127" s="9" t="s">
        <x:v>198</x:v>
      </x:c>
      <x:c r="H127" s="9" t="s">
        <x:v>199</x:v>
      </x:c>
      <x:c r="I127" s="9"/>
      <x:c r="J127" s="9" t="s">
        <x:v>244</x:v>
      </x:c>
    </x:row>
    <x:row r="128" ht="15" hidden="0">
      <x:c r="A128" s="9" t="s">
        <x:v>37</x:v>
      </x:c>
      <x:c r="B128" s="9" t="s">
        <x:v>197</x:v>
      </x:c>
      <x:c r="C128" s="9" t="s">
        <x:v>77</x:v>
      </x:c>
      <x:c r="D128" s="15" t="n">
        <x:v>1.85</x:v>
      </x:c>
      <x:c r="E128" s="15" t="n">
        <x:v>1.84895179329796</x:v>
      </x:c>
      <x:c r="F128" s="15" t="n">
        <x:v>1.84895179329796</x:v>
      </x:c>
      <x:c r="G128" s="9" t="s">
        <x:v>198</x:v>
      </x:c>
      <x:c r="H128" s="9" t="s">
        <x:v>199</x:v>
      </x:c>
      <x:c r="I128" s="9"/>
      <x:c r="J128" s="9" t="s">
        <x:v>244</x:v>
      </x:c>
    </x:row>
    <x:row r="129" ht="15" hidden="0">
      <x:c r="A129" s="9" t="s">
        <x:v>37</x:v>
      </x:c>
      <x:c r="B129" s="9" t="s">
        <x:v>245</x:v>
      </x:c>
      <x:c r="C129" s="9" t="s">
        <x:v>73</x:v>
      </x:c>
      <x:c r="D129" s="15" t="n">
        <x:v>0.52</x:v>
      </x:c>
      <x:c r="E129" s="15" t="n">
        <x:v>0.527188307782106</x:v>
      </x:c>
      <x:c r="F129" s="9"/>
      <x:c r="G129" s="9" t="s">
        <x:v>204</x:v>
      </x:c>
      <x:c r="H129" s="9" t="s">
        <x:v>237</x:v>
      </x:c>
      <x:c r="I129" s="9"/>
      <x:c r="J129" s="9" t="s">
        <x:v>244</x:v>
      </x:c>
    </x:row>
    <x:row r="130" ht="15" hidden="0">
      <x:c r="A130" s="9" t="s">
        <x:v>37</x:v>
      </x:c>
      <x:c r="B130" s="9" t="s">
        <x:v>245</x:v>
      </x:c>
      <x:c r="C130" s="9" t="s">
        <x:v>74</x:v>
      </x:c>
      <x:c r="D130" s="15" t="n">
        <x:v>0.36</x:v>
      </x:c>
      <x:c r="E130" s="15" t="n">
        <x:v>0.390933907896653</x:v>
      </x:c>
      <x:c r="F130" s="9"/>
      <x:c r="G130" s="9" t="s">
        <x:v>204</x:v>
      </x:c>
      <x:c r="H130" s="9" t="s">
        <x:v>205</x:v>
      </x:c>
      <x:c r="I130" s="9" t="s">
        <x:v>206</x:v>
      </x:c>
      <x:c r="J130" s="9" t="s">
        <x:v>244</x:v>
      </x:c>
    </x:row>
    <x:row r="131" ht="15" hidden="0">
      <x:c r="A131" s="9" t="s">
        <x:v>37</x:v>
      </x:c>
      <x:c r="B131" s="9" t="s">
        <x:v>245</x:v>
      </x:c>
      <x:c r="C131" s="9" t="s">
        <x:v>75</x:v>
      </x:c>
      <x:c r="D131" s="15" t="n">
        <x:v>0.32</x:v>
      </x:c>
      <x:c r="E131" s="15" t="n">
        <x:v>0.334899361674459</x:v>
      </x:c>
      <x:c r="F131" s="9"/>
      <x:c r="G131" s="9" t="s">
        <x:v>204</x:v>
      </x:c>
      <x:c r="H131" s="9" t="s">
        <x:v>205</x:v>
      </x:c>
      <x:c r="I131" s="9" t="s">
        <x:v>206</x:v>
      </x:c>
      <x:c r="J131" s="9" t="s">
        <x:v>244</x:v>
      </x:c>
    </x:row>
    <x:row r="132" ht="15" hidden="0">
      <x:c r="A132" s="9" t="s">
        <x:v>37</x:v>
      </x:c>
      <x:c r="B132" s="9" t="s">
        <x:v>245</x:v>
      </x:c>
      <x:c r="C132" s="9" t="s">
        <x:v>76</x:v>
      </x:c>
      <x:c r="D132" s="15" t="n">
        <x:v>0.66</x:v>
      </x:c>
      <x:c r="E132" s="15" t="n">
        <x:v>0.667717649230272</x:v>
      </x:c>
      <x:c r="F132" s="9"/>
      <x:c r="G132" s="9" t="s">
        <x:v>204</x:v>
      </x:c>
      <x:c r="H132" s="9" t="s">
        <x:v>237</x:v>
      </x:c>
      <x:c r="I132" s="9"/>
      <x:c r="J132" s="9" t="s">
        <x:v>244</x:v>
      </x:c>
    </x:row>
    <x:row r="133" ht="15" hidden="0">
      <x:c r="A133" s="9" t="s">
        <x:v>37</x:v>
      </x:c>
      <x:c r="B133" s="9" t="s">
        <x:v>245</x:v>
      </x:c>
      <x:c r="C133" s="9" t="s">
        <x:v>77</x:v>
      </x:c>
      <x:c r="D133" s="15" t="n">
        <x:v>1.01</x:v>
      </x:c>
      <x:c r="E133" s="15" t="n">
        <x:v>1.05795876796347</x:v>
      </x:c>
      <x:c r="F133" s="9"/>
      <x:c r="G133" s="9" t="s">
        <x:v>204</x:v>
      </x:c>
      <x:c r="H133" s="9" t="s">
        <x:v>205</x:v>
      </x:c>
      <x:c r="I133" s="9" t="s">
        <x:v>206</x:v>
      </x:c>
      <x:c r="J133" s="9" t="s">
        <x:v>244</x:v>
      </x:c>
    </x:row>
    <x:row r="134" ht="15" hidden="0">
      <x:c r="A134" s="9" t="s">
        <x:v>37</x:v>
      </x:c>
      <x:c r="B134" s="9" t="s">
        <x:v>246</x:v>
      </x:c>
      <x:c r="C134" s="9" t="s">
        <x:v>73</x:v>
      </x:c>
      <x:c r="D134" s="9" t="n">
        <x:v>154</x:v>
      </x:c>
      <x:c r="E134" s="15" t="n">
        <x:v>138.954836750109</x:v>
      </x:c>
      <x:c r="F134" s="15" t="n">
        <x:v>153.821365074947</x:v>
      </x:c>
      <x:c r="G134" s="9" t="s">
        <x:v>247</x:v>
      </x:c>
      <x:c r="H134" s="9" t="s">
        <x:v>209</x:v>
      </x:c>
      <x:c r="I134" s="9"/>
      <x:c r="J134" s="9" t="s">
        <x:v>244</x:v>
      </x:c>
    </x:row>
    <x:row r="135" ht="15" hidden="0">
      <x:c r="A135" s="9" t="s">
        <x:v>37</x:v>
      </x:c>
      <x:c r="B135" s="9" t="s">
        <x:v>246</x:v>
      </x:c>
      <x:c r="C135" s="9" t="s">
        <x:v>74</x:v>
      </x:c>
      <x:c r="D135" s="9" t="n">
        <x:v>175</x:v>
      </x:c>
      <x:c r="E135" s="15" t="n">
        <x:v>147.191589518727</x:v>
      </x:c>
      <x:c r="F135" s="15" t="n">
        <x:v>174.739556620903</x:v>
      </x:c>
      <x:c r="G135" s="9" t="s">
        <x:v>247</x:v>
      </x:c>
      <x:c r="H135" s="9" t="s">
        <x:v>209</x:v>
      </x:c>
      <x:c r="I135" s="9"/>
      <x:c r="J135" s="9" t="s">
        <x:v>244</x:v>
      </x:c>
    </x:row>
    <x:row r="136" ht="15" hidden="0">
      <x:c r="A136" s="9" t="s">
        <x:v>37</x:v>
      </x:c>
      <x:c r="B136" s="9" t="s">
        <x:v>246</x:v>
      </x:c>
      <x:c r="C136" s="9" t="s">
        <x:v>75</x:v>
      </x:c>
      <x:c r="D136" s="9" t="n">
        <x:v>150</x:v>
      </x:c>
      <x:c r="E136" s="15" t="n">
        <x:v>149.87908057412</x:v>
      </x:c>
      <x:c r="F136" s="15" t="n">
        <x:v>149.64786734499</x:v>
      </x:c>
      <x:c r="G136" s="9" t="s">
        <x:v>247</x:v>
      </x:c>
      <x:c r="H136" s="9" t="s">
        <x:v>199</x:v>
      </x:c>
      <x:c r="I136" s="9"/>
      <x:c r="J136" s="9" t="s">
        <x:v>244</x:v>
      </x:c>
    </x:row>
    <x:row r="137" ht="15" hidden="0">
      <x:c r="A137" s="9" t="s">
        <x:v>37</x:v>
      </x:c>
      <x:c r="B137" s="9" t="s">
        <x:v>246</x:v>
      </x:c>
      <x:c r="C137" s="9" t="s">
        <x:v>76</x:v>
      </x:c>
      <x:c r="D137" s="9" t="n">
        <x:v>133</x:v>
      </x:c>
      <x:c r="E137" s="15" t="n">
        <x:v>141.297555455751</x:v>
      </x:c>
      <x:c r="F137" s="15" t="n">
        <x:v>133.16933589182</x:v>
      </x:c>
      <x:c r="G137" s="9" t="s">
        <x:v>247</x:v>
      </x:c>
      <x:c r="H137" s="9" t="s">
        <x:v>209</x:v>
      </x:c>
      <x:c r="I137" s="9"/>
      <x:c r="J137" s="9" t="s">
        <x:v>244</x:v>
      </x:c>
    </x:row>
    <x:row r="138" ht="15" hidden="0">
      <x:c r="A138" s="9" t="s">
        <x:v>37</x:v>
      </x:c>
      <x:c r="B138" s="9" t="s">
        <x:v>246</x:v>
      </x:c>
      <x:c r="C138" s="9" t="s">
        <x:v>77</x:v>
      </x:c>
      <x:c r="D138" s="9" t="n">
        <x:v>140</x:v>
      </x:c>
      <x:c r="E138" s="15" t="n">
        <x:v>139.294641243928</x:v>
      </x:c>
      <x:c r="F138" s="15" t="n">
        <x:v>140.12366389705</x:v>
      </x:c>
      <x:c r="G138" s="9" t="s">
        <x:v>247</x:v>
      </x:c>
      <x:c r="H138" s="9" t="s">
        <x:v>209</x:v>
      </x:c>
      <x:c r="I138" s="9"/>
      <x:c r="J138" s="9" t="s">
        <x:v>244</x:v>
      </x:c>
    </x:row>
    <x:row r="139" ht="15" hidden="0">
      <x:c r="A139" s="9" t="s">
        <x:v>37</x:v>
      </x:c>
      <x:c r="B139" s="9" t="s">
        <x:v>235</x:v>
      </x:c>
      <x:c r="C139" s="9" t="s">
        <x:v>73</x:v>
      </x:c>
      <x:c r="D139" s="9" t="n">
        <x:v>14</x:v>
      </x:c>
      <x:c r="E139" s="15" t="n">
        <x:v>16.0310812302736</x:v>
      </x:c>
      <x:c r="F139" s="15" t="n">
        <x:v>13.563749883889</x:v>
      </x:c>
      <x:c r="G139" s="9" t="s">
        <x:v>208</x:v>
      </x:c>
      <x:c r="H139" s="9" t="s">
        <x:v>209</x:v>
      </x:c>
      <x:c r="I139" s="9"/>
      <x:c r="J139" s="9" t="s">
        <x:v>244</x:v>
      </x:c>
    </x:row>
    <x:row r="140" ht="15" hidden="0">
      <x:c r="A140" s="9" t="s">
        <x:v>37</x:v>
      </x:c>
      <x:c r="B140" s="9" t="s">
        <x:v>235</x:v>
      </x:c>
      <x:c r="C140" s="9" t="s">
        <x:v>74</x:v>
      </x:c>
      <x:c r="D140" s="9" t="n">
        <x:v>9</x:v>
      </x:c>
      <x:c r="E140" s="15" t="n">
        <x:v>9.88561921697045</x:v>
      </x:c>
      <x:c r="F140" s="15" t="n">
        <x:v>9.23042682393486</x:v>
      </x:c>
      <x:c r="G140" s="9" t="s">
        <x:v>208</x:v>
      </x:c>
      <x:c r="H140" s="9" t="s">
        <x:v>209</x:v>
      </x:c>
      <x:c r="I140" s="9"/>
      <x:c r="J140" s="9" t="s">
        <x:v>244</x:v>
      </x:c>
    </x:row>
    <x:row r="141" ht="15" hidden="0">
      <x:c r="A141" s="9" t="s">
        <x:v>37</x:v>
      </x:c>
      <x:c r="B141" s="9" t="s">
        <x:v>235</x:v>
      </x:c>
      <x:c r="C141" s="9" t="s">
        <x:v>75</x:v>
      </x:c>
      <x:c r="D141" s="9" t="n">
        <x:v>7</x:v>
      </x:c>
      <x:c r="E141" s="15" t="n">
        <x:v>7.47397748433414</x:v>
      </x:c>
      <x:c r="F141" s="15" t="n">
        <x:v>6.70329311660513</x:v>
      </x:c>
      <x:c r="G141" s="9" t="s">
        <x:v>208</x:v>
      </x:c>
      <x:c r="H141" s="9" t="s">
        <x:v>199</x:v>
      </x:c>
      <x:c r="I141" s="9"/>
      <x:c r="J141" s="9" t="s">
        <x:v>244</x:v>
      </x:c>
    </x:row>
    <x:row r="142" ht="15" hidden="0">
      <x:c r="A142" s="9" t="s">
        <x:v>37</x:v>
      </x:c>
      <x:c r="B142" s="9" t="s">
        <x:v>235</x:v>
      </x:c>
      <x:c r="C142" s="9" t="s">
        <x:v>76</x:v>
      </x:c>
      <x:c r="D142" s="9" t="n">
        <x:v>5</x:v>
      </x:c>
      <x:c r="E142" s="15" t="n">
        <x:v>5.66297909093865</x:v>
      </x:c>
      <x:c r="F142" s="15" t="n">
        <x:v>4.72974001649245</x:v>
      </x:c>
      <x:c r="G142" s="9" t="s">
        <x:v>208</x:v>
      </x:c>
      <x:c r="H142" s="9" t="s">
        <x:v>209</x:v>
      </x:c>
      <x:c r="I142" s="9"/>
      <x:c r="J142" s="9" t="s">
        <x:v>244</x:v>
      </x:c>
    </x:row>
    <x:row r="143" ht="15" hidden="0">
      <x:c r="A143" s="9" t="s">
        <x:v>37</x:v>
      </x:c>
      <x:c r="B143" s="9" t="s">
        <x:v>235</x:v>
      </x:c>
      <x:c r="C143" s="9" t="s">
        <x:v>77</x:v>
      </x:c>
      <x:c r="D143" s="9" t="n">
        <x:v>8</x:v>
      </x:c>
      <x:c r="E143" s="15" t="n">
        <x:v>5.96248573414901</x:v>
      </x:c>
      <x:c r="F143" s="15" t="n">
        <x:v>7.58036854214002</x:v>
      </x:c>
      <x:c r="G143" s="9" t="s">
        <x:v>208</x:v>
      </x:c>
      <x:c r="H143" s="9" t="s">
        <x:v>209</x:v>
      </x:c>
      <x:c r="I143" s="9"/>
      <x:c r="J143" s="9" t="s">
        <x:v>244</x:v>
      </x:c>
    </x:row>
    <x:row r="144" ht="15" hidden="0">
      <x:c r="A144" s="9" t="s">
        <x:v>37</x:v>
      </x:c>
      <x:c r="B144" s="9" t="s">
        <x:v>238</x:v>
      </x:c>
      <x:c r="C144" s="9" t="s">
        <x:v>73</x:v>
      </x:c>
      <x:c r="D144" s="9" t="n">
        <x:v>138</x:v>
      </x:c>
      <x:c r="E144" s="15" t="n">
        <x:v>57.6583600277764</x:v>
      </x:c>
      <x:c r="F144" s="9"/>
      <x:c r="G144" s="9" t="s">
        <x:v>204</x:v>
      </x:c>
      <x:c r="H144" s="9" t="s">
        <x:v>205</x:v>
      </x:c>
      <x:c r="I144" s="9" t="s">
        <x:v>206</x:v>
      </x:c>
      <x:c r="J144" s="9" t="s">
        <x:v>244</x:v>
      </x:c>
    </x:row>
    <x:row r="145" ht="15" hidden="0">
      <x:c r="A145" s="9" t="s">
        <x:v>37</x:v>
      </x:c>
      <x:c r="B145" s="9" t="s">
        <x:v>238</x:v>
      </x:c>
      <x:c r="C145" s="9" t="s">
        <x:v>74</x:v>
      </x:c>
      <x:c r="D145" s="9" t="n">
        <x:v>92</x:v>
      </x:c>
      <x:c r="E145" s="15" t="n">
        <x:v>43.1066680820306</x:v>
      </x:c>
      <x:c r="F145" s="9"/>
      <x:c r="G145" s="9" t="s">
        <x:v>204</x:v>
      </x:c>
      <x:c r="H145" s="9" t="s">
        <x:v>205</x:v>
      </x:c>
      <x:c r="I145" s="9" t="s">
        <x:v>206</x:v>
      </x:c>
      <x:c r="J145" s="9" t="s">
        <x:v>244</x:v>
      </x:c>
    </x:row>
    <x:row r="146" ht="15" hidden="0">
      <x:c r="A146" s="9" t="s">
        <x:v>37</x:v>
      </x:c>
      <x:c r="B146" s="9" t="s">
        <x:v>238</x:v>
      </x:c>
      <x:c r="C146" s="9" t="s">
        <x:v>75</x:v>
      </x:c>
      <x:c r="D146" s="9" t="n">
        <x:v>87</x:v>
      </x:c>
      <x:c r="E146" s="15" t="n">
        <x:v>34.246728091407</x:v>
      </x:c>
      <x:c r="F146" s="9"/>
      <x:c r="G146" s="9" t="s">
        <x:v>204</x:v>
      </x:c>
      <x:c r="H146" s="9" t="s">
        <x:v>205</x:v>
      </x:c>
      <x:c r="I146" s="9" t="s">
        <x:v>206</x:v>
      </x:c>
      <x:c r="J146" s="9" t="s">
        <x:v>244</x:v>
      </x:c>
    </x:row>
    <x:row r="147" ht="15" hidden="0">
      <x:c r="A147" s="9" t="s">
        <x:v>37</x:v>
      </x:c>
      <x:c r="B147" s="9" t="s">
        <x:v>238</x:v>
      </x:c>
      <x:c r="C147" s="9" t="s">
        <x:v>76</x:v>
      </x:c>
      <x:c r="D147" s="9" t="n">
        <x:v>76</x:v>
      </x:c>
      <x:c r="E147" s="15" t="n">
        <x:v>38.0606808587266</x:v>
      </x:c>
      <x:c r="F147" s="9"/>
      <x:c r="G147" s="9" t="s">
        <x:v>204</x:v>
      </x:c>
      <x:c r="H147" s="9" t="s">
        <x:v>205</x:v>
      </x:c>
      <x:c r="I147" s="9" t="s">
        <x:v>206</x:v>
      </x:c>
      <x:c r="J147" s="9" t="s">
        <x:v>244</x:v>
      </x:c>
    </x:row>
    <x:row r="148" ht="15" hidden="0">
      <x:c r="A148" s="9" t="s">
        <x:v>37</x:v>
      </x:c>
      <x:c r="B148" s="9" t="s">
        <x:v>238</x:v>
      </x:c>
      <x:c r="C148" s="9" t="s">
        <x:v>77</x:v>
      </x:c>
      <x:c r="D148" s="9" t="n">
        <x:v>83</x:v>
      </x:c>
      <x:c r="E148" s="15" t="n">
        <x:v>30.584254931232</x:v>
      </x:c>
      <x:c r="F148" s="9"/>
      <x:c r="G148" s="9" t="s">
        <x:v>204</x:v>
      </x:c>
      <x:c r="H148" s="9" t="s">
        <x:v>205</x:v>
      </x:c>
      <x:c r="I148" s="9" t="s">
        <x:v>206</x:v>
      </x:c>
      <x:c r="J148" s="9" t="s">
        <x:v>244</x:v>
      </x:c>
    </x:row>
    <x:row r="149" ht="15" hidden="0">
      <x:c r="A149" s="9" t="s">
        <x:v>37</x:v>
      </x:c>
      <x:c r="B149" s="9" t="s">
        <x:v>248</x:v>
      </x:c>
      <x:c r="C149" s="9" t="s">
        <x:v>73</x:v>
      </x:c>
      <x:c r="D149" s="15" t="n">
        <x:v>0.3373</x:v>
      </x:c>
      <x:c r="E149" s="15" t="n">
        <x:v>0.337321560534536</x:v>
      </x:c>
      <x:c r="F149" s="15" t="n">
        <x:v>0.337321560534536</x:v>
      </x:c>
      <x:c r="G149" s="9" t="s">
        <x:v>122</x:v>
      </x:c>
      <x:c r="H149" s="9" t="s">
        <x:v>199</x:v>
      </x:c>
      <x:c r="I149" s="9"/>
      <x:c r="J149" s="9" t="s">
        <x:v>244</x:v>
      </x:c>
    </x:row>
    <x:row r="150" ht="15" hidden="0">
      <x:c r="A150" s="9" t="s">
        <x:v>37</x:v>
      </x:c>
      <x:c r="B150" s="9" t="s">
        <x:v>248</x:v>
      </x:c>
      <x:c r="C150" s="9" t="s">
        <x:v>74</x:v>
      </x:c>
      <x:c r="D150" s="15" t="n">
        <x:v>0.423</x:v>
      </x:c>
      <x:c r="E150" s="15" t="n">
        <x:v>0.422972810539047</x:v>
      </x:c>
      <x:c r="F150" s="15" t="n">
        <x:v>0.422972810539047</x:v>
      </x:c>
      <x:c r="G150" s="9" t="s">
        <x:v>122</x:v>
      </x:c>
      <x:c r="H150" s="9" t="s">
        <x:v>199</x:v>
      </x:c>
      <x:c r="I150" s="9"/>
      <x:c r="J150" s="9" t="s">
        <x:v>244</x:v>
      </x:c>
    </x:row>
    <x:row r="151" ht="15" hidden="0">
      <x:c r="A151" s="9" t="s">
        <x:v>37</x:v>
      </x:c>
      <x:c r="B151" s="9" t="s">
        <x:v>248</x:v>
      </x:c>
      <x:c r="C151" s="9" t="s">
        <x:v>75</x:v>
      </x:c>
      <x:c r="D151" s="15" t="n">
        <x:v>0.4791</x:v>
      </x:c>
      <x:c r="E151" s="15" t="n">
        <x:v>0.479098752485976</x:v>
      </x:c>
      <x:c r="F151" s="15" t="n">
        <x:v>0.479098752485976</x:v>
      </x:c>
      <x:c r="G151" s="9" t="s">
        <x:v>122</x:v>
      </x:c>
      <x:c r="H151" s="9" t="s">
        <x:v>199</x:v>
      </x:c>
      <x:c r="I151" s="9"/>
      <x:c r="J151" s="9" t="s">
        <x:v>244</x:v>
      </x:c>
    </x:row>
    <x:row r="152" ht="15" hidden="0">
      <x:c r="A152" s="9" t="s">
        <x:v>37</x:v>
      </x:c>
      <x:c r="B152" s="9" t="s">
        <x:v>248</x:v>
      </x:c>
      <x:c r="C152" s="9" t="s">
        <x:v>76</x:v>
      </x:c>
      <x:c r="D152" s="15" t="n">
        <x:v>0.4836</x:v>
      </x:c>
      <x:c r="E152" s="15" t="n">
        <x:v>0.483624524919549</x:v>
      </x:c>
      <x:c r="F152" s="15" t="n">
        <x:v>0.483624524919549</x:v>
      </x:c>
      <x:c r="G152" s="9" t="s">
        <x:v>122</x:v>
      </x:c>
      <x:c r="H152" s="9" t="s">
        <x:v>199</x:v>
      </x:c>
      <x:c r="I152" s="9"/>
      <x:c r="J152" s="9" t="s">
        <x:v>244</x:v>
      </x:c>
    </x:row>
    <x:row r="153" ht="15" hidden="0">
      <x:c r="A153" s="9" t="s">
        <x:v>37</x:v>
      </x:c>
      <x:c r="B153" s="9" t="s">
        <x:v>248</x:v>
      </x:c>
      <x:c r="C153" s="9" t="s">
        <x:v>77</x:v>
      </x:c>
      <x:c r="D153" s="15" t="n">
        <x:v>0.5057</x:v>
      </x:c>
      <x:c r="E153" s="15" t="n">
        <x:v>0.505735568791429</x:v>
      </x:c>
      <x:c r="F153" s="15" t="n">
        <x:v>0.505735568791429</x:v>
      </x:c>
      <x:c r="G153" s="9" t="s">
        <x:v>122</x:v>
      </x:c>
      <x:c r="H153" s="9" t="s">
        <x:v>199</x:v>
      </x:c>
      <x:c r="I153" s="9"/>
      <x:c r="J153" s="9" t="s">
        <x:v>244</x:v>
      </x:c>
    </x:row>
    <x:row r="154" ht="15" hidden="0">
      <x:c r="A154" s="9" t="s">
        <x:v>37</x:v>
      </x:c>
      <x:c r="B154" s="9" t="s">
        <x:v>216</x:v>
      </x:c>
      <x:c r="C154" s="9" t="s">
        <x:v>73</x:v>
      </x:c>
      <x:c r="D154" s="15" t="n">
        <x:v>0.5352</x:v>
      </x:c>
      <x:c r="E154" s="15" t="n">
        <x:v>0.584022552892531</x:v>
      </x:c>
      <x:c r="F154" s="15" t="n">
        <x:v>0.535220511583105</x:v>
      </x:c>
      <x:c r="G154" s="9" t="s">
        <x:v>249</x:v>
      </x:c>
      <x:c r="H154" s="9" t="s">
        <x:v>209</x:v>
      </x:c>
      <x:c r="I154" s="9"/>
      <x:c r="J154" s="9" t="s">
        <x:v>244</x:v>
      </x:c>
    </x:row>
    <x:row r="155" ht="15" hidden="0">
      <x:c r="A155" s="9" t="s">
        <x:v>37</x:v>
      </x:c>
      <x:c r="B155" s="9" t="s">
        <x:v>216</x:v>
      </x:c>
      <x:c r="C155" s="9" t="s">
        <x:v>74</x:v>
      </x:c>
      <x:c r="D155" s="15" t="n">
        <x:v>0.6917</x:v>
      </x:c>
      <x:c r="E155" s="15" t="n">
        <x:v>0.728402345437496</x:v>
      </x:c>
      <x:c r="F155" s="15" t="n">
        <x:v>0.691723159044105</x:v>
      </x:c>
      <x:c r="G155" s="9" t="s">
        <x:v>249</x:v>
      </x:c>
      <x:c r="H155" s="9" t="s">
        <x:v>209</x:v>
      </x:c>
      <x:c r="I155" s="9"/>
      <x:c r="J155" s="9" t="s">
        <x:v>244</x:v>
      </x:c>
    </x:row>
    <x:row r="156" ht="15" hidden="0">
      <x:c r="A156" s="9" t="s">
        <x:v>37</x:v>
      </x:c>
      <x:c r="B156" s="9" t="s">
        <x:v>216</x:v>
      </x:c>
      <x:c r="C156" s="9" t="s">
        <x:v>75</x:v>
      </x:c>
      <x:c r="D156" s="15" t="n">
        <x:v>0.7874</x:v>
      </x:c>
      <x:c r="E156" s="15" t="n">
        <x:v>0.80069529730312</x:v>
      </x:c>
      <x:c r="F156" s="15" t="n">
        <x:v>0.787446397144711</x:v>
      </x:c>
      <x:c r="G156" s="9" t="s">
        <x:v>249</x:v>
      </x:c>
      <x:c r="H156" s="9" t="s">
        <x:v>209</x:v>
      </x:c>
      <x:c r="I156" s="9"/>
      <x:c r="J156" s="9" t="s">
        <x:v>244</x:v>
      </x:c>
    </x:row>
    <x:row r="157" ht="15" hidden="0">
      <x:c r="A157" s="9" t="s">
        <x:v>37</x:v>
      </x:c>
      <x:c r="B157" s="9" t="s">
        <x:v>216</x:v>
      </x:c>
      <x:c r="C157" s="9" t="s">
        <x:v>76</x:v>
      </x:c>
      <x:c r="D157" s="15" t="n">
        <x:v>0.8147</x:v>
      </x:c>
      <x:c r="E157" s="15" t="n">
        <x:v>0.831849360527672</x:v>
      </x:c>
      <x:c r="F157" s="15" t="n">
        <x:v>0.814671450846953</x:v>
      </x:c>
      <x:c r="G157" s="9" t="s">
        <x:v>249</x:v>
      </x:c>
      <x:c r="H157" s="9" t="s">
        <x:v>209</x:v>
      </x:c>
      <x:c r="I157" s="9"/>
      <x:c r="J157" s="9" t="s">
        <x:v>244</x:v>
      </x:c>
    </x:row>
    <x:row r="158" ht="15" hidden="0">
      <x:c r="A158" s="9" t="s">
        <x:v>37</x:v>
      </x:c>
      <x:c r="B158" s="9" t="s">
        <x:v>216</x:v>
      </x:c>
      <x:c r="C158" s="9" t="s">
        <x:v>77</x:v>
      </x:c>
      <x:c r="D158" s="15" t="n">
        <x:v>0.9151</x:v>
      </x:c>
      <x:c r="E158" s="15" t="n">
        <x:v>0.927703035149957</x:v>
      </x:c>
      <x:c r="F158" s="15" t="n">
        <x:v>0.915072295559259</x:v>
      </x:c>
      <x:c r="G158" s="9" t="s">
        <x:v>249</x:v>
      </x:c>
      <x:c r="H158" s="9" t="s">
        <x:v>209</x:v>
      </x:c>
      <x:c r="I158" s="9"/>
      <x:c r="J158" s="9" t="s">
        <x:v>244</x:v>
      </x:c>
    </x:row>
    <x:row r="159" ht="15" hidden="0">
      <x:c r="A159" s="9" t="s">
        <x:v>37</x:v>
      </x:c>
      <x:c r="B159" s="9" t="s">
        <x:v>250</x:v>
      </x:c>
      <x:c r="C159" s="9" t="s">
        <x:v>73</x:v>
      </x:c>
      <x:c r="D159" s="15" t="n">
        <x:v>3.86</x:v>
      </x:c>
      <x:c r="E159" s="15" t="n">
        <x:v>2.66527702176183</x:v>
      </x:c>
      <x:c r="F159" s="15" t="n">
        <x:v>3.85948970770745</x:v>
      </x:c>
      <x:c r="G159" s="9" t="s">
        <x:v>251</x:v>
      </x:c>
      <x:c r="H159" s="9" t="s">
        <x:v>209</x:v>
      </x:c>
      <x:c r="I159" s="9"/>
      <x:c r="J159" s="9" t="s">
        <x:v>244</x:v>
      </x:c>
    </x:row>
    <x:row r="160" ht="15" hidden="0">
      <x:c r="A160" s="9" t="s">
        <x:v>37</x:v>
      </x:c>
      <x:c r="B160" s="9" t="s">
        <x:v>250</x:v>
      </x:c>
      <x:c r="C160" s="9" t="s">
        <x:v>74</x:v>
      </x:c>
      <x:c r="D160" s="15" t="n">
        <x:v>3.78</x:v>
      </x:c>
      <x:c r="E160" s="15" t="n">
        <x:v>2.70574783399353</x:v>
      </x:c>
      <x:c r="F160" s="15" t="n">
        <x:v>3.78144185672719</x:v>
      </x:c>
      <x:c r="G160" s="9" t="s">
        <x:v>251</x:v>
      </x:c>
      <x:c r="H160" s="9" t="s">
        <x:v>209</x:v>
      </x:c>
      <x:c r="I160" s="9"/>
      <x:c r="J160" s="9" t="s">
        <x:v>244</x:v>
      </x:c>
    </x:row>
    <x:row r="161" ht="15" hidden="0">
      <x:c r="A161" s="9" t="s">
        <x:v>37</x:v>
      </x:c>
      <x:c r="B161" s="9" t="s">
        <x:v>250</x:v>
      </x:c>
      <x:c r="C161" s="9" t="s">
        <x:v>75</x:v>
      </x:c>
      <x:c r="D161" s="15" t="n">
        <x:v>2.05</x:v>
      </x:c>
      <x:c r="E161" s="15" t="n">
        <x:v>1.47749581990749</x:v>
      </x:c>
      <x:c r="F161" s="15" t="n">
        <x:v>2.05404378807682</x:v>
      </x:c>
      <x:c r="G161" s="9" t="s">
        <x:v>251</x:v>
      </x:c>
      <x:c r="H161" s="9" t="s">
        <x:v>209</x:v>
      </x:c>
      <x:c r="I161" s="9"/>
      <x:c r="J161" s="9" t="s">
        <x:v>244</x:v>
      </x:c>
    </x:row>
    <x:row r="162" ht="15" hidden="0">
      <x:c r="A162" s="9" t="s">
        <x:v>37</x:v>
      </x:c>
      <x:c r="B162" s="9" t="s">
        <x:v>250</x:v>
      </x:c>
      <x:c r="C162" s="9" t="s">
        <x:v>76</x:v>
      </x:c>
      <x:c r="D162" s="15" t="n">
        <x:v>1.84</x:v>
      </x:c>
      <x:c r="E162" s="15" t="n">
        <x:v>1.36782903372098</x:v>
      </x:c>
      <x:c r="F162" s="15" t="n">
        <x:v>1.83642971814518</x:v>
      </x:c>
      <x:c r="G162" s="9" t="s">
        <x:v>251</x:v>
      </x:c>
      <x:c r="H162" s="9" t="s">
        <x:v>209</x:v>
      </x:c>
      <x:c r="I162" s="9"/>
      <x:c r="J162" s="9" t="s">
        <x:v>244</x:v>
      </x:c>
    </x:row>
    <x:row r="163" ht="15" hidden="0">
      <x:c r="A163" s="9" t="s">
        <x:v>37</x:v>
      </x:c>
      <x:c r="B163" s="9" t="s">
        <x:v>250</x:v>
      </x:c>
      <x:c r="C163" s="9" t="s">
        <x:v>77</x:v>
      </x:c>
      <x:c r="D163" s="15" t="n">
        <x:v>5.35</x:v>
      </x:c>
      <x:c r="E163" s="15" t="n">
        <x:v>4.42132151660476</x:v>
      </x:c>
      <x:c r="F163" s="15" t="n">
        <x:v>5.35024603368381</x:v>
      </x:c>
      <x:c r="G163" s="9" t="s">
        <x:v>251</x:v>
      </x:c>
      <x:c r="H163" s="9" t="s">
        <x:v>209</x:v>
      </x:c>
      <x:c r="I163" s="9"/>
      <x:c r="J163" s="9" t="s">
        <x:v>244</x:v>
      </x:c>
    </x:row>
    <x:row r="164" ht="15" hidden="0">
      <x:c r="A164" s="9" t="s">
        <x:v>37</x:v>
      </x:c>
      <x:c r="B164" s="9" t="s">
        <x:v>220</x:v>
      </x:c>
      <x:c r="C164" s="9" t="s">
        <x:v>73</x:v>
      </x:c>
      <x:c r="D164" s="15" t="n">
        <x:v>0.1789</x:v>
      </x:c>
      <x:c r="E164" s="15" t="n">
        <x:v>0.178947137394976</x:v>
      </x:c>
      <x:c r="F164" s="15" t="n">
        <x:v>0.178947137394976</x:v>
      </x:c>
      <x:c r="G164" s="9" t="s">
        <x:v>221</x:v>
      </x:c>
      <x:c r="H164" s="9" t="s">
        <x:v>199</x:v>
      </x:c>
      <x:c r="I164" s="9"/>
      <x:c r="J164" s="9" t="s">
        <x:v>244</x:v>
      </x:c>
    </x:row>
    <x:row r="165" ht="15" hidden="0">
      <x:c r="A165" s="9" t="s">
        <x:v>37</x:v>
      </x:c>
      <x:c r="B165" s="9" t="s">
        <x:v>220</x:v>
      </x:c>
      <x:c r="C165" s="9" t="s">
        <x:v>74</x:v>
      </x:c>
      <x:c r="D165" s="15" t="n">
        <x:v>0.1797</x:v>
      </x:c>
      <x:c r="E165" s="15" t="n">
        <x:v>0.179662611359964</x:v>
      </x:c>
      <x:c r="F165" s="15" t="n">
        <x:v>0.179662611359964</x:v>
      </x:c>
      <x:c r="G165" s="9" t="s">
        <x:v>221</x:v>
      </x:c>
      <x:c r="H165" s="9" t="s">
        <x:v>199</x:v>
      </x:c>
      <x:c r="I165" s="9"/>
      <x:c r="J165" s="9" t="s">
        <x:v>244</x:v>
      </x:c>
    </x:row>
    <x:row r="166" ht="15" hidden="0">
      <x:c r="A166" s="9" t="s">
        <x:v>37</x:v>
      </x:c>
      <x:c r="B166" s="9" t="s">
        <x:v>220</x:v>
      </x:c>
      <x:c r="C166" s="9" t="s">
        <x:v>75</x:v>
      </x:c>
      <x:c r="D166" s="15" t="n">
        <x:v>0.147</x:v>
      </x:c>
      <x:c r="E166" s="15" t="n">
        <x:v>0.147048524585835</x:v>
      </x:c>
      <x:c r="F166" s="15" t="n">
        <x:v>0.147048524585835</x:v>
      </x:c>
      <x:c r="G166" s="9" t="s">
        <x:v>221</x:v>
      </x:c>
      <x:c r="H166" s="9" t="s">
        <x:v>199</x:v>
      </x:c>
      <x:c r="I166" s="9"/>
      <x:c r="J166" s="9" t="s">
        <x:v>244</x:v>
      </x:c>
    </x:row>
    <x:row r="167" ht="15" hidden="0">
      <x:c r="A167" s="9" t="s">
        <x:v>37</x:v>
      </x:c>
      <x:c r="B167" s="9" t="s">
        <x:v>220</x:v>
      </x:c>
      <x:c r="C167" s="9" t="s">
        <x:v>76</x:v>
      </x:c>
      <x:c r="D167" s="15" t="n">
        <x:v>0.1594</x:v>
      </x:c>
      <x:c r="E167" s="15" t="n">
        <x:v>0.159425636084326</x:v>
      </x:c>
      <x:c r="F167" s="15" t="n">
        <x:v>0.159425636084326</x:v>
      </x:c>
      <x:c r="G167" s="9" t="s">
        <x:v>221</x:v>
      </x:c>
      <x:c r="H167" s="9" t="s">
        <x:v>199</x:v>
      </x:c>
      <x:c r="I167" s="9"/>
      <x:c r="J167" s="9" t="s">
        <x:v>244</x:v>
      </x:c>
    </x:row>
    <x:row r="168" ht="15" hidden="0">
      <x:c r="A168" s="9" t="s">
        <x:v>37</x:v>
      </x:c>
      <x:c r="B168" s="9" t="s">
        <x:v>220</x:v>
      </x:c>
      <x:c r="C168" s="9" t="s">
        <x:v>77</x:v>
      </x:c>
      <x:c r="D168" s="15" t="n">
        <x:v>0.2574</x:v>
      </x:c>
      <x:c r="E168" s="15" t="n">
        <x:v>0.257406325473009</x:v>
      </x:c>
      <x:c r="F168" s="15" t="n">
        <x:v>0.257406325473009</x:v>
      </x:c>
      <x:c r="G168" s="9" t="s">
        <x:v>221</x:v>
      </x:c>
      <x:c r="H168" s="9" t="s">
        <x:v>199</x:v>
      </x:c>
      <x:c r="I168" s="9"/>
      <x:c r="J168" s="9" t="s">
        <x:v>244</x:v>
      </x:c>
    </x:row>
    <x:row r="169" ht="15" hidden="0">
      <x:c r="A169" s="9" t="s">
        <x:v>37</x:v>
      </x:c>
      <x:c r="B169" s="9" t="s">
        <x:v>222</x:v>
      </x:c>
      <x:c r="C169" s="9" t="s">
        <x:v>73</x:v>
      </x:c>
      <x:c r="D169" s="15" t="n">
        <x:v>0.0825</x:v>
      </x:c>
      <x:c r="E169" s="15" t="n">
        <x:v>0.0824975298003511</x:v>
      </x:c>
      <x:c r="F169" s="15" t="n">
        <x:v>0.0824975298003511</x:v>
      </x:c>
      <x:c r="G169" s="9" t="s">
        <x:v>223</x:v>
      </x:c>
      <x:c r="H169" s="9" t="s">
        <x:v>199</x:v>
      </x:c>
      <x:c r="I169" s="9"/>
      <x:c r="J169" s="9" t="s">
        <x:v>244</x:v>
      </x:c>
    </x:row>
    <x:row r="170" ht="15" hidden="0">
      <x:c r="A170" s="9" t="s">
        <x:v>37</x:v>
      </x:c>
      <x:c r="B170" s="9" t="s">
        <x:v>222</x:v>
      </x:c>
      <x:c r="C170" s="9" t="s">
        <x:v>74</x:v>
      </x:c>
      <x:c r="D170" s="15" t="n">
        <x:v>0.0512</x:v>
      </x:c>
      <x:c r="E170" s="15" t="n">
        <x:v>0.0512049310019218</x:v>
      </x:c>
      <x:c r="F170" s="15" t="n">
        <x:v>0.0512049310019218</x:v>
      </x:c>
      <x:c r="G170" s="9" t="s">
        <x:v>223</x:v>
      </x:c>
      <x:c r="H170" s="9" t="s">
        <x:v>199</x:v>
      </x:c>
      <x:c r="I170" s="9"/>
      <x:c r="J170" s="9" t="s">
        <x:v>244</x:v>
      </x:c>
    </x:row>
    <x:row r="171" ht="15" hidden="0">
      <x:c r="A171" s="9" t="s">
        <x:v>37</x:v>
      </x:c>
      <x:c r="B171" s="9" t="s">
        <x:v>222</x:v>
      </x:c>
      <x:c r="C171" s="9" t="s">
        <x:v>75</x:v>
      </x:c>
      <x:c r="D171" s="15" t="n">
        <x:v>-0.056</x:v>
      </x:c>
      <x:c r="E171" s="15" t="n">
        <x:v>-0.0559520191956703</x:v>
      </x:c>
      <x:c r="F171" s="15" t="n">
        <x:v>-0.0559520191956703</x:v>
      </x:c>
      <x:c r="G171" s="9" t="s">
        <x:v>223</x:v>
      </x:c>
      <x:c r="H171" s="9" t="s">
        <x:v>199</x:v>
      </x:c>
      <x:c r="I171" s="9"/>
      <x:c r="J171" s="9" t="s">
        <x:v>244</x:v>
      </x:c>
    </x:row>
    <x:row r="172" ht="15" hidden="0">
      <x:c r="A172" s="9" t="s">
        <x:v>37</x:v>
      </x:c>
      <x:c r="B172" s="9" t="s">
        <x:v>222</x:v>
      </x:c>
      <x:c r="C172" s="9" t="s">
        <x:v>76</x:v>
      </x:c>
      <x:c r="D172" s="15" t="n">
        <x:v>0.0082</x:v>
      </x:c>
      <x:c r="E172" s="15" t="n">
        <x:v>0.00821330659668304</x:v>
      </x:c>
      <x:c r="F172" s="15" t="n">
        <x:v>0.00821330659668304</x:v>
      </x:c>
      <x:c r="G172" s="9" t="s">
        <x:v>223</x:v>
      </x:c>
      <x:c r="H172" s="9" t="s">
        <x:v>199</x:v>
      </x:c>
      <x:c r="I172" s="9"/>
      <x:c r="J172" s="9" t="s">
        <x:v>244</x:v>
      </x:c>
    </x:row>
    <x:row r="173" ht="15" hidden="0">
      <x:c r="A173" s="9" t="s">
        <x:v>37</x:v>
      </x:c>
      <x:c r="B173" s="9" t="s">
        <x:v>222</x:v>
      </x:c>
      <x:c r="C173" s="9" t="s">
        <x:v>77</x:v>
      </x:c>
      <x:c r="D173" s="15" t="n">
        <x:v>0.1207</x:v>
      </x:c>
      <x:c r="E173" s="15" t="n">
        <x:v>0.12066652759857</x:v>
      </x:c>
      <x:c r="F173" s="15" t="n">
        <x:v>0.12066652759857</x:v>
      </x:c>
      <x:c r="G173" s="9" t="s">
        <x:v>223</x:v>
      </x:c>
      <x:c r="H173" s="9" t="s">
        <x:v>199</x:v>
      </x:c>
      <x:c r="I173" s="9"/>
      <x:c r="J173" s="9" t="s">
        <x:v>244</x:v>
      </x:c>
    </x:row>
    <x:row r="174" ht="15" hidden="0">
      <x:c r="A174" s="9" t="s">
        <x:v>37</x:v>
      </x:c>
      <x:c r="B174" s="9" t="s">
        <x:v>252</x:v>
      </x:c>
      <x:c r="C174" s="9" t="s">
        <x:v>73</x:v>
      </x:c>
      <x:c r="D174" s="15" t="n">
        <x:v>0.0531</x:v>
      </x:c>
      <x:c r="E174" s="15" t="n">
        <x:v>0.0531147457683849</x:v>
      </x:c>
      <x:c r="F174" s="15" t="n">
        <x:v>0.0531147457683849</x:v>
      </x:c>
      <x:c r="G174" s="9" t="s">
        <x:v>253</x:v>
      </x:c>
      <x:c r="H174" s="9" t="s">
        <x:v>199</x:v>
      </x:c>
      <x:c r="I174" s="9"/>
      <x:c r="J174" s="9" t="s">
        <x:v>244</x:v>
      </x:c>
    </x:row>
    <x:row r="175" ht="15" hidden="0">
      <x:c r="A175" s="9" t="s">
        <x:v>37</x:v>
      </x:c>
      <x:c r="B175" s="9" t="s">
        <x:v>252</x:v>
      </x:c>
      <x:c r="C175" s="9" t="s">
        <x:v>74</x:v>
      </x:c>
      <x:c r="D175" s="15" t="n">
        <x:v>0.0415</x:v>
      </x:c>
      <x:c r="E175" s="15" t="n">
        <x:v>0.0414534926799724</x:v>
      </x:c>
      <x:c r="F175" s="15" t="n">
        <x:v>0.0414534926799724</x:v>
      </x:c>
      <x:c r="G175" s="9" t="s">
        <x:v>253</x:v>
      </x:c>
      <x:c r="H175" s="9" t="s">
        <x:v>199</x:v>
      </x:c>
      <x:c r="I175" s="9"/>
      <x:c r="J175" s="9" t="s">
        <x:v>244</x:v>
      </x:c>
    </x:row>
    <x:row r="176" ht="15" hidden="0">
      <x:c r="A176" s="9" t="s">
        <x:v>37</x:v>
      </x:c>
      <x:c r="B176" s="9" t="s">
        <x:v>252</x:v>
      </x:c>
      <x:c r="C176" s="9" t="s">
        <x:v>75</x:v>
      </x:c>
      <x:c r="D176" s="15" t="n">
        <x:v>-0.0542</x:v>
      </x:c>
      <x:c r="E176" s="15" t="n">
        <x:v>-0.0542236332058983</x:v>
      </x:c>
      <x:c r="F176" s="15" t="n">
        <x:v>-0.0542236332058983</x:v>
      </x:c>
      <x:c r="G176" s="9" t="s">
        <x:v>253</x:v>
      </x:c>
      <x:c r="H176" s="9" t="s">
        <x:v>199</x:v>
      </x:c>
      <x:c r="I176" s="9"/>
      <x:c r="J176" s="9" t="s">
        <x:v>244</x:v>
      </x:c>
    </x:row>
    <x:row r="177" ht="15" hidden="0">
      <x:c r="A177" s="9" t="s">
        <x:v>37</x:v>
      </x:c>
      <x:c r="B177" s="9" t="s">
        <x:v>252</x:v>
      </x:c>
      <x:c r="C177" s="9" t="s">
        <x:v>76</x:v>
      </x:c>
      <x:c r="D177" s="15" t="n">
        <x:v>0.0077</x:v>
      </x:c>
      <x:c r="E177" s="15" t="n">
        <x:v>0.00774631129011417</x:v>
      </x:c>
      <x:c r="F177" s="15" t="n">
        <x:v>0.00774631129011417</x:v>
      </x:c>
      <x:c r="G177" s="9" t="s">
        <x:v>253</x:v>
      </x:c>
      <x:c r="H177" s="9" t="s">
        <x:v>199</x:v>
      </x:c>
      <x:c r="I177" s="9"/>
      <x:c r="J177" s="9" t="s">
        <x:v>244</x:v>
      </x:c>
    </x:row>
    <x:row r="178" ht="15" hidden="0">
      <x:c r="A178" s="9" t="s">
        <x:v>37</x:v>
      </x:c>
      <x:c r="B178" s="9" t="s">
        <x:v>252</x:v>
      </x:c>
      <x:c r="C178" s="9" t="s">
        <x:v>77</x:v>
      </x:c>
      <x:c r="D178" s="15" t="n">
        <x:v>0.1018</x:v>
      </x:c>
      <x:c r="E178" s="15" t="n">
        <x:v>0.1017512616015</x:v>
      </x:c>
      <x:c r="F178" s="15" t="n">
        <x:v>0.1017512616015</x:v>
      </x:c>
      <x:c r="G178" s="9" t="s">
        <x:v>253</x:v>
      </x:c>
      <x:c r="H178" s="9" t="s">
        <x:v>199</x:v>
      </x:c>
      <x:c r="I178" s="9"/>
      <x:c r="J178" s="9" t="s">
        <x:v>244</x:v>
      </x:c>
    </x:row>
    <x:row r="179" ht="15" hidden="0">
      <x:c r="A179" s="9" t="s">
        <x:v>37</x:v>
      </x:c>
      <x:c r="B179" s="9" t="s">
        <x:v>254</x:v>
      </x:c>
      <x:c r="C179" s="9" t="s">
        <x:v>73</x:v>
      </x:c>
      <x:c r="D179" s="15" t="n">
        <x:v>0.2499</x:v>
      </x:c>
      <x:c r="E179" s="15" t="n">
        <x:v>0.249914970152539</x:v>
      </x:c>
      <x:c r="F179" s="15" t="n">
        <x:v>0.249914970152539</x:v>
      </x:c>
      <x:c r="G179" s="9" t="s">
        <x:v>155</x:v>
      </x:c>
      <x:c r="H179" s="9" t="s">
        <x:v>199</x:v>
      </x:c>
      <x:c r="I179" s="9"/>
      <x:c r="J179" s="9" t="s">
        <x:v>244</x:v>
      </x:c>
    </x:row>
    <x:row r="180" ht="15" hidden="0">
      <x:c r="A180" s="9" t="s">
        <x:v>37</x:v>
      </x:c>
      <x:c r="B180" s="9" t="s">
        <x:v>254</x:v>
      </x:c>
      <x:c r="C180" s="9" t="s">
        <x:v>74</x:v>
      </x:c>
      <x:c r="D180" s="15" t="n">
        <x:v>0.2327</x:v>
      </x:c>
      <x:c r="E180" s="15" t="n">
        <x:v>0.232655707288125</x:v>
      </x:c>
      <x:c r="F180" s="15" t="n">
        <x:v>0.232655707288125</x:v>
      </x:c>
      <x:c r="G180" s="9" t="s">
        <x:v>155</x:v>
      </x:c>
      <x:c r="H180" s="9" t="s">
        <x:v>199</x:v>
      </x:c>
      <x:c r="I180" s="9"/>
      <x:c r="J180" s="9" t="s">
        <x:v>244</x:v>
      </x:c>
    </x:row>
    <x:row r="181" ht="15" hidden="0">
      <x:c r="A181" s="9" t="s">
        <x:v>37</x:v>
      </x:c>
      <x:c r="B181" s="9" t="s">
        <x:v>254</x:v>
      </x:c>
      <x:c r="C181" s="9" t="s">
        <x:v>75</x:v>
      </x:c>
      <x:c r="D181" s="15" t="n">
        <x:v>0.2131</x:v>
      </x:c>
      <x:c r="E181" s="15" t="n">
        <x:v>0.213114014948429</x:v>
      </x:c>
      <x:c r="F181" s="15" t="n">
        <x:v>0.213114014948429</x:v>
      </x:c>
      <x:c r="G181" s="9" t="s">
        <x:v>155</x:v>
      </x:c>
      <x:c r="H181" s="9" t="s">
        <x:v>199</x:v>
      </x:c>
      <x:c r="I181" s="9"/>
      <x:c r="J181" s="9" t="s">
        <x:v>244</x:v>
      </x:c>
    </x:row>
    <x:row r="182" ht="15" hidden="0">
      <x:c r="A182" s="9" t="s">
        <x:v>37</x:v>
      </x:c>
      <x:c r="B182" s="9" t="s">
        <x:v>254</x:v>
      </x:c>
      <x:c r="C182" s="9" t="s">
        <x:v>76</x:v>
      </x:c>
      <x:c r="D182" s="15" t="n">
        <x:v>0.2225</x:v>
      </x:c>
      <x:c r="E182" s="15" t="n">
        <x:v>0.222497860307312</x:v>
      </x:c>
      <x:c r="F182" s="15" t="n">
        <x:v>0.222497860307312</x:v>
      </x:c>
      <x:c r="G182" s="9" t="s">
        <x:v>155</x:v>
      </x:c>
      <x:c r="H182" s="9" t="s">
        <x:v>199</x:v>
      </x:c>
      <x:c r="I182" s="9"/>
      <x:c r="J182" s="9" t="s">
        <x:v>244</x:v>
      </x:c>
    </x:row>
    <x:row r="183" ht="15" hidden="0">
      <x:c r="A183" s="9" t="s">
        <x:v>37</x:v>
      </x:c>
      <x:c r="B183" s="9" t="s">
        <x:v>254</x:v>
      </x:c>
      <x:c r="C183" s="9" t="s">
        <x:v>77</x:v>
      </x:c>
      <x:c r="D183" s="15" t="n">
        <x:v>0.288</x:v>
      </x:c>
      <x:c r="E183" s="15" t="n">
        <x:v>0.288034522827358</x:v>
      </x:c>
      <x:c r="F183" s="15" t="n">
        <x:v>0.288034522827358</x:v>
      </x:c>
      <x:c r="G183" s="9" t="s">
        <x:v>155</x:v>
      </x:c>
      <x:c r="H183" s="9" t="s">
        <x:v>199</x:v>
      </x:c>
      <x:c r="I183" s="9"/>
      <x:c r="J183" s="9" t="s">
        <x:v>244</x:v>
      </x:c>
    </x:row>
    <x:row r="184" ht="15" hidden="0">
      <x:c r="A184" s="9" t="s">
        <x:v>37</x:v>
      </x:c>
      <x:c r="B184" s="9" t="s">
        <x:v>255</x:v>
      </x:c>
      <x:c r="C184" s="9" t="s">
        <x:v>73</x:v>
      </x:c>
      <x:c r="D184" s="15" t="n">
        <x:v>13.88</x:v>
      </x:c>
      <x:c r="E184" s="15" t="n">
        <x:f>DGKC!D174</x:f>
        <x:v>13.883154069739035</x:v>
      </x:c>
      <x:c r="F184" s="15" t="n">
        <x:f>'PSX Prices'!F16/(DGKC!D99/'PSX Prices'!O16)</x:f>
        <x:v>13.883154069739035</x:v>
      </x:c>
      <x:c r="G184" s="9" t="str">
        <x:v>Report price / (PAT / report-basis weighted shares)</x:v>
      </x:c>
      <x:c r="H184" s="9" t="str">
        <x:f>IF(AND(ISNUMBER(D184),ISNUMBER(F184)),IF(ROUND(D184,2)=ROUND(F184,2),"Reconstructed","Published value unresolved"),"Not comparable")</x:f>
        <x:v>Reconstructed</x:v>
      </x:c>
      <x:c r="I184"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184" s="9" t="s">
        <x:v>244</x:v>
      </x:c>
    </x:row>
    <x:row r="185" ht="15" hidden="0">
      <x:c r="A185" s="9" t="s">
        <x:v>37</x:v>
      </x:c>
      <x:c r="B185" s="9" t="s">
        <x:v>255</x:v>
      </x:c>
      <x:c r="C185" s="9" t="s">
        <x:v>74</x:v>
      </x:c>
      <x:c r="D185" s="15" t="n">
        <x:v>9.21</x:v>
      </x:c>
      <x:c r="E185" s="15" t="n">
        <x:f>DGKC!E174</x:f>
        <x:v>9.213064855464028</x:v>
      </x:c>
      <x:c r="F185" s="15" t="n">
        <x:f>'PSX Prices'!F17/(DGKC!E99/'PSX Prices'!O17)</x:f>
        <x:v>9.213064855464028</x:v>
      </x:c>
      <x:c r="G185" s="9" t="str">
        <x:v>Report price / (PAT / report-basis weighted shares)</x:v>
      </x:c>
      <x:c r="H185" s="9" t="str">
        <x:f>IF(AND(ISNUMBER(D185),ISNUMBER(F185)),IF(ROUND(D185,2)=ROUND(F185,2),"Reconstructed","Published value unresolved"),"Not comparable")</x:f>
        <x:v>Reconstructed</x:v>
      </x:c>
      <x:c r="I185"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185" s="9" t="s">
        <x:v>244</x:v>
      </x:c>
    </x:row>
    <x:row r="186" ht="15" hidden="0">
      <x:c r="A186" s="9" t="s">
        <x:v>37</x:v>
      </x:c>
      <x:c r="B186" s="9" t="s">
        <x:v>255</x:v>
      </x:c>
      <x:c r="C186" s="9" t="s">
        <x:v>75</x:v>
      </x:c>
      <x:c r="D186" s="15" t="n">
        <x:v>-6.18</x:v>
      </x:c>
      <x:c r="E186" s="15" t="str">
        <x:f>DGKC!F174</x:f>
        <x:v>n/m</x:v>
      </x:c>
      <x:c r="F186" s="15" t="n">
        <x:f>'PSX Prices'!F18/(DGKC!F99/'PSX Prices'!O18)</x:f>
        <x:v>-6.181424397025723</x:v>
      </x:c>
      <x:c r="G186" s="9" t="str">
        <x:v>Report price / (PAT / report-basis weighted shares)</x:v>
      </x:c>
      <x:c r="H186" s="9" t="str">
        <x:f>IF(AND(ISNUMBER(D186),ISNUMBER(F186)),IF(ROUND(D186,2)=ROUND(F186,2),"Reconstructed","Published value unresolved"),"Not comparable")</x:f>
        <x:v>Reconstructed</x:v>
      </x:c>
      <x:c r="I186"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186" s="9" t="s">
        <x:v>244</x:v>
      </x:c>
    </x:row>
    <x:row r="187" ht="15" hidden="0">
      <x:c r="A187" s="9" t="s">
        <x:v>37</x:v>
      </x:c>
      <x:c r="B187" s="9" t="s">
        <x:v>255</x:v>
      </x:c>
      <x:c r="C187" s="9" t="s">
        <x:v>76</x:v>
      </x:c>
      <x:c r="D187" s="15" t="n">
        <x:v>72.92</x:v>
      </x:c>
      <x:c r="E187" s="15" t="n">
        <x:f>DGKC!G174</x:f>
        <x:v>72.91538429829842</x:v>
      </x:c>
      <x:c r="F187" s="15" t="n">
        <x:f>'PSX Prices'!F19/(DGKC!G99/'PSX Prices'!O19)</x:f>
        <x:v>72.91538429829842</x:v>
      </x:c>
      <x:c r="G187" s="9" t="str">
        <x:v>Report price / (PAT / report-basis weighted shares)</x:v>
      </x:c>
      <x:c r="H187" s="9" t="str">
        <x:f>IF(AND(ISNUMBER(D187),ISNUMBER(F187)),IF(ROUND(D187,2)=ROUND(F187,2),"Reconstructed","Published value unresolved"),"Not comparable")</x:f>
        <x:v>Reconstructed</x:v>
      </x:c>
      <x:c r="I187"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187" s="9" t="s">
        <x:v>244</x:v>
      </x:c>
    </x:row>
    <x:row r="188" ht="15" hidden="0">
      <x:c r="A188" s="9" t="s">
        <x:v>37</x:v>
      </x:c>
      <x:c r="B188" s="9" t="s">
        <x:v>255</x:v>
      </x:c>
      <x:c r="C188" s="9" t="s">
        <x:v>77</x:v>
      </x:c>
      <x:c r="D188" s="15" t="n">
        <x:v>8.36</x:v>
      </x:c>
      <x:c r="E188" s="15" t="n">
        <x:f>DGKC!H174</x:f>
        <x:v>8.361326554214791</x:v>
      </x:c>
      <x:c r="F188" s="15" t="n">
        <x:f>'PSX Prices'!F20/(DGKC!H99/'PSX Prices'!O20)</x:f>
        <x:v>8.361326554214791</x:v>
      </x:c>
      <x:c r="G188" s="9" t="str">
        <x:v>Report price / (PAT / report-basis weighted shares)</x:v>
      </x:c>
      <x:c r="H188" s="9" t="str">
        <x:f>IF(AND(ISNUMBER(D188),ISNUMBER(F188)),IF(ROUND(D188,2)=ROUND(F188,2),"Reconstructed","Published value unresolved"),"Not comparable")</x:f>
        <x:v>Reconstructed</x:v>
      </x:c>
      <x:c r="I188"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188" s="9" t="s">
        <x:v>244</x:v>
      </x:c>
    </x:row>
    <x:row r="189" ht="15" hidden="0">
      <x:c r="A189" s="9" t="s">
        <x:v>37</x:v>
      </x:c>
      <x:c r="B189" s="9" t="s">
        <x:v>256</x:v>
      </x:c>
      <x:c r="C189" s="9" t="s">
        <x:v>73</x:v>
      </x:c>
      <x:c r="D189" s="15" t="n">
        <x:v>0.0085</x:v>
      </x:c>
      <x:c r="E189" s="15" t="n">
        <x:f>DGKC!D175</x:f>
        <x:v>0.008480325644504749</x:v>
      </x:c>
      <x:c r="F189" s="15" t="n">
        <x:f>'PSX Prices'!N16/'PSX Prices'!F16</x:f>
        <x:v>0.008480325644504749</x:v>
      </x:c>
      <x:c r="G189" s="9" t="str">
        <x:v>Report-basis DPS / report price</x:v>
      </x:c>
      <x:c r="H189" s="9" t="str">
        <x:f>IF(AND(ISNUMBER(D189),ISNUMBER(F189)),IF(ROUND(D189,4)=ROUND(F189,4),"Reconstructed","Published value unresolved"),"Not comparable")</x:f>
        <x:v>Reconstructed</x:v>
      </x:c>
      <x:c r="I189"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189" s="9" t="s">
        <x:v>244</x:v>
      </x:c>
    </x:row>
    <x:row r="190" ht="15" hidden="0">
      <x:c r="A190" s="9" t="s">
        <x:v>37</x:v>
      </x:c>
      <x:c r="B190" s="9" t="s">
        <x:v>256</x:v>
      </x:c>
      <x:c r="C190" s="9" t="s">
        <x:v>74</x:v>
      </x:c>
      <x:c r="D190" s="15" t="n">
        <x:v>0.016</x:v>
      </x:c>
      <x:c r="E190" s="15" t="n">
        <x:f>DGKC!E175</x:f>
        <x:v>0.016</x:v>
      </x:c>
      <x:c r="F190" s="15" t="n">
        <x:f>'PSX Prices'!N17/'PSX Prices'!F17</x:f>
        <x:v>0.016</x:v>
      </x:c>
      <x:c r="G190" s="9" t="str">
        <x:v>Report-basis DPS / report price</x:v>
      </x:c>
      <x:c r="H190" s="9" t="str">
        <x:f>IF(AND(ISNUMBER(D190),ISNUMBER(F190)),IF(ROUND(D190,4)=ROUND(F190,4),"Reconstructed","Published value unresolved"),"Not comparable")</x:f>
        <x:v>Reconstructed</x:v>
      </x:c>
      <x:c r="I190"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190" s="9" t="s">
        <x:v>244</x:v>
      </x:c>
    </x:row>
    <x:row r="191" ht="15" hidden="0">
      <x:c r="A191" s="9" t="s">
        <x:v>37</x:v>
      </x:c>
      <x:c r="B191" s="9" t="s">
        <x:v>256</x:v>
      </x:c>
      <x:c r="C191" s="9" t="s">
        <x:v>75</x:v>
      </x:c>
      <x:c r="D191" s="15" t="n">
        <x:v>0</x:v>
      </x:c>
      <x:c r="E191" s="15" t="n">
        <x:f>DGKC!F175</x:f>
        <x:v>0</x:v>
      </x:c>
      <x:c r="F191" s="15" t="n">
        <x:f>'PSX Prices'!N18/'PSX Prices'!F18</x:f>
        <x:v>0</x:v>
      </x:c>
      <x:c r="G191" s="9" t="str">
        <x:v>Report-basis DPS / report price</x:v>
      </x:c>
      <x:c r="H191" s="9" t="str">
        <x:f>IF(AND(ISNUMBER(D191),ISNUMBER(F191)),IF(ROUND(D191,4)=ROUND(F191,4),"Reconstructed","Published value unresolved"),"Not comparable")</x:f>
        <x:v>Reconstructed</x:v>
      </x:c>
      <x:c r="I191"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191" s="9" t="s">
        <x:v>244</x:v>
      </x:c>
    </x:row>
    <x:row r="192" ht="15" hidden="0">
      <x:c r="A192" s="9" t="s">
        <x:v>37</x:v>
      </x:c>
      <x:c r="B192" s="9" t="s">
        <x:v>256</x:v>
      </x:c>
      <x:c r="C192" s="9" t="s">
        <x:v>76</x:v>
      </x:c>
      <x:c r="D192" s="15" t="n">
        <x:v>0</x:v>
      </x:c>
      <x:c r="E192" s="15" t="n">
        <x:f>DGKC!G175</x:f>
        <x:v>0</x:v>
      </x:c>
      <x:c r="F192" s="15" t="n">
        <x:f>'PSX Prices'!N19/'PSX Prices'!F19</x:f>
        <x:v>0</x:v>
      </x:c>
      <x:c r="G192" s="9" t="str">
        <x:v>Report-basis DPS / report price</x:v>
      </x:c>
      <x:c r="H192" s="9" t="str">
        <x:f>IF(AND(ISNUMBER(D192),ISNUMBER(F192)),IF(ROUND(D192,4)=ROUND(F192,4),"Reconstructed","Published value unresolved"),"Not comparable")</x:f>
        <x:v>Reconstructed</x:v>
      </x:c>
      <x:c r="I192"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192" s="9" t="s">
        <x:v>244</x:v>
      </x:c>
    </x:row>
    <x:row r="193" ht="15" hidden="0">
      <x:c r="A193" s="9" t="s">
        <x:v>37</x:v>
      </x:c>
      <x:c r="B193" s="9" t="s">
        <x:v>256</x:v>
      </x:c>
      <x:c r="C193" s="9" t="s">
        <x:v>77</x:v>
      </x:c>
      <x:c r="D193" s="15" t="n">
        <x:v>0.0121</x:v>
      </x:c>
      <x:c r="E193" s="15" t="n">
        <x:f>DGKC!H175</x:f>
        <x:v>0.012080212611741966</x:v>
      </x:c>
      <x:c r="F193" s="15" t="n">
        <x:f>'PSX Prices'!N20/'PSX Prices'!F20</x:f>
        <x:v>0.012080212611741966</x:v>
      </x:c>
      <x:c r="G193" s="9" t="str">
        <x:v>Report-basis DPS / report price</x:v>
      </x:c>
      <x:c r="H193" s="9" t="str">
        <x:f>IF(AND(ISNUMBER(D193),ISNUMBER(F193)),IF(ROUND(D193,4)=ROUND(F193,4),"Reconstructed","Published value unresolved"),"Not comparable")</x:f>
        <x:v>Reconstructed</x:v>
      </x:c>
      <x:c r="I193"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193" s="9" t="s">
        <x:v>244</x:v>
      </x:c>
    </x:row>
    <x:row r="194" ht="15" hidden="0">
      <x:c r="A194" s="9" t="s">
        <x:v>37</x:v>
      </x:c>
      <x:c r="B194" s="9" t="s">
        <x:v>232</x:v>
      </x:c>
      <x:c r="C194" s="9" t="s">
        <x:v>73</x:v>
      </x:c>
      <x:c r="D194" s="15" t="n">
        <x:v>0.0656</x:v>
      </x:c>
      <x:c r="E194" s="15" t="n">
        <x:v>0.0811736814323556</x:v>
      </x:c>
      <x:c r="F194" s="9"/>
      <x:c r="G194" s="9" t="s">
        <x:v>204</x:v>
      </x:c>
      <x:c r="H194" s="9" t="s">
        <x:v>205</x:v>
      </x:c>
      <x:c r="I194" s="9" t="s">
        <x:v>206</x:v>
      </x:c>
      <x:c r="J194" s="9" t="s">
        <x:v>244</x:v>
      </x:c>
    </x:row>
    <x:row r="195" ht="15" hidden="0">
      <x:c r="A195" s="9" t="s">
        <x:v>37</x:v>
      </x:c>
      <x:c r="B195" s="9" t="s">
        <x:v>232</x:v>
      </x:c>
      <x:c r="C195" s="9" t="s">
        <x:v>74</x:v>
      </x:c>
      <x:c r="D195" s="15" t="n">
        <x:v>0.0824</x:v>
      </x:c>
      <x:c r="E195" s="15" t="n">
        <x:v>0.101992214594612</x:v>
      </x:c>
      <x:c r="F195" s="9"/>
      <x:c r="G195" s="9" t="s">
        <x:v>204</x:v>
      </x:c>
      <x:c r="H195" s="9" t="s">
        <x:v>205</x:v>
      </x:c>
      <x:c r="I195" s="9" t="s">
        <x:v>206</x:v>
      </x:c>
      <x:c r="J195" s="9" t="s">
        <x:v>244</x:v>
      </x:c>
    </x:row>
    <x:row r="196" ht="15" hidden="0">
      <x:c r="A196" s="9" t="s">
        <x:v>37</x:v>
      </x:c>
      <x:c r="B196" s="9" t="s">
        <x:v>232</x:v>
      </x:c>
      <x:c r="C196" s="9" t="s">
        <x:v>75</x:v>
      </x:c>
      <x:c r="D196" s="15" t="n">
        <x:v>0.0928</x:v>
      </x:c>
      <x:c r="E196" s="15" t="n">
        <x:v>0.11222944844862</x:v>
      </x:c>
      <x:c r="F196" s="9"/>
      <x:c r="G196" s="9" t="s">
        <x:v>204</x:v>
      </x:c>
      <x:c r="H196" s="9" t="s">
        <x:v>205</x:v>
      </x:c>
      <x:c r="I196" s="9" t="s">
        <x:v>206</x:v>
      </x:c>
      <x:c r="J196" s="9" t="s">
        <x:v>244</x:v>
      </x:c>
    </x:row>
    <x:row r="197" ht="15" hidden="0">
      <x:c r="A197" s="9" t="s">
        <x:v>37</x:v>
      </x:c>
      <x:c r="B197" s="9" t="s">
        <x:v>232</x:v>
      </x:c>
      <x:c r="C197" s="9" t="s">
        <x:v>76</x:v>
      </x:c>
      <x:c r="D197" s="15" t="n">
        <x:v>0.0984</x:v>
      </x:c>
      <x:c r="E197" s="15" t="n">
        <x:v>0.112800790266259</x:v>
      </x:c>
      <x:c r="F197" s="9"/>
      <x:c r="G197" s="9" t="s">
        <x:v>204</x:v>
      </x:c>
      <x:c r="H197" s="9" t="s">
        <x:v>205</x:v>
      </x:c>
      <x:c r="I197" s="9" t="s">
        <x:v>206</x:v>
      </x:c>
      <x:c r="J197" s="9" t="s">
        <x:v>244</x:v>
      </x:c>
    </x:row>
    <x:row r="198" ht="15" hidden="0">
      <x:c r="A198" s="9" t="s">
        <x:v>37</x:v>
      </x:c>
      <x:c r="B198" s="9" t="s">
        <x:v>232</x:v>
      </x:c>
      <x:c r="C198" s="9" t="s">
        <x:v>77</x:v>
      </x:c>
      <x:c r="D198" s="15" t="n">
        <x:v>0.1448</x:v>
      </x:c>
      <x:c r="E198" s="15" t="n">
        <x:v>0.149221973771694</x:v>
      </x:c>
      <x:c r="F198" s="9"/>
      <x:c r="G198" s="9" t="s">
        <x:v>204</x:v>
      </x:c>
      <x:c r="H198" s="9" t="s">
        <x:v>205</x:v>
      </x:c>
      <x:c r="I198" s="9" t="s">
        <x:v>206</x:v>
      </x:c>
      <x:c r="J198" s="9" t="s">
        <x:v>244</x:v>
      </x:c>
    </x:row>
    <x:row r="199" ht="15" hidden="0">
      <x:c r="A199" s="9" t="s">
        <x:v>42</x:v>
      </x:c>
      <x:c r="B199" s="9" t="s">
        <x:v>197</x:v>
      </x:c>
      <x:c r="C199" s="9" t="s">
        <x:v>73</x:v>
      </x:c>
      <x:c r="D199" s="15" t="n">
        <x:v>1.48</x:v>
      </x:c>
      <x:c r="E199" s="15" t="n">
        <x:v>1.47809885681825</x:v>
      </x:c>
      <x:c r="F199" s="15" t="n">
        <x:v>1.47809885681825</x:v>
      </x:c>
      <x:c r="G199" s="9" t="s">
        <x:v>198</x:v>
      </x:c>
      <x:c r="H199" s="9" t="s">
        <x:v>199</x:v>
      </x:c>
      <x:c r="I199" s="9"/>
      <x:c r="J199" s="9" t="s">
        <x:v>257</x:v>
      </x:c>
    </x:row>
    <x:row r="200" ht="15" hidden="0">
      <x:c r="A200" s="9" t="s">
        <x:v>42</x:v>
      </x:c>
      <x:c r="B200" s="9" t="s">
        <x:v>197</x:v>
      </x:c>
      <x:c r="C200" s="9" t="s">
        <x:v>74</x:v>
      </x:c>
      <x:c r="D200" s="15" t="n">
        <x:v>1.25</x:v>
      </x:c>
      <x:c r="E200" s="15" t="n">
        <x:v>1.25495574089454</x:v>
      </x:c>
      <x:c r="F200" s="15" t="n">
        <x:v>1.25495574089454</x:v>
      </x:c>
      <x:c r="G200" s="9" t="s">
        <x:v>198</x:v>
      </x:c>
      <x:c r="H200" s="9" t="s">
        <x:v>199</x:v>
      </x:c>
      <x:c r="I200" s="9"/>
      <x:c r="J200" s="9" t="s">
        <x:v>257</x:v>
      </x:c>
    </x:row>
    <x:row r="201" ht="15" hidden="0">
      <x:c r="A201" s="9" t="s">
        <x:v>42</x:v>
      </x:c>
      <x:c r="B201" s="9" t="s">
        <x:v>197</x:v>
      </x:c>
      <x:c r="C201" s="9" t="s">
        <x:v>75</x:v>
      </x:c>
      <x:c r="D201" s="15" t="n">
        <x:v>1.37</x:v>
      </x:c>
      <x:c r="E201" s="15" t="n">
        <x:v>1.37154722155463</x:v>
      </x:c>
      <x:c r="F201" s="15" t="n">
        <x:v>1.37154722155463</x:v>
      </x:c>
      <x:c r="G201" s="9" t="s">
        <x:v>198</x:v>
      </x:c>
      <x:c r="H201" s="9" t="s">
        <x:v>199</x:v>
      </x:c>
      <x:c r="I201" s="9"/>
      <x:c r="J201" s="9" t="s">
        <x:v>257</x:v>
      </x:c>
    </x:row>
    <x:row r="202" ht="15" hidden="0">
      <x:c r="A202" s="9" t="s">
        <x:v>42</x:v>
      </x:c>
      <x:c r="B202" s="9" t="s">
        <x:v>197</x:v>
      </x:c>
      <x:c r="C202" s="9" t="s">
        <x:v>76</x:v>
      </x:c>
      <x:c r="D202" s="15" t="n">
        <x:v>1.44</x:v>
      </x:c>
      <x:c r="E202" s="15" t="n">
        <x:v>1.44467824151244</x:v>
      </x:c>
      <x:c r="F202" s="15" t="n">
        <x:v>1.44467824151244</x:v>
      </x:c>
      <x:c r="G202" s="9" t="s">
        <x:v>198</x:v>
      </x:c>
      <x:c r="H202" s="9" t="s">
        <x:v>199</x:v>
      </x:c>
      <x:c r="I202" s="9"/>
      <x:c r="J202" s="9" t="s">
        <x:v>257</x:v>
      </x:c>
    </x:row>
    <x:row r="203" ht="15" hidden="0">
      <x:c r="A203" s="9" t="s">
        <x:v>42</x:v>
      </x:c>
      <x:c r="B203" s="9" t="s">
        <x:v>197</x:v>
      </x:c>
      <x:c r="C203" s="9" t="s">
        <x:v>77</x:v>
      </x:c>
      <x:c r="D203" s="15" t="n">
        <x:v>1.53</x:v>
      </x:c>
      <x:c r="E203" s="15" t="n">
        <x:v>1.53244113036455</x:v>
      </x:c>
      <x:c r="F203" s="15" t="n">
        <x:v>1.53244113036455</x:v>
      </x:c>
      <x:c r="G203" s="9" t="s">
        <x:v>198</x:v>
      </x:c>
      <x:c r="H203" s="9" t="s">
        <x:v>199</x:v>
      </x:c>
      <x:c r="I203" s="9"/>
      <x:c r="J203" s="9" t="s">
        <x:v>257</x:v>
      </x:c>
    </x:row>
    <x:row r="204" ht="15" hidden="0">
      <x:c r="A204" s="9" t="s">
        <x:v>42</x:v>
      </x:c>
      <x:c r="B204" s="9" t="s">
        <x:v>245</x:v>
      </x:c>
      <x:c r="C204" s="9" t="s">
        <x:v>73</x:v>
      </x:c>
      <x:c r="D204" s="15" t="n">
        <x:v>0.44</x:v>
      </x:c>
      <x:c r="E204" s="15" t="n">
        <x:v>0.439716919103873</x:v>
      </x:c>
      <x:c r="F204" s="15" t="n">
        <x:v>0.439716919103873</x:v>
      </x:c>
      <x:c r="G204" s="9" t="s">
        <x:v>202</x:v>
      </x:c>
      <x:c r="H204" s="9" t="s">
        <x:v>199</x:v>
      </x:c>
      <x:c r="I204" s="9"/>
      <x:c r="J204" s="9" t="s">
        <x:v>257</x:v>
      </x:c>
    </x:row>
    <x:row r="205" ht="15" hidden="0">
      <x:c r="A205" s="9" t="s">
        <x:v>42</x:v>
      </x:c>
      <x:c r="B205" s="9" t="s">
        <x:v>245</x:v>
      </x:c>
      <x:c r="C205" s="9" t="s">
        <x:v>74</x:v>
      </x:c>
      <x:c r="D205" s="15" t="n">
        <x:v>0.29</x:v>
      </x:c>
      <x:c r="E205" s="15" t="n">
        <x:v>0.294735241062234</x:v>
      </x:c>
      <x:c r="F205" s="15" t="n">
        <x:v>0.294735241062234</x:v>
      </x:c>
      <x:c r="G205" s="9" t="s">
        <x:v>202</x:v>
      </x:c>
      <x:c r="H205" s="9" t="s">
        <x:v>199</x:v>
      </x:c>
      <x:c r="I205" s="9"/>
      <x:c r="J205" s="9" t="s">
        <x:v>257</x:v>
      </x:c>
    </x:row>
    <x:row r="206" ht="15" hidden="0">
      <x:c r="A206" s="9" t="s">
        <x:v>42</x:v>
      </x:c>
      <x:c r="B206" s="9" t="s">
        <x:v>245</x:v>
      </x:c>
      <x:c r="C206" s="9" t="s">
        <x:v>75</x:v>
      </x:c>
      <x:c r="D206" s="15" t="n">
        <x:v>0.52</x:v>
      </x:c>
      <x:c r="E206" s="15" t="n">
        <x:v>0.520456125218709</x:v>
      </x:c>
      <x:c r="F206" s="15" t="n">
        <x:v>0.520456125218709</x:v>
      </x:c>
      <x:c r="G206" s="9" t="s">
        <x:v>202</x:v>
      </x:c>
      <x:c r="H206" s="9" t="s">
        <x:v>199</x:v>
      </x:c>
      <x:c r="I206" s="9"/>
      <x:c r="J206" s="9" t="s">
        <x:v>257</x:v>
      </x:c>
    </x:row>
    <x:row r="207" ht="15" hidden="0">
      <x:c r="A207" s="9" t="s">
        <x:v>42</x:v>
      </x:c>
      <x:c r="B207" s="9" t="s">
        <x:v>245</x:v>
      </x:c>
      <x:c r="C207" s="9" t="s">
        <x:v>76</x:v>
      </x:c>
      <x:c r="D207" s="15" t="n">
        <x:v>0.61</x:v>
      </x:c>
      <x:c r="E207" s="15" t="n">
        <x:v>0.609426706384626</x:v>
      </x:c>
      <x:c r="F207" s="15" t="n">
        <x:v>0.609426706384626</x:v>
      </x:c>
      <x:c r="G207" s="9" t="s">
        <x:v>202</x:v>
      </x:c>
      <x:c r="H207" s="9" t="s">
        <x:v>199</x:v>
      </x:c>
      <x:c r="I207" s="9"/>
      <x:c r="J207" s="9" t="s">
        <x:v>257</x:v>
      </x:c>
    </x:row>
    <x:row r="208" ht="15" hidden="0">
      <x:c r="A208" s="9" t="s">
        <x:v>42</x:v>
      </x:c>
      <x:c r="B208" s="9" t="s">
        <x:v>245</x:v>
      </x:c>
      <x:c r="C208" s="9" t="s">
        <x:v>77</x:v>
      </x:c>
      <x:c r="D208" s="15" t="n">
        <x:v>0.81</x:v>
      </x:c>
      <x:c r="E208" s="15" t="n">
        <x:v>0.807882825955099</x:v>
      </x:c>
      <x:c r="F208" s="15" t="n">
        <x:v>0.807882825955099</x:v>
      </x:c>
      <x:c r="G208" s="9" t="s">
        <x:v>202</x:v>
      </x:c>
      <x:c r="H208" s="9" t="s">
        <x:v>199</x:v>
      </x:c>
      <x:c r="I208" s="9"/>
      <x:c r="J208" s="9" t="s">
        <x:v>257</x:v>
      </x:c>
    </x:row>
    <x:row r="209" ht="15" hidden="0">
      <x:c r="A209" s="9" t="s">
        <x:v>42</x:v>
      </x:c>
      <x:c r="B209" s="9" t="s">
        <x:v>258</x:v>
      </x:c>
      <x:c r="C209" s="9" t="s">
        <x:v>73</x:v>
      </x:c>
      <x:c r="D209" s="15" t="n">
        <x:v>25.99</x:v>
      </x:c>
      <x:c r="E209" s="15" t="n">
        <x:v>25.4892108590954</x:v>
      </x:c>
      <x:c r="F209" s="9"/>
      <x:c r="G209" s="9" t="s">
        <x:v>204</x:v>
      </x:c>
      <x:c r="H209" s="9" t="s">
        <x:v>205</x:v>
      </x:c>
      <x:c r="I209" s="9" t="s">
        <x:v>206</x:v>
      </x:c>
      <x:c r="J209" s="9" t="s">
        <x:v>257</x:v>
      </x:c>
    </x:row>
    <x:row r="210" ht="15" hidden="0">
      <x:c r="A210" s="9" t="s">
        <x:v>42</x:v>
      </x:c>
      <x:c r="B210" s="9" t="s">
        <x:v>258</x:v>
      </x:c>
      <x:c r="C210" s="9" t="s">
        <x:v>74</x:v>
      </x:c>
      <x:c r="D210" s="15" t="n">
        <x:v>24.88</x:v>
      </x:c>
      <x:c r="E210" s="15" t="n">
        <x:v>24.4000503143183</x:v>
      </x:c>
      <x:c r="F210" s="9"/>
      <x:c r="G210" s="9" t="s">
        <x:v>204</x:v>
      </x:c>
      <x:c r="H210" s="9" t="s">
        <x:v>205</x:v>
      </x:c>
      <x:c r="I210" s="9" t="s">
        <x:v>206</x:v>
      </x:c>
      <x:c r="J210" s="9" t="s">
        <x:v>257</x:v>
      </x:c>
    </x:row>
    <x:row r="211" ht="15" hidden="0">
      <x:c r="A211" s="9" t="s">
        <x:v>42</x:v>
      </x:c>
      <x:c r="B211" s="9" t="s">
        <x:v>258</x:v>
      </x:c>
      <x:c r="C211" s="9" t="s">
        <x:v>75</x:v>
      </x:c>
      <x:c r="D211" s="15" t="n">
        <x:v>27.31</x:v>
      </x:c>
      <x:c r="E211" s="15" t="n">
        <x:v>27.3123960722799</x:v>
      </x:c>
      <x:c r="F211" s="9"/>
      <x:c r="G211" s="9" t="s">
        <x:v>204</x:v>
      </x:c>
      <x:c r="H211" s="9" t="s">
        <x:v>199</x:v>
      </x:c>
      <x:c r="I211" s="9"/>
      <x:c r="J211" s="9" t="s">
        <x:v>257</x:v>
      </x:c>
    </x:row>
    <x:row r="212" ht="15" hidden="0">
      <x:c r="A212" s="9" t="s">
        <x:v>42</x:v>
      </x:c>
      <x:c r="B212" s="9" t="s">
        <x:v>258</x:v>
      </x:c>
      <x:c r="C212" s="9" t="s">
        <x:v>76</x:v>
      </x:c>
      <x:c r="D212" s="15" t="n">
        <x:v>28.69</x:v>
      </x:c>
      <x:c r="E212" s="15" t="n">
        <x:v>28.6105017571203</x:v>
      </x:c>
      <x:c r="F212" s="9"/>
      <x:c r="G212" s="9" t="s">
        <x:v>204</x:v>
      </x:c>
      <x:c r="H212" s="9" t="s">
        <x:v>205</x:v>
      </x:c>
      <x:c r="I212" s="9" t="s">
        <x:v>206</x:v>
      </x:c>
      <x:c r="J212" s="9" t="s">
        <x:v>257</x:v>
      </x:c>
    </x:row>
    <x:row r="213" ht="15" hidden="0">
      <x:c r="A213" s="9" t="s">
        <x:v>42</x:v>
      </x:c>
      <x:c r="B213" s="9" t="s">
        <x:v>258</x:v>
      </x:c>
      <x:c r="C213" s="9" t="s">
        <x:v>77</x:v>
      </x:c>
      <x:c r="D213" s="15" t="n">
        <x:v>31.09</x:v>
      </x:c>
      <x:c r="E213" s="15" t="n">
        <x:v>31.0907584427964</x:v>
      </x:c>
      <x:c r="F213" s="9"/>
      <x:c r="G213" s="9" t="s">
        <x:v>204</x:v>
      </x:c>
      <x:c r="H213" s="9" t="s">
        <x:v>199</x:v>
      </x:c>
      <x:c r="I213" s="9"/>
      <x:c r="J213" s="9" t="s">
        <x:v>257</x:v>
      </x:c>
    </x:row>
    <x:row r="214" ht="15" hidden="0">
      <x:c r="A214" s="9" t="s">
        <x:v>42</x:v>
      </x:c>
      <x:c r="B214" s="9" t="s">
        <x:v>235</x:v>
      </x:c>
      <x:c r="C214" s="9" t="s">
        <x:v>73</x:v>
      </x:c>
      <x:c r="D214" s="15" t="n">
        <x:v>24.3</x:v>
      </x:c>
      <x:c r="E214" s="15" t="n">
        <x:v>24.2994088265503</x:v>
      </x:c>
      <x:c r="F214" s="15" t="n">
        <x:v>24.2994088265503</x:v>
      </x:c>
      <x:c r="G214" s="9" t="s">
        <x:v>236</x:v>
      </x:c>
      <x:c r="H214" s="9" t="s">
        <x:v>199</x:v>
      </x:c>
      <x:c r="I214" s="9"/>
      <x:c r="J214" s="9" t="s">
        <x:v>257</x:v>
      </x:c>
    </x:row>
    <x:row r="215" ht="15" hidden="0">
      <x:c r="A215" s="9" t="s">
        <x:v>42</x:v>
      </x:c>
      <x:c r="B215" s="9" t="s">
        <x:v>235</x:v>
      </x:c>
      <x:c r="C215" s="9" t="s">
        <x:v>74</x:v>
      </x:c>
      <x:c r="D215" s="15" t="n">
        <x:v>14.09</x:v>
      </x:c>
      <x:c r="E215" s="15" t="n">
        <x:v>14.0897567173957</x:v>
      </x:c>
      <x:c r="F215" s="15" t="n">
        <x:v>14.0897567173957</x:v>
      </x:c>
      <x:c r="G215" s="9" t="s">
        <x:v>236</x:v>
      </x:c>
      <x:c r="H215" s="9" t="s">
        <x:v>199</x:v>
      </x:c>
      <x:c r="I215" s="9"/>
      <x:c r="J215" s="9" t="s">
        <x:v>257</x:v>
      </x:c>
    </x:row>
    <x:row r="216" ht="15" hidden="0">
      <x:c r="A216" s="9" t="s">
        <x:v>42</x:v>
      </x:c>
      <x:c r="B216" s="9" t="s">
        <x:v>235</x:v>
      </x:c>
      <x:c r="C216" s="9" t="s">
        <x:v>75</x:v>
      </x:c>
      <x:c r="D216" s="15" t="n">
        <x:v>13.72</x:v>
      </x:c>
      <x:c r="E216" s="15" t="n">
        <x:v>13.7214643357348</x:v>
      </x:c>
      <x:c r="F216" s="15" t="n">
        <x:v>13.7214643357348</x:v>
      </x:c>
      <x:c r="G216" s="9" t="s">
        <x:v>236</x:v>
      </x:c>
      <x:c r="H216" s="9" t="s">
        <x:v>199</x:v>
      </x:c>
      <x:c r="I216" s="9"/>
      <x:c r="J216" s="9" t="s">
        <x:v>257</x:v>
      </x:c>
    </x:row>
    <x:row r="217" ht="15" hidden="0">
      <x:c r="A217" s="9" t="s">
        <x:v>42</x:v>
      </x:c>
      <x:c r="B217" s="9" t="s">
        <x:v>235</x:v>
      </x:c>
      <x:c r="C217" s="9" t="s">
        <x:v>76</x:v>
      </x:c>
      <x:c r="D217" s="15" t="n">
        <x:v>18.7</x:v>
      </x:c>
      <x:c r="E217" s="15" t="n">
        <x:v>18.6468313354406</x:v>
      </x:c>
      <x:c r="F217" s="15" t="n">
        <x:v>18.6468313354406</x:v>
      </x:c>
      <x:c r="G217" s="9" t="s">
        <x:v>236</x:v>
      </x:c>
      <x:c r="H217" s="9" t="s">
        <x:v>205</x:v>
      </x:c>
      <x:c r="I217" s="9" t="s">
        <x:v>206</x:v>
      </x:c>
      <x:c r="J217" s="9" t="s">
        <x:v>257</x:v>
      </x:c>
    </x:row>
    <x:row r="218" ht="15" hidden="0">
      <x:c r="A218" s="9" t="s">
        <x:v>42</x:v>
      </x:c>
      <x:c r="B218" s="9" t="s">
        <x:v>235</x:v>
      </x:c>
      <x:c r="C218" s="9" t="s">
        <x:v>77</x:v>
      </x:c>
      <x:c r="D218" s="15" t="n">
        <x:v>23.29</x:v>
      </x:c>
      <x:c r="E218" s="15" t="n">
        <x:v>23.2919525004959</x:v>
      </x:c>
      <x:c r="F218" s="15" t="n">
        <x:v>23.2919525004959</x:v>
      </x:c>
      <x:c r="G218" s="9" t="s">
        <x:v>236</x:v>
      </x:c>
      <x:c r="H218" s="9" t="s">
        <x:v>199</x:v>
      </x:c>
      <x:c r="I218" s="9"/>
      <x:c r="J218" s="9" t="s">
        <x:v>257</x:v>
      </x:c>
    </x:row>
    <x:row r="219" ht="15" hidden="0">
      <x:c r="A219" s="9" t="s">
        <x:v>42</x:v>
      </x:c>
      <x:c r="B219" s="9" t="s">
        <x:v>259</x:v>
      </x:c>
      <x:c r="C219" s="9" t="s">
        <x:v>73</x:v>
      </x:c>
      <x:c r="D219" s="15" t="n">
        <x:v>48.96</x:v>
      </x:c>
      <x:c r="E219" s="15" t="n">
        <x:v>48.0135657478568</x:v>
      </x:c>
      <x:c r="F219" s="15" t="n">
        <x:v>48.0135657478568</x:v>
      </x:c>
      <x:c r="G219" s="9" t="s">
        <x:v>260</x:v>
      </x:c>
      <x:c r="H219" s="9" t="s">
        <x:v>205</x:v>
      </x:c>
      <x:c r="I219" s="9" t="s">
        <x:v>206</x:v>
      </x:c>
      <x:c r="J219" s="9" t="s">
        <x:v>257</x:v>
      </x:c>
    </x:row>
    <x:row r="220" ht="15" hidden="0">
      <x:c r="A220" s="9" t="s">
        <x:v>42</x:v>
      </x:c>
      <x:c r="B220" s="9" t="s">
        <x:v>259</x:v>
      </x:c>
      <x:c r="C220" s="9" t="s">
        <x:v>74</x:v>
      </x:c>
      <x:c r="D220" s="15" t="n">
        <x:v>38.46</x:v>
      </x:c>
      <x:c r="E220" s="15" t="n">
        <x:v>37.7199954663036</x:v>
      </x:c>
      <x:c r="F220" s="15" t="n">
        <x:v>37.7199954663036</x:v>
      </x:c>
      <x:c r="G220" s="9" t="s">
        <x:v>260</x:v>
      </x:c>
      <x:c r="H220" s="9" t="s">
        <x:v>205</x:v>
      </x:c>
      <x:c r="I220" s="9" t="s">
        <x:v>206</x:v>
      </x:c>
      <x:c r="J220" s="9" t="s">
        <x:v>257</x:v>
      </x:c>
    </x:row>
    <x:row r="221" ht="15" hidden="0">
      <x:c r="A221" s="9" t="s">
        <x:v>42</x:v>
      </x:c>
      <x:c r="B221" s="9" t="s">
        <x:v>259</x:v>
      </x:c>
      <x:c r="C221" s="9" t="s">
        <x:v>75</x:v>
      </x:c>
      <x:c r="D221" s="15" t="n">
        <x:v>36.5</x:v>
      </x:c>
      <x:c r="E221" s="15" t="n">
        <x:v>36.4986980291926</x:v>
      </x:c>
      <x:c r="F221" s="15" t="n">
        <x:v>36.4986980291926</x:v>
      </x:c>
      <x:c r="G221" s="9" t="s">
        <x:v>260</x:v>
      </x:c>
      <x:c r="H221" s="9" t="s">
        <x:v>199</x:v>
      </x:c>
      <x:c r="I221" s="9"/>
      <x:c r="J221" s="9" t="s">
        <x:v>257</x:v>
      </x:c>
    </x:row>
    <x:row r="222" ht="15" hidden="0">
      <x:c r="A222" s="9" t="s">
        <x:v>42</x:v>
      </x:c>
      <x:c r="B222" s="9" t="s">
        <x:v>259</x:v>
      </x:c>
      <x:c r="C222" s="9" t="s">
        <x:v>76</x:v>
      </x:c>
      <x:c r="D222" s="15" t="n">
        <x:v>37.63</x:v>
      </x:c>
      <x:c r="E222" s="15" t="n">
        <x:v>37.6310875749735</x:v>
      </x:c>
      <x:c r="F222" s="15" t="n">
        <x:v>37.6310875749735</x:v>
      </x:c>
      <x:c r="G222" s="9" t="s">
        <x:v>260</x:v>
      </x:c>
      <x:c r="H222" s="9" t="s">
        <x:v>199</x:v>
      </x:c>
      <x:c r="I222" s="9"/>
      <x:c r="J222" s="9" t="s">
        <x:v>257</x:v>
      </x:c>
    </x:row>
    <x:row r="223" ht="15" hidden="0">
      <x:c r="A223" s="9" t="s">
        <x:v>42</x:v>
      </x:c>
      <x:c r="B223" s="9" t="s">
        <x:v>259</x:v>
      </x:c>
      <x:c r="C223" s="9" t="s">
        <x:v>77</x:v>
      </x:c>
      <x:c r="D223" s="15" t="n">
        <x:v>42.18</x:v>
      </x:c>
      <x:c r="E223" s="15" t="n">
        <x:v>42.1768479607431</x:v>
      </x:c>
      <x:c r="F223" s="15" t="n">
        <x:v>42.1768479607431</x:v>
      </x:c>
      <x:c r="G223" s="9" t="s">
        <x:v>260</x:v>
      </x:c>
      <x:c r="H223" s="9" t="s">
        <x:v>199</x:v>
      </x:c>
      <x:c r="I223" s="9"/>
      <x:c r="J223" s="9" t="s">
        <x:v>257</x:v>
      </x:c>
    </x:row>
    <x:row r="224" ht="15" hidden="0">
      <x:c r="A224" s="9" t="s">
        <x:v>42</x:v>
      </x:c>
      <x:c r="B224" s="9" t="s">
        <x:v>214</x:v>
      </x:c>
      <x:c r="C224" s="9" t="s">
        <x:v>73</x:v>
      </x:c>
      <x:c r="D224" s="15" t="n">
        <x:v>0.54</x:v>
      </x:c>
      <x:c r="E224" s="15" t="n">
        <x:v>0.537445089680758</x:v>
      </x:c>
      <x:c r="F224" s="15" t="n">
        <x:v>0.536514015143704</x:v>
      </x:c>
      <x:c r="G224" s="9" t="s">
        <x:v>215</x:v>
      </x:c>
      <x:c r="H224" s="9" t="s">
        <x:v>199</x:v>
      </x:c>
      <x:c r="I224" s="9"/>
      <x:c r="J224" s="9" t="s">
        <x:v>257</x:v>
      </x:c>
    </x:row>
    <x:row r="225" ht="15" hidden="0">
      <x:c r="A225" s="9" t="s">
        <x:v>42</x:v>
      </x:c>
      <x:c r="B225" s="9" t="s">
        <x:v>214</x:v>
      </x:c>
      <x:c r="C225" s="9" t="s">
        <x:v>74</x:v>
      </x:c>
      <x:c r="D225" s="15" t="n">
        <x:v>0.59</x:v>
      </x:c>
      <x:c r="E225" s="15" t="n">
        <x:v>0.653667659193026</x:v>
      </x:c>
      <x:c r="F225" s="15" t="n">
        <x:v>0.590161019609627</x:v>
      </x:c>
      <x:c r="G225" s="9" t="s">
        <x:v>215</x:v>
      </x:c>
      <x:c r="H225" s="9" t="s">
        <x:v>209</x:v>
      </x:c>
      <x:c r="I225" s="9"/>
      <x:c r="J225" s="9" t="s">
        <x:v>257</x:v>
      </x:c>
    </x:row>
    <x:row r="226" ht="15" hidden="0">
      <x:c r="A226" s="9" t="s">
        <x:v>42</x:v>
      </x:c>
      <x:c r="B226" s="9" t="s">
        <x:v>214</x:v>
      </x:c>
      <x:c r="C226" s="9" t="s">
        <x:v>75</x:v>
      </x:c>
      <x:c r="D226" s="15" t="n">
        <x:v>0.69</x:v>
      </x:c>
      <x:c r="E226" s="15" t="n">
        <x:v>0.7221331478724</x:v>
      </x:c>
      <x:c r="F226" s="15" t="n">
        <x:v>0.691972387970082</x:v>
      </x:c>
      <x:c r="G226" s="9" t="s">
        <x:v>215</x:v>
      </x:c>
      <x:c r="H226" s="9" t="s">
        <x:v>209</x:v>
      </x:c>
      <x:c r="I226" s="9"/>
      <x:c r="J226" s="9" t="s">
        <x:v>257</x:v>
      </x:c>
    </x:row>
    <x:row r="227" ht="15" hidden="0">
      <x:c r="A227" s="9" t="s">
        <x:v>42</x:v>
      </x:c>
      <x:c r="B227" s="9" t="s">
        <x:v>214</x:v>
      </x:c>
      <x:c r="C227" s="9" t="s">
        <x:v>76</x:v>
      </x:c>
      <x:c r="D227" s="15" t="n">
        <x:v>0.67</x:v>
      </x:c>
      <x:c r="E227" s="15" t="n">
        <x:v>0.70292648738789</x:v>
      </x:c>
      <x:c r="F227" s="15" t="n">
        <x:v>0.668765580454628</x:v>
      </x:c>
      <x:c r="G227" s="9" t="s">
        <x:v>215</x:v>
      </x:c>
      <x:c r="H227" s="9" t="s">
        <x:v>209</x:v>
      </x:c>
      <x:c r="I227" s="9"/>
      <x:c r="J227" s="9" t="s">
        <x:v>257</x:v>
      </x:c>
    </x:row>
    <x:row r="228" ht="15" hidden="0">
      <x:c r="A228" s="9" t="s">
        <x:v>42</x:v>
      </x:c>
      <x:c r="B228" s="9" t="s">
        <x:v>214</x:v>
      </x:c>
      <x:c r="C228" s="9" t="s">
        <x:v>77</x:v>
      </x:c>
      <x:c r="D228" s="15" t="n">
        <x:v>0.58</x:v>
      </x:c>
      <x:c r="E228" s="15" t="n">
        <x:v>0.631133150533057</x:v>
      </x:c>
      <x:c r="F228" s="15" t="n">
        <x:v>0.578831369844498</x:v>
      </x:c>
      <x:c r="G228" s="9" t="s">
        <x:v>215</x:v>
      </x:c>
      <x:c r="H228" s="9" t="s">
        <x:v>209</x:v>
      </x:c>
      <x:c r="I228" s="9"/>
      <x:c r="J228" s="9" t="s">
        <x:v>257</x:v>
      </x:c>
    </x:row>
    <x:row r="229" ht="15" hidden="0">
      <x:c r="A229" s="9" t="s">
        <x:v>42</x:v>
      </x:c>
      <x:c r="B229" s="9" t="s">
        <x:v>216</x:v>
      </x:c>
      <x:c r="C229" s="9" t="s">
        <x:v>73</x:v>
      </x:c>
      <x:c r="D229" s="15" t="n">
        <x:v>0.8</x:v>
      </x:c>
      <x:c r="E229" s="15" t="n">
        <x:v>0.838288069294308</x:v>
      </x:c>
      <x:c r="F229" s="15" t="n">
        <x:v>0.803751391563948</x:v>
      </x:c>
      <x:c r="G229" s="9" t="s">
        <x:v>239</x:v>
      </x:c>
      <x:c r="H229" s="9" t="s">
        <x:v>209</x:v>
      </x:c>
      <x:c r="I229" s="9"/>
      <x:c r="J229" s="9" t="s">
        <x:v>257</x:v>
      </x:c>
    </x:row>
    <x:row r="230" ht="15" hidden="0">
      <x:c r="A230" s="9" t="s">
        <x:v>42</x:v>
      </x:c>
      <x:c r="B230" s="9" t="s">
        <x:v>216</x:v>
      </x:c>
      <x:c r="C230" s="9" t="s">
        <x:v>74</x:v>
      </x:c>
      <x:c r="D230" s="15" t="n">
        <x:v>0.85</x:v>
      </x:c>
      <x:c r="E230" s="15" t="n">
        <x:v>1.17206658520596</x:v>
      </x:c>
      <x:c r="F230" s="15" t="n">
        <x:v>0.85444675022418</x:v>
      </x:c>
      <x:c r="G230" s="9" t="s">
        <x:v>239</x:v>
      </x:c>
      <x:c r="H230" s="9" t="s">
        <x:v>209</x:v>
      </x:c>
      <x:c r="I230" s="9"/>
      <x:c r="J230" s="9" t="s">
        <x:v>257</x:v>
      </x:c>
    </x:row>
    <x:row r="231" ht="15" hidden="0">
      <x:c r="A231" s="9" t="s">
        <x:v>42</x:v>
      </x:c>
      <x:c r="B231" s="9" t="s">
        <x:v>216</x:v>
      </x:c>
      <x:c r="C231" s="9" t="s">
        <x:v>75</x:v>
      </x:c>
      <x:c r="D231" s="15" t="n">
        <x:v>1</x:v>
      </x:c>
      <x:c r="E231" s="15" t="n">
        <x:v>1.21585249188296</x:v>
      </x:c>
      <x:c r="F231" s="15" t="n">
        <x:v>0.995519994288153</x:v>
      </x:c>
      <x:c r="G231" s="9" t="s">
        <x:v>239</x:v>
      </x:c>
      <x:c r="H231" s="9" t="s">
        <x:v>209</x:v>
      </x:c>
      <x:c r="I231" s="9"/>
      <x:c r="J231" s="9" t="s">
        <x:v>257</x:v>
      </x:c>
    </x:row>
    <x:row r="232" ht="15" hidden="0">
      <x:c r="A232" s="9" t="s">
        <x:v>42</x:v>
      </x:c>
      <x:c r="B232" s="9" t="s">
        <x:v>216</x:v>
      </x:c>
      <x:c r="C232" s="9" t="s">
        <x:v>76</x:v>
      </x:c>
      <x:c r="D232" s="15" t="n">
        <x:v>1.01</x:v>
      </x:c>
      <x:c r="E232" s="15" t="n">
        <x:v>1.0531088846952</x:v>
      </x:c>
      <x:c r="F232" s="15" t="n">
        <x:v>1.00692091614959</x:v>
      </x:c>
      <x:c r="G232" s="9" t="s">
        <x:v>239</x:v>
      </x:c>
      <x:c r="H232" s="9" t="s">
        <x:v>209</x:v>
      </x:c>
      <x:c r="I232" s="9"/>
      <x:c r="J232" s="9" t="s">
        <x:v>257</x:v>
      </x:c>
    </x:row>
    <x:row r="233" ht="15" hidden="0">
      <x:c r="A233" s="9" t="s">
        <x:v>42</x:v>
      </x:c>
      <x:c r="B233" s="9" t="s">
        <x:v>216</x:v>
      </x:c>
      <x:c r="C233" s="9" t="s">
        <x:v>77</x:v>
      </x:c>
      <x:c r="D233" s="15" t="n">
        <x:v>1.1</x:v>
      </x:c>
      <x:c r="E233" s="15" t="n">
        <x:v>1.07525219415253</x:v>
      </x:c>
      <x:c r="F233" s="15" t="n">
        <x:v>1.09717699087272</x:v>
      </x:c>
      <x:c r="G233" s="9" t="s">
        <x:v>239</x:v>
      </x:c>
      <x:c r="H233" s="9" t="s">
        <x:v>209</x:v>
      </x:c>
      <x:c r="I233" s="9"/>
      <x:c r="J233" s="9" t="s">
        <x:v>257</x:v>
      </x:c>
    </x:row>
    <x:row r="234" ht="15" hidden="0">
      <x:c r="A234" s="9" t="s">
        <x:v>42</x:v>
      </x:c>
      <x:c r="B234" s="9" t="s">
        <x:v>250</x:v>
      </x:c>
      <x:c r="C234" s="9" t="s">
        <x:v>73</x:v>
      </x:c>
      <x:c r="D234" s="15" t="n">
        <x:v>5.88</x:v>
      </x:c>
      <x:c r="E234" s="15" t="n">
        <x:v>6.06900056519895</x:v>
      </x:c>
      <x:c r="F234" s="15" t="n">
        <x:v>5.87947962755952</x:v>
      </x:c>
      <x:c r="G234" s="9" t="s">
        <x:v>219</x:v>
      </x:c>
      <x:c r="H234" s="9" t="s">
        <x:v>209</x:v>
      </x:c>
      <x:c r="I234" s="9"/>
      <x:c r="J234" s="9" t="s">
        <x:v>257</x:v>
      </x:c>
    </x:row>
    <x:row r="235" ht="15" hidden="0">
      <x:c r="A235" s="9" t="s">
        <x:v>42</x:v>
      </x:c>
      <x:c r="B235" s="9" t="s">
        <x:v>250</x:v>
      </x:c>
      <x:c r="C235" s="9" t="s">
        <x:v>74</x:v>
      </x:c>
      <x:c r="D235" s="15" t="n">
        <x:v>5.13</x:v>
      </x:c>
      <x:c r="E235" s="15" t="n">
        <x:v>5.28071359891126</x:v>
      </x:c>
      <x:c r="F235" s="15" t="n">
        <x:v>5.12602224205727</x:v>
      </x:c>
      <x:c r="G235" s="9" t="s">
        <x:v>219</x:v>
      </x:c>
      <x:c r="H235" s="9" t="s">
        <x:v>209</x:v>
      </x:c>
      <x:c r="I235" s="9"/>
      <x:c r="J235" s="9" t="s">
        <x:v>257</x:v>
      </x:c>
    </x:row>
    <x:row r="236" ht="15" hidden="0">
      <x:c r="A236" s="9" t="s">
        <x:v>42</x:v>
      </x:c>
      <x:c r="B236" s="9" t="s">
        <x:v>250</x:v>
      </x:c>
      <x:c r="C236" s="9" t="s">
        <x:v>75</x:v>
      </x:c>
      <x:c r="D236" s="15" t="n">
        <x:v>4.36</x:v>
      </x:c>
      <x:c r="E236" s="15" t="n">
        <x:v>4.47284094403086</x:v>
      </x:c>
      <x:c r="F236" s="15" t="n">
        <x:v>4.36296418283318</x:v>
      </x:c>
      <x:c r="G236" s="9" t="s">
        <x:v>219</x:v>
      </x:c>
      <x:c r="H236" s="9" t="s">
        <x:v>209</x:v>
      </x:c>
      <x:c r="I236" s="9"/>
      <x:c r="J236" s="9" t="s">
        <x:v>257</x:v>
      </x:c>
    </x:row>
    <x:row r="237" ht="15" hidden="0">
      <x:c r="A237" s="9" t="s">
        <x:v>42</x:v>
      </x:c>
      <x:c r="B237" s="9" t="s">
        <x:v>250</x:v>
      </x:c>
      <x:c r="C237" s="9" t="s">
        <x:v>76</x:v>
      </x:c>
      <x:c r="D237" s="15" t="n">
        <x:v>3.16</x:v>
      </x:c>
      <x:c r="E237" s="15" t="n">
        <x:v>3.22278185736619</x:v>
      </x:c>
      <x:c r="F237" s="15" t="n">
        <x:v>3.15824812494835</x:v>
      </x:c>
      <x:c r="G237" s="9" t="s">
        <x:v>219</x:v>
      </x:c>
      <x:c r="H237" s="9" t="s">
        <x:v>209</x:v>
      </x:c>
      <x:c r="I237" s="9"/>
      <x:c r="J237" s="9" t="s">
        <x:v>257</x:v>
      </x:c>
    </x:row>
    <x:row r="238" ht="15" hidden="0">
      <x:c r="A238" s="9" t="s">
        <x:v>42</x:v>
      </x:c>
      <x:c r="B238" s="9" t="s">
        <x:v>250</x:v>
      </x:c>
      <x:c r="C238" s="9" t="s">
        <x:v>77</x:v>
      </x:c>
      <x:c r="D238" s="15" t="n">
        <x:v>7.09</x:v>
      </x:c>
      <x:c r="E238" s="15" t="n">
        <x:v>7.38704300057939</x:v>
      </x:c>
      <x:c r="F238" s="15" t="n">
        <x:v>7.09438228102492</x:v>
      </x:c>
      <x:c r="G238" s="9" t="s">
        <x:v>219</x:v>
      </x:c>
      <x:c r="H238" s="9" t="s">
        <x:v>209</x:v>
      </x:c>
      <x:c r="I238" s="9"/>
      <x:c r="J238" s="9" t="s">
        <x:v>257</x:v>
      </x:c>
    </x:row>
    <x:row r="239" ht="15" hidden="0">
      <x:c r="A239" s="9" t="s">
        <x:v>42</x:v>
      </x:c>
      <x:c r="B239" s="9" t="s">
        <x:v>261</x:v>
      </x:c>
      <x:c r="C239" s="9" t="s">
        <x:v>73</x:v>
      </x:c>
      <x:c r="D239" s="15" t="n">
        <x:v>1.31</x:v>
      </x:c>
      <x:c r="E239" s="15" t="n">
        <x:v>1.30435283620157</x:v>
      </x:c>
      <x:c r="F239" s="9"/>
      <x:c r="G239" s="9" t="s">
        <x:v>204</x:v>
      </x:c>
      <x:c r="H239" s="9" t="s">
        <x:v>237</x:v>
      </x:c>
      <x:c r="I239" s="9"/>
      <x:c r="J239" s="9" t="s">
        <x:v>257</x:v>
      </x:c>
    </x:row>
    <x:row r="240" ht="15" hidden="0">
      <x:c r="A240" s="9" t="s">
        <x:v>42</x:v>
      </x:c>
      <x:c r="B240" s="9" t="s">
        <x:v>261</x:v>
      </x:c>
      <x:c r="C240" s="9" t="s">
        <x:v>74</x:v>
      </x:c>
      <x:c r="D240" s="15" t="n">
        <x:v>2.07</x:v>
      </x:c>
      <x:c r="E240" s="15" t="n">
        <x:v>1.98874105924942</x:v>
      </x:c>
      <x:c r="F240" s="9"/>
      <x:c r="G240" s="9" t="s">
        <x:v>204</x:v>
      </x:c>
      <x:c r="H240" s="9" t="s">
        <x:v>205</x:v>
      </x:c>
      <x:c r="I240" s="9" t="s">
        <x:v>206</x:v>
      </x:c>
      <x:c r="J240" s="9" t="s">
        <x:v>257</x:v>
      </x:c>
    </x:row>
    <x:row r="241" ht="15" hidden="0">
      <x:c r="A241" s="9" t="s">
        <x:v>42</x:v>
      </x:c>
      <x:c r="B241" s="9" t="s">
        <x:v>261</x:v>
      </x:c>
      <x:c r="C241" s="9" t="s">
        <x:v>75</x:v>
      </x:c>
      <x:c r="D241" s="15" t="n">
        <x:v>1.29</x:v>
      </x:c>
      <x:c r="E241" s="15" t="n">
        <x:v>1.23628531132219</x:v>
      </x:c>
      <x:c r="F241" s="9"/>
      <x:c r="G241" s="9" t="s">
        <x:v>204</x:v>
      </x:c>
      <x:c r="H241" s="9" t="s">
        <x:v>205</x:v>
      </x:c>
      <x:c r="I241" s="9" t="s">
        <x:v>206</x:v>
      </x:c>
      <x:c r="J241" s="9" t="s">
        <x:v>257</x:v>
      </x:c>
    </x:row>
    <x:row r="242" ht="15" hidden="0">
      <x:c r="A242" s="9" t="s">
        <x:v>42</x:v>
      </x:c>
      <x:c r="B242" s="9" t="s">
        <x:v>261</x:v>
      </x:c>
      <x:c r="C242" s="9" t="s">
        <x:v>76</x:v>
      </x:c>
      <x:c r="D242" s="15" t="n">
        <x:v>1.07</x:v>
      </x:c>
      <x:c r="E242" s="15" t="n">
        <x:v>1.0377422935119</x:v>
      </x:c>
      <x:c r="F242" s="9"/>
      <x:c r="G242" s="9" t="s">
        <x:v>204</x:v>
      </x:c>
      <x:c r="H242" s="9" t="s">
        <x:v>205</x:v>
      </x:c>
      <x:c r="I242" s="9" t="s">
        <x:v>206</x:v>
      </x:c>
      <x:c r="J242" s="9" t="s">
        <x:v>257</x:v>
      </x:c>
    </x:row>
    <x:row r="243" ht="15" hidden="0">
      <x:c r="A243" s="9" t="s">
        <x:v>42</x:v>
      </x:c>
      <x:c r="B243" s="9" t="s">
        <x:v>261</x:v>
      </x:c>
      <x:c r="C243" s="9" t="s">
        <x:v>77</x:v>
      </x:c>
      <x:c r="D243" s="15" t="n">
        <x:v>0.46</x:v>
      </x:c>
      <x:c r="E243" s="15" t="n">
        <x:v>0.437515078550198</x:v>
      </x:c>
      <x:c r="F243" s="9"/>
      <x:c r="G243" s="9" t="s">
        <x:v>204</x:v>
      </x:c>
      <x:c r="H243" s="9" t="s">
        <x:v>205</x:v>
      </x:c>
      <x:c r="I243" s="9" t="s">
        <x:v>206</x:v>
      </x:c>
      <x:c r="J243" s="9" t="s">
        <x:v>257</x:v>
      </x:c>
    </x:row>
    <x:row r="244" ht="15" hidden="0">
      <x:c r="A244" s="9" t="s">
        <x:v>42</x:v>
      </x:c>
      <x:c r="B244" s="9" t="s">
        <x:v>255</x:v>
      </x:c>
      <x:c r="C244" s="9" t="s">
        <x:v>73</x:v>
      </x:c>
      <x:c r="D244" s="15" t="n">
        <x:v>8.25</x:v>
      </x:c>
      <x:c r="E244" s="15" t="n">
        <x:f>MLCF!D174</x:f>
        <x:v>8.250622923265333</x:v>
      </x:c>
      <x:c r="F244" s="15" t="n">
        <x:f>'PSX Prices'!F21/(MLCF!D99/'PSX Prices'!O21)</x:f>
        <x:v>8.250622923265333</x:v>
      </x:c>
      <x:c r="G244" s="9" t="str">
        <x:v>Report price / (PAT / report-basis weighted shares)</x:v>
      </x:c>
      <x:c r="H244" s="9" t="str">
        <x:f>IF(AND(ISNUMBER(D244),ISNUMBER(F244)),IF(ROUND(D244,2)=ROUND(F244,2),"Reconstructed","Published value unresolved"),"Not comparable")</x:f>
        <x:v>Reconstructed</x:v>
      </x:c>
      <x:c r="I244"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44" s="9" t="s">
        <x:v>257</x:v>
      </x:c>
    </x:row>
    <x:row r="245" ht="15" hidden="0">
      <x:c r="A245" s="9" t="s">
        <x:v>42</x:v>
      </x:c>
      <x:c r="B245" s="9" t="s">
        <x:v>255</x:v>
      </x:c>
      <x:c r="C245" s="9" t="s">
        <x:v>74</x:v>
      </x:c>
      <x:c r="D245" s="15" t="n">
        <x:v>8.28</x:v>
      </x:c>
      <x:c r="E245" s="15" t="n">
        <x:f>MLCF!E174</x:f>
        <x:v>8.277569505341472</x:v>
      </x:c>
      <x:c r="F245" s="15" t="n">
        <x:f>'PSX Prices'!F22/(MLCF!E99/'PSX Prices'!O22)</x:f>
        <x:v>8.277569505341472</x:v>
      </x:c>
      <x:c r="G245" s="9" t="str">
        <x:v>Report price / (PAT / report-basis weighted shares)</x:v>
      </x:c>
      <x:c r="H245" s="9" t="str">
        <x:f>IF(AND(ISNUMBER(D245),ISNUMBER(F245)),IF(ROUND(D245,2)=ROUND(F245,2),"Reconstructed","Published value unresolved"),"Not comparable")</x:f>
        <x:v>Reconstructed</x:v>
      </x:c>
      <x:c r="I245"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45" s="9" t="s">
        <x:v>257</x:v>
      </x:c>
    </x:row>
    <x:row r="246" ht="15" hidden="0">
      <x:c r="A246" s="9" t="s">
        <x:v>42</x:v>
      </x:c>
      <x:c r="B246" s="9" t="s">
        <x:v>255</x:v>
      </x:c>
      <x:c r="C246" s="9" t="s">
        <x:v>75</x:v>
      </x:c>
      <x:c r="D246" s="15" t="n">
        <x:v>6.77</x:v>
      </x:c>
      <x:c r="E246" s="15" t="n">
        <x:f>MLCF!F174</x:f>
        <x:v>6.770214735324442</x:v>
      </x:c>
      <x:c r="F246" s="15" t="n">
        <x:f>'PSX Prices'!F23/(MLCF!F99/'PSX Prices'!O23)</x:f>
        <x:v>6.770214735324442</x:v>
      </x:c>
      <x:c r="G246" s="9" t="str">
        <x:v>Report price / (PAT / report-basis weighted shares)</x:v>
      </x:c>
      <x:c r="H246" s="9" t="str">
        <x:f>IF(AND(ISNUMBER(D246),ISNUMBER(F246)),IF(ROUND(D246,2)=ROUND(F246,2),"Reconstructed","Published value unresolved"),"Not comparable")</x:f>
        <x:v>Reconstructed</x:v>
      </x:c>
      <x:c r="I246"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46" s="9" t="s">
        <x:v>257</x:v>
      </x:c>
    </x:row>
    <x:row r="247" ht="15" hidden="0">
      <x:c r="A247" s="9" t="s">
        <x:v>42</x:v>
      </x:c>
      <x:c r="B247" s="9" t="s">
        <x:v>255</x:v>
      </x:c>
      <x:c r="C247" s="9" t="s">
        <x:v>76</x:v>
      </x:c>
      <x:c r="D247" s="15" t="n">
        <x:v>7.63</x:v>
      </x:c>
      <x:c r="E247" s="15" t="n">
        <x:f>MLCF!G174</x:f>
        <x:v>7.631751909473391</x:v>
      </x:c>
      <x:c r="F247" s="15" t="n">
        <x:f>'PSX Prices'!F24/(MLCF!G99/'PSX Prices'!O24)</x:f>
        <x:v>7.631751909473391</x:v>
      </x:c>
      <x:c r="G247" s="9" t="str">
        <x:v>Report price / (PAT / report-basis weighted shares)</x:v>
      </x:c>
      <x:c r="H247" s="9" t="str">
        <x:f>IF(AND(ISNUMBER(D247),ISNUMBER(F247)),IF(ROUND(D247,2)=ROUND(F247,2),"Reconstructed","Published value unresolved"),"Not comparable")</x:f>
        <x:v>Reconstructed</x:v>
      </x:c>
      <x:c r="I247"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47" s="9" t="s">
        <x:v>257</x:v>
      </x:c>
    </x:row>
    <x:row r="248" ht="15" hidden="0">
      <x:c r="A248" s="9" t="s">
        <x:v>42</x:v>
      </x:c>
      <x:c r="B248" s="9" t="s">
        <x:v>255</x:v>
      </x:c>
      <x:c r="C248" s="9" t="s">
        <x:v>77</x:v>
      </x:c>
      <x:c r="D248" s="15" t="n">
        <x:v>5.18</x:v>
      </x:c>
      <x:c r="E248" s="15" t="n">
        <x:f>MLCF!H174</x:f>
        <x:v>5.182359206248938</x:v>
      </x:c>
      <x:c r="F248" s="15" t="n">
        <x:f>'PSX Prices'!F25/(MLCF!H99/'PSX Prices'!O25)</x:f>
        <x:v>5.182359206248938</x:v>
      </x:c>
      <x:c r="G248" s="9" t="str">
        <x:v>Report price / (PAT / report-basis weighted shares)</x:v>
      </x:c>
      <x:c r="H248" s="9" t="str">
        <x:f>IF(AND(ISNUMBER(D248),ISNUMBER(F248)),IF(ROUND(D248,2)=ROUND(F248,2),"Reconstructed","Published value unresolved"),"Not comparable")</x:f>
        <x:v>Reconstructed</x:v>
      </x:c>
      <x:c r="I248"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48" s="9" t="s">
        <x:v>257</x:v>
      </x:c>
    </x:row>
    <x:row r="249" ht="15" hidden="0">
      <x:c r="A249" s="9" t="s">
        <x:v>42</x:v>
      </x:c>
      <x:c r="B249" s="9" t="s">
        <x:v>262</x:v>
      </x:c>
      <x:c r="C249" s="9" t="s">
        <x:v>73</x:v>
      </x:c>
      <x:c r="D249" s="15" t="n">
        <x:v>0.18</x:v>
      </x:c>
      <x:c r="E249" s="15" t="n">
        <x:v>0.184363540620583</x:v>
      </x:c>
      <x:c r="F249" s="15" t="n">
        <x:v>0.184363540620583</x:v>
      </x:c>
      <x:c r="G249" s="9" t="s">
        <x:v>263</x:v>
      </x:c>
      <x:c r="H249" s="9" t="s">
        <x:v>199</x:v>
      </x:c>
      <x:c r="I249" s="9"/>
      <x:c r="J249" s="9" t="s">
        <x:v>257</x:v>
      </x:c>
    </x:row>
    <x:row r="250" ht="15" hidden="0">
      <x:c r="A250" s="9" t="s">
        <x:v>42</x:v>
      </x:c>
      <x:c r="B250" s="9" t="s">
        <x:v>262</x:v>
      </x:c>
      <x:c r="C250" s="9" t="s">
        <x:v>74</x:v>
      </x:c>
      <x:c r="D250" s="15" t="n">
        <x:v>0.17</x:v>
      </x:c>
      <x:c r="E250" s="15" t="n">
        <x:v>0.171685323517154</x:v>
      </x:c>
      <x:c r="F250" s="15" t="n">
        <x:v>0.171685323517154</x:v>
      </x:c>
      <x:c r="G250" s="9" t="s">
        <x:v>263</x:v>
      </x:c>
      <x:c r="H250" s="9" t="s">
        <x:v>199</x:v>
      </x:c>
      <x:c r="I250" s="9"/>
      <x:c r="J250" s="9" t="s">
        <x:v>257</x:v>
      </x:c>
    </x:row>
    <x:row r="251" ht="15" hidden="0">
      <x:c r="A251" s="9" t="s">
        <x:v>42</x:v>
      </x:c>
      <x:c r="B251" s="9" t="s">
        <x:v>262</x:v>
      </x:c>
      <x:c r="C251" s="9" t="s">
        <x:v>75</x:v>
      </x:c>
      <x:c r="D251" s="15" t="n">
        <x:v>0.32</x:v>
      </x:c>
      <x:c r="E251" s="15" t="n">
        <x:v>0.324503921924837</x:v>
      </x:c>
      <x:c r="F251" s="15" t="n">
        <x:v>0.324503921924837</x:v>
      </x:c>
      <x:c r="G251" s="9" t="s">
        <x:v>263</x:v>
      </x:c>
      <x:c r="H251" s="9" t="s">
        <x:v>199</x:v>
      </x:c>
      <x:c r="I251" s="9"/>
      <x:c r="J251" s="9" t="s">
        <x:v>257</x:v>
      </x:c>
    </x:row>
    <x:row r="252" ht="15" hidden="0">
      <x:c r="A252" s="9" t="s">
        <x:v>42</x:v>
      </x:c>
      <x:c r="B252" s="9" t="s">
        <x:v>262</x:v>
      </x:c>
      <x:c r="C252" s="9" t="s">
        <x:v>76</x:v>
      </x:c>
      <x:c r="D252" s="15" t="n">
        <x:v>0.14</x:v>
      </x:c>
      <x:c r="E252" s="15" t="n">
        <x:v>0.142903046856975</x:v>
      </x:c>
      <x:c r="F252" s="15" t="n">
        <x:v>0.142903046856975</x:v>
      </x:c>
      <x:c r="G252" s="9" t="s">
        <x:v>263</x:v>
      </x:c>
      <x:c r="H252" s="9" t="s">
        <x:v>199</x:v>
      </x:c>
      <x:c r="I252" s="9"/>
      <x:c r="J252" s="9" t="s">
        <x:v>257</x:v>
      </x:c>
    </x:row>
    <x:row r="253" ht="15" hidden="0">
      <x:c r="A253" s="9" t="s">
        <x:v>42</x:v>
      </x:c>
      <x:c r="B253" s="9" t="s">
        <x:v>262</x:v>
      </x:c>
      <x:c r="C253" s="9" t="s">
        <x:v>77</x:v>
      </x:c>
      <x:c r="D253" s="15" t="n">
        <x:v>0.28</x:v>
      </x:c>
      <x:c r="E253" s="15" t="n">
        <x:v>0.280184967617772</x:v>
      </x:c>
      <x:c r="F253" s="15" t="n">
        <x:v>0.280184967617772</x:v>
      </x:c>
      <x:c r="G253" s="9" t="s">
        <x:v>263</x:v>
      </x:c>
      <x:c r="H253" s="9" t="s">
        <x:v>199</x:v>
      </x:c>
      <x:c r="I253" s="9"/>
      <x:c r="J253" s="9" t="s">
        <x:v>257</x:v>
      </x:c>
    </x:row>
    <x:row r="254" ht="15" hidden="0">
      <x:c r="A254" s="9" t="s">
        <x:v>46</x:v>
      </x:c>
      <x:c r="B254" s="9" t="s">
        <x:v>264</x:v>
      </x:c>
      <x:c r="C254" s="9" t="s">
        <x:v>73</x:v>
      </x:c>
      <x:c r="D254" s="15" t="n">
        <x:v>48</x:v>
      </x:c>
      <x:c r="E254" s="15" t="n">
        <x:v>56.6409914017718</x:v>
      </x:c>
      <x:c r="F254" s="9"/>
      <x:c r="G254" s="9" t="s">
        <x:v>204</x:v>
      </x:c>
      <x:c r="H254" s="9" t="s">
        <x:v>205</x:v>
      </x:c>
      <x:c r="I254" s="9" t="s">
        <x:v>206</x:v>
      </x:c>
      <x:c r="J254" s="9" t="s">
        <x:v>265</x:v>
      </x:c>
    </x:row>
    <x:row r="255" ht="15" hidden="0">
      <x:c r="A255" s="9" t="s">
        <x:v>46</x:v>
      </x:c>
      <x:c r="B255" s="9" t="s">
        <x:v>264</x:v>
      </x:c>
      <x:c r="C255" s="9" t="s">
        <x:v>74</x:v>
      </x:c>
      <x:c r="D255" s="15" t="n">
        <x:v>11</x:v>
      </x:c>
      <x:c r="E255" s="15" t="n">
        <x:v>12.7907938313385</x:v>
      </x:c>
      <x:c r="F255" s="9"/>
      <x:c r="G255" s="9" t="s">
        <x:v>204</x:v>
      </x:c>
      <x:c r="H255" s="9" t="s">
        <x:v>205</x:v>
      </x:c>
      <x:c r="I255" s="9" t="s">
        <x:v>206</x:v>
      </x:c>
      <x:c r="J255" s="9" t="s">
        <x:v>265</x:v>
      </x:c>
    </x:row>
    <x:row r="256" ht="15" hidden="0">
      <x:c r="A256" s="9" t="s">
        <x:v>46</x:v>
      </x:c>
      <x:c r="B256" s="9" t="s">
        <x:v>264</x:v>
      </x:c>
      <x:c r="C256" s="9" t="s">
        <x:v>75</x:v>
      </x:c>
      <x:c r="D256" s="15" t="n">
        <x:v>6.38</x:v>
      </x:c>
      <x:c r="E256" s="15" t="n">
        <x:v>6.30345586918672</x:v>
      </x:c>
      <x:c r="F256" s="9"/>
      <x:c r="G256" s="9" t="s">
        <x:v>204</x:v>
      </x:c>
      <x:c r="H256" s="9" t="s">
        <x:v>205</x:v>
      </x:c>
      <x:c r="I256" s="9" t="s">
        <x:v>206</x:v>
      </x:c>
      <x:c r="J256" s="9" t="s">
        <x:v>265</x:v>
      </x:c>
    </x:row>
    <x:row r="257" ht="15" hidden="0">
      <x:c r="A257" s="9" t="s">
        <x:v>46</x:v>
      </x:c>
      <x:c r="B257" s="9" t="s">
        <x:v>264</x:v>
      </x:c>
      <x:c r="C257" s="9" t="s">
        <x:v>76</x:v>
      </x:c>
      <x:c r="D257" s="15" t="n">
        <x:v>3.82</x:v>
      </x:c>
      <x:c r="E257" s="15" t="n">
        <x:v>3.78208665618946</x:v>
      </x:c>
      <x:c r="F257" s="9"/>
      <x:c r="G257" s="9" t="s">
        <x:v>204</x:v>
      </x:c>
      <x:c r="H257" s="9" t="s">
        <x:v>205</x:v>
      </x:c>
      <x:c r="I257" s="9" t="s">
        <x:v>206</x:v>
      </x:c>
      <x:c r="J257" s="9" t="s">
        <x:v>265</x:v>
      </x:c>
    </x:row>
    <x:row r="258" ht="15" hidden="0">
      <x:c r="A258" s="9" t="s">
        <x:v>46</x:v>
      </x:c>
      <x:c r="B258" s="9" t="s">
        <x:v>264</x:v>
      </x:c>
      <x:c r="C258" s="9" t="s">
        <x:v>77</x:v>
      </x:c>
      <x:c r="D258" s="15" t="n">
        <x:v>4.84</x:v>
      </x:c>
      <x:c r="E258" s="15" t="n">
        <x:v>4.81077099148121</x:v>
      </x:c>
      <x:c r="F258" s="9"/>
      <x:c r="G258" s="9" t="s">
        <x:v>204</x:v>
      </x:c>
      <x:c r="H258" s="9" t="s">
        <x:v>205</x:v>
      </x:c>
      <x:c r="I258" s="9" t="s">
        <x:v>206</x:v>
      </x:c>
      <x:c r="J258" s="9" t="s">
        <x:v>265</x:v>
      </x:c>
    </x:row>
    <x:row r="259" ht="15" hidden="0">
      <x:c r="A259" s="9" t="s">
        <x:v>46</x:v>
      </x:c>
      <x:c r="B259" s="9" t="s">
        <x:v>266</x:v>
      </x:c>
      <x:c r="C259" s="9" t="s">
        <x:v>73</x:v>
      </x:c>
      <x:c r="D259" s="15" t="n">
        <x:v>16.87</x:v>
      </x:c>
      <x:c r="E259" s="15" t="n">
        <x:f>FCCL!D171</x:f>
        <x:v>16.868689643176804</x:v>
      </x:c>
      <x:c r="F259" s="15" t="n">
        <x:f>FCCL!D41/FCCL!D128</x:f>
        <x:v>16.868689643176804</x:v>
      </x:c>
      <x:c r="G259" s="9" t="str">
        <x:v>Equity / year-end shares</x:v>
      </x:c>
      <x:c r="H259" s="9" t="str">
        <x:f>IF(AND(ISNUMBER(D259),ISNUMBER(F259)),IF(ROUND(D259,2)=ROUND(F259,2),"Reconstructed","Published value unresolved"),"Not comparable")</x:f>
        <x:v>Reconstructed</x:v>
      </x:c>
      <x:c r="I259"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59" s="9" t="s">
        <x:v>265</x:v>
      </x:c>
    </x:row>
    <x:row r="260" ht="15" hidden="0">
      <x:c r="A260" s="9" t="s">
        <x:v>46</x:v>
      </x:c>
      <x:c r="B260" s="9" t="s">
        <x:v>266</x:v>
      </x:c>
      <x:c r="C260" s="9" t="s">
        <x:v>74</x:v>
      </x:c>
      <x:c r="D260" s="15" t="n">
        <x:v>26.48</x:v>
      </x:c>
      <x:c r="E260" s="15" t="n">
        <x:f>FCCL!E171</x:f>
        <x:v>26.480675904195227</x:v>
      </x:c>
      <x:c r="F260" s="15" t="n">
        <x:f>FCCL!E41/FCCL!E128</x:f>
        <x:v>26.480675904195227</x:v>
      </x:c>
      <x:c r="G260" s="9" t="str">
        <x:v>Equity / year-end shares</x:v>
      </x:c>
      <x:c r="H260" s="9" t="str">
        <x:f>IF(AND(ISNUMBER(D260),ISNUMBER(F260)),IF(ROUND(D260,2)=ROUND(F260,2),"Reconstructed","Published value unresolved"),"Not comparable")</x:f>
        <x:v>Reconstructed</x:v>
      </x:c>
      <x:c r="I260"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60" s="9" t="s">
        <x:v>265</x:v>
      </x:c>
    </x:row>
    <x:row r="261" ht="15" hidden="0">
      <x:c r="A261" s="9" t="s">
        <x:v>46</x:v>
      </x:c>
      <x:c r="B261" s="9" t="s">
        <x:v>266</x:v>
      </x:c>
      <x:c r="C261" s="9" t="s">
        <x:v>75</x:v>
      </x:c>
      <x:c r="D261" s="15" t="n">
        <x:v>26.57</x:v>
      </x:c>
      <x:c r="E261" s="15" t="n">
        <x:f>FCCL!F171</x:f>
        <x:v>26.57145800660424</x:v>
      </x:c>
      <x:c r="F261" s="15" t="n">
        <x:f>FCCL!F41/FCCL!F128</x:f>
        <x:v>26.57145800660424</x:v>
      </x:c>
      <x:c r="G261" s="9" t="str">
        <x:v>Equity / year-end shares</x:v>
      </x:c>
      <x:c r="H261" s="9" t="str">
        <x:f>IF(AND(ISNUMBER(D261),ISNUMBER(F261)),IF(ROUND(D261,2)=ROUND(F261,2),"Reconstructed","Published value unresolved"),"Not comparable")</x:f>
        <x:v>Reconstructed</x:v>
      </x:c>
      <x:c r="I261"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61" s="9" t="s">
        <x:v>265</x:v>
      </x:c>
    </x:row>
    <x:row r="262" ht="15" hidden="0">
      <x:c r="A262" s="9" t="s">
        <x:v>46</x:v>
      </x:c>
      <x:c r="B262" s="9" t="s">
        <x:v>266</x:v>
      </x:c>
      <x:c r="C262" s="9" t="s">
        <x:v>76</x:v>
      </x:c>
      <x:c r="D262" s="15" t="n">
        <x:v>29.92</x:v>
      </x:c>
      <x:c r="E262" s="15" t="n">
        <x:f>FCCL!G171</x:f>
        <x:v>29.923935347634316</x:v>
      </x:c>
      <x:c r="F262" s="15" t="n">
        <x:f>FCCL!G41/FCCL!G128</x:f>
        <x:v>29.923935347634316</x:v>
      </x:c>
      <x:c r="G262" s="9" t="str">
        <x:v>Equity / year-end shares</x:v>
      </x:c>
      <x:c r="H262" s="9" t="str">
        <x:f>IF(AND(ISNUMBER(D262),ISNUMBER(F262)),IF(ROUND(D262,2)=ROUND(F262,2),"Reconstructed","Published value unresolved"),"Not comparable")</x:f>
        <x:v>Reconstructed</x:v>
      </x:c>
      <x:c r="I262"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62" s="9" t="s">
        <x:v>265</x:v>
      </x:c>
    </x:row>
    <x:row r="263" ht="15" hidden="0">
      <x:c r="A263" s="9" t="s">
        <x:v>46</x:v>
      </x:c>
      <x:c r="B263" s="9" t="s">
        <x:v>266</x:v>
      </x:c>
      <x:c r="C263" s="9" t="s">
        <x:v>77</x:v>
      </x:c>
      <x:c r="D263" s="15" t="n">
        <x:v>34.36</x:v>
      </x:c>
      <x:c r="E263" s="15" t="n">
        <x:f>FCCL!H171</x:f>
        <x:v>34.35688707280468</x:v>
      </x:c>
      <x:c r="F263" s="15" t="n">
        <x:f>FCCL!H41/FCCL!H128</x:f>
        <x:v>34.35688707280468</x:v>
      </x:c>
      <x:c r="G263" s="9" t="str">
        <x:v>Equity / year-end shares</x:v>
      </x:c>
      <x:c r="H263" s="9" t="str">
        <x:f>IF(AND(ISNUMBER(D263),ISNUMBER(F263)),IF(ROUND(D263,2)=ROUND(F263,2),"Reconstructed","Published value unresolved"),"Not comparable")</x:f>
        <x:v>Reconstructed</x:v>
      </x:c>
      <x:c r="I263"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63" s="9" t="s">
        <x:v>265</x:v>
      </x:c>
    </x:row>
    <x:row r="264" ht="15" hidden="0">
      <x:c r="A264" s="9" t="s">
        <x:v>46</x:v>
      </x:c>
      <x:c r="B264" s="9" t="s">
        <x:v>267</x:v>
      </x:c>
      <x:c r="C264" s="9" t="s">
        <x:v>73</x:v>
      </x:c>
      <x:c r="D264" s="15" t="n">
        <x:v>2.52</x:v>
      </x:c>
      <x:c r="E264" s="15" t="n">
        <x:f>FCCL!D173</x:f>
        <x:v>2.5158090033808875</x:v>
      </x:c>
      <x:c r="F264" s="15" t="n">
        <x:f>FCCL!D99/'PSX Prices'!O26</x:f>
        <x:v>2.5158090033808875</x:v>
      </x:c>
      <x:c r="G264" s="9" t="str">
        <x:v>PAT / report-basis weighted shares</x:v>
      </x:c>
      <x:c r="H264" s="9" t="str">
        <x:f>IF(AND(ISNUMBER(D264),ISNUMBER(F264)),IF(ROUND(D264,2)=ROUND(F264,2),"Reconstructed","Published value unresolved"),"Not comparable")</x:f>
        <x:v>Reconstructed</x:v>
      </x:c>
      <x:c r="I264"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64" s="9" t="s">
        <x:v>265</x:v>
      </x:c>
    </x:row>
    <x:row r="265" ht="15" hidden="0">
      <x:c r="A265" s="9" t="s">
        <x:v>46</x:v>
      </x:c>
      <x:c r="B265" s="9" t="s">
        <x:v>267</x:v>
      </x:c>
      <x:c r="C265" s="9" t="s">
        <x:v>74</x:v>
      </x:c>
      <x:c r="D265" s="15" t="n">
        <x:v>3.02</x:v>
      </x:c>
      <x:c r="E265" s="15" t="n">
        <x:f>FCCL!E173</x:f>
        <x:v>3.2621706372812294</x:v>
      </x:c>
      <x:c r="F265" s="15" t="n">
        <x:f>FCCL!E99/'PSX Prices'!O27</x:f>
        <x:v>3.0220616696812757</x:v>
      </x:c>
      <x:c r="G265" s="9" t="str">
        <x:v>PAT / report-basis weighted shares</x:v>
      </x:c>
      <x:c r="H265" s="9" t="str">
        <x:f>IF(AND(ISNUMBER(D265),ISNUMBER(F265)),IF(ROUND(D265,2)=ROUND(F265,2),"Reconstructed","Published value unresolved"),"Not comparable")</x:f>
        <x:v>Reconstructed</x:v>
      </x:c>
      <x:c r="I265"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65" s="9" t="s">
        <x:v>265</x:v>
      </x:c>
    </x:row>
    <x:row r="266" ht="15" hidden="0">
      <x:c r="A266" s="9" t="s">
        <x:v>46</x:v>
      </x:c>
      <x:c r="B266" s="9" t="s">
        <x:v>267</x:v>
      </x:c>
      <x:c r="C266" s="9" t="s">
        <x:v>75</x:v>
      </x:c>
      <x:c r="D266" s="15" t="n">
        <x:v>3.16</x:v>
      </x:c>
      <x:c r="E266" s="15" t="n">
        <x:f>FCCL!F173</x:f>
        <x:v>3.0330791851886794</x:v>
      </x:c>
      <x:c r="F266" s="15" t="n">
        <x:f>FCCL!F99/'PSX Prices'!O28</x:f>
        <x:v>3.161061278355705</x:v>
      </x:c>
      <x:c r="G266" s="9" t="str">
        <x:v>PAT / report-basis weighted shares</x:v>
      </x:c>
      <x:c r="H266" s="9" t="str">
        <x:f>IF(AND(ISNUMBER(D266),ISNUMBER(F266)),IF(ROUND(D266,2)=ROUND(F266,2),"Reconstructed","Published value unresolved"),"Not comparable")</x:f>
        <x:v>Reconstructed</x:v>
      </x:c>
      <x:c r="I266"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66" s="9" t="s">
        <x:v>265</x:v>
      </x:c>
    </x:row>
    <x:row r="267" ht="15" hidden="0">
      <x:c r="A267" s="9" t="s">
        <x:v>46</x:v>
      </x:c>
      <x:c r="B267" s="9" t="s">
        <x:v>267</x:v>
      </x:c>
      <x:c r="C267" s="9" t="s">
        <x:v>76</x:v>
      </x:c>
      <x:c r="D267" s="15" t="n">
        <x:v>3.35</x:v>
      </x:c>
      <x:c r="E267" s="15" t="n">
        <x:f>FCCL!G173</x:f>
        <x:v>3.3524781610919856</x:v>
      </x:c>
      <x:c r="F267" s="15" t="n">
        <x:f>FCCL!G99/'PSX Prices'!O29</x:f>
        <x:v>3.3524781610919856</x:v>
      </x:c>
      <x:c r="G267" s="9" t="str">
        <x:v>PAT / report-basis weighted shares</x:v>
      </x:c>
      <x:c r="H267" s="9" t="str">
        <x:f>IF(AND(ISNUMBER(D267),ISNUMBER(F267)),IF(ROUND(D267,2)=ROUND(F267,2),"Reconstructed","Published value unresolved"),"Not comparable")</x:f>
        <x:v>Reconstructed</x:v>
      </x:c>
      <x:c r="I267"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67" s="9" t="s">
        <x:v>265</x:v>
      </x:c>
    </x:row>
    <x:row r="268" ht="15" hidden="0">
      <x:c r="A268" s="9" t="s">
        <x:v>46</x:v>
      </x:c>
      <x:c r="B268" s="9" t="s">
        <x:v>267</x:v>
      </x:c>
      <x:c r="C268" s="9" t="s">
        <x:v>77</x:v>
      </x:c>
      <x:c r="D268" s="15" t="n">
        <x:v>5.43</x:v>
      </x:c>
      <x:c r="E268" s="15" t="n">
        <x:f>FCCL!H173</x:f>
        <x:v>5.432952809531124</x:v>
      </x:c>
      <x:c r="F268" s="15" t="n">
        <x:f>FCCL!H99/'PSX Prices'!O30</x:f>
        <x:v>5.432952809531124</x:v>
      </x:c>
      <x:c r="G268" s="9" t="str">
        <x:v>PAT / report-basis weighted shares</x:v>
      </x:c>
      <x:c r="H268" s="9" t="str">
        <x:f>IF(AND(ISNUMBER(D268),ISNUMBER(F268)),IF(ROUND(D268,2)=ROUND(F268,2),"Reconstructed","Published value unresolved"),"Not comparable")</x:f>
        <x:v>Reconstructed</x:v>
      </x:c>
      <x:c r="I268"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68" s="9" t="s">
        <x:v>265</x:v>
      </x:c>
    </x:row>
    <x:row r="269" ht="15" hidden="0">
      <x:c r="A269" s="9" t="s">
        <x:v>46</x:v>
      </x:c>
      <x:c r="B269" s="9" t="s">
        <x:v>255</x:v>
      </x:c>
      <x:c r="C269" s="9" t="s">
        <x:v>73</x:v>
      </x:c>
      <x:c r="D269" s="15" t="n">
        <x:v>7.96</x:v>
      </x:c>
      <x:c r="E269" s="15" t="n">
        <x:f>FCCL!D174</x:f>
        <x:v>9.14218844478706</x:v>
      </x:c>
      <x:c r="F269" s="9" t="n">
        <x:f>'PSX Prices'!F26/(FCCL!D99/'PSX Prices'!O26)</x:f>
        <x:v>9.14218844478706</x:v>
      </x:c>
      <x:c r="G269" s="9" t="str">
        <x:v>Report price / (PAT / report-basis weighted shares)</x:v>
      </x:c>
      <x:c r="H269" s="9" t="str">
        <x:f>IF(AND(ISNUMBER(D269),ISNUMBER(F269)),IF(ROUND(D269,2)=ROUND(F269,2),"Reconstructed","Published value unresolved"),"Not comparable")</x:f>
        <x:v>Published value unresolved</x:v>
      </x:c>
      <x:c r="I269"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69" s="9" t="s">
        <x:v>265</x:v>
      </x:c>
    </x:row>
    <x:row r="270" ht="15" hidden="0">
      <x:c r="A270" s="9" t="s">
        <x:v>46</x:v>
      </x:c>
      <x:c r="B270" s="9" t="s">
        <x:v>255</x:v>
      </x:c>
      <x:c r="C270" s="9" t="s">
        <x:v>74</x:v>
      </x:c>
      <x:c r="D270" s="15" t="n">
        <x:v>6</x:v>
      </x:c>
      <x:c r="E270" s="15" t="n">
        <x:f>FCCL!E174</x:f>
        <x:v>4.343733536823694</x:v>
      </x:c>
      <x:c r="F270" s="9" t="n">
        <x:f>'PSX Prices'!F27/(FCCL!E99/'PSX Prices'!O27)</x:f>
        <x:v>4.688852031763617</x:v>
      </x:c>
      <x:c r="G270" s="9" t="str">
        <x:v>Report price / (PAT / report-basis weighted shares)</x:v>
      </x:c>
      <x:c r="H270" s="9" t="str">
        <x:f>IF(AND(ISNUMBER(D270),ISNUMBER(F270)),IF(ROUND(D270,2)=ROUND(F270,2),"Reconstructed","Published value unresolved"),"Not comparable")</x:f>
        <x:v>Published value unresolved</x:v>
      </x:c>
      <x:c r="I270"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70" s="9" t="s">
        <x:v>265</x:v>
      </x:c>
    </x:row>
    <x:row r="271" ht="15" hidden="0">
      <x:c r="A271" s="9" t="s">
        <x:v>46</x:v>
      </x:c>
      <x:c r="B271" s="9" t="s">
        <x:v>255</x:v>
      </x:c>
      <x:c r="C271" s="9" t="s">
        <x:v>75</x:v>
      </x:c>
      <x:c r="D271" s="15" t="n">
        <x:v>3.92</x:v>
      </x:c>
      <x:c r="E271" s="15" t="n">
        <x:f>FCCL!F174</x:f>
        <x:v>3.877247932539039</x:v>
      </x:c>
      <x:c r="F271" s="9" t="n">
        <x:f>'PSX Prices'!F28/(FCCL!F99/'PSX Prices'!O28)</x:f>
        <x:v>3.7202695438151143</x:v>
      </x:c>
      <x:c r="G271" s="9" t="str">
        <x:v>Report price / (PAT / report-basis weighted shares)</x:v>
      </x:c>
      <x:c r="H271" s="9" t="str">
        <x:f>IF(AND(ISNUMBER(D271),ISNUMBER(F271)),IF(ROUND(D271,2)=ROUND(F271,2),"Reconstructed","Published value unresolved"),"Not comparable")</x:f>
        <x:v>Published value unresolved</x:v>
      </x:c>
      <x:c r="I271"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71" s="9" t="s">
        <x:v>265</x:v>
      </x:c>
    </x:row>
    <x:row r="272" ht="15" hidden="0">
      <x:c r="A272" s="9" t="s">
        <x:v>46</x:v>
      </x:c>
      <x:c r="B272" s="9" t="s">
        <x:v>255</x:v>
      </x:c>
      <x:c r="C272" s="9" t="s">
        <x:v>76</x:v>
      </x:c>
      <x:c r="D272" s="15" t="n">
        <x:v>5.26</x:v>
      </x:c>
      <x:c r="E272" s="15" t="n">
        <x:f>FCCL!G174</x:f>
        <x:v>6.833750705936781</x:v>
      </x:c>
      <x:c r="F272" s="9" t="n">
        <x:f>'PSX Prices'!F29/(FCCL!G99/'PSX Prices'!O29)</x:f>
        <x:v>6.833750705936781</x:v>
      </x:c>
      <x:c r="G272" s="9" t="str">
        <x:v>Report price / (PAT / report-basis weighted shares)</x:v>
      </x:c>
      <x:c r="H272" s="9" t="str">
        <x:f>IF(AND(ISNUMBER(D272),ISNUMBER(F272)),IF(ROUND(D272,2)=ROUND(F272,2),"Reconstructed","Published value unresolved"),"Not comparable")</x:f>
        <x:v>Published value unresolved</x:v>
      </x:c>
      <x:c r="I272"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72" s="9" t="s">
        <x:v>265</x:v>
      </x:c>
    </x:row>
    <x:row r="273" ht="15" hidden="0">
      <x:c r="A273" s="9" t="s">
        <x:v>46</x:v>
      </x:c>
      <x:c r="B273" s="9" t="s">
        <x:v>255</x:v>
      </x:c>
      <x:c r="C273" s="9" t="s">
        <x:v>77</x:v>
      </x:c>
      <x:c r="D273" s="15" t="n">
        <x:v>6.69</x:v>
      </x:c>
      <x:c r="E273" s="15" t="n">
        <x:f>FCCL!H174</x:f>
        <x:v>8.222048224242743</x:v>
      </x:c>
      <x:c r="F273" s="9" t="n">
        <x:f>'PSX Prices'!F30/(FCCL!H99/'PSX Prices'!O30)</x:f>
        <x:v>8.222048224242743</x:v>
      </x:c>
      <x:c r="G273" s="9" t="str">
        <x:v>Report price / (PAT / report-basis weighted shares)</x:v>
      </x:c>
      <x:c r="H273" s="9" t="str">
        <x:f>IF(AND(ISNUMBER(D273),ISNUMBER(F273)),IF(ROUND(D273,2)=ROUND(F273,2),"Reconstructed","Published value unresolved"),"Not comparable")</x:f>
        <x:v>Published value unresolved</x:v>
      </x:c>
      <x:c r="I273"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73" s="9" t="s">
        <x:v>265</x:v>
      </x:c>
    </x:row>
    <x:row r="274" ht="15" hidden="0">
      <x:c r="A274" s="9" t="s">
        <x:v>46</x:v>
      </x:c>
      <x:c r="B274" s="9" t="s">
        <x:v>256</x:v>
      </x:c>
      <x:c r="C274" s="9" t="s">
        <x:v>73</x:v>
      </x:c>
      <x:c r="D274" s="15" t="n">
        <x:v>0</x:v>
      </x:c>
      <x:c r="E274" s="15" t="n">
        <x:f>FCCL!D175</x:f>
        <x:v>0</x:v>
      </x:c>
      <x:c r="F274" s="15" t="n">
        <x:f>'PSX Prices'!N26/'PSX Prices'!F26</x:f>
        <x:v>0</x:v>
      </x:c>
      <x:c r="G274" s="9" t="str">
        <x:v>Report-basis DPS / report price</x:v>
      </x:c>
      <x:c r="H274" s="9" t="str">
        <x:f>IF(AND(ISNUMBER(D274),ISNUMBER(F274)),IF(ROUND(D274,4)=ROUND(F274,4),"Reconstructed","Published value unresolved"),"Not comparable")</x:f>
        <x:v>Reconstructed</x:v>
      </x:c>
      <x:c r="I274"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74" s="9" t="s">
        <x:v>265</x:v>
      </x:c>
    </x:row>
    <x:row r="275" ht="15" hidden="0">
      <x:c r="A275" s="9" t="s">
        <x:v>46</x:v>
      </x:c>
      <x:c r="B275" s="9" t="s">
        <x:v>256</x:v>
      </x:c>
      <x:c r="C275" s="9" t="s">
        <x:v>74</x:v>
      </x:c>
      <x:c r="D275" s="15" t="n">
        <x:v>0</x:v>
      </x:c>
      <x:c r="E275" s="15" t="n">
        <x:f>FCCL!E175</x:f>
        <x:v>0</x:v>
      </x:c>
      <x:c r="F275" s="15" t="n">
        <x:f>'PSX Prices'!N27/'PSX Prices'!F27</x:f>
        <x:v>0</x:v>
      </x:c>
      <x:c r="G275" s="9" t="str">
        <x:v>Report-basis DPS / report price</x:v>
      </x:c>
      <x:c r="H275" s="9" t="str">
        <x:f>IF(AND(ISNUMBER(D275),ISNUMBER(F275)),IF(ROUND(D275,4)=ROUND(F275,4),"Reconstructed","Published value unresolved"),"Not comparable")</x:f>
        <x:v>Reconstructed</x:v>
      </x:c>
      <x:c r="I275"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75" s="9" t="s">
        <x:v>265</x:v>
      </x:c>
    </x:row>
    <x:row r="276" ht="15" hidden="0">
      <x:c r="A276" s="9" t="s">
        <x:v>46</x:v>
      </x:c>
      <x:c r="B276" s="9" t="s">
        <x:v>256</x:v>
      </x:c>
      <x:c r="C276" s="9" t="s">
        <x:v>75</x:v>
      </x:c>
      <x:c r="D276" s="15" t="n">
        <x:v>0</x:v>
      </x:c>
      <x:c r="E276" s="15" t="n">
        <x:f>FCCL!F175</x:f>
        <x:v>0</x:v>
      </x:c>
      <x:c r="F276" s="15" t="n">
        <x:f>'PSX Prices'!N28/'PSX Prices'!F28</x:f>
        <x:v>0</x:v>
      </x:c>
      <x:c r="G276" s="9" t="str">
        <x:v>Report-basis DPS / report price</x:v>
      </x:c>
      <x:c r="H276" s="9" t="str">
        <x:f>IF(AND(ISNUMBER(D276),ISNUMBER(F276)),IF(ROUND(D276,4)=ROUND(F276,4),"Reconstructed","Published value unresolved"),"Not comparable")</x:f>
        <x:v>Reconstructed</x:v>
      </x:c>
      <x:c r="I276"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76" s="9" t="s">
        <x:v>265</x:v>
      </x:c>
    </x:row>
    <x:row r="277" ht="15" hidden="0">
      <x:c r="A277" s="9" t="s">
        <x:v>46</x:v>
      </x:c>
      <x:c r="B277" s="9" t="s">
        <x:v>256</x:v>
      </x:c>
      <x:c r="C277" s="9" t="s">
        <x:v>76</x:v>
      </x:c>
      <x:c r="D277" s="15" t="n">
        <x:v>0.0436</x:v>
      </x:c>
      <x:c r="E277" s="15" t="n">
        <x:f>FCCL!G175</x:f>
        <x:v>0.04364906154517678</x:v>
      </x:c>
      <x:c r="F277" s="15" t="n">
        <x:f>'PSX Prices'!N29/'PSX Prices'!F29</x:f>
        <x:v>0.04364906154517678</x:v>
      </x:c>
      <x:c r="G277" s="9" t="str">
        <x:v>Report-basis DPS / report price</x:v>
      </x:c>
      <x:c r="H277" s="9" t="str">
        <x:f>IF(AND(ISNUMBER(D277),ISNUMBER(F277)),IF(ROUND(D277,4)=ROUND(F277,4),"Reconstructed","Published value unresolved"),"Not comparable")</x:f>
        <x:v>Reconstructed</x:v>
      </x:c>
      <x:c r="I277"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77" s="9" t="s">
        <x:v>265</x:v>
      </x:c>
    </x:row>
    <x:row r="278" ht="15" hidden="0">
      <x:c r="A278" s="9" t="s">
        <x:v>46</x:v>
      </x:c>
      <x:c r="B278" s="9" t="s">
        <x:v>256</x:v>
      </x:c>
      <x:c r="C278" s="9" t="s">
        <x:v>77</x:v>
      </x:c>
      <x:c r="D278" s="15" t="n">
        <x:v>0.028</x:v>
      </x:c>
      <x:c r="E278" s="15" t="n">
        <x:f>FCCL!H175</x:f>
        <x:v>0.027982986344302664</x:v>
      </x:c>
      <x:c r="F278" s="15" t="n">
        <x:f>'PSX Prices'!N30/'PSX Prices'!F30</x:f>
        <x:v>0.027982986344302664</x:v>
      </x:c>
      <x:c r="G278" s="9" t="str">
        <x:v>Report-basis DPS / report price</x:v>
      </x:c>
      <x:c r="H278" s="9" t="str">
        <x:f>IF(AND(ISNUMBER(D278),ISNUMBER(F278)),IF(ROUND(D278,4)=ROUND(F278,4),"Reconstructed","Published value unresolved"),"Not comparable")</x:f>
        <x:v>Reconstructed</x:v>
      </x:c>
      <x:c r="I278"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78" s="9" t="s">
        <x:v>265</x:v>
      </x:c>
    </x:row>
    <x:row r="279" ht="15" hidden="0">
      <x:c r="A279" s="9" t="s">
        <x:v>46</x:v>
      </x:c>
      <x:c r="B279" s="9" t="s">
        <x:v>268</x:v>
      </x:c>
      <x:c r="C279" s="9" t="s">
        <x:v>73</x:v>
      </x:c>
      <x:c r="D279" s="15" t="n">
        <x:v>0</x:v>
      </x:c>
      <x:c r="E279" s="15" t="n">
        <x:f>FCCL!D176</x:f>
        <x:v>0</x:v>
      </x:c>
      <x:c r="F279" s="15" t="n">
        <x:f>'PSX Prices'!N26/(FCCL!D99/'PSX Prices'!O26)</x:f>
        <x:v>0</x:v>
      </x:c>
      <x:c r="G279" s="9" t="str">
        <x:v>Report-basis DPS / (PAT / report-basis weighted shares)</x:v>
      </x:c>
      <x:c r="H279" s="9" t="str">
        <x:f>IF(AND(ISNUMBER(D279),ISNUMBER(F279)),IF(ROUND(D279,4)=ROUND(F279,4),"Reconstructed","Published value unresolved"),"Not comparable")</x:f>
        <x:v>Reconstructed</x:v>
      </x:c>
      <x:c r="I279"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79" s="9" t="s">
        <x:v>265</x:v>
      </x:c>
    </x:row>
    <x:row r="280" ht="15" hidden="0">
      <x:c r="A280" s="9" t="s">
        <x:v>46</x:v>
      </x:c>
      <x:c r="B280" s="9" t="s">
        <x:v>268</x:v>
      </x:c>
      <x:c r="C280" s="9" t="s">
        <x:v>74</x:v>
      </x:c>
      <x:c r="D280" s="15" t="n">
        <x:v>0</x:v>
      </x:c>
      <x:c r="E280" s="15" t="n">
        <x:f>FCCL!E176</x:f>
        <x:v>0</x:v>
      </x:c>
      <x:c r="F280" s="15" t="n">
        <x:f>'PSX Prices'!N27/(FCCL!E99/'PSX Prices'!O27)</x:f>
        <x:v>0</x:v>
      </x:c>
      <x:c r="G280" s="9" t="str">
        <x:v>Report-basis DPS / (PAT / report-basis weighted shares)</x:v>
      </x:c>
      <x:c r="H280" s="9" t="str">
        <x:f>IF(AND(ISNUMBER(D280),ISNUMBER(F280)),IF(ROUND(D280,4)=ROUND(F280,4),"Reconstructed","Published value unresolved"),"Not comparable")</x:f>
        <x:v>Reconstructed</x:v>
      </x:c>
      <x:c r="I280"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80" s="9" t="s">
        <x:v>265</x:v>
      </x:c>
    </x:row>
    <x:row r="281" ht="15" hidden="0">
      <x:c r="A281" s="9" t="s">
        <x:v>46</x:v>
      </x:c>
      <x:c r="B281" s="9" t="s">
        <x:v>268</x:v>
      </x:c>
      <x:c r="C281" s="9" t="s">
        <x:v>75</x:v>
      </x:c>
      <x:c r="D281" s="15" t="n">
        <x:v>0</x:v>
      </x:c>
      <x:c r="E281" s="15" t="n">
        <x:f>FCCL!F176</x:f>
        <x:v>0</x:v>
      </x:c>
      <x:c r="F281" s="15" t="n">
        <x:f>'PSX Prices'!N28/(FCCL!F99/'PSX Prices'!O28)</x:f>
        <x:v>0</x:v>
      </x:c>
      <x:c r="G281" s="9" t="str">
        <x:v>Report-basis DPS / (PAT / report-basis weighted shares)</x:v>
      </x:c>
      <x:c r="H281" s="9" t="str">
        <x:f>IF(AND(ISNUMBER(D281),ISNUMBER(F281)),IF(ROUND(D281,4)=ROUND(F281,4),"Reconstructed","Published value unresolved"),"Not comparable")</x:f>
        <x:v>Reconstructed</x:v>
      </x:c>
      <x:c r="I281"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81" s="9" t="s">
        <x:v>265</x:v>
      </x:c>
    </x:row>
    <x:row r="282" ht="15" hidden="0">
      <x:c r="A282" s="9" t="s">
        <x:v>46</x:v>
      </x:c>
      <x:c r="B282" s="9" t="s">
        <x:v>268</x:v>
      </x:c>
      <x:c r="C282" s="9" t="s">
        <x:v>76</x:v>
      </x:c>
      <x:c r="D282" s="15" t="n">
        <x:v>0.2983</x:v>
      </x:c>
      <x:c r="E282" s="15" t="n">
        <x:f>FCCL!G176</x:f>
        <x:v>0.29828680514782985</x:v>
      </x:c>
      <x:c r="F282" s="15" t="n">
        <x:f>'PSX Prices'!N29/(FCCL!G99/'PSX Prices'!O29)</x:f>
        <x:v>0.29828680514782985</x:v>
      </x:c>
      <x:c r="G282" s="9" t="str">
        <x:v>Report-basis DPS / (PAT / report-basis weighted shares)</x:v>
      </x:c>
      <x:c r="H282" s="9" t="str">
        <x:f>IF(AND(ISNUMBER(D282),ISNUMBER(F282)),IF(ROUND(D282,4)=ROUND(F282,4),"Reconstructed","Published value unresolved"),"Not comparable")</x:f>
        <x:v>Reconstructed</x:v>
      </x:c>
      <x:c r="I282"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82" s="9" t="s">
        <x:v>265</x:v>
      </x:c>
    </x:row>
    <x:row r="283" ht="15" hidden="0">
      <x:c r="A283" s="9" t="s">
        <x:v>46</x:v>
      </x:c>
      <x:c r="B283" s="9" t="s">
        <x:v>268</x:v>
      </x:c>
      <x:c r="C283" s="9" t="s">
        <x:v>77</x:v>
      </x:c>
      <x:c r="D283" s="15" t="n">
        <x:v>0.2301</x:v>
      </x:c>
      <x:c r="E283" s="15" t="n">
        <x:f>FCCL!H176</x:f>
        <x:v>0.23007746318118263</x:v>
      </x:c>
      <x:c r="F283" s="15" t="n">
        <x:f>'PSX Prices'!N30/(FCCL!H99/'PSX Prices'!O30)</x:f>
        <x:v>0.23007746318118263</x:v>
      </x:c>
      <x:c r="G283" s="9" t="str">
        <x:v>Report-basis DPS / (PAT / report-basis weighted shares)</x:v>
      </x:c>
      <x:c r="H283" s="9" t="str">
        <x:f>IF(AND(ISNUMBER(D283),ISNUMBER(F283)),IF(ROUND(D283,4)=ROUND(F283,4),"Reconstructed","Published value unresolved"),"Not comparable")</x:f>
        <x:v>Reconstructed</x:v>
      </x:c>
      <x:c r="I283" s="9" t="str">
        <x:v>E uses the verified PSX close and FY-end share basis. F reconstructs the report using its own price, DPS and share basis, including negative company P/E where published. Different bases for EPS/BVPS are intentional. See PSX Prices and Share Basis. Unmatched values remain unresolved.</x:v>
      </x:c>
      <x:c r="J283" s="9" t="s">
        <x:v>265</x:v>
      </x:c>
    </x:row>
    <x:row r="284" ht="15" hidden="0">
      <x:c r="A284" s="9" t="s">
        <x:v>46</x:v>
      </x:c>
      <x:c r="B284" s="9" t="s">
        <x:v>269</x:v>
      </x:c>
      <x:c r="C284" s="9" t="s">
        <x:v>73</x:v>
      </x:c>
      <x:c r="D284" s="15" t="n">
        <x:v>0.04</x:v>
      </x:c>
      <x:c r="E284" s="15" t="n">
        <x:v>0.110333618309006</x:v>
      </x:c>
      <x:c r="F284" s="9"/>
      <x:c r="G284" s="9" t="s">
        <x:v>204</x:v>
      </x:c>
      <x:c r="H284" s="9" t="s">
        <x:v>205</x:v>
      </x:c>
      <x:c r="I284" s="9" t="s">
        <x:v>206</x:v>
      </x:c>
      <x:c r="J284" s="9" t="s">
        <x:v>265</x:v>
      </x:c>
    </x:row>
    <x:row r="285" ht="15" hidden="0">
      <x:c r="A285" s="9" t="s">
        <x:v>46</x:v>
      </x:c>
      <x:c r="B285" s="9" t="s">
        <x:v>269</x:v>
      </x:c>
      <x:c r="C285" s="9" t="s">
        <x:v>74</x:v>
      </x:c>
      <x:c r="D285" s="15" t="n">
        <x:v>0.43</x:v>
      </x:c>
      <x:c r="E285" s="15" t="n">
        <x:v>0.576842831107133</x:v>
      </x:c>
      <x:c r="F285" s="9"/>
      <x:c r="G285" s="9" t="s">
        <x:v>204</x:v>
      </x:c>
      <x:c r="H285" s="9" t="s">
        <x:v>205</x:v>
      </x:c>
      <x:c r="I285" s="9" t="s">
        <x:v>206</x:v>
      </x:c>
      <x:c r="J285" s="9" t="s">
        <x:v>265</x:v>
      </x:c>
    </x:row>
    <x:row r="286" ht="15" hidden="0">
      <x:c r="A286" s="9" t="s">
        <x:v>46</x:v>
      </x:c>
      <x:c r="B286" s="9" t="s">
        <x:v>269</x:v>
      </x:c>
      <x:c r="C286" s="9" t="s">
        <x:v>75</x:v>
      </x:c>
      <x:c r="D286" s="15" t="n">
        <x:v>0.6</x:v>
      </x:c>
      <x:c r="E286" s="15" t="n">
        <x:v>0.737099390222469</x:v>
      </x:c>
      <x:c r="F286" s="9"/>
      <x:c r="G286" s="9" t="s">
        <x:v>204</x:v>
      </x:c>
      <x:c r="H286" s="9" t="s">
        <x:v>205</x:v>
      </x:c>
      <x:c r="I286" s="9" t="s">
        <x:v>206</x:v>
      </x:c>
      <x:c r="J286" s="9" t="s">
        <x:v>265</x:v>
      </x:c>
    </x:row>
    <x:row r="287" ht="15" hidden="0">
      <x:c r="A287" s="9" t="s">
        <x:v>46</x:v>
      </x:c>
      <x:c r="B287" s="9" t="s">
        <x:v>269</x:v>
      </x:c>
      <x:c r="C287" s="9" t="s">
        <x:v>76</x:v>
      </x:c>
      <x:c r="D287" s="15" t="n">
        <x:v>0.51</x:v>
      </x:c>
      <x:c r="E287" s="15" t="n">
        <x:v>0.599147632456872</x:v>
      </x:c>
      <x:c r="F287" s="9"/>
      <x:c r="G287" s="9" t="s">
        <x:v>204</x:v>
      </x:c>
      <x:c r="H287" s="9" t="s">
        <x:v>205</x:v>
      </x:c>
      <x:c r="I287" s="9" t="s">
        <x:v>206</x:v>
      </x:c>
      <x:c r="J287" s="9" t="s">
        <x:v>265</x:v>
      </x:c>
    </x:row>
    <x:row r="288" ht="15" hidden="0">
      <x:c r="A288" s="9" t="s">
        <x:v>46</x:v>
      </x:c>
      <x:c r="B288" s="9" t="s">
        <x:v>269</x:v>
      </x:c>
      <x:c r="C288" s="9" t="s">
        <x:v>77</x:v>
      </x:c>
      <x:c r="D288" s="15" t="n">
        <x:v>0.39</x:v>
      </x:c>
      <x:c r="E288" s="15" t="n">
        <x:v>0.477282569836072</x:v>
      </x:c>
      <x:c r="F288" s="9"/>
      <x:c r="G288" s="9" t="s">
        <x:v>204</x:v>
      </x:c>
      <x:c r="H288" s="9" t="s">
        <x:v>205</x:v>
      </x:c>
      <x:c r="I288" s="9" t="s">
        <x:v>206</x:v>
      </x:c>
      <x:c r="J288" s="9" t="s">
        <x:v>265</x:v>
      </x:c>
    </x:row>
    <x:row r="290" ht="15" hidden="0">
      <x:c r="A290" s="16" t="s">
        <x:v>270</x:v>
      </x:c>
    </x:row>
    <x:row r="291" ht="15" hidden="0">
      <x:c r="A291" t="s">
        <x:v>199</x:v>
      </x:c>
      <x:c r="D291" t="n">
        <x:v>138</x:v>
      </x:c>
    </x:row>
    <x:row r="292" ht="15" hidden="0">
      <x:c r="A292" t="s">
        <x:v>209</x:v>
      </x:c>
      <x:c r="D292" t="n">
        <x:v>65</x:v>
      </x:c>
    </x:row>
    <x:row r="293" ht="15" hidden="0">
      <x:c r="A293" t="s">
        <x:v>205</x:v>
      </x:c>
      <x:c r="D293" t="n">
        <x:v>58</x:v>
      </x:c>
    </x:row>
    <x:row r="294" ht="15" hidden="0">
      <x:c r="A294" t="s">
        <x:v>242</x:v>
      </x:c>
      <x:c r="D294" t="n">
        <x:v>12</x:v>
      </x:c>
    </x:row>
    <x:row r="295" ht="15" hidden="0">
      <x:c r="A295" t="s">
        <x:v>237</x:v>
      </x:c>
      <x:c r="D295" t="n">
        <x:v>6</x:v>
      </x:c>
    </x:row>
    <x:row r="296" ht="15" hidden="0">
      <x:c r="A296" t="s">
        <x:v>212</x:v>
      </x:c>
      <x:c r="D296" t="n">
        <x:v>5</x:v>
      </x:c>
    </x:row>
    <x:row r="297" ht="15" hidden="0">
      <x:c r="A297" t="s">
        <x:v>231</x:v>
      </x:c>
      <x:c r="D297" t="n">
        <x:v>1</x:v>
      </x:c>
    </x:row>
  </x:sheetData>
  <x:pageMargins left="0.7" right="0.7" top="0.75" bottom="0.75" header="0.3" footer="0.3"/>
</x:worksheet>
</file>

<file path=xl/worksheets/sheet3.xml><?xml version="1.0" encoding="utf-8"?>
<x:worksheet xmlns:x="http://schemas.openxmlformats.org/spreadsheetml/2006/main">
  <x:sheetPr>
    <x:tabColor rgb="FF1F3864"/>
  </x:sheetPr>
  <x:sheetViews>
    <x:sheetView showGridLines="0" workbookViewId="0">
      <x:pane xSplit="2" ySplit="17" topLeftCell="C18" activePane="bottomRight" state="frozen"/>
    </x:sheetView>
  </x:sheetViews>
  <x:sheetFormatPr defaultColWidth="8.6796875" defaultRowHeight="15"/>
  <x:cols>
    <x:col min="1" max="1" width="58" hidden="0" customWidth="1"/>
    <x:col min="2" max="2" width="46" hidden="0" customWidth="1"/>
    <x:col min="3" max="8" width="11" hidden="0" customWidth="1"/>
    <x:col min="9" max="9" width="9" hidden="0" customWidth="1"/>
    <x:col min="10" max="10" width="62" hidden="0" customWidth="1"/>
  </x:cols>
  <x:sheetData>
    <x:row r="1" ht="17.350000381469727" hidden="0">
      <x:c r="A1" s="17" t="s">
        <x:v>271</x:v>
      </x:c>
    </x:row>
    <x:row r="2" ht="15" hidden="0">
      <x:c r="A2" s="18" t="s">
        <x:v>272</x:v>
      </x:c>
    </x:row>
    <x:row r="3" ht="15" hidden="0">
      <x:c r="A3" s="19" t="s">
        <x:v>273</x:v>
      </x:c>
    </x:row>
    <x:row r="5" ht="15" hidden="0">
      <x:c r="A5" s="5" t="s">
        <x:v>274</x:v>
      </x:c>
      <x:c r="B5" s="20"/>
      <x:c r="C5" s="20"/>
      <x:c r="D5" s="20"/>
      <x:c r="E5" s="20"/>
      <x:c r="F5" s="20"/>
      <x:c r="G5" s="20"/>
      <x:c r="H5" s="20"/>
      <x:c r="I5" s="20"/>
      <x:c r="J5" s="20"/>
    </x:row>
    <x:row r="6" ht="15" hidden="0" customHeight="1">
      <x:c r="A6" s="2" t="s">
        <x:v>19</x:v>
      </x:c>
      <x:c r="B6" s="21" t="s">
        <x:v>26</x:v>
      </x:c>
      <x:c r="C6" s="21"/>
      <x:c r="D6" s="21"/>
      <x:c r="E6" s="21"/>
      <x:c r="F6" s="21"/>
      <x:c r="G6" s="21"/>
      <x:c r="H6" s="21"/>
      <x:c r="I6" s="21"/>
      <x:c r="J6" s="21"/>
    </x:row>
    <x:row r="7" ht="15" hidden="0" customHeight="1">
      <x:c r="A7" s="2" t="s">
        <x:v>275</x:v>
      </x:c>
      <x:c r="B7" s="21" t="s">
        <x:v>25</x:v>
      </x:c>
      <x:c r="C7" s="21"/>
      <x:c r="D7" s="21"/>
      <x:c r="E7" s="21"/>
      <x:c r="F7" s="21"/>
      <x:c r="G7" s="21"/>
      <x:c r="H7" s="21"/>
      <x:c r="I7" s="21"/>
      <x:c r="J7" s="21"/>
    </x:row>
    <x:row r="8" ht="15" hidden="0" customHeight="1">
      <x:c r="A8" s="2" t="s">
        <x:v>276</x:v>
      </x:c>
      <x:c r="B8" s="21" t="s">
        <x:v>11</x:v>
      </x:c>
      <x:c r="C8" s="21"/>
      <x:c r="D8" s="21"/>
      <x:c r="E8" s="21"/>
      <x:c r="F8" s="21"/>
      <x:c r="G8" s="21"/>
      <x:c r="H8" s="21"/>
      <x:c r="I8" s="21"/>
      <x:c r="J8" s="21"/>
    </x:row>
    <x:row r="9" ht="15" hidden="0" customHeight="1">
      <x:c r="A9" s="2" t="s">
        <x:v>277</x:v>
      </x:c>
      <x:c r="B9" s="21" t="s">
        <x:v>278</x:v>
      </x:c>
      <x:c r="C9" s="21"/>
      <x:c r="D9" s="21"/>
      <x:c r="E9" s="21"/>
      <x:c r="F9" s="21"/>
      <x:c r="G9" s="21"/>
      <x:c r="H9" s="21"/>
      <x:c r="I9" s="21"/>
      <x:c r="J9" s="21"/>
    </x:row>
    <x:row r="10" ht="15" hidden="0" customHeight="1">
      <x:c r="A10" s="2" t="s">
        <x:v>279</x:v>
      </x:c>
      <x:c r="B10" s="21" t="s">
        <x:v>280</x:v>
      </x:c>
      <x:c r="C10" s="21"/>
      <x:c r="D10" s="21"/>
      <x:c r="E10" s="21"/>
      <x:c r="F10" s="21"/>
      <x:c r="G10" s="21"/>
      <x:c r="H10" s="21"/>
      <x:c r="I10" s="21"/>
      <x:c r="J10" s="21"/>
    </x:row>
    <x:row r="11" ht="15" hidden="0" customHeight="1">
      <x:c r="A11" s="2" t="s">
        <x:v>281</x:v>
      </x:c>
      <x:c r="B11" s="21" t="s">
        <x:v>282</x:v>
      </x:c>
      <x:c r="C11" s="21"/>
      <x:c r="D11" s="21"/>
      <x:c r="E11" s="21"/>
      <x:c r="F11" s="21"/>
      <x:c r="G11" s="21"/>
      <x:c r="H11" s="21"/>
      <x:c r="I11" s="21"/>
      <x:c r="J11" s="21"/>
    </x:row>
    <x:row r="12" ht="27.75" hidden="0" customHeight="1">
      <x:c r="A12" s="2" t="s">
        <x:v>283</x:v>
      </x:c>
      <x:c r="B12" s="21" t="s">
        <x:v>284</x:v>
      </x:c>
      <x:c r="C12" s="21"/>
      <x:c r="D12" s="21"/>
      <x:c r="E12" s="21"/>
      <x:c r="F12" s="21"/>
      <x:c r="G12" s="21"/>
      <x:c r="H12" s="21"/>
      <x:c r="I12" s="21"/>
      <x:c r="J12" s="21"/>
    </x:row>
    <x:row r="13" ht="27.75" hidden="0" customHeight="1">
      <x:c r="A13" s="2" t="s">
        <x:v>285</x:v>
      </x:c>
      <x:c r="B13" s="21" t="s">
        <x:v>286</x:v>
      </x:c>
      <x:c r="C13" s="21"/>
      <x:c r="D13" s="21"/>
      <x:c r="E13" s="21"/>
      <x:c r="F13" s="21"/>
      <x:c r="G13" s="21"/>
      <x:c r="H13" s="21"/>
      <x:c r="I13" s="21"/>
      <x:c r="J13" s="21"/>
    </x:row>
    <x:row r="14" ht="27.75" hidden="0" customHeight="1">
      <x:c r="A14" s="2" t="s">
        <x:v>287</x:v>
      </x:c>
      <x:c r="B14" s="21" t="str">
        <x:v>Actual PSX FY-end close paired with the share basis in force on that date. EPS notes, splits, treasury shares and bonus treatment are documented on Share Basis.</x:v>
      </x:c>
      <x:c r="C14" s="21"/>
      <x:c r="D14" s="21"/>
      <x:c r="E14" s="21"/>
      <x:c r="F14" s="21"/>
      <x:c r="G14" s="21"/>
      <x:c r="H14" s="21"/>
      <x:c r="I14" s="21"/>
      <x:c r="J14" s="21"/>
    </x:row>
    <x:row r="15" ht="27.75" hidden="0" customHeight="1">
      <x:c r="A15" s="2" t="s">
        <x:v>288</x:v>
      </x:c>
      <x:c r="B15" s="21" t="s">
        <x:v>289</x:v>
      </x:c>
      <x:c r="C15" s="21"/>
      <x:c r="D15" s="21"/>
      <x:c r="E15" s="21"/>
      <x:c r="F15" s="21"/>
      <x:c r="G15" s="21"/>
      <x:c r="H15" s="21"/>
      <x:c r="I15" s="21"/>
      <x:c r="J15" s="21"/>
    </x:row>
    <x:row r="17" ht="15" hidden="0">
      <x:c r="A17" s="22" t="s">
        <x:v>290</x:v>
      </x:c>
      <x:c r="B17" s="22" t="s">
        <x:v>291</x:v>
      </x:c>
      <x:c r="C17" s="23" t="s">
        <x:v>292</x:v>
      </x:c>
      <x:c r="D17" s="23" t="s">
        <x:v>73</x:v>
      </x:c>
      <x:c r="E17" s="23" t="s">
        <x:v>74</x:v>
      </x:c>
      <x:c r="F17" s="23" t="s">
        <x:v>75</x:v>
      </x:c>
      <x:c r="G17" s="23" t="s">
        <x:v>76</x:v>
      </x:c>
      <x:c r="H17" s="23" t="s">
        <x:v>77</x:v>
      </x:c>
      <x:c r="I17" s="23" t="s">
        <x:v>84</x:v>
      </x:c>
      <x:c r="J17" s="23" t="s">
        <x:v>293</x:v>
      </x:c>
    </x:row>
    <x:row r="18" ht="15" hidden="0">
      <x:c r="A18" s="5" t="s">
        <x:v>294</x:v>
      </x:c>
      <x:c r="B18" s="20"/>
      <x:c r="C18" s="20"/>
      <x:c r="D18" s="20"/>
      <x:c r="E18" s="20"/>
      <x:c r="F18" s="20"/>
      <x:c r="G18" s="20"/>
      <x:c r="H18" s="20"/>
      <x:c r="I18" s="20"/>
      <x:c r="J18" s="20"/>
    </x:row>
    <x:row r="19" ht="15" hidden="0">
      <x:c r="A19" s="24" t="s">
        <x:v>295</x:v>
      </x:c>
      <x:c r="B19" s="25"/>
      <x:c r="C19" s="25"/>
      <x:c r="D19" s="25"/>
      <x:c r="E19" s="25"/>
      <x:c r="F19" s="25"/>
      <x:c r="G19" s="25"/>
      <x:c r="H19" s="25"/>
      <x:c r="I19" s="25"/>
      <x:c r="J19" s="25"/>
    </x:row>
    <x:row r="20" ht="15" hidden="0">
      <x:c r="A20" t="s">
        <x:v>296</x:v>
      </x:c>
      <x:c r="B20" s="19" t="s">
        <x:v>297</x:v>
      </x:c>
      <x:c r="C20" s="26" t="n">
        <x:v>22777.666271</x:v>
      </x:c>
      <x:c r="D20" s="26" t="n">
        <x:v>22027.544913</x:v>
      </x:c>
      <x:c r="E20" s="26" t="n">
        <x:v>21331.296362</x:v>
      </x:c>
      <x:c r="F20" s="26" t="n">
        <x:v>22229.434463</x:v>
      </x:c>
      <x:c r="G20" s="26" t="n">
        <x:v>22156.640533</x:v>
      </x:c>
      <x:c r="H20" s="26" t="n">
        <x:v>23359.980509</x:v>
      </x:c>
      <x:c r="I20" s="9" t="s">
        <x:v>98</x:v>
      </x:c>
    </x:row>
    <x:row r="21" ht="15" hidden="0">
      <x:c r="A21" t="s">
        <x:v>298</x:v>
      </x:c>
      <x:c r="B21" s="19" t="s">
        <x:v>299</x:v>
      </x:c>
      <x:c r="C21" s="26" t="n">
        <x:v>164.578022</x:v>
      </x:c>
      <x:c r="D21" s="26" t="n">
        <x:v>273.939559</x:v>
      </x:c>
      <x:c r="E21" s="26" t="n">
        <x:v>130.897947</x:v>
      </x:c>
      <x:c r="F21" s="26" t="n">
        <x:v>1943.019581</x:v>
      </x:c>
      <x:c r="G21" s="26" t="n">
        <x:v>999.326605</x:v>
      </x:c>
      <x:c r="H21" s="26" t="n">
        <x:v>2486.634755</x:v>
      </x:c>
      <x:c r="I21" s="9" t="s">
        <x:v>98</x:v>
      </x:c>
    </x:row>
    <x:row r="22" ht="15" hidden="0">
      <x:c r="A22" t="s">
        <x:v>300</x:v>
      </x:c>
      <x:c r="B22" s="19" t="s">
        <x:v>301</x:v>
      </x:c>
      <x:c r="C22" s="27" t="n">
        <x:f aca="0">C20-C21</x:f>
        <x:v>22613.088248999997</x:v>
      </x:c>
      <x:c r="D22" s="27" t="n">
        <x:f aca="0">D20-D21</x:f>
        <x:v>21753.605354000003</x:v>
      </x:c>
      <x:c r="E22" s="27" t="n">
        <x:f aca="0">E20-E21</x:f>
        <x:v>21200.398415</x:v>
      </x:c>
      <x:c r="F22" s="27" t="n">
        <x:f aca="0">F20-F21</x:f>
        <x:v>20286.414882</x:v>
      </x:c>
      <x:c r="G22" s="27" t="n">
        <x:f aca="0">G20-G21</x:f>
        <x:v>21157.313928000003</x:v>
      </x:c>
      <x:c r="H22" s="27" t="n">
        <x:f aca="0">H20-H21</x:f>
        <x:v>20873.345754</x:v>
      </x:c>
      <x:c r="I22" s="9" t="s">
        <x:v>98</x:v>
      </x:c>
    </x:row>
    <x:row r="23" ht="15" hidden="0">
      <x:c r="A23" t="s">
        <x:v>302</x:v>
      </x:c>
      <x:c r="B23" s="19" t="s">
        <x:v>303</x:v>
      </x:c>
      <x:c r="C23" s="26" t="n">
        <x:v>0</x:v>
      </x:c>
      <x:c r="D23" s="26" t="n">
        <x:v>0</x:v>
      </x:c>
      <x:c r="E23" s="26" t="n">
        <x:v>0</x:v>
      </x:c>
      <x:c r="F23" s="26" t="n">
        <x:v>0</x:v>
      </x:c>
      <x:c r="G23" s="26" t="n">
        <x:v>0</x:v>
      </x:c>
      <x:c r="H23" s="26" t="n">
        <x:v>0</x:v>
      </x:c>
      <x:c r="I23" s="9" t="s">
        <x:v>98</x:v>
      </x:c>
    </x:row>
    <x:row r="24" ht="15" hidden="0">
      <x:c r="A24" t="s">
        <x:v>304</x:v>
      </x:c>
      <x:c r="B24" s="19" t="s">
        <x:v>305</x:v>
      </x:c>
      <x:c r="C24" s="26" t="n">
        <x:v>11.210982</x:v>
      </x:c>
      <x:c r="D24" s="26" t="n">
        <x:v>6.725911</x:v>
      </x:c>
      <x:c r="E24" s="26" t="n">
        <x:v>2.701357</x:v>
      </x:c>
      <x:c r="F24" s="26" t="n">
        <x:v>1.567709</x:v>
      </x:c>
      <x:c r="G24" s="26" t="n">
        <x:v>0.508226</x:v>
      </x:c>
      <x:c r="H24" s="26" t="n">
        <x:v>0.259742</x:v>
      </x:c>
      <x:c r="I24" s="9" t="s">
        <x:v>98</x:v>
      </x:c>
    </x:row>
    <x:row r="25" ht="15" hidden="0">
      <x:c r="A25" t="s">
        <x:v>306</x:v>
      </x:c>
      <x:c r="B25" s="19" t="s">
        <x:v>307</x:v>
      </x:c>
      <x:c r="C25" s="26" t="n">
        <x:v>3691.839635</x:v>
      </x:c>
      <x:c r="D25" s="26" t="n">
        <x:v>4134.086159</x:v>
      </x:c>
      <x:c r="E25" s="26" t="n">
        <x:v>4134.255209</x:v>
      </x:c>
      <x:c r="F25" s="26" t="n">
        <x:v>4324.910743</x:v>
      </x:c>
      <x:c r="G25" s="26" t="n">
        <x:v>4326.361559</x:v>
      </x:c>
      <x:c r="H25" s="26" t="n">
        <x:v>4326.361559</x:v>
      </x:c>
      <x:c r="I25" s="9" t="s">
        <x:v>98</x:v>
      </x:c>
    </x:row>
    <x:row r="26" ht="15" hidden="0">
      <x:c r="A26" t="s">
        <x:v>308</x:v>
      </x:c>
      <x:c r="B26" s="19" t="s">
        <x:v>309</x:v>
      </x:c>
      <x:c r="C26" s="26" t="n">
        <x:v>0</x:v>
      </x:c>
      <x:c r="D26" s="26" t="n">
        <x:v>0</x:v>
      </x:c>
      <x:c r="E26" s="26" t="n">
        <x:v>0</x:v>
      </x:c>
      <x:c r="F26" s="26" t="n">
        <x:v>0</x:v>
      </x:c>
      <x:c r="G26" s="26" t="n">
        <x:v>0</x:v>
      </x:c>
      <x:c r="H26" s="26" t="n">
        <x:v>0</x:v>
      </x:c>
      <x:c r="I26" s="9" t="s">
        <x:v>98</x:v>
      </x:c>
    </x:row>
    <x:row r="27" ht="15" hidden="0">
      <x:c r="A27" t="s">
        <x:v>310</x:v>
      </x:c>
      <x:c r="B27" s="19" t="s">
        <x:v>311</x:v>
      </x:c>
      <x:c r="C27" s="26" t="n">
        <x:v>38.32664</x:v>
      </x:c>
      <x:c r="D27" s="26" t="n">
        <x:v>69.76574</x:v>
      </x:c>
      <x:c r="E27" s="26" t="n">
        <x:v>106.583469</x:v>
      </x:c>
      <x:c r="F27" s="26" t="n">
        <x:v>60.785981</x:v>
      </x:c>
      <x:c r="G27" s="26" t="n">
        <x:v>147.388106</x:v>
      </x:c>
      <x:c r="H27" s="26" t="n">
        <x:v>492.917464</x:v>
      </x:c>
      <x:c r="I27" s="9" t="s">
        <x:v>98</x:v>
      </x:c>
    </x:row>
    <x:row r="28" ht="15" hidden="0">
      <x:c r="A28" s="2" t="s">
        <x:v>312</x:v>
      </x:c>
      <x:c r="B28" s="19" t="s">
        <x:v>313</x:v>
      </x:c>
      <x:c r="C28" s="28" t="n">
        <x:f aca="0">C20+C23+C24+C25+C26+C27</x:f>
        <x:v>26519.043528</x:v>
      </x:c>
      <x:c r="D28" s="28" t="n">
        <x:f aca="0">D20+D23+D24+D25+D26+D27</x:f>
        <x:v>26238.122723000004</x:v>
      </x:c>
      <x:c r="E28" s="28" t="n">
        <x:f aca="0">E20+E23+E24+E25+E26+E27</x:f>
        <x:v>25574.836397000003</x:v>
      </x:c>
      <x:c r="F28" s="28" t="n">
        <x:f aca="0">F20+F23+F24+F25+F26+F27</x:f>
        <x:v>26616.698896</x:v>
      </x:c>
      <x:c r="G28" s="28" t="n">
        <x:f aca="0">G20+G23+G24+G25+G26+G27</x:f>
        <x:v>26630.898424000003</x:v>
      </x:c>
      <x:c r="H28" s="28" t="n">
        <x:f aca="0">H20+H23+H24+H25+H26+H27</x:f>
        <x:v>28179.519274</x:v>
      </x:c>
      <x:c r="I28" s="9" t="s">
        <x:v>98</x:v>
      </x:c>
    </x:row>
    <x:row r="29" ht="15" hidden="0">
      <x:c r="A29" s="24" t="s">
        <x:v>314</x:v>
      </x:c>
      <x:c r="B29" s="25"/>
      <x:c r="C29" s="25"/>
      <x:c r="D29" s="25"/>
      <x:c r="E29" s="25"/>
      <x:c r="F29" s="25"/>
      <x:c r="G29" s="25"/>
      <x:c r="H29" s="25"/>
      <x:c r="I29" s="25"/>
      <x:c r="J29" s="25"/>
    </x:row>
    <x:row r="30" ht="15" hidden="0">
      <x:c r="A30" t="s">
        <x:v>315</x:v>
      </x:c>
      <x:c r="B30" s="19" t="s">
        <x:v>316</x:v>
      </x:c>
      <x:c r="C30" s="26" t="n">
        <x:v>2250.156437</x:v>
      </x:c>
      <x:c r="D30" s="26" t="n">
        <x:v>3070.769101</x:v>
      </x:c>
      <x:c r="E30" s="26" t="n">
        <x:v>4214.829636</x:v>
      </x:c>
      <x:c r="F30" s="26" t="n">
        <x:v>4713.129764</x:v>
      </x:c>
      <x:c r="G30" s="26" t="n">
        <x:v>5785.683486</x:v>
      </x:c>
      <x:c r="H30" s="26" t="n">
        <x:v>4991.311475</x:v>
      </x:c>
      <x:c r="I30" s="9" t="s">
        <x:v>98</x:v>
      </x:c>
    </x:row>
    <x:row r="31" ht="15" hidden="0">
      <x:c r="A31" t="s">
        <x:v>317</x:v>
      </x:c>
      <x:c r="B31" s="19" t="s">
        <x:v>318</x:v>
      </x:c>
      <x:c r="C31" s="26" t="n">
        <x:v>1016.024223</x:v>
      </x:c>
      <x:c r="D31" s="26" t="n">
        <x:v>1112.776266</x:v>
      </x:c>
      <x:c r="E31" s="26" t="n">
        <x:v>1456.156782</x:v>
      </x:c>
      <x:c r="F31" s="26" t="n">
        <x:v>2942.861554</x:v>
      </x:c>
      <x:c r="G31" s="26" t="n">
        <x:v>1793.74244</x:v>
      </x:c>
      <x:c r="H31" s="26" t="n">
        <x:v>2513.556552</x:v>
      </x:c>
      <x:c r="I31" s="9" t="s">
        <x:v>98</x:v>
      </x:c>
    </x:row>
    <x:row r="32" ht="15" hidden="0">
      <x:c r="A32" t="s">
        <x:v>319</x:v>
      </x:c>
      <x:c r="B32" s="19" t="s">
        <x:v>320</x:v>
      </x:c>
      <x:c r="C32" s="26" t="n">
        <x:v>494.315206</x:v>
      </x:c>
      <x:c r="D32" s="26" t="n">
        <x:v>983.568223</x:v>
      </x:c>
      <x:c r="E32" s="26" t="n">
        <x:v>916.039469</x:v>
      </x:c>
      <x:c r="F32" s="26" t="n">
        <x:v>1205.553375</x:v>
      </x:c>
      <x:c r="G32" s="26" t="n">
        <x:v>2110.247902</x:v>
      </x:c>
      <x:c r="H32" s="26" t="n">
        <x:v>1692.217832</x:v>
      </x:c>
      <x:c r="I32" s="9" t="s">
        <x:v>98</x:v>
      </x:c>
    </x:row>
    <x:row r="33" ht="15" hidden="0">
      <x:c r="A33" t="s">
        <x:v>321</x:v>
      </x:c>
      <x:c r="B33" s="19" t="s">
        <x:v>322</x:v>
      </x:c>
      <x:c r="C33" s="26" t="n">
        <x:v>160.1306</x:v>
      </x:c>
      <x:c r="D33" s="26" t="n">
        <x:v>2999.496423</x:v>
      </x:c>
      <x:c r="E33" s="26" t="n">
        <x:v>10124.095693</x:v>
      </x:c>
      <x:c r="F33" s="26" t="n">
        <x:v>12335.073816</x:v>
      </x:c>
      <x:c r="G33" s="26" t="n">
        <x:v>20279.745954</x:v>
      </x:c>
      <x:c r="H33" s="26" t="n">
        <x:v>26941.632205</x:v>
      </x:c>
      <x:c r="I33" s="9" t="s">
        <x:v>98</x:v>
      </x:c>
    </x:row>
    <x:row r="34" ht="15" hidden="0">
      <x:c r="A34" t="s">
        <x:v>323</x:v>
      </x:c>
      <x:c r="B34" s="19" t="s">
        <x:v>324</x:v>
      </x:c>
      <x:c r="C34" s="26" t="n">
        <x:v>891.606087</x:v>
      </x:c>
      <x:c r="D34" s="26" t="n">
        <x:v>1197.729351</x:v>
      </x:c>
      <x:c r="E34" s="26" t="n">
        <x:v>480.765632</x:v>
      </x:c>
      <x:c r="F34" s="26" t="n">
        <x:v>933.537193</x:v>
      </x:c>
      <x:c r="G34" s="26" t="n">
        <x:v>1102.649172</x:v>
      </x:c>
      <x:c r="H34" s="26" t="n">
        <x:v>1450.702723</x:v>
      </x:c>
      <x:c r="I34" s="9" t="s">
        <x:v>98</x:v>
      </x:c>
    </x:row>
    <x:row r="35" ht="15" hidden="0">
      <x:c r="A35" t="s">
        <x:v>325</x:v>
      </x:c>
      <x:c r="B35" s="19" t="s">
        <x:v>326</x:v>
      </x:c>
      <x:c r="C35" s="26" t="n">
        <x:v>425.391226</x:v>
      </x:c>
      <x:c r="D35" s="26" t="n">
        <x:v>484.45935</x:v>
      </x:c>
      <x:c r="E35" s="26" t="n">
        <x:v>583.944235</x:v>
      </x:c>
      <x:c r="F35" s="26" t="n">
        <x:v>783.220947</x:v>
      </x:c>
      <x:c r="G35" s="26" t="n">
        <x:v>1140.327819</x:v>
      </x:c>
      <x:c r="H35" s="26" t="n">
        <x:v>1025.371707</x:v>
      </x:c>
      <x:c r="I35" s="9" t="s">
        <x:v>98</x:v>
      </x:c>
    </x:row>
    <x:row r="36" ht="15" hidden="0">
      <x:c r="A36" s="2" t="s">
        <x:v>327</x:v>
      </x:c>
      <x:c r="B36" s="19" t="s">
        <x:v>328</x:v>
      </x:c>
      <x:c r="C36" s="28" t="n">
        <x:f aca="0">C30+C31+C32+C33+C34+C35</x:f>
        <x:v>5237.623779</x:v>
      </x:c>
      <x:c r="D36" s="28" t="n">
        <x:f aca="0">D30+D31+D32+D33+D34+D35</x:f>
        <x:v>9848.798713999999</x:v>
      </x:c>
      <x:c r="E36" s="28" t="n">
        <x:f aca="0">E30+E31+E32+E33+E34+E35</x:f>
        <x:v>17775.831446999997</x:v>
      </x:c>
      <x:c r="F36" s="28" t="n">
        <x:f aca="0">F30+F31+F32+F33+F34+F35</x:f>
        <x:v>22913.376649</x:v>
      </x:c>
      <x:c r="G36" s="28" t="n">
        <x:f aca="0">G30+G31+G32+G33+G34+G35</x:f>
        <x:v>32212.396773</x:v>
      </x:c>
      <x:c r="H36" s="28" t="n">
        <x:f aca="0">H30+H31+H32+H33+H34+H35</x:f>
        <x:v>38614.792494</x:v>
      </x:c>
      <x:c r="I36" s="9" t="s">
        <x:v>98</x:v>
      </x:c>
    </x:row>
    <x:row r="37" ht="15" hidden="0">
      <x:c r="A37" s="2" t="s">
        <x:v>329</x:v>
      </x:c>
      <x:c r="B37" s="19" t="s">
        <x:v>330</x:v>
      </x:c>
      <x:c r="C37" s="28" t="n">
        <x:f aca="0">C28+C36</x:f>
        <x:v>31756.667306999996</x:v>
      </x:c>
      <x:c r="D37" s="28" t="n">
        <x:f aca="0">D28+D36</x:f>
        <x:v>36086.921437000005</x:v>
      </x:c>
      <x:c r="E37" s="28" t="n">
        <x:f aca="0">E28+E36</x:f>
        <x:v>43350.667843999996</x:v>
      </x:c>
      <x:c r="F37" s="28" t="n">
        <x:f aca="0">F28+F36</x:f>
        <x:v>49530.075545</x:v>
      </x:c>
      <x:c r="G37" s="28" t="n">
        <x:f aca="0">G28+G36</x:f>
        <x:v>58843.295197</x:v>
      </x:c>
      <x:c r="H37" s="28" t="n">
        <x:f aca="0">H28+H36</x:f>
        <x:v>66794.311768</x:v>
      </x:c>
      <x:c r="I37" s="9" t="s">
        <x:v>98</x:v>
      </x:c>
    </x:row>
    <x:row r="38" ht="15" hidden="0">
      <x:c r="A38" s="24" t="s">
        <x:v>331</x:v>
      </x:c>
      <x:c r="B38" s="25"/>
      <x:c r="C38" s="25"/>
      <x:c r="D38" s="25"/>
      <x:c r="E38" s="25"/>
      <x:c r="F38" s="25"/>
      <x:c r="G38" s="25"/>
      <x:c r="H38" s="25"/>
      <x:c r="I38" s="25"/>
      <x:c r="J38" s="25"/>
    </x:row>
    <x:row r="39" ht="15" hidden="0">
      <x:c r="A39" t="s">
        <x:v>332</x:v>
      </x:c>
      <x:c r="B39" s="19" t="s">
        <x:v>333</x:v>
      </x:c>
      <x:c r="C39" s="26" t="n">
        <x:v>2008.61297</x:v>
      </x:c>
      <x:c r="D39" s="26" t="n">
        <x:v>2008.61297</x:v>
      </x:c>
      <x:c r="E39" s="26" t="n">
        <x:v>2008.61297</x:v>
      </x:c>
      <x:c r="F39" s="26" t="n">
        <x:v>2008.61297</x:v>
      </x:c>
      <x:c r="G39" s="26" t="n">
        <x:v>1958.61297</x:v>
      </x:c>
      <x:c r="H39" s="26" t="n">
        <x:v>1838.61297</x:v>
      </x:c>
      <x:c r="I39" s="9" t="s">
        <x:v>98</x:v>
      </x:c>
    </x:row>
    <x:row r="40" ht="15" hidden="0">
      <x:c r="A40" t="s">
        <x:v>334</x:v>
      </x:c>
      <x:c r="B40" s="19" t="s">
        <x:v>335</x:v>
      </x:c>
      <x:c r="C40" s="26" t="n">
        <x:v>16718.060354</x:v>
      </x:c>
      <x:c r="D40" s="26" t="n">
        <x:v>20214.926401</x:v>
      </x:c>
      <x:c r="E40" s="26" t="n">
        <x:v>25237.607261</x:v>
      </x:c>
      <x:c r="F40" s="26" t="n">
        <x:v>30601.432002</x:v>
      </x:c>
      <x:c r="G40" s="26" t="n">
        <x:v>39131.692321</x:v>
      </x:c>
      <x:c r="H40" s="26" t="n">
        <x:v>46116.581817</x:v>
      </x:c>
      <x:c r="I40" s="9" t="s">
        <x:v>98</x:v>
      </x:c>
    </x:row>
    <x:row r="41" ht="15" hidden="0">
      <x:c r="A41" s="2" t="s">
        <x:v>336</x:v>
      </x:c>
      <x:c r="B41" s="19" t="s">
        <x:v>337</x:v>
      </x:c>
      <x:c r="C41" s="28" t="n">
        <x:f aca="0">C39+C40</x:f>
        <x:v>18726.673324</x:v>
      </x:c>
      <x:c r="D41" s="28" t="n">
        <x:f aca="0">D39+D40</x:f>
        <x:v>22223.539371</x:v>
      </x:c>
      <x:c r="E41" s="28" t="n">
        <x:f aca="0">E39+E40</x:f>
        <x:v>27246.220231</x:v>
      </x:c>
      <x:c r="F41" s="28" t="n">
        <x:f aca="0">F39+F40</x:f>
        <x:v>32610.044972</x:v>
      </x:c>
      <x:c r="G41" s="28" t="n">
        <x:f aca="0">G39+G40</x:f>
        <x:v>41090.305291000004</x:v>
      </x:c>
      <x:c r="H41" s="28" t="n">
        <x:f aca="0">H39+H40</x:f>
        <x:v>47955.194787</x:v>
      </x:c>
      <x:c r="I41" s="9" t="s">
        <x:v>98</x:v>
      </x:c>
    </x:row>
    <x:row r="42" ht="15" hidden="0">
      <x:c r="A42" s="24" t="s">
        <x:v>338</x:v>
      </x:c>
      <x:c r="B42" s="25"/>
      <x:c r="C42" s="25"/>
      <x:c r="D42" s="25"/>
      <x:c r="E42" s="25"/>
      <x:c r="F42" s="25"/>
      <x:c r="G42" s="25"/>
      <x:c r="H42" s="25"/>
      <x:c r="I42" s="25"/>
      <x:c r="J42" s="25"/>
    </x:row>
    <x:row r="43" ht="15" hidden="0">
      <x:c r="A43" t="s">
        <x:v>339</x:v>
      </x:c>
      <x:c r="B43" s="19" t="s">
        <x:v>340</x:v>
      </x:c>
      <x:c r="C43" s="26" t="n">
        <x:v>5439.226142</x:v>
      </x:c>
      <x:c r="D43" s="26" t="n">
        <x:v>4405.765306</x:v>
      </x:c>
      <x:c r="E43" s="26" t="n">
        <x:v>3179.400118</x:v>
      </x:c>
      <x:c r="F43" s="26" t="n">
        <x:v>2149.017375</x:v>
      </x:c>
      <x:c r="G43" s="26" t="n">
        <x:v>1118.642478</x:v>
      </x:c>
      <x:c r="H43" s="26" t="n">
        <x:v>1448.977799</x:v>
      </x:c>
      <x:c r="I43" s="9" t="s">
        <x:v>98</x:v>
      </x:c>
    </x:row>
    <x:row r="44" ht="15" hidden="0">
      <x:c r="A44" t="s">
        <x:v>341</x:v>
      </x:c>
      <x:c r="B44" s="19" t="s">
        <x:v>342</x:v>
      </x:c>
      <x:c r="C44" s="26" t="n">
        <x:v>0</x:v>
      </x:c>
      <x:c r="D44" s="26" t="n">
        <x:v>0</x:v>
      </x:c>
      <x:c r="E44" s="26" t="n">
        <x:v>0</x:v>
      </x:c>
      <x:c r="F44" s="26" t="n">
        <x:v>0</x:v>
      </x:c>
      <x:c r="G44" s="26" t="n">
        <x:v>0</x:v>
      </x:c>
      <x:c r="H44" s="26" t="n">
        <x:v>0</x:v>
      </x:c>
      <x:c r="I44" s="9" t="s">
        <x:v>98</x:v>
      </x:c>
    </x:row>
    <x:row r="45" ht="15" hidden="0">
      <x:c r="A45" t="s">
        <x:v>343</x:v>
      </x:c>
      <x:c r="B45" s="19" t="s">
        <x:v>344</x:v>
      </x:c>
      <x:c r="C45" s="26" t="n">
        <x:v>0</x:v>
      </x:c>
      <x:c r="D45" s="26" t="n">
        <x:v>1.328937</x:v>
      </x:c>
      <x:c r="E45" s="26" t="n">
        <x:v>0</x:v>
      </x:c>
      <x:c r="F45" s="26" t="n">
        <x:v>0</x:v>
      </x:c>
      <x:c r="G45" s="26" t="n">
        <x:v>0</x:v>
      </x:c>
      <x:c r="H45" s="26" t="n">
        <x:v>0</x:v>
      </x:c>
      <x:c r="I45" s="9" t="s">
        <x:v>98</x:v>
      </x:c>
    </x:row>
    <x:row r="46" ht="15" hidden="0">
      <x:c r="A46" t="s">
        <x:v>345</x:v>
      </x:c>
      <x:c r="B46" s="19" t="s">
        <x:v>346</x:v>
      </x:c>
      <x:c r="C46" s="26" t="n">
        <x:v>1287.942113</x:v>
      </x:c>
      <x:c r="D46" s="26" t="n">
        <x:v>1857.649347</x:v>
      </x:c>
      <x:c r="E46" s="26" t="n">
        <x:v>3407.373618</x:v>
      </x:c>
      <x:c r="F46" s="26" t="n">
        <x:v>4823.158446</x:v>
      </x:c>
      <x:c r="G46" s="26" t="n">
        <x:v>5505.823994</x:v>
      </x:c>
      <x:c r="H46" s="26" t="n">
        <x:v>5688.11604</x:v>
      </x:c>
      <x:c r="I46" s="9" t="s">
        <x:v>98</x:v>
      </x:c>
    </x:row>
    <x:row r="47" ht="15" hidden="0">
      <x:c r="A47" t="s">
        <x:v>347</x:v>
      </x:c>
      <x:c r="B47" s="19" t="s">
        <x:v>348</x:v>
      </x:c>
      <x:c r="C47" s="26" t="n">
        <x:v>23.277456</x:v>
      </x:c>
      <x:c r="D47" s="26" t="n">
        <x:v>26.394536</x:v>
      </x:c>
      <x:c r="E47" s="26" t="n">
        <x:v>29.683198</x:v>
      </x:c>
      <x:c r="F47" s="26" t="n">
        <x:v>35.383341</x:v>
      </x:c>
      <x:c r="G47" s="26" t="n">
        <x:v>32.887203</x:v>
      </x:c>
      <x:c r="H47" s="26" t="n">
        <x:v>40.322031</x:v>
      </x:c>
      <x:c r="I47" s="9" t="s">
        <x:v>98</x:v>
      </x:c>
    </x:row>
    <x:row r="48" ht="15" hidden="0">
      <x:c r="A48" s="2" t="s">
        <x:v>349</x:v>
      </x:c>
      <x:c r="B48" s="19" t="s">
        <x:v>350</x:v>
      </x:c>
      <x:c r="C48" s="28" t="n">
        <x:f aca="0">C43+C44+C45+C46+C47</x:f>
        <x:v>6750.445711</x:v>
      </x:c>
      <x:c r="D48" s="28" t="n">
        <x:f aca="0">D43+D44+D45+D46+D47</x:f>
        <x:v>6291.138126</x:v>
      </x:c>
      <x:c r="E48" s="28" t="n">
        <x:f aca="0">E43+E44+E45+E46+E47</x:f>
        <x:v>6616.456934</x:v>
      </x:c>
      <x:c r="F48" s="28" t="n">
        <x:f aca="0">F43+F44+F45+F46+F47</x:f>
        <x:v>7007.5591620000005</x:v>
      </x:c>
      <x:c r="G48" s="28" t="n">
        <x:f aca="0">G43+G44+G45+G46+G47</x:f>
        <x:v>6657.353675</x:v>
      </x:c>
      <x:c r="H48" s="28" t="n">
        <x:f aca="0">H43+H44+H45+H46+H47</x:f>
        <x:v>7177.41587</x:v>
      </x:c>
      <x:c r="I48" s="9" t="s">
        <x:v>98</x:v>
      </x:c>
    </x:row>
    <x:row r="49" ht="15" hidden="0">
      <x:c r="A49" s="24" t="s">
        <x:v>351</x:v>
      </x:c>
      <x:c r="B49" s="25"/>
      <x:c r="C49" s="25"/>
      <x:c r="D49" s="25"/>
      <x:c r="E49" s="25"/>
      <x:c r="F49" s="25"/>
      <x:c r="G49" s="25"/>
      <x:c r="H49" s="25"/>
      <x:c r="I49" s="25"/>
      <x:c r="J49" s="25"/>
    </x:row>
    <x:row r="50" ht="15" hidden="0">
      <x:c r="A50" t="s">
        <x:v>352</x:v>
      </x:c>
      <x:c r="B50" s="19" t="s">
        <x:v>353</x:v>
      </x:c>
      <x:c r="C50" s="26" t="n">
        <x:v>4293.205395</x:v>
      </x:c>
      <x:c r="D50" s="26" t="n">
        <x:v>4985.385529</x:v>
      </x:c>
      <x:c r="E50" s="26" t="n">
        <x:v>5525.221208</x:v>
      </x:c>
      <x:c r="F50" s="26" t="n">
        <x:v>5307.075353</x:v>
      </x:c>
      <x:c r="G50" s="26" t="n">
        <x:v>6223.153321</x:v>
      </x:c>
      <x:c r="H50" s="26" t="n">
        <x:v>7710.012398</x:v>
      </x:c>
      <x:c r="I50" s="9" t="s">
        <x:v>98</x:v>
      </x:c>
    </x:row>
    <x:row r="51" ht="15" hidden="0">
      <x:c r="A51" t="s">
        <x:v>354</x:v>
      </x:c>
      <x:c r="B51" s="19" t="s">
        <x:v>355</x:v>
      </x:c>
      <x:c r="C51" s="26" t="n">
        <x:v>1091.300971</x:v>
      </x:c>
      <x:c r="D51" s="26" t="n">
        <x:v>1555.157545</x:v>
      </x:c>
      <x:c r="E51" s="26" t="n">
        <x:v>1281.559797</x:v>
      </x:c>
      <x:c r="F51" s="26" t="n">
        <x:v>674.674284</x:v>
      </x:c>
      <x:c r="G51" s="26" t="n">
        <x:v>1781.446871</x:v>
      </x:c>
      <x:c r="H51" s="26" t="n">
        <x:v>2107.135975</x:v>
      </x:c>
      <x:c r="I51" s="9" t="s">
        <x:v>98</x:v>
      </x:c>
    </x:row>
    <x:row r="52" ht="15" hidden="0">
      <x:c r="A52" t="s">
        <x:v>356</x:v>
      </x:c>
      <x:c r="B52" s="19" t="s">
        <x:v>357</x:v>
      </x:c>
      <x:c r="C52" s="26" t="n">
        <x:v>126.582689</x:v>
      </x:c>
      <x:c r="D52" s="26" t="n">
        <x:v>137.0915</x:v>
      </x:c>
      <x:c r="E52" s="26" t="n">
        <x:v>264.984408</x:v>
      </x:c>
      <x:c r="F52" s="26" t="n">
        <x:v>253.135945</x:v>
      </x:c>
      <x:c r="G52" s="26" t="n">
        <x:v>113.418606</x:v>
      </x:c>
      <x:c r="H52" s="26" t="n">
        <x:v>144.300907</x:v>
      </x:c>
      <x:c r="I52" s="9" t="s">
        <x:v>98</x:v>
      </x:c>
    </x:row>
    <x:row r="53" ht="15" hidden="0">
      <x:c r="A53" t="s">
        <x:v>358</x:v>
      </x:c>
      <x:c r="B53" s="19" t="s">
        <x:v>359</x:v>
      </x:c>
      <x:c r="C53" s="26" t="n">
        <x:v>208.766756</x:v>
      </x:c>
      <x:c r="D53" s="26" t="n">
        <x:v>122.613973</x:v>
      </x:c>
      <x:c r="E53" s="26" t="n">
        <x:v>142.171993</x:v>
      </x:c>
      <x:c r="F53" s="26" t="n">
        <x:v>192.67479</x:v>
      </x:c>
      <x:c r="G53" s="26" t="n">
        <x:v>0</x:v>
      </x:c>
      <x:c r="H53" s="26" t="n">
        <x:v>0</x:v>
      </x:c>
      <x:c r="I53" s="9" t="s">
        <x:v>98</x:v>
      </x:c>
    </x:row>
    <x:row r="54" ht="15" hidden="0">
      <x:c r="A54" t="s">
        <x:v>360</x:v>
      </x:c>
      <x:c r="B54" s="19" t="s">
        <x:v>361</x:v>
      </x:c>
      <x:c r="C54" s="26" t="n">
        <x:v>1301.6091</x:v>
      </x:c>
      <x:c r="D54" s="26" t="n">
        <x:v>498</x:v>
      </x:c>
      <x:c r="E54" s="26" t="n">
        <x:v>0</x:v>
      </x:c>
      <x:c r="F54" s="26" t="n">
        <x:v>0</x:v>
      </x:c>
      <x:c r="G54" s="26" t="n">
        <x:v>0.061253</x:v>
      </x:c>
      <x:c r="H54" s="26" t="n">
        <x:v>3.704884</x:v>
      </x:c>
      <x:c r="I54" s="9" t="s">
        <x:v>98</x:v>
      </x:c>
    </x:row>
    <x:row r="55" ht="15" hidden="0">
      <x:c r="A55" t="s">
        <x:v>362</x:v>
      </x:c>
      <x:c r="B55" s="19" t="s">
        <x:v>363</x:v>
      </x:c>
      <x:c r="C55" s="26" t="n">
        <x:v>248.496322</x:v>
      </x:c>
      <x:c r="D55" s="26" t="n">
        <x:v>1147.020843</x:v>
      </x:c>
      <x:c r="E55" s="26" t="n">
        <x:v>1071.912356</x:v>
      </x:c>
      <x:c r="F55" s="26" t="n">
        <x:v>1034.355873</x:v>
      </x:c>
      <x:c r="G55" s="26" t="n">
        <x:v>1169.295643</x:v>
      </x:c>
      <x:c r="H55" s="26" t="n">
        <x:v>837.359258</x:v>
      </x:c>
      <x:c r="I55" s="9" t="s">
        <x:v>98</x:v>
      </x:c>
    </x:row>
    <x:row r="56" ht="15" hidden="0">
      <x:c r="A56" t="s">
        <x:v>364</x:v>
      </x:c>
      <x:c r="B56" s="19" t="s">
        <x:v>365</x:v>
      </x:c>
      <x:c r="C56" s="26" t="n">
        <x:v>0</x:v>
      </x:c>
      <x:c r="D56" s="26" t="n">
        <x:v>0</x:v>
      </x:c>
      <x:c r="E56" s="26" t="n">
        <x:v>0</x:v>
      </x:c>
      <x:c r="F56" s="26" t="n">
        <x:v>0</x:v>
      </x:c>
      <x:c r="G56" s="26" t="n">
        <x:v>0</x:v>
      </x:c>
      <x:c r="H56" s="26" t="n">
        <x:v>0</x:v>
      </x:c>
      <x:c r="I56" s="9" t="s">
        <x:v>98</x:v>
      </x:c>
    </x:row>
    <x:row r="57" ht="15" hidden="0">
      <x:c r="A57" t="s">
        <x:v>366</x:v>
      </x:c>
      <x:c r="B57" s="19" t="s">
        <x:v>367</x:v>
      </x:c>
      <x:c r="C57" s="26" t="n">
        <x:v>0</x:v>
      </x:c>
      <x:c r="D57" s="26" t="n">
        <x:v>0</x:v>
      </x:c>
      <x:c r="E57" s="26" t="n">
        <x:v>0</x:v>
      </x:c>
      <x:c r="F57" s="26" t="n">
        <x:v>0</x:v>
      </x:c>
      <x:c r="G57" s="26" t="n">
        <x:v>0</x:v>
      </x:c>
      <x:c r="H57" s="26" t="n">
        <x:v>0</x:v>
      </x:c>
      <x:c r="I57" s="9" t="s">
        <x:v>98</x:v>
      </x:c>
    </x:row>
    <x:row r="58" ht="15" hidden="0">
      <x:c r="A58" t="s">
        <x:v>368</x:v>
      </x:c>
      <x:c r="B58" s="19" t="s">
        <x:v>369</x:v>
      </x:c>
      <x:c r="C58" s="26" t="n">
        <x:v>48.014348</x:v>
      </x:c>
      <x:c r="D58" s="26" t="n">
        <x:v>46.197552</x:v>
      </x:c>
      <x:c r="E58" s="26" t="n">
        <x:v>45.648049</x:v>
      </x:c>
      <x:c r="F58" s="26" t="n">
        <x:v>45.47522</x:v>
      </x:c>
      <x:c r="G58" s="26" t="n">
        <x:v>45.338931</x:v>
      </x:c>
      <x:c r="H58" s="26" t="n">
        <x:v>42.181257</x:v>
      </x:c>
      <x:c r="I58" s="9" t="s">
        <x:v>98</x:v>
      </x:c>
    </x:row>
    <x:row r="59" ht="15" hidden="0">
      <x:c r="A59" t="s">
        <x:v>370</x:v>
      </x:c>
      <x:c r="B59" s="19" t="s">
        <x:v>371</x:v>
      </x:c>
      <x:c r="C59" s="26" t="n">
        <x:v>52.873661</x:v>
      </x:c>
      <x:c r="D59" s="26" t="n">
        <x:v>635.934543</x:v>
      </x:c>
      <x:c r="E59" s="26" t="n">
        <x:v>2438.052665</x:v>
      </x:c>
      <x:c r="F59" s="26" t="n">
        <x:v>3079.75423</x:v>
      </x:c>
      <x:c r="G59" s="26" t="n">
        <x:v>3544.368477</x:v>
      </x:c>
      <x:c r="H59" s="26" t="n">
        <x:v>2924.142407</x:v>
      </x:c>
      <x:c r="I59" s="9" t="s">
        <x:v>98</x:v>
      </x:c>
    </x:row>
    <x:row r="60" ht="15" hidden="0">
      <x:c r="A60" t="s">
        <x:v>372</x:v>
      </x:c>
      <x:c r="B60" s="19" t="s">
        <x:v>373</x:v>
      </x:c>
      <x:c r="C60" s="26" t="n">
        <x:v>0</x:v>
      </x:c>
      <x:c r="D60" s="26" t="n">
        <x:v>0</x:v>
      </x:c>
      <x:c r="E60" s="26" t="n">
        <x:v>0</x:v>
      </x:c>
      <x:c r="F60" s="26" t="n">
        <x:v>0</x:v>
      </x:c>
      <x:c r="G60" s="26" t="n">
        <x:v>0</x:v>
      </x:c>
      <x:c r="H60" s="26" t="n">
        <x:v>0</x:v>
      </x:c>
      <x:c r="I60" s="9" t="s">
        <x:v>98</x:v>
      </x:c>
    </x:row>
    <x:row r="61" ht="15" hidden="0">
      <x:c r="A61" s="2" t="s">
        <x:v>374</x:v>
      </x:c>
      <x:c r="B61" s="19" t="s">
        <x:v>375</x:v>
      </x:c>
      <x:c r="C61" s="28" t="n">
        <x:f aca="0">C50+C52+C53+C54+C55+C56+C57+C58+C59+C60</x:f>
        <x:v>6279.548270999999</x:v>
      </x:c>
      <x:c r="D61" s="28" t="n">
        <x:f aca="0">D50+D52+D53+D54+D55+D56+D57+D58+D59+D60</x:f>
        <x:v>7572.24394</x:v>
      </x:c>
      <x:c r="E61" s="28" t="n">
        <x:f aca="0">E50+E52+E53+E54+E55+E56+E57+E58+E59+E60</x:f>
        <x:v>9487.990679</x:v>
      </x:c>
      <x:c r="F61" s="28" t="n">
        <x:f aca="0">F50+F52+F53+F54+F55+F56+F57+F58+F59+F60</x:f>
        <x:v>9912.471411</x:v>
      </x:c>
      <x:c r="G61" s="28" t="n">
        <x:f aca="0">G50+G52+G53+G54+G55+G56+G57+G58+G59+G60</x:f>
        <x:v>11095.636231</x:v>
      </x:c>
      <x:c r="H61" s="28" t="n">
        <x:f aca="0">H50+H52+H53+H54+H55+H56+H57+H58+H59+H60</x:f>
        <x:v>11661.701110999998</x:v>
      </x:c>
      <x:c r="I61" s="9" t="s">
        <x:v>98</x:v>
      </x:c>
      <x:c r="J61" s="9" t="s">
        <x:v>376</x:v>
      </x:c>
    </x:row>
    <x:row r="62" ht="15" hidden="0">
      <x:c r="A62" s="2" t="s">
        <x:v>377</x:v>
      </x:c>
      <x:c r="B62" s="19" t="s">
        <x:v>378</x:v>
      </x:c>
      <x:c r="C62" s="28" t="n">
        <x:f aca="0">C48+C61</x:f>
        <x:v>13029.993982</x:v>
      </x:c>
      <x:c r="D62" s="28" t="n">
        <x:f aca="0">D48+D61</x:f>
        <x:v>13863.382066</x:v>
      </x:c>
      <x:c r="E62" s="28" t="n">
        <x:f aca="0">E48+E61</x:f>
        <x:v>16104.447613</x:v>
      </x:c>
      <x:c r="F62" s="28" t="n">
        <x:f aca="0">F48+F61</x:f>
        <x:v>16920.030573</x:v>
      </x:c>
      <x:c r="G62" s="28" t="n">
        <x:f aca="0">G48+G61</x:f>
        <x:v>17752.989906000003</x:v>
      </x:c>
      <x:c r="H62" s="28" t="n">
        <x:f aca="0">H48+H61</x:f>
        <x:v>18839.116981</x:v>
      </x:c>
      <x:c r="I62" s="9" t="s">
        <x:v>98</x:v>
      </x:c>
    </x:row>
    <x:row r="63" ht="15" hidden="0">
      <x:c r="A63" s="2" t="s">
        <x:v>379</x:v>
      </x:c>
      <x:c r="B63" s="19" t="s">
        <x:v>380</x:v>
      </x:c>
      <x:c r="C63" s="28" t="n">
        <x:f aca="0">C41+C62</x:f>
        <x:v>31756.667306</x:v>
      </x:c>
      <x:c r="D63" s="28" t="n">
        <x:f aca="0">D41+D62</x:f>
        <x:v>36086.921437</x:v>
      </x:c>
      <x:c r="E63" s="28" t="n">
        <x:f aca="0">E41+E62</x:f>
        <x:v>43350.667843999996</x:v>
      </x:c>
      <x:c r="F63" s="28" t="n">
        <x:f aca="0">F41+F62</x:f>
        <x:v>49530.075545</x:v>
      </x:c>
      <x:c r="G63" s="28" t="n">
        <x:f aca="0">G41+G62</x:f>
        <x:v>58843.29519700001</x:v>
      </x:c>
      <x:c r="H63" s="28" t="n">
        <x:f aca="0">H41+H62</x:f>
        <x:v>66794.311768</x:v>
      </x:c>
      <x:c r="I63" s="9" t="s">
        <x:v>98</x:v>
      </x:c>
    </x:row>
    <x:row r="64" ht="15" hidden="0">
      <x:c r="A64" s="24" t="s">
        <x:v>381</x:v>
      </x:c>
      <x:c r="B64" s="25"/>
      <x:c r="C64" s="25"/>
      <x:c r="D64" s="25"/>
      <x:c r="E64" s="25"/>
      <x:c r="F64" s="25"/>
      <x:c r="G64" s="25"/>
      <x:c r="H64" s="25"/>
      <x:c r="I64" s="25"/>
      <x:c r="J64" s="25"/>
    </x:row>
    <x:row r="65" ht="15" hidden="0">
      <x:c r="A65" t="s">
        <x:v>382</x:v>
      </x:c>
      <x:c r="B65" s="19" t="s">
        <x:v>383</x:v>
      </x:c>
      <x:c r="C65" s="27" t="n">
        <x:f aca="0">C30+C31</x:f>
        <x:v>3266.18066</x:v>
      </x:c>
      <x:c r="D65" s="27" t="n">
        <x:f aca="0">D30+D31</x:f>
        <x:v>4183.545367</x:v>
      </x:c>
      <x:c r="E65" s="27" t="n">
        <x:f aca="0">E30+E31</x:f>
        <x:v>5670.986418</x:v>
      </x:c>
      <x:c r="F65" s="27" t="n">
        <x:f aca="0">F30+F31</x:f>
        <x:v>7655.991318</x:v>
      </x:c>
      <x:c r="G65" s="27" t="n">
        <x:f aca="0">G30+G31</x:f>
        <x:v>7579.425926</x:v>
      </x:c>
      <x:c r="H65" s="27" t="n">
        <x:f aca="0">H30+H31</x:f>
        <x:v>7504.868027</x:v>
      </x:c>
      <x:c r="I65" s="9" t="s">
        <x:v>98</x:v>
      </x:c>
    </x:row>
    <x:row r="66" ht="15" hidden="0">
      <x:c r="A66" t="s">
        <x:v>384</x:v>
      </x:c>
      <x:c r="B66" s="19" t="s">
        <x:v>385</x:v>
      </x:c>
      <x:c r="C66" s="27" t="n">
        <x:f aca="0">C43+C44+C54+C55+C56</x:f>
        <x:v>6989.331564</x:v>
      </x:c>
      <x:c r="D66" s="27" t="n">
        <x:f aca="0">D43+D44+D54+D55+D56</x:f>
        <x:v>6050.7861490000005</x:v>
      </x:c>
      <x:c r="E66" s="27" t="n">
        <x:f aca="0">E43+E44+E54+E55+E56</x:f>
        <x:v>4251.312474</x:v>
      </x:c>
      <x:c r="F66" s="27" t="n">
        <x:f aca="0">F43+F44+F54+F55+F56</x:f>
        <x:v>3183.373248</x:v>
      </x:c>
      <x:c r="G66" s="27" t="n">
        <x:f aca="0">G43+G44+G54+G55+G56</x:f>
        <x:v>2287.999374</x:v>
      </x:c>
      <x:c r="H66" s="27" t="n">
        <x:f aca="0">H43+H44+H54+H55+H56</x:f>
        <x:v>2290.041941</x:v>
      </x:c>
      <x:c r="I66" s="9" t="s">
        <x:v>98</x:v>
      </x:c>
    </x:row>
    <x:row r="67" ht="15" hidden="0">
      <x:c r="A67" t="s">
        <x:v>386</x:v>
      </x:c>
      <x:c r="B67" s="19" t="s">
        <x:v>387</x:v>
      </x:c>
      <x:c r="C67" s="27" t="n">
        <x:f aca="0">C43+C44</x:f>
        <x:v>5439.226142</x:v>
      </x:c>
      <x:c r="D67" s="27" t="n">
        <x:f aca="0">D43+D44</x:f>
        <x:v>4405.765306</x:v>
      </x:c>
      <x:c r="E67" s="27" t="n">
        <x:f aca="0">E43+E44</x:f>
        <x:v>3179.400118</x:v>
      </x:c>
      <x:c r="F67" s="27" t="n">
        <x:f aca="0">F43+F44</x:f>
        <x:v>2149.017375</x:v>
      </x:c>
      <x:c r="G67" s="27" t="n">
        <x:f aca="0">G43+G44</x:f>
        <x:v>1118.642478</x:v>
      </x:c>
      <x:c r="H67" s="27" t="n">
        <x:f aca="0">H43+H44</x:f>
        <x:v>1448.977799</x:v>
      </x:c>
      <x:c r="I67" s="9" t="s">
        <x:v>98</x:v>
      </x:c>
    </x:row>
    <x:row r="68" ht="15" hidden="0">
      <x:c r="A68" t="s">
        <x:v>388</x:v>
      </x:c>
      <x:c r="B68" s="19" t="s">
        <x:v>389</x:v>
      </x:c>
      <x:c r="C68" s="27" t="n">
        <x:f aca="0">C66-C34</x:f>
        <x:v>6097.725477</x:v>
      </x:c>
      <x:c r="D68" s="27" t="n">
        <x:f aca="0">D66-D34</x:f>
        <x:v>4853.0567980000005</x:v>
      </x:c>
      <x:c r="E68" s="27" t="n">
        <x:f aca="0">E66-E34</x:f>
        <x:v>3770.546842</x:v>
      </x:c>
      <x:c r="F68" s="27" t="n">
        <x:f aca="0">F66-F34</x:f>
        <x:v>2249.8360549999998</x:v>
      </x:c>
      <x:c r="G68" s="27" t="n">
        <x:f aca="0">G66-G34</x:f>
        <x:v>1185.350202</x:v>
      </x:c>
      <x:c r="H68" s="27" t="n">
        <x:f aca="0">H66-H34</x:f>
        <x:v>839.3392179999998</x:v>
      </x:c>
      <x:c r="I68" s="9" t="s">
        <x:v>98</x:v>
      </x:c>
    </x:row>
    <x:row r="69" ht="15" hidden="0">
      <x:c r="A69" t="s">
        <x:v>390</x:v>
      </x:c>
      <x:c r="B69" s="19" t="s">
        <x:v>391</x:v>
      </x:c>
      <x:c r="C69" s="27" t="n">
        <x:f aca="0">C66-C34-C33</x:f>
        <x:v>5937.5948769999995</x:v>
      </x:c>
      <x:c r="D69" s="27" t="n">
        <x:f aca="0">D66-D34-D33</x:f>
        <x:v>1853.5603750000005</x:v>
      </x:c>
      <x:c r="E69" s="27" t="n">
        <x:f aca="0">E66-E34-E33</x:f>
        <x:v>-6353.548851</x:v>
      </x:c>
      <x:c r="F69" s="27" t="n">
        <x:f aca="0">F66-F34-F33</x:f>
        <x:v>-10085.237761</x:v>
      </x:c>
      <x:c r="G69" s="27" t="n">
        <x:f aca="0">G66-G34-G33</x:f>
        <x:v>-19094.395752</x:v>
      </x:c>
      <x:c r="H69" s="27" t="n">
        <x:f aca="0">H66-H34-H33</x:f>
        <x:v>-26102.292987</x:v>
      </x:c>
      <x:c r="I69" s="9" t="s">
        <x:v>98</x:v>
      </x:c>
    </x:row>
    <x:row r="70" ht="15" hidden="0">
      <x:c r="A70" t="s">
        <x:v>392</x:v>
      </x:c>
      <x:c r="B70" s="19" t="s">
        <x:v>393</x:v>
      </x:c>
      <x:c r="C70" s="27" t="n">
        <x:f aca="0">C66+C41</x:f>
        <x:v>25716.004888</x:v>
      </x:c>
      <x:c r="D70" s="27" t="n">
        <x:f aca="0">D66+D41</x:f>
        <x:v>28274.32552</x:v>
      </x:c>
      <x:c r="E70" s="27" t="n">
        <x:f aca="0">E66+E41</x:f>
        <x:v>31497.532704999998</x:v>
      </x:c>
      <x:c r="F70" s="27" t="n">
        <x:f aca="0">F66+F41</x:f>
        <x:v>35793.41822</x:v>
      </x:c>
      <x:c r="G70" s="27" t="n">
        <x:f aca="0">G66+G41</x:f>
        <x:v>43378.304665</x:v>
      </x:c>
      <x:c r="H70" s="27" t="n">
        <x:f aca="0">H66+H41</x:f>
        <x:v>50245.236728</x:v>
      </x:c>
      <x:c r="I70" s="9" t="s">
        <x:v>98</x:v>
      </x:c>
    </x:row>
    <x:row r="71" ht="15" hidden="0">
      <x:c r="A71" t="s">
        <x:v>394</x:v>
      </x:c>
      <x:c r="B71" s="19" t="s">
        <x:v>395</x:v>
      </x:c>
      <x:c r="C71" s="27" t="n">
        <x:f aca="0">C37-C61</x:f>
        <x:v>25477.119035999996</x:v>
      </x:c>
      <x:c r="D71" s="27" t="n">
        <x:f aca="0">D37-D61</x:f>
        <x:v>28514.677497000004</x:v>
      </x:c>
      <x:c r="E71" s="27" t="n">
        <x:f aca="0">E37-E61</x:f>
        <x:v>33862.677164999994</x:v>
      </x:c>
      <x:c r="F71" s="27" t="n">
        <x:f aca="0">F37-F61</x:f>
        <x:v>39617.604134</x:v>
      </x:c>
      <x:c r="G71" s="27" t="n">
        <x:f aca="0">G37-G61</x:f>
        <x:v>47747.658966</x:v>
      </x:c>
      <x:c r="H71" s="27" t="n">
        <x:f aca="0">H37-H61</x:f>
        <x:v>55132.610657</x:v>
      </x:c>
      <x:c r="I71" s="9" t="s">
        <x:v>98</x:v>
      </x:c>
    </x:row>
    <x:row r="72" ht="15" hidden="0">
      <x:c r="A72" t="s">
        <x:v>396</x:v>
      </x:c>
      <x:c r="B72" s="19" t="s">
        <x:v>397</x:v>
      </x:c>
      <x:c r="C72" s="27" t="n">
        <x:f aca="0">C36-C34-C33</x:f>
        <x:v>4185.887091999999</x:v>
      </x:c>
      <x:c r="D72" s="27" t="n">
        <x:f aca="0">D36-D34-D33</x:f>
        <x:v>5651.572939999998</x:v>
      </x:c>
      <x:c r="E72" s="27" t="n">
        <x:f aca="0">E36-E34-E33</x:f>
        <x:v>7170.970121999999</x:v>
      </x:c>
      <x:c r="F72" s="27" t="n">
        <x:f aca="0">F36-F34-F33</x:f>
        <x:v>9644.765640000001</x:v>
      </x:c>
      <x:c r="G72" s="27" t="n">
        <x:f aca="0">G36-G34-G33</x:f>
        <x:v>10830.001646999997</x:v>
      </x:c>
      <x:c r="H72" s="27" t="n">
        <x:f aca="0">H36-H34-H33</x:f>
        <x:v>10222.457565999997</x:v>
      </x:c>
      <x:c r="I72" s="9" t="s">
        <x:v>98</x:v>
      </x:c>
    </x:row>
    <x:row r="73" ht="15" hidden="0">
      <x:c r="A73" t="s">
        <x:v>398</x:v>
      </x:c>
      <x:c r="B73" s="19" t="s">
        <x:v>399</x:v>
      </x:c>
      <x:c r="C73" s="27" t="n">
        <x:f aca="0">C61-C54-C55-C56-C57-C53-C58</x:f>
        <x:v>4472.661744999999</x:v>
      </x:c>
      <x:c r="D73" s="27" t="n">
        <x:f aca="0">D61-D54-D55-D56-D57-D53-D58</x:f>
        <x:v>5758.411572</x:v>
      </x:c>
      <x:c r="E73" s="27" t="n">
        <x:f aca="0">E61-E54-E55-E56-E57-E53-E58</x:f>
        <x:v>8228.258281</x:v>
      </x:c>
      <x:c r="F73" s="27" t="n">
        <x:f aca="0">F61-F54-F55-F56-F57-F53-F58</x:f>
        <x:v>8639.965528</x:v>
      </x:c>
      <x:c r="G73" s="27" t="n">
        <x:f aca="0">G61-G54-G55-G56-G57-G53-G58</x:f>
        <x:v>9880.940404</x:v>
      </x:c>
      <x:c r="H73" s="27" t="n">
        <x:f aca="0">H61-H54-H55-H56-H57-H53-H58</x:f>
        <x:v>10778.455711999997</x:v>
      </x:c>
      <x:c r="I73" s="9" t="s">
        <x:v>98</x:v>
      </x:c>
    </x:row>
    <x:row r="74" ht="15" hidden="0">
      <x:c r="A74" s="24" t="s">
        <x:v>400</x:v>
      </x:c>
      <x:c r="B74" s="25"/>
      <x:c r="C74" s="25"/>
      <x:c r="D74" s="25"/>
      <x:c r="E74" s="25"/>
      <x:c r="F74" s="25"/>
      <x:c r="G74" s="25"/>
      <x:c r="H74" s="25"/>
      <x:c r="I74" s="25"/>
      <x:c r="J74" s="25"/>
    </x:row>
    <x:row r="75" ht="15" hidden="0">
      <x:c r="A75" t="s">
        <x:v>401</x:v>
      </x:c>
      <x:c r="B75" s="19" t="s">
        <x:v>402</x:v>
      </x:c>
      <x:c r="C75" s="26" t="n">
        <x:v>31756.667306</x:v>
      </x:c>
      <x:c r="D75" s="26" t="n">
        <x:v>36086.921437</x:v>
      </x:c>
      <x:c r="E75" s="26" t="n">
        <x:v>43350.667844</x:v>
      </x:c>
      <x:c r="F75" s="26" t="n">
        <x:v>49530.075545</x:v>
      </x:c>
      <x:c r="G75" s="26" t="n">
        <x:v>58843.295197</x:v>
      </x:c>
      <x:c r="H75" s="26" t="n">
        <x:v>66794.311768</x:v>
      </x:c>
      <x:c r="I75" s="9" t="s">
        <x:v>98</x:v>
      </x:c>
    </x:row>
    <x:row r="76" ht="15" hidden="0">
      <x:c r="A76" t="s">
        <x:v>403</x:v>
      </x:c>
      <x:c r="B76" s="19" t="s">
        <x:v>404</x:v>
      </x:c>
      <x:c r="C76" s="26" t="n">
        <x:v>18726.673324</x:v>
      </x:c>
      <x:c r="D76" s="26" t="n">
        <x:v>22223.539371</x:v>
      </x:c>
      <x:c r="E76" s="26" t="n">
        <x:v>27246.220231</x:v>
      </x:c>
      <x:c r="F76" s="26" t="n">
        <x:v>32610.044972</x:v>
      </x:c>
      <x:c r="G76" s="26" t="n">
        <x:v>41090.305291</x:v>
      </x:c>
      <x:c r="H76" s="26" t="n">
        <x:v>47955.194787</x:v>
      </x:c>
      <x:c r="I76" s="9" t="s">
        <x:v>98</x:v>
      </x:c>
    </x:row>
    <x:row r="77" ht="15" hidden="0">
      <x:c r="A77" t="s">
        <x:v>405</x:v>
      </x:c>
      <x:c r="B77" s="19" t="s">
        <x:v>406</x:v>
      </x:c>
      <x:c r="C77" s="26" t="n">
        <x:v>5237.623778</x:v>
      </x:c>
      <x:c r="D77" s="26" t="n">
        <x:v>9848.798714</x:v>
      </x:c>
      <x:c r="E77" s="26" t="n">
        <x:v>17775.831447</x:v>
      </x:c>
      <x:c r="F77" s="26" t="n">
        <x:v>22913.376649</x:v>
      </x:c>
      <x:c r="G77" s="26" t="n">
        <x:v>32212.396773</x:v>
      </x:c>
      <x:c r="H77" s="26" t="n">
        <x:v>38614.792494</x:v>
      </x:c>
      <x:c r="I77" s="9" t="s">
        <x:v>98</x:v>
      </x:c>
    </x:row>
    <x:row r="78" ht="15" hidden="0">
      <x:c r="A78" t="s">
        <x:v>407</x:v>
      </x:c>
      <x:c r="B78" s="19" t="s">
        <x:v>408</x:v>
      </x:c>
      <x:c r="C78" s="26" t="n">
        <x:v>6279.548271</x:v>
      </x:c>
      <x:c r="D78" s="26" t="n">
        <x:v>7572.24394</x:v>
      </x:c>
      <x:c r="E78" s="26" t="n">
        <x:v>9487.990679</x:v>
      </x:c>
      <x:c r="F78" s="26" t="n">
        <x:v>9912.471411</x:v>
      </x:c>
      <x:c r="G78" s="26" t="n">
        <x:v>11095.636231</x:v>
      </x:c>
      <x:c r="H78" s="26" t="n">
        <x:v>11661.701111</x:v>
      </x:c>
      <x:c r="I78" s="9" t="s">
        <x:v>98</x:v>
      </x:c>
    </x:row>
    <x:row r="79" ht="15" hidden="0">
      <x:c r="A79" t="s">
        <x:v>409</x:v>
      </x:c>
      <x:c r="B79" s="19" t="s">
        <x:v>410</x:v>
      </x:c>
      <x:c r="C79" s="29" t="str">
        <x:f aca="0">IF(ABS(C37-C63)&lt;0.005,"PASS","FAIL")</x:f>
        <x:v>PASS</x:v>
      </x:c>
      <x:c r="D79" s="29" t="str">
        <x:f aca="0">IF(ABS(D37-D63)&lt;0.005,"PASS","FAIL")</x:f>
        <x:v>PASS</x:v>
      </x:c>
      <x:c r="E79" s="29" t="str">
        <x:f aca="0">IF(ABS(E37-E63)&lt;0.005,"PASS","FAIL")</x:f>
        <x:v>PASS</x:v>
      </x:c>
      <x:c r="F79" s="29" t="str">
        <x:f aca="0">IF(ABS(F37-F63)&lt;0.005,"PASS","FAIL")</x:f>
        <x:v>PASS</x:v>
      </x:c>
      <x:c r="G79" s="29" t="str">
        <x:f aca="0">IF(ABS(G37-G63)&lt;0.005,"PASS","FAIL")</x:f>
        <x:v>PASS</x:v>
      </x:c>
      <x:c r="H79" s="29" t="str">
        <x:f aca="0">IF(ABS(H37-H63)&lt;0.005,"PASS","FAIL")</x:f>
        <x:v>PASS</x:v>
      </x:c>
      <x:c r="I79" s="9"/>
    </x:row>
    <x:row r="80" ht="15" hidden="0">
      <x:c r="A80" t="s">
        <x:v>411</x:v>
      </x:c>
      <x:c r="B80" s="19" t="s">
        <x:v>410</x:v>
      </x:c>
      <x:c r="C80" s="29" t="str">
        <x:f aca="0">IF(ABS(C37-C75)&lt;0.005,"PASS","FAIL")</x:f>
        <x:v>PASS</x:v>
      </x:c>
      <x:c r="D80" s="29" t="str">
        <x:f aca="0">IF(ABS(D37-D75)&lt;0.005,"PASS","FAIL")</x:f>
        <x:v>PASS</x:v>
      </x:c>
      <x:c r="E80" s="29" t="str">
        <x:f aca="0">IF(ABS(E37-E75)&lt;0.005,"PASS","FAIL")</x:f>
        <x:v>PASS</x:v>
      </x:c>
      <x:c r="F80" s="29" t="str">
        <x:f aca="0">IF(ABS(F37-F75)&lt;0.005,"PASS","FAIL")</x:f>
        <x:v>PASS</x:v>
      </x:c>
      <x:c r="G80" s="29" t="str">
        <x:f aca="0">IF(ABS(G37-G75)&lt;0.005,"PASS","FAIL")</x:f>
        <x:v>PASS</x:v>
      </x:c>
      <x:c r="H80" s="29" t="str">
        <x:f aca="0">IF(ABS(H37-H75)&lt;0.005,"PASS","FAIL")</x:f>
        <x:v>PASS</x:v>
      </x:c>
      <x:c r="I80" s="9"/>
    </x:row>
    <x:row r="81" ht="15" hidden="0">
      <x:c r="A81" t="s">
        <x:v>412</x:v>
      </x:c>
      <x:c r="B81" s="19" t="s">
        <x:v>410</x:v>
      </x:c>
      <x:c r="C81" s="29" t="str">
        <x:f aca="0">IF(AND(ABS(C41-C76)&lt;0.005,ABS(C36-C77)&lt;0.005,ABS(C61-C78)&lt;0.005),"PASS","FAIL")</x:f>
        <x:v>PASS</x:v>
      </x:c>
      <x:c r="D81" s="29" t="str">
        <x:f aca="0">IF(AND(ABS(D41-D76)&lt;0.005,ABS(D36-D77)&lt;0.005,ABS(D61-D78)&lt;0.005),"PASS","FAIL")</x:f>
        <x:v>PASS</x:v>
      </x:c>
      <x:c r="E81" s="29" t="str">
        <x:f aca="0">IF(AND(ABS(E41-E76)&lt;0.005,ABS(E36-E77)&lt;0.005,ABS(E61-E78)&lt;0.005),"PASS","FAIL")</x:f>
        <x:v>PASS</x:v>
      </x:c>
      <x:c r="F81" s="29" t="str">
        <x:f aca="0">IF(AND(ABS(F41-F76)&lt;0.005,ABS(F36-F77)&lt;0.005,ABS(F61-F78)&lt;0.005),"PASS","FAIL")</x:f>
        <x:v>PASS</x:v>
      </x:c>
      <x:c r="G81" s="29" t="str">
        <x:f aca="0">IF(AND(ABS(G41-G76)&lt;0.005,ABS(G36-G77)&lt;0.005,ABS(G61-G78)&lt;0.005),"PASS","FAIL")</x:f>
        <x:v>PASS</x:v>
      </x:c>
      <x:c r="H81" s="29" t="str">
        <x:f aca="0">IF(AND(ABS(H41-H76)&lt;0.005,ABS(H36-H77)&lt;0.005,ABS(H61-H78)&lt;0.005),"PASS","FAIL")</x:f>
        <x:v>PASS</x:v>
      </x:c>
      <x:c r="I81" s="9"/>
    </x:row>
    <x:row r="83" ht="15" hidden="0">
      <x:c r="A83" s="5" t="s">
        <x:v>413</x:v>
      </x:c>
      <x:c r="B83" s="20"/>
      <x:c r="C83" s="20"/>
      <x:c r="D83" s="20"/>
      <x:c r="E83" s="20"/>
      <x:c r="F83" s="20"/>
      <x:c r="G83" s="20"/>
      <x:c r="H83" s="20"/>
      <x:c r="I83" s="20"/>
      <x:c r="J83" s="20"/>
    </x:row>
    <x:row r="84" ht="15" hidden="0">
      <x:c r="A84" t="s">
        <x:v>414</x:v>
      </x:c>
      <x:c r="B84" s="19" t="s">
        <x:v>415</x:v>
      </x:c>
      <x:c r="C84" s="30"/>
      <x:c r="D84" s="26" t="n">
        <x:v>24057.375992</x:v>
      </x:c>
      <x:c r="E84" s="26" t="n">
        <x:v>32876.949179</x:v>
      </x:c>
      <x:c r="F84" s="26" t="n">
        <x:v>38921.63535</x:v>
      </x:c>
      <x:c r="G84" s="26" t="n">
        <x:v>38647.767972</x:v>
      </x:c>
      <x:c r="H84" s="26" t="n">
        <x:v>37535.700372</x:v>
      </x:c>
      <x:c r="I84" s="9" t="s">
        <x:v>98</x:v>
      </x:c>
    </x:row>
    <x:row r="85" ht="15" hidden="0">
      <x:c r="A85" t="s">
        <x:v>416</x:v>
      </x:c>
      <x:c r="B85" s="19" t="s">
        <x:v>417</x:v>
      </x:c>
      <x:c r="C85" s="30"/>
      <x:c r="D85" s="26" t="n">
        <x:v>-18092.026933</x:v>
      </x:c>
      <x:c r="E85" s="26" t="n">
        <x:v>-23065.18067</x:v>
      </x:c>
      <x:c r="F85" s="26" t="n">
        <x:v>-28488.941331</x:v>
      </x:c>
      <x:c r="G85" s="26" t="n">
        <x:v>-27391.276477</x:v>
      </x:c>
      <x:c r="H85" s="26" t="n">
        <x:v>-22814.094271</x:v>
      </x:c>
      <x:c r="I85" s="9" t="s">
        <x:v>98</x:v>
      </x:c>
    </x:row>
    <x:row r="86" ht="15" hidden="0">
      <x:c r="A86" s="2" t="s">
        <x:v>418</x:v>
      </x:c>
      <x:c r="B86" s="19" t="s">
        <x:v>419</x:v>
      </x:c>
      <x:c r="C86" s="31"/>
      <x:c r="D86" s="28" t="n">
        <x:f aca="0">D84+D85</x:f>
        <x:v>5965.349059</x:v>
      </x:c>
      <x:c r="E86" s="28" t="n">
        <x:f aca="0">E84+E85</x:f>
        <x:v>9811.768509000001</x:v>
      </x:c>
      <x:c r="F86" s="28" t="n">
        <x:f aca="0">F84+F85</x:f>
        <x:v>10432.694018999995</x:v>
      </x:c>
      <x:c r="G86" s="28" t="n">
        <x:f aca="0">G84+G85</x:f>
        <x:v>11256.491495000002</x:v>
      </x:c>
      <x:c r="H86" s="28" t="n">
        <x:f aca="0">H84+H85</x:f>
        <x:v>14721.606100999998</x:v>
      </x:c>
      <x:c r="I86" s="9" t="s">
        <x:v>98</x:v>
      </x:c>
    </x:row>
    <x:row r="87" ht="15" hidden="0">
      <x:c r="A87" t="s">
        <x:v>420</x:v>
      </x:c>
      <x:c r="B87" s="19" t="s">
        <x:v>421</x:v>
      </x:c>
      <x:c r="C87" s="30"/>
      <x:c r="D87" s="26" t="n">
        <x:v>-94.165965</x:v>
      </x:c>
      <x:c r="E87" s="26" t="n">
        <x:v>-122.136736</x:v>
      </x:c>
      <x:c r="F87" s="26" t="n">
        <x:v>-176.123458</x:v>
      </x:c>
      <x:c r="G87" s="26" t="n">
        <x:v>-197.259359</x:v>
      </x:c>
      <x:c r="H87" s="26" t="n">
        <x:v>-225.600417</x:v>
      </x:c>
      <x:c r="I87" s="9" t="s">
        <x:v>98</x:v>
      </x:c>
    </x:row>
    <x:row r="88" ht="15" hidden="0">
      <x:c r="A88" t="s">
        <x:v>422</x:v>
      </x:c>
      <x:c r="B88" s="19" t="s">
        <x:v>423</x:v>
      </x:c>
      <x:c r="C88" s="30"/>
      <x:c r="D88" s="26" t="n">
        <x:v>-313.52467</x:v>
      </x:c>
      <x:c r="E88" s="26" t="n">
        <x:v>-353.522846</x:v>
      </x:c>
      <x:c r="F88" s="26" t="n">
        <x:v>-396.230055</x:v>
      </x:c>
      <x:c r="G88" s="26" t="n">
        <x:v>-488.042831</x:v>
      </x:c>
      <x:c r="H88" s="26" t="n">
        <x:v>-695.553118</x:v>
      </x:c>
      <x:c r="I88" s="9" t="s">
        <x:v>98</x:v>
      </x:c>
    </x:row>
    <x:row r="89" ht="15" hidden="0">
      <x:c r="A89" t="s">
        <x:v>424</x:v>
      </x:c>
      <x:c r="B89" s="19" t="s">
        <x:v>425</x:v>
      </x:c>
      <x:c r="C89" s="30"/>
      <x:c r="D89" s="26" t="n">
        <x:v>0</x:v>
      </x:c>
      <x:c r="E89" s="26" t="n">
        <x:v>0</x:v>
      </x:c>
      <x:c r="F89" s="26" t="n">
        <x:v>0</x:v>
      </x:c>
      <x:c r="G89" s="26" t="n">
        <x:v>2.010516</x:v>
      </x:c>
      <x:c r="H89" s="26" t="n">
        <x:v>-44.078565</x:v>
      </x:c>
      <x:c r="I89" s="9" t="s">
        <x:v>98</x:v>
      </x:c>
    </x:row>
    <x:row r="90" ht="15" hidden="0">
      <x:c r="A90" t="s">
        <x:v>426</x:v>
      </x:c>
      <x:c r="B90" s="19" t="s">
        <x:v>427</x:v>
      </x:c>
      <x:c r="C90" s="30"/>
      <x:c r="D90" s="26" t="n">
        <x:v>-325.323074</x:v>
      </x:c>
      <x:c r="E90" s="26" t="n">
        <x:v>-563.052382</x:v>
      </x:c>
      <x:c r="F90" s="26" t="n">
        <x:v>-736.512959</x:v>
      </x:c>
      <x:c r="G90" s="26" t="n">
        <x:v>-571.950389</x:v>
      </x:c>
      <x:c r="H90" s="26" t="n">
        <x:v>-940.359065</x:v>
      </x:c>
      <x:c r="I90" s="9" t="s">
        <x:v>98</x:v>
      </x:c>
    </x:row>
    <x:row r="91" ht="15" hidden="0">
      <x:c r="A91" t="s">
        <x:v>428</x:v>
      </x:c>
      <x:c r="B91" s="19" t="s">
        <x:v>429</x:v>
      </x:c>
      <x:c r="C91" s="30"/>
      <x:c r="D91" s="27" t="n">
        <x:f aca="0">D86+D87+D88+D89+D90</x:f>
        <x:v>5232.33535</x:v>
      </x:c>
      <x:c r="E91" s="27" t="n">
        <x:f aca="0">E86+E87+E88+E89+E90</x:f>
        <x:v>8773.056545000001</x:v>
      </x:c>
      <x:c r="F91" s="27" t="n">
        <x:f aca="0">F86+F87+F88+F89+F90</x:f>
        <x:v>9123.827546999995</x:v>
      </x:c>
      <x:c r="G91" s="27" t="n">
        <x:f aca="0">G86+G87+G88+G89+G90</x:f>
        <x:v>10001.249432000002</x:v>
      </x:c>
      <x:c r="H91" s="27" t="n">
        <x:f aca="0">H86+H87+H88+H89+H90</x:f>
        <x:v>12816.014935999998</x:v>
      </x:c>
      <x:c r="I91" s="9" t="s">
        <x:v>98</x:v>
      </x:c>
    </x:row>
    <x:row r="92" ht="15" hidden="0">
      <x:c r="A92" t="s">
        <x:v>430</x:v>
      </x:c>
      <x:c r="B92" s="19" t="s">
        <x:v>431</x:v>
      </x:c>
      <x:c r="C92" s="30"/>
      <x:c r="D92" s="26" t="n">
        <x:v>170.67467</x:v>
      </x:c>
      <x:c r="E92" s="26" t="n">
        <x:v>690.143396</x:v>
      </x:c>
      <x:c r="F92" s="26" t="n">
        <x:v>2085.808053</x:v>
      </x:c>
      <x:c r="G92" s="26" t="n">
        <x:v>4452.416513</x:v>
      </x:c>
      <x:c r="H92" s="26" t="n">
        <x:v>5280.719197</x:v>
      </x:c>
      <x:c r="I92" s="9" t="s">
        <x:v>98</x:v>
      </x:c>
    </x:row>
    <x:row r="93" ht="15" hidden="0">
      <x:c r="A93" t="s">
        <x:v>432</x:v>
      </x:c>
      <x:c r="B93" s="19" t="s">
        <x:v>433</x:v>
      </x:c>
      <x:c r="C93" s="30"/>
      <x:c r="D93" s="26" t="n">
        <x:v>0</x:v>
      </x:c>
      <x:c r="E93" s="26" t="n">
        <x:v>0</x:v>
      </x:c>
      <x:c r="F93" s="26" t="n">
        <x:v>0</x:v>
      </x:c>
      <x:c r="G93" s="26" t="n">
        <x:v>0</x:v>
      </x:c>
      <x:c r="H93" s="26" t="n">
        <x:v>0</x:v>
      </x:c>
      <x:c r="I93" s="9" t="s">
        <x:v>98</x:v>
      </x:c>
    </x:row>
    <x:row r="94" ht="15" hidden="0">
      <x:c r="A94" t="s">
        <x:v>434</x:v>
      </x:c>
      <x:c r="B94" s="19" t="s">
        <x:v>435</x:v>
      </x:c>
      <x:c r="C94" s="30"/>
      <x:c r="D94" s="26" t="n">
        <x:v>0</x:v>
      </x:c>
      <x:c r="E94" s="26" t="n">
        <x:v>0</x:v>
      </x:c>
      <x:c r="F94" s="26" t="n">
        <x:v>0</x:v>
      </x:c>
      <x:c r="G94" s="26" t="n">
        <x:v>0</x:v>
      </x:c>
      <x:c r="H94" s="26" t="n">
        <x:v>0</x:v>
      </x:c>
      <x:c r="I94" s="9" t="s">
        <x:v>98</x:v>
      </x:c>
    </x:row>
    <x:row r="95" ht="15" hidden="0">
      <x:c r="A95" t="s">
        <x:v>436</x:v>
      </x:c>
      <x:c r="B95" s="19" t="s">
        <x:v>437</x:v>
      </x:c>
      <x:c r="C95" s="30"/>
      <x:c r="D95" s="26" t="n">
        <x:v>-517.055413</x:v>
      </x:c>
      <x:c r="E95" s="26" t="n">
        <x:v>-537.710815</x:v>
      </x:c>
      <x:c r="F95" s="26" t="n">
        <x:v>-740.307772</x:v>
      </x:c>
      <x:c r="G95" s="26" t="n">
        <x:v>-677.380845</x:v>
      </x:c>
      <x:c r="H95" s="26" t="n">
        <x:v>-349.910716</x:v>
      </x:c>
      <x:c r="I95" s="9" t="s">
        <x:v>98</x:v>
      </x:c>
    </x:row>
    <x:row r="96" ht="15" hidden="0">
      <x:c r="A96" s="2" t="s">
        <x:v>438</x:v>
      </x:c>
      <x:c r="B96" s="19" t="s">
        <x:v>439</x:v>
      </x:c>
      <x:c r="C96" s="31"/>
      <x:c r="D96" s="28" t="n">
        <x:f aca="0">D91+D92+D93+D94+D95</x:f>
        <x:v>4885.954607000001</x:v>
      </x:c>
      <x:c r="E96" s="28" t="n">
        <x:f aca="0">E91+E92+E93+E94+E95</x:f>
        <x:v>8925.489126</x:v>
      </x:c>
      <x:c r="F96" s="28" t="n">
        <x:f aca="0">F91+F92+F93+F94+F95</x:f>
        <x:v>10469.327827999996</x:v>
      </x:c>
      <x:c r="G96" s="28" t="n">
        <x:f aca="0">G91+G92+G93+G94+G95</x:f>
        <x:v>13776.285100000003</x:v>
      </x:c>
      <x:c r="H96" s="28" t="n">
        <x:f aca="0">H91+H92+H93+H94+H95</x:f>
        <x:v>17746.823417</x:v>
      </x:c>
      <x:c r="I96" s="9" t="s">
        <x:v>98</x:v>
      </x:c>
    </x:row>
    <x:row r="97" ht="15" hidden="0">
      <x:c r="A97" t="s">
        <x:v>440</x:v>
      </x:c>
      <x:c r="B97" s="19" t="s">
        <x:v>441</x:v>
      </x:c>
      <x:c r="C97" s="30"/>
      <x:c r="D97" s="26" t="n">
        <x:v>0</x:v>
      </x:c>
      <x:c r="E97" s="26" t="n">
        <x:v>0</x:v>
      </x:c>
      <x:c r="F97" s="26" t="n">
        <x:v>-343.981005</x:v>
      </x:c>
      <x:c r="G97" s="26" t="n">
        <x:v>-844.151365</x:v>
      </x:c>
      <x:c r="H97" s="26" t="n">
        <x:v>-58.631368</x:v>
      </x:c>
      <x:c r="I97" s="9" t="s">
        <x:v>98</x:v>
      </x:c>
    </x:row>
    <x:row r="98" ht="15" hidden="0">
      <x:c r="A98" t="s">
        <x:v>442</x:v>
      </x:c>
      <x:c r="B98" s="19" t="s">
        <x:v>443</x:v>
      </x:c>
      <x:c r="C98" s="30"/>
      <x:c r="D98" s="26" t="n">
        <x:v>-1388.44736</x:v>
      </x:c>
      <x:c r="E98" s="26" t="n">
        <x:v>-3901.208866</x:v>
      </x:c>
      <x:c r="F98" s="26" t="n">
        <x:v>-4304.595678</x:v>
      </x:c>
      <x:c r="G98" s="26" t="n">
        <x:v>-4038.678948</x:v>
      </x:c>
      <x:c r="H98" s="26" t="n">
        <x:v>-6113.037978</x:v>
      </x:c>
      <x:c r="I98" s="9" t="s">
        <x:v>98</x:v>
      </x:c>
    </x:row>
    <x:row r="99" ht="15" hidden="0">
      <x:c r="A99" s="2" t="s">
        <x:v>444</x:v>
      </x:c>
      <x:c r="B99" s="19" t="s">
        <x:v>445</x:v>
      </x:c>
      <x:c r="C99" s="31"/>
      <x:c r="D99" s="28" t="n">
        <x:f aca="0">D96+D97+D98</x:f>
        <x:v>3497.5072470000005</x:v>
      </x:c>
      <x:c r="E99" s="28" t="n">
        <x:f aca="0">E96+E97+E98</x:f>
        <x:v>5024.28026</x:v>
      </x:c>
      <x:c r="F99" s="28" t="n">
        <x:f aca="0">F96+F97+F98</x:f>
        <x:v>5820.7511449999965</x:v>
      </x:c>
      <x:c r="G99" s="28" t="n">
        <x:f aca="0">G96+G97+G98</x:f>
        <x:v>8893.454787000002</x:v>
      </x:c>
      <x:c r="H99" s="28" t="n">
        <x:f aca="0">H96+H97+H98</x:f>
        <x:v>11575.154071</x:v>
      </x:c>
      <x:c r="I99" s="9" t="s">
        <x:v>98</x:v>
      </x:c>
    </x:row>
    <x:row r="100" ht="15" hidden="0">
      <x:c r="A100" t="s">
        <x:v>446</x:v>
      </x:c>
      <x:c r="B100" s="19" t="s">
        <x:v>447</x:v>
      </x:c>
      <x:c r="C100" s="30"/>
      <x:c r="D100" s="26" t="n">
        <x:v>5965.349059</x:v>
      </x:c>
      <x:c r="E100" s="26" t="n">
        <x:v>9811.768509</x:v>
      </x:c>
      <x:c r="F100" s="26" t="n">
        <x:v>10432.694019</x:v>
      </x:c>
      <x:c r="G100" s="26" t="n">
        <x:v>11256.491495</x:v>
      </x:c>
      <x:c r="H100" s="26" t="n">
        <x:v>14721.606101</x:v>
      </x:c>
      <x:c r="I100" s="9" t="s">
        <x:v>98</x:v>
      </x:c>
    </x:row>
    <x:row r="101" ht="15" hidden="0">
      <x:c r="A101" t="s">
        <x:v>448</x:v>
      </x:c>
      <x:c r="B101" s="19" t="s">
        <x:v>449</x:v>
      </x:c>
      <x:c r="C101" s="30"/>
      <x:c r="D101" s="26" t="n">
        <x:v>4885.954607</x:v>
      </x:c>
      <x:c r="E101" s="26" t="n">
        <x:v>8925.489126</x:v>
      </x:c>
      <x:c r="F101" s="26" t="n">
        <x:v>10469.327828</x:v>
      </x:c>
      <x:c r="G101" s="26" t="n">
        <x:v>13776.2851</x:v>
      </x:c>
      <x:c r="H101" s="26" t="n">
        <x:v>17746.823417</x:v>
      </x:c>
      <x:c r="I101" s="9" t="s">
        <x:v>98</x:v>
      </x:c>
    </x:row>
    <x:row r="102" ht="15" hidden="0">
      <x:c r="A102" t="s">
        <x:v>450</x:v>
      </x:c>
      <x:c r="B102" s="19" t="s">
        <x:v>451</x:v>
      </x:c>
      <x:c r="C102" s="30"/>
      <x:c r="D102" s="26" t="n">
        <x:v>3497.507247</x:v>
      </x:c>
      <x:c r="E102" s="26" t="n">
        <x:v>5024.28026</x:v>
      </x:c>
      <x:c r="F102" s="26" t="n">
        <x:v>5820.751145</x:v>
      </x:c>
      <x:c r="G102" s="26" t="n">
        <x:v>8893.454787</x:v>
      </x:c>
      <x:c r="H102" s="26" t="n">
        <x:v>11575.154071</x:v>
      </x:c>
      <x:c r="I102" s="9" t="s">
        <x:v>98</x:v>
      </x:c>
    </x:row>
    <x:row r="103" ht="15" hidden="0">
      <x:c r="A103" t="s">
        <x:v>452</x:v>
      </x:c>
      <x:c r="B103" s="19" t="s">
        <x:v>410</x:v>
      </x:c>
      <x:c r="C103" s="30"/>
      <x:c r="D103" s="29" t="str">
        <x:f aca="0">IF(AND(ABS(D86-D100)&lt;0.005,ABS(D96-D101)&lt;0.005,ABS(D99-D102)&lt;0.005),"PASS","FAIL")</x:f>
        <x:v>PASS</x:v>
      </x:c>
      <x:c r="E103" s="29" t="str">
        <x:f aca="0">IF(AND(ABS(E86-E100)&lt;0.005,ABS(E96-E101)&lt;0.005,ABS(E99-E102)&lt;0.005),"PASS","FAIL")</x:f>
        <x:v>PASS</x:v>
      </x:c>
      <x:c r="F103" s="29" t="str">
        <x:f aca="0">IF(AND(ABS(F86-F100)&lt;0.005,ABS(F96-F101)&lt;0.005,ABS(F99-F102)&lt;0.005),"PASS","FAIL")</x:f>
        <x:v>PASS</x:v>
      </x:c>
      <x:c r="G103" s="29" t="str">
        <x:f aca="0">IF(AND(ABS(G86-G100)&lt;0.005,ABS(G96-G101)&lt;0.005,ABS(G99-G102)&lt;0.005),"PASS","FAIL")</x:f>
        <x:v>PASS</x:v>
      </x:c>
      <x:c r="H103" s="29" t="str">
        <x:f aca="0">IF(AND(ABS(H86-H100)&lt;0.005,ABS(H96-H101)&lt;0.005,ABS(H99-H102)&lt;0.005),"PASS","FAIL")</x:f>
        <x:v>PASS</x:v>
      </x:c>
      <x:c r="I103" s="9"/>
    </x:row>
    <x:row r="104" ht="15" hidden="0">
      <x:c r="A104" s="24" t="s">
        <x:v>453</x:v>
      </x:c>
      <x:c r="B104" s="25"/>
      <x:c r="C104" s="25"/>
      <x:c r="D104" s="25"/>
      <x:c r="E104" s="25"/>
      <x:c r="F104" s="25"/>
      <x:c r="G104" s="25"/>
      <x:c r="H104" s="25"/>
      <x:c r="I104" s="25"/>
      <x:c r="J104" s="25"/>
    </x:row>
    <x:row r="105" ht="15" hidden="0">
      <x:c r="A105" t="s">
        <x:v>454</x:v>
      </x:c>
      <x:c r="B105" s="19" t="s">
        <x:v>455</x:v>
      </x:c>
      <x:c r="C105" s="30"/>
      <x:c r="D105" s="26" t="n">
        <x:v>26.751082</x:v>
      </x:c>
      <x:c r="E105" s="26" t="n">
        <x:v>22.374466</x:v>
      </x:c>
      <x:c r="F105" s="26" t="n">
        <x:v>56.744443</x:v>
      </x:c>
      <x:c r="G105" s="26" t="n">
        <x:v>31.19671</x:v>
      </x:c>
      <x:c r="H105" s="26" t="n">
        <x:v>43.699977</x:v>
      </x:c>
      <x:c r="I105" s="9" t="s">
        <x:v>98</x:v>
      </x:c>
    </x:row>
    <x:row r="106" ht="15" hidden="0">
      <x:c r="A106" t="s">
        <x:v>456</x:v>
      </x:c>
      <x:c r="B106" s="19" t="s">
        <x:v>457</x:v>
      </x:c>
      <x:c r="C106" s="30"/>
      <x:c r="D106" s="27" t="n">
        <x:f aca="0">-D95-D105</x:f>
        <x:v>490.30433100000005</x:v>
      </x:c>
      <x:c r="E106" s="27" t="n">
        <x:f aca="0">-E95-E105</x:f>
        <x:v>515.336349</x:v>
      </x:c>
      <x:c r="F106" s="27" t="n">
        <x:f aca="0">-F95-F105</x:f>
        <x:v>683.563329</x:v>
      </x:c>
      <x:c r="G106" s="27" t="n">
        <x:f aca="0">-G95-G105</x:f>
        <x:v>646.184135</x:v>
      </x:c>
      <x:c r="H106" s="27" t="n">
        <x:f aca="0">-H95-H105</x:f>
        <x:v>306.210739</x:v>
      </x:c>
      <x:c r="I106" s="9" t="s">
        <x:v>98</x:v>
      </x:c>
    </x:row>
    <x:row r="107" ht="15" hidden="0">
      <x:c r="A107" t="s">
        <x:v>458</x:v>
      </x:c>
      <x:c r="B107" s="19" t="s">
        <x:v>459</x:v>
      </x:c>
      <x:c r="C107" s="30"/>
      <x:c r="D107" s="26" t="n">
        <x:v>1230.692701</x:v>
      </x:c>
      <x:c r="E107" s="26" t="n">
        <x:v>1118.109816</x:v>
      </x:c>
      <x:c r="F107" s="26" t="n">
        <x:v>1116.01339</x:v>
      </x:c>
      <x:c r="G107" s="26" t="n">
        <x:v>1182.787174</x:v>
      </x:c>
      <x:c r="H107" s="26" t="n">
        <x:v>1264.994747</x:v>
      </x:c>
      <x:c r="I107" s="9" t="s">
        <x:v>98</x:v>
      </x:c>
    </x:row>
    <x:row r="108" ht="15" hidden="0">
      <x:c r="A108" s="2" t="s">
        <x:v>460</x:v>
      </x:c>
      <x:c r="B108" s="19" t="s">
        <x:v>461</x:v>
      </x:c>
      <x:c r="C108" s="31"/>
      <x:c r="D108" s="28" t="n">
        <x:f aca="0">D96-D95</x:f>
        <x:v>5403.010020000001</x:v>
      </x:c>
      <x:c r="E108" s="28" t="n">
        <x:f aca="0">E96-E95</x:f>
        <x:v>9463.199941</x:v>
      </x:c>
      <x:c r="F108" s="28" t="n">
        <x:f aca="0">F96-F95</x:f>
        <x:v>11209.635599999996</x:v>
      </x:c>
      <x:c r="G108" s="28" t="n">
        <x:f aca="0">G96-G95</x:f>
        <x:v>14453.665945000002</x:v>
      </x:c>
      <x:c r="H108" s="28" t="n">
        <x:f aca="0">H96-H95</x:f>
        <x:v>18096.734132999998</x:v>
      </x:c>
      <x:c r="I108" s="9" t="s">
        <x:v>98</x:v>
      </x:c>
    </x:row>
    <x:row r="109" ht="15" hidden="0">
      <x:c r="A109" s="2" t="s">
        <x:v>462</x:v>
      </x:c>
      <x:c r="B109" s="19" t="s">
        <x:v>463</x:v>
      </x:c>
      <x:c r="C109" s="31"/>
      <x:c r="D109" s="28" t="n">
        <x:f aca="0">D108+D107</x:f>
        <x:v>6633.702721000001</x:v>
      </x:c>
      <x:c r="E109" s="28" t="n">
        <x:f aca="0">E108+E107</x:f>
        <x:v>10581.309757</x:v>
      </x:c>
      <x:c r="F109" s="28" t="n">
        <x:f aca="0">F108+F107</x:f>
        <x:v>12325.648989999996</x:v>
      </x:c>
      <x:c r="G109" s="28" t="n">
        <x:f aca="0">G108+G107</x:f>
        <x:v>15636.453119000002</x:v>
      </x:c>
      <x:c r="H109" s="28" t="n">
        <x:f aca="0">H108+H107</x:f>
        <x:v>19361.72888</x:v>
      </x:c>
      <x:c r="I109" s="9" t="s">
        <x:v>98</x:v>
      </x:c>
    </x:row>
    <x:row r="110" ht="15" hidden="0">
      <x:c r="A110" t="s">
        <x:v>464</x:v>
      </x:c>
      <x:c r="B110" s="19" t="s">
        <x:v>465</x:v>
      </x:c>
      <x:c r="C110" s="30"/>
      <x:c r="D110" s="27" t="n">
        <x:f aca="0">-(D97+D98)</x:f>
        <x:v>1388.44736</x:v>
      </x:c>
      <x:c r="E110" s="27" t="n">
        <x:f aca="0">-(E97+E98)</x:f>
        <x:v>3901.208866</x:v>
      </x:c>
      <x:c r="F110" s="27" t="n">
        <x:f aca="0">-(F97+F98)</x:f>
        <x:v>4648.576682999999</x:v>
      </x:c>
      <x:c r="G110" s="27" t="n">
        <x:f aca="0">-(G97+G98)</x:f>
        <x:v>4882.830313</x:v>
      </x:c>
      <x:c r="H110" s="27" t="n">
        <x:f aca="0">-(H97+H98)</x:f>
        <x:v>6171.669346000001</x:v>
      </x:c>
      <x:c r="I110" s="9" t="s">
        <x:v>98</x:v>
      </x:c>
    </x:row>
    <x:row r="111" ht="15" hidden="0">
      <x:c r="A111" t="s">
        <x:v>466</x:v>
      </x:c>
      <x:c r="B111" s="19" t="s">
        <x:v>467</x:v>
      </x:c>
      <x:c r="C111" s="30"/>
      <x:c r="D111" s="32" t="n">
        <x:f aca="0">IF(D96&lt;=0,"n/m",D110/D96)</x:f>
        <x:v>0.28417115419181377</x:v>
      </x:c>
      <x:c r="E111" s="32" t="n">
        <x:f aca="0">IF(E96&lt;=0,"n/m",E110/E96)</x:f>
        <x:v>0.43708628299548946</x:v>
      </x:c>
      <x:c r="F111" s="32" t="n">
        <x:f aca="0">IF(F96&lt;=0,"n/m",F110/F96)</x:f>
        <x:v>0.44401863800343316</x:v>
      </x:c>
      <x:c r="G111" s="32" t="n">
        <x:f aca="0">IF(G96&lt;=0,"n/m",G110/G96)</x:f>
        <x:v>0.35443737390423197</x:v>
      </x:c>
      <x:c r="H111" s="32" t="n">
        <x:f aca="0">IF(H96&lt;=0,"n/m",H110/H96)</x:f>
        <x:v>0.34776191778006016</x:v>
      </x:c>
      <x:c r="I111" s="9" t="s">
        <x:v>127</x:v>
      </x:c>
    </x:row>
    <x:row r="112" ht="15" hidden="0">
      <x:c r="A112" t="s">
        <x:v>468</x:v>
      </x:c>
      <x:c r="B112" s="19" t="s">
        <x:v>469</x:v>
      </x:c>
      <x:c r="C112" s="30"/>
      <x:c r="D112" s="32" t="n">
        <x:f aca="0">IF(AND(ISNUMBER(D111),D111&gt;=0,D111&lt;=0.6),D111,'Overview &amp; Methodology'!$C$35)</x:f>
        <x:v>0.28417115419181377</x:v>
      </x:c>
      <x:c r="E112" s="32" t="n">
        <x:f aca="0">IF(AND(ISNUMBER(E111),E111&gt;=0,E111&lt;=0.6),E111,'Overview &amp; Methodology'!$D$35)</x:f>
        <x:v>0.43708628299548946</x:v>
      </x:c>
      <x:c r="F112" s="32" t="n">
        <x:f aca="0">IF(AND(ISNUMBER(F111),F111&gt;=0,F111&lt;=0.6),F111,'Overview &amp; Methodology'!$E$35)</x:f>
        <x:v>0.44401863800343316</x:v>
      </x:c>
      <x:c r="G112" s="32" t="n">
        <x:f aca="0">IF(AND(ISNUMBER(G111),G111&gt;=0,G111&lt;=0.6),G111,'Overview &amp; Methodology'!$F$35)</x:f>
        <x:v>0.35443737390423197</x:v>
      </x:c>
      <x:c r="H112" s="32" t="n">
        <x:f aca="0">IF(AND(ISNUMBER(H111),H111&gt;=0,H111&lt;=0.6),H111,'Overview &amp; Methodology'!$G$35)</x:f>
        <x:v>0.34776191778006016</x:v>
      </x:c>
      <x:c r="I112" s="9" t="s">
        <x:v>127</x:v>
      </x:c>
    </x:row>
    <x:row r="113" ht="15" hidden="0">
      <x:c r="A113" t="s">
        <x:v>470</x:v>
      </x:c>
      <x:c r="B113" s="19" t="s">
        <x:v>471</x:v>
      </x:c>
      <x:c r="C113" s="30"/>
      <x:c r="D113" s="27" t="n">
        <x:f aca="0">D108*(1-D112)</x:f>
        <x:v>3867.630426506666</x:v>
      </x:c>
      <x:c r="E113" s="27" t="n">
        <x:f aca="0">E108*(1-E112)</x:f>
        <x:v>5326.965053545176</x:v>
      </x:c>
      <x:c r="F113" s="27" t="n">
        <x:f aca="0">F108*(1-F112)</x:f>
        <x:v>6232.3484683731995</x:v>
      </x:c>
      <x:c r="G113" s="27" t="n">
        <x:f aca="0">G108*(1-G112)</x:f>
        <x:v>9330.746544165173</x:v>
      </x:c>
      <x:c r="H113" s="27" t="n">
        <x:f aca="0">H108*(1-H112)</x:f>
        <x:v>11803.379165352044</x:v>
      </x:c>
      <x:c r="I113" s="9" t="s">
        <x:v>98</x:v>
      </x:c>
    </x:row>
    <x:row r="115" ht="15" hidden="0">
      <x:c r="A115" s="5" t="s">
        <x:v>472</x:v>
      </x:c>
      <x:c r="B115" s="20"/>
      <x:c r="C115" s="20"/>
      <x:c r="D115" s="20"/>
      <x:c r="E115" s="20"/>
      <x:c r="F115" s="20"/>
      <x:c r="G115" s="20"/>
      <x:c r="H115" s="20"/>
      <x:c r="I115" s="20"/>
      <x:c r="J115" s="20"/>
    </x:row>
    <x:row r="116" ht="15" hidden="0">
      <x:c r="A116" t="s">
        <x:v>473</x:v>
      </x:c>
      <x:c r="B116" s="19" t="s">
        <x:v>474</x:v>
      </x:c>
      <x:c r="C116" s="30"/>
      <x:c r="D116" s="26" t="n">
        <x:v>6012.030743</x:v>
      </x:c>
      <x:c r="E116" s="26" t="n">
        <x:v>9429.252992</x:v>
      </x:c>
      <x:c r="F116" s="26" t="n">
        <x:v>7862.593209</x:v>
      </x:c>
      <x:c r="G116" s="26" t="n">
        <x:v>11482.975487</x:v>
      </x:c>
      <x:c r="H116" s="26" t="n">
        <x:v>16574.725509</x:v>
      </x:c>
      <x:c r="I116" s="9" t="s">
        <x:v>98</x:v>
      </x:c>
    </x:row>
    <x:row r="117" ht="15" hidden="0">
      <x:c r="A117" t="s">
        <x:v>475</x:v>
      </x:c>
      <x:c r="B117" s="19" t="s">
        <x:v>476</x:v>
      </x:c>
      <x:c r="C117" s="30"/>
      <x:c r="D117" s="26" t="n">
        <x:v>5089.315864</x:v>
      </x:c>
      <x:c r="E117" s="26" t="n">
        <x:v>8181.35789</x:v>
      </x:c>
      <x:c r="F117" s="26" t="n">
        <x:v>4452.081761</x:v>
      </x:c>
      <x:c r="G117" s="26" t="n">
        <x:v>6647.173409</x:v>
      </x:c>
      <x:c r="H117" s="26" t="n">
        <x:v>9378.288538</x:v>
      </x:c>
      <x:c r="I117" s="9" t="s">
        <x:v>98</x:v>
      </x:c>
    </x:row>
    <x:row r="118" ht="15" hidden="0">
      <x:c r="A118" t="s">
        <x:v>477</x:v>
      </x:c>
      <x:c r="B118" s="19" t="s">
        <x:v>478</x:v>
      </x:c>
      <x:c r="C118" s="30"/>
      <x:c r="D118" s="26" t="n">
        <x:v>-599.227218</x:v>
      </x:c>
      <x:c r="E118" s="26" t="n">
        <x:v>-514.171817</x:v>
      </x:c>
      <x:c r="F118" s="26" t="n">
        <x:v>-685.823997</x:v>
      </x:c>
      <x:c r="G118" s="26" t="n">
        <x:v>-731.073634</x:v>
      </x:c>
      <x:c r="H118" s="26" t="n">
        <x:v>-391.061821</x:v>
      </x:c>
      <x:c r="I118" s="9" t="s">
        <x:v>98</x:v>
      </x:c>
    </x:row>
    <x:row r="119" ht="15" hidden="0">
      <x:c r="A119" t="s">
        <x:v>479</x:v>
      </x:c>
      <x:c r="B119" s="19" t="s">
        <x:v>480</x:v>
      </x:c>
      <x:c r="C119" s="30"/>
      <x:c r="D119" s="33" t="s">
        <x:v>481</x:v>
      </x:c>
      <x:c r="E119" s="33" t="s">
        <x:v>481</x:v>
      </x:c>
      <x:c r="F119" s="33" t="s">
        <x:v>481</x:v>
      </x:c>
      <x:c r="G119" s="33" t="s">
        <x:v>481</x:v>
      </x:c>
      <x:c r="H119" s="33" t="s">
        <x:v>481</x:v>
      </x:c>
      <x:c r="I119" s="9" t="s">
        <x:v>482</x:v>
      </x:c>
    </x:row>
    <x:row r="120" ht="15" hidden="0">
      <x:c r="A120" t="s">
        <x:v>483</x:v>
      </x:c>
      <x:c r="B120" s="19" t="s">
        <x:v>484</x:v>
      </x:c>
      <x:c r="C120" s="30"/>
      <x:c r="D120" s="27" t="n">
        <x:f aca="0">IF(D119="Financing",D117+D118,D117)</x:f>
        <x:v>5089.315864</x:v>
      </x:c>
      <x:c r="E120" s="27" t="n">
        <x:f aca="0">IF(E119="Financing",E117+E118,E117)</x:f>
        <x:v>8181.35789</x:v>
      </x:c>
      <x:c r="F120" s="27" t="n">
        <x:f aca="0">IF(F119="Financing",F117+F118,F117)</x:f>
        <x:v>4452.081761</x:v>
      </x:c>
      <x:c r="G120" s="27" t="n">
        <x:f aca="0">IF(G119="Financing",G117+G118,G117)</x:f>
        <x:v>6647.173409</x:v>
      </x:c>
      <x:c r="H120" s="27" t="n">
        <x:f aca="0">IF(H119="Financing",H117+H118,H117)</x:f>
        <x:v>9378.288538</x:v>
      </x:c>
      <x:c r="I120" s="9" t="s">
        <x:v>98</x:v>
      </x:c>
    </x:row>
    <x:row r="121" ht="15" hidden="0">
      <x:c r="A121" t="s">
        <x:v>485</x:v>
      </x:c>
      <x:c r="B121" s="19" t="s">
        <x:v>486</x:v>
      </x:c>
      <x:c r="C121" s="30"/>
      <x:c r="D121" s="26" t="n">
        <x:v>-610.597045</x:v>
      </x:c>
      <x:c r="E121" s="26" t="n">
        <x:v>-461.84737</x:v>
      </x:c>
      <x:c r="F121" s="26" t="n">
        <x:v>-2015.897038</x:v>
      </x:c>
      <x:c r="G121" s="26" t="n">
        <x:v>-1107.284933</x:v>
      </x:c>
      <x:c r="H121" s="26" t="n">
        <x:v>-2398.919336</x:v>
      </x:c>
      <x:c r="I121" s="9" t="s">
        <x:v>98</x:v>
      </x:c>
    </x:row>
    <x:row r="122" ht="15" hidden="0">
      <x:c r="A122" t="s">
        <x:v>487</x:v>
      </x:c>
      <x:c r="B122" s="19" t="s">
        <x:v>488</x:v>
      </x:c>
      <x:c r="C122" s="30"/>
      <x:c r="D122" s="26" t="n">
        <x:v>-3950.178348</x:v>
      </x:c>
      <x:c r="E122" s="26" t="n">
        <x:v>-7092.988516</x:v>
      </x:c>
      <x:c r="F122" s="26" t="n">
        <x:v>-2470.515763</x:v>
      </x:c>
      <x:c r="G122" s="26" t="n">
        <x:v>-5030.324094</x:v>
      </x:c>
      <x:c r="H122" s="26" t="n">
        <x:v>-4398.59577</x:v>
      </x:c>
      <x:c r="I122" s="9" t="s">
        <x:v>98</x:v>
      </x:c>
    </x:row>
    <x:row r="123" ht="15" hidden="0">
      <x:c r="A123" t="s">
        <x:v>489</x:v>
      </x:c>
      <x:c r="B123" s="19" t="s">
        <x:v>490</x:v>
      </x:c>
      <x:c r="C123" s="30"/>
      <x:c r="D123" s="26" t="n">
        <x:v>-943.014252</x:v>
      </x:c>
      <x:c r="E123" s="26" t="n">
        <x:v>-1805.333093</x:v>
      </x:c>
      <x:c r="F123" s="26" t="n">
        <x:v>-1528.794437</x:v>
      </x:c>
      <x:c r="G123" s="26" t="n">
        <x:v>-1447.737336</x:v>
      </x:c>
      <x:c r="H123" s="26" t="n">
        <x:v>-4631.639217</x:v>
      </x:c>
      <x:c r="I123" s="9" t="s">
        <x:v>98</x:v>
      </x:c>
    </x:row>
    <x:row r="124" ht="15" hidden="0">
      <x:c r="A124" t="s">
        <x:v>491</x:v>
      </x:c>
      <x:c r="B124" s="19" t="s">
        <x:v>492</x:v>
      </x:c>
      <x:c r="C124" s="30"/>
      <x:c r="D124" s="26" t="n">
        <x:v>-1.816796</x:v>
      </x:c>
      <x:c r="E124" s="26" t="n">
        <x:v>-0.549503</x:v>
      </x:c>
      <x:c r="F124" s="26" t="n">
        <x:v>-0.172829</x:v>
      </x:c>
      <x:c r="G124" s="26" t="n">
        <x:v>-0.136289</x:v>
      </x:c>
      <x:c r="H124" s="26" t="n">
        <x:v>-3.157674</x:v>
      </x:c>
      <x:c r="I124" s="9" t="s">
        <x:v>98</x:v>
      </x:c>
    </x:row>
    <x:row r="126" ht="15" hidden="0">
      <x:c r="A126" s="5" t="s">
        <x:v>493</x:v>
      </x:c>
      <x:c r="B126" s="20"/>
      <x:c r="C126" s="20"/>
      <x:c r="D126" s="20"/>
      <x:c r="E126" s="20"/>
      <x:c r="F126" s="20"/>
      <x:c r="G126" s="20"/>
      <x:c r="H126" s="20"/>
      <x:c r="I126" s="20"/>
      <x:c r="J126" s="20"/>
    </x:row>
    <x:row r="127" ht="15" hidden="0">
      <x:c r="A127" t="s">
        <x:v>494</x:v>
      </x:c>
      <x:c r="B127" s="19" t="s">
        <x:v>495</x:v>
      </x:c>
      <x:c r="C127" s="30"/>
      <x:c r="D127" s="34" t="n">
        <x:v>10</x:v>
      </x:c>
      <x:c r="E127" s="34" t="n">
        <x:v>10</x:v>
      </x:c>
      <x:c r="F127" s="34" t="n">
        <x:v>10</x:v>
      </x:c>
      <x:c r="G127" s="34" t="n">
        <x:v>10</x:v>
      </x:c>
      <x:c r="H127" s="34" t="n">
        <x:v>10</x:v>
      </x:c>
      <x:c r="I127" s="9" t="s">
        <x:v>158</x:v>
      </x:c>
    </x:row>
    <x:row r="128" ht="15" hidden="0">
      <x:c r="A128" t="s">
        <x:v>496</x:v>
      </x:c>
      <x:c r="B128" s="19" t="s">
        <x:v>497</x:v>
      </x:c>
      <x:c r="C128" s="30"/>
      <x:c r="D128" s="35" t="n">
        <x:f aca="0">D39/D127-D135</x:f>
        <x:v>200.86129699999998</x:v>
      </x:c>
      <x:c r="E128" s="35" t="n">
        <x:f aca="0">E39/E127-E135</x:f>
        <x:v>200.86129699999998</x:v>
      </x:c>
      <x:c r="F128" s="35" t="n">
        <x:f aca="0">F39/F127-F135</x:f>
        <x:v>200.86129699999998</x:v>
      </x:c>
      <x:c r="G128" s="35" t="n">
        <x:f aca="0">G39/G127-G135</x:f>
        <x:v>195.86129699999998</x:v>
      </x:c>
      <x:c r="H128" s="35" t="n">
        <x:f aca="0">H39/H127-H135</x:f>
        <x:v>183.86129699999998</x:v>
      </x:c>
      <x:c r="I128" s="9" t="s">
        <x:v>498</x:v>
      </x:c>
    </x:row>
    <x:row r="129" ht="15" hidden="0">
      <x:c r="A129" t="s">
        <x:v>499</x:v>
      </x:c>
      <x:c r="B129" s="19" t="s">
        <x:v>500</x:v>
      </x:c>
      <x:c r="C129" s="30"/>
      <x:c r="D129" s="36" t="n">
        <x:v>200.861297</x:v>
      </x:c>
      <x:c r="E129" s="36" t="n">
        <x:v>200.861297</x:v>
      </x:c>
      <x:c r="F129" s="36" t="n">
        <x:v>200.861297</x:v>
      </x:c>
      <x:c r="G129" s="36" t="n">
        <x:v>196.435067</x:v>
      </x:c>
      <x:c r="H129" s="36" t="n">
        <x:v>193.42842</x:v>
      </x:c>
      <x:c r="I129" s="9" t="s">
        <x:v>498</x:v>
      </x:c>
    </x:row>
    <x:row r="130" ht="15" hidden="0">
      <x:c r="A130" t="str">
        <x:v>FY-end share price (Rs; last PSX close)</x:v>
      </x:c>
      <x:c r="B130" s="19" t="s">
        <x:v>501</x:v>
      </x:c>
      <x:c r="C130" s="30"/>
      <x:c r="D130" s="34" t="n">
        <x:v>206.49</x:v>
      </x:c>
      <x:c r="E130" s="34" t="n">
        <x:v>130.13</x:v>
      </x:c>
      <x:c r="F130" s="34" t="n">
        <x:v>173.47</x:v>
      </x:c>
      <x:c r="G130" s="34" t="n">
        <x:v>250.43</x:v>
      </x:c>
      <x:c r="H130" s="34" t="n">
        <x:v>379.36</x:v>
      </x:c>
      <x:c r="I130" s="9" t="s">
        <x:v>158</x:v>
      </x:c>
    </x:row>
    <x:row r="131" ht="15" hidden="0">
      <x:c r="A131" t="s">
        <x:v>502</x:v>
      </x:c>
      <x:c r="B131" s="19" t="s">
        <x:v>503</x:v>
      </x:c>
      <x:c r="C131" s="30"/>
      <x:c r="D131" s="34" t="n">
        <x:v>0</x:v>
      </x:c>
      <x:c r="E131" s="34" t="n">
        <x:v>0</x:v>
      </x:c>
      <x:c r="F131" s="34" t="n">
        <x:v>0</x:v>
      </x:c>
      <x:c r="G131" s="34" t="n">
        <x:v>0</x:v>
      </x:c>
      <x:c r="H131" s="34" t="n">
        <x:v>0</x:v>
      </x:c>
      <x:c r="I131" s="9" t="s">
        <x:v>158</x:v>
      </x:c>
    </x:row>
    <x:row r="132" ht="15" hidden="0">
      <x:c r="A132" t="str">
        <x:v>Reported EPS (Rs; own-year report basis)</x:v>
      </x:c>
      <x:c r="B132" s="19" t="s">
        <x:v>504</x:v>
      </x:c>
      <x:c r="C132" s="30"/>
      <x:c r="D132" s="34" t="n">
        <x:v>17.41</x:v>
      </x:c>
      <x:c r="E132" s="34" t="n">
        <x:v>25.01</x:v>
      </x:c>
      <x:c r="F132" s="34" t="n">
        <x:v>28.98</x:v>
      </x:c>
      <x:c r="G132" s="34" t="n">
        <x:v>45.27</x:v>
      </x:c>
      <x:c r="H132" s="34" t="n">
        <x:v>11.97</x:v>
      </x:c>
      <x:c r="I132" s="9" t="s">
        <x:v>158</x:v>
      </x:c>
    </x:row>
    <x:row r="133" ht="15" hidden="0">
      <x:c r="A133" t="s">
        <x:v>505</x:v>
      </x:c>
      <x:c r="B133" s="19" t="s">
        <x:v>506</x:v>
      </x:c>
      <x:c r="C133" s="30"/>
      <x:c r="D133" s="27" t="n">
        <x:f aca="0">D130*D128</x:f>
        <x:v>41475.84921753</x:v>
      </x:c>
      <x:c r="E133" s="27" t="n">
        <x:f aca="0">E130*E128</x:f>
        <x:v>26138.080578609995</x:v>
      </x:c>
      <x:c r="F133" s="27" t="n">
        <x:f aca="0">F130*F128</x:f>
        <x:v>34843.40919059</x:v>
      </x:c>
      <x:c r="G133" s="27" t="n">
        <x:f aca="0">G130*G128</x:f>
        <x:v>49049.54460771</x:v>
      </x:c>
      <x:c r="H133" s="27" t="n">
        <x:f aca="0">H130*H128</x:f>
        <x:v>69749.62162991999</x:v>
      </x:c>
      <x:c r="I133" s="9" t="s">
        <x:v>98</x:v>
      </x:c>
    </x:row>
    <x:row r="134" ht="15" hidden="0">
      <x:c r="A134" t="str">
        <x:v>Factor to FY2025 annual-report split basis (memo)</x:v>
      </x:c>
      <x:c r="B134" s="19" t="s">
        <x:v>507</x:v>
      </x:c>
      <x:c r="C134" s="30"/>
      <x:c r="D134" s="34" t="n">
        <x:v>5</x:v>
      </x:c>
      <x:c r="E134" s="34" t="n">
        <x:v>5</x:v>
      </x:c>
      <x:c r="F134" s="34" t="n">
        <x:v>5</x:v>
      </x:c>
      <x:c r="G134" s="34" t="n">
        <x:v>5</x:v>
      </x:c>
      <x:c r="H134" s="34" t="n">
        <x:v>5</x:v>
      </x:c>
      <x:c r="I134" s="9" t="s">
        <x:v>508</x:v>
      </x:c>
    </x:row>
    <x:row r="135">
      <x:c r="A135" t="str">
        <x:v>Treasury shares excluded (million)</x:v>
      </x:c>
      <x:c r="B135" s="19"/>
      <x:c r="C135" s="30"/>
      <x:c r="D135" s="34" t="n">
        <x:v>0</x:v>
      </x:c>
      <x:c r="E135" s="34" t="n">
        <x:v>0</x:v>
      </x:c>
      <x:c r="F135" s="34" t="n">
        <x:v>0</x:v>
      </x:c>
      <x:c r="G135" s="34" t="n">
        <x:v>0</x:v>
      </x:c>
      <x:c r="H135" s="34" t="n">
        <x:v>0</x:v>
      </x:c>
    </x:row>
    <x:row r="136" ht="15" hidden="0">
      <x:c r="A136" s="5" t="s">
        <x:v>509</x:v>
      </x:c>
      <x:c r="B136" s="20"/>
      <x:c r="C136" s="20"/>
      <x:c r="D136" s="20"/>
      <x:c r="E136" s="20"/>
      <x:c r="F136" s="20"/>
      <x:c r="G136" s="20"/>
      <x:c r="H136" s="20"/>
      <x:c r="I136" s="20"/>
      <x:c r="J136" s="20"/>
    </x:row>
    <x:row r="137" ht="15" hidden="0">
      <x:c r="A137" s="24" t="s">
        <x:v>510</x:v>
      </x:c>
      <x:c r="B137" s="25"/>
      <x:c r="C137" s="25"/>
      <x:c r="D137" s="25"/>
      <x:c r="E137" s="25"/>
      <x:c r="F137" s="25"/>
      <x:c r="G137" s="25"/>
      <x:c r="H137" s="25"/>
      <x:c r="I137" s="25"/>
      <x:c r="J137" s="25"/>
    </x:row>
    <x:row r="138" ht="15" hidden="0">
      <x:c r="A138" t="s">
        <x:v>87</x:v>
      </x:c>
      <x:c r="B138" s="19" t="s">
        <x:v>88</x:v>
      </x:c>
      <x:c r="C138" s="30"/>
      <x:c r="D138" s="37" t="n">
        <x:f aca="0">D36/D61</x:f>
        <x:v>1.3006446691414961</x:v>
      </x:c>
      <x:c r="E138" s="37" t="n">
        <x:f aca="0">E36/E61</x:f>
        <x:v>1.8735085276109804</x:v>
      </x:c>
      <x:c r="F138" s="37" t="n">
        <x:f aca="0">F36/F61</x:f>
        <x:v>2.311570515459215</x:v>
      </x:c>
      <x:c r="G138" s="37" t="n">
        <x:f aca="0">G36/G61</x:f>
        <x:v>2.903159053016002</x:v>
      </x:c>
      <x:c r="H138" s="37" t="n">
        <x:f aca="0">H36/H61</x:f>
        <x:v>3.311248687172772</x:v>
      </x:c>
      <x:c r="I138" s="9" t="s">
        <x:v>89</x:v>
      </x:c>
    </x:row>
    <x:row r="139" ht="15" hidden="0">
      <x:c r="A139" t="s">
        <x:v>92</x:v>
      </x:c>
      <x:c r="B139" s="19" t="s">
        <x:v>93</x:v>
      </x:c>
      <x:c r="C139" s="30"/>
      <x:c r="D139" s="37" t="n">
        <x:f aca="0">(D36-D65)/D61</x:f>
        <x:v>0.748160438555549</x:v>
      </x:c>
      <x:c r="E139" s="37" t="n">
        <x:f aca="0">(E36-E65)/E61</x:f>
        <x:v>1.2758070110452304</x:v>
      </x:c>
      <x:c r="F139" s="37" t="n">
        <x:f aca="0">(F36-F65)/F61</x:f>
        <x:v>1.5392110300634694</x:v>
      </x:c>
      <x:c r="G139" s="37" t="n">
        <x:f aca="0">(G36-G65)/G61</x:f>
        <x:v>2.220059339921235</x:v>
      </x:c>
      <x:c r="H139" s="37" t="n">
        <x:f aca="0">(H36-H65)/H61</x:f>
        <x:v>2.6677003784340947</x:v>
      </x:c>
      <x:c r="I139" s="9" t="s">
        <x:v>89</x:v>
      </x:c>
    </x:row>
    <x:row r="140" ht="15" hidden="0">
      <x:c r="A140" t="s">
        <x:v>94</x:v>
      </x:c>
      <x:c r="B140" s="19" t="s">
        <x:v>95</x:v>
      </x:c>
      <x:c r="C140" s="30"/>
      <x:c r="D140" s="37" t="n">
        <x:f aca="0">D34/D61</x:f>
        <x:v>0.15817363525137568</x:v>
      </x:c>
      <x:c r="E140" s="37" t="n">
        <x:f aca="0">E34/E61</x:f>
        <x:v>0.05067096377572231</x:v>
      </x:c>
      <x:c r="F140" s="37" t="n">
        <x:f aca="0">F34/F61</x:f>
        <x:v>0.09417804645207263</x:v>
      </x:c>
      <x:c r="G140" s="37" t="n">
        <x:f aca="0">G34/G61</x:f>
        <x:v>0.09937683148978137</x:v>
      </x:c>
      <x:c r="H140" s="37" t="n">
        <x:f aca="0">H34/H61</x:f>
        <x:v>0.1243988942257843</x:v>
      </x:c>
      <x:c r="I140" s="9" t="s">
        <x:v>89</x:v>
      </x:c>
    </x:row>
    <x:row r="141" ht="15" hidden="0">
      <x:c r="A141" t="s">
        <x:v>96</x:v>
      </x:c>
      <x:c r="B141" s="19" t="s">
        <x:v>97</x:v>
      </x:c>
      <x:c r="C141" s="30"/>
      <x:c r="D141" s="38" t="n">
        <x:f aca="0">D36-D61</x:f>
        <x:v>2276.5547739999984</x:v>
      </x:c>
      <x:c r="E141" s="38" t="n">
        <x:f aca="0">E36-E61</x:f>
        <x:v>8287.840767999996</x:v>
      </x:c>
      <x:c r="F141" s="38" t="n">
        <x:f aca="0">F36-F61</x:f>
        <x:v>13000.905238000001</x:v>
      </x:c>
      <x:c r="G141" s="38" t="n">
        <x:f aca="0">G36-G61</x:f>
        <x:v>21116.760542</x:v>
      </x:c>
      <x:c r="H141" s="38" t="n">
        <x:f aca="0">H36-H61</x:f>
        <x:v>26953.091383000003</x:v>
      </x:c>
      <x:c r="I141" s="9" t="s">
        <x:v>98</x:v>
      </x:c>
    </x:row>
    <x:row r="142" ht="15" hidden="0">
      <x:c r="A142" t="s">
        <x:v>100</x:v>
      </x:c>
      <x:c r="B142" s="19" t="s">
        <x:v>101</x:v>
      </x:c>
      <x:c r="C142" s="30"/>
      <x:c r="D142" s="38" t="n">
        <x:f aca="0">D72-D73</x:f>
        <x:v>-106.83863200000178</x:v>
      </x:c>
      <x:c r="E142" s="38" t="n">
        <x:f aca="0">E72-E73</x:f>
        <x:v>-1057.2881590000015</x:v>
      </x:c>
      <x:c r="F142" s="38" t="n">
        <x:f aca="0">F72-F73</x:f>
        <x:v>1004.8001120000008</x:v>
      </x:c>
      <x:c r="G142" s="38" t="n">
        <x:f aca="0">G72-G73</x:f>
        <x:v>949.0612429999965</x:v>
      </x:c>
      <x:c r="H142" s="38" t="n">
        <x:f aca="0">H72-H73</x:f>
        <x:v>-555.9981459999999</x:v>
      </x:c>
      <x:c r="I142" s="9" t="s">
        <x:v>98</x:v>
      </x:c>
    </x:row>
    <x:row r="143" ht="15" hidden="0">
      <x:c r="A143" s="24" t="s">
        <x:v>511</x:v>
      </x:c>
      <x:c r="B143" s="25"/>
      <x:c r="C143" s="25"/>
      <x:c r="D143" s="25"/>
      <x:c r="E143" s="25"/>
      <x:c r="F143" s="25"/>
      <x:c r="G143" s="25"/>
      <x:c r="H143" s="25"/>
      <x:c r="I143" s="25"/>
      <x:c r="J143" s="25"/>
    </x:row>
    <x:row r="144" ht="15" hidden="0">
      <x:c r="A144" t="s">
        <x:v>102</x:v>
      </x:c>
      <x:c r="B144" s="19" t="s">
        <x:v>103</x:v>
      </x:c>
      <x:c r="C144" s="30"/>
      <x:c r="D144" s="37" t="n">
        <x:f aca="0">-D85/((C65+D65)/2)</x:f>
        <x:v>4.857098601325517</x:v>
      </x:c>
      <x:c r="E144" s="37" t="n">
        <x:f aca="0">-E85/((D65+E65)/2)</x:f>
        <x:v>4.681131721571692</x:v>
      </x:c>
      <x:c r="F144" s="37" t="n">
        <x:f aca="0">-F85/((E65+F65)/2)</x:f>
        <x:v>4.275379143771386</x:v>
      </x:c>
      <x:c r="G144" s="37" t="n">
        <x:f aca="0">-G85/((F65+G65)/2)</x:f>
        <x:v>3.5957369645110586</x:v>
      </x:c>
      <x:c r="H144" s="37" t="n">
        <x:f aca="0">-H85/((G65+H65)/2)</x:f>
        <x:v>3.024880626442934</x:v>
      </x:c>
      <x:c r="I144" s="9" t="s">
        <x:v>89</x:v>
      </x:c>
    </x:row>
    <x:row r="145" ht="15" hidden="0">
      <x:c r="A145" t="s">
        <x:v>105</x:v>
      </x:c>
      <x:c r="B145" s="19" t="s">
        <x:v>106</x:v>
      </x:c>
      <x:c r="C145" s="30"/>
      <x:c r="D145" s="37" t="n">
        <x:f aca="0">D84/((C32+D32)/2)</x:f>
        <x:v>32.55652715218313</x:v>
      </x:c>
      <x:c r="E145" s="37" t="n">
        <x:f aca="0">E84/((D32+E32)/2)</x:f>
        <x:v>34.61446204651397</x:v>
      </x:c>
      <x:c r="F145" s="37" t="n">
        <x:f aca="0">F84/((E32+F32)/2)</x:f>
        <x:v>36.690956476472735</x:v>
      </x:c>
      <x:c r="G145" s="37" t="n">
        <x:f aca="0">G84/((F32+G32)/2)</x:f>
        <x:v>23.311269128267483</x:v>
      </x:c>
      <x:c r="H145" s="37" t="n">
        <x:f aca="0">H84/((G32+H32)/2)</x:f>
        <x:v>19.742821104933064</x:v>
      </x:c>
      <x:c r="I145" s="9" t="s">
        <x:v>89</x:v>
      </x:c>
    </x:row>
    <x:row r="146" ht="15" hidden="0">
      <x:c r="A146" t="s">
        <x:v>107</x:v>
      </x:c>
      <x:c r="B146" s="19" t="s">
        <x:v>108</x:v>
      </x:c>
      <x:c r="C146" s="30"/>
      <x:c r="D146" s="37" t="n">
        <x:f aca="0">-D85/((C51+D51)/2)</x:f>
        <x:v>13.672632178905467</x:v>
      </x:c>
      <x:c r="E146" s="37" t="n">
        <x:f aca="0">-E85/((D51+E51)/2)</x:f>
        <x:v>16.26188152658038</x:v>
      </x:c>
      <x:c r="F146" s="37" t="n">
        <x:f aca="0">-F85/((E51+F51)/2)</x:f>
        <x:v>29.126311219807445</x:v>
      </x:c>
      <x:c r="G146" s="37" t="n">
        <x:f aca="0">-G85/((F51+G51)/2)</x:f>
        <x:v>22.3044994512903</x:v>
      </x:c>
      <x:c r="H146" s="37" t="n">
        <x:f aca="0">-H85/((G51+H51)/2)</x:f>
        <x:v>11.733886186566796</x:v>
      </x:c>
      <x:c r="I146" s="9" t="s">
        <x:v>89</x:v>
      </x:c>
    </x:row>
    <x:row r="147" ht="15" hidden="0">
      <x:c r="A147" t="s">
        <x:v>109</x:v>
      </x:c>
      <x:c r="B147" s="19" t="s">
        <x:v>110</x:v>
      </x:c>
      <x:c r="C147" s="30"/>
      <x:c r="D147" s="39" t="n">
        <x:f aca="0">365/D144</x:f>
        <x:v>75.14774353157878</x:v>
      </x:c>
      <x:c r="E147" s="39" t="n">
        <x:f aca="0">365/E144</x:f>
        <x:v>77.97259759173176</x:v>
      </x:c>
      <x:c r="F147" s="39" t="n">
        <x:f aca="0">365/F144</x:f>
        <x:v>85.37254538740795</x:v>
      </x:c>
      <x:c r="G147" s="39" t="n">
        <x:f aca="0">365/G144</x:f>
        <x:v>101.50909357454404</x:v>
      </x:c>
      <x:c r="H147" s="39" t="n">
        <x:f aca="0">365/H144</x:f>
        <x:v>120.66591878345184</x:v>
      </x:c>
      <x:c r="I147" s="9" t="s">
        <x:v>111</x:v>
      </x:c>
    </x:row>
    <x:row r="148" ht="15" hidden="0">
      <x:c r="A148" t="s">
        <x:v>113</x:v>
      </x:c>
      <x:c r="B148" s="19" t="s">
        <x:v>114</x:v>
      </x:c>
      <x:c r="C148" s="30"/>
      <x:c r="D148" s="39" t="n">
        <x:f aca="0">365/D145</x:f>
        <x:v>11.21126950346497</x:v>
      </x:c>
      <x:c r="E148" s="39" t="n">
        <x:f aca="0">365/E145</x:f>
        <x:v>10.544725482358297</x:v>
      </x:c>
      <x:c r="F148" s="39" t="n">
        <x:f aca="0">365/F145</x:f>
        <x:v>9.947955437848783</x:v>
      </x:c>
      <x:c r="G148" s="39" t="n">
        <x:f aca="0">365/G145</x:f>
        <x:v>15.65766316675557</x:v>
      </x:c>
      <x:c r="H148" s="39" t="n">
        <x:f aca="0">365/H145</x:f>
        <x:v>18.487732733839078</x:v>
      </x:c>
      <x:c r="I148" s="9" t="s">
        <x:v>111</x:v>
      </x:c>
    </x:row>
    <x:row r="149" ht="15" hidden="0">
      <x:c r="A149" t="s">
        <x:v>115</x:v>
      </x:c>
      <x:c r="B149" s="19" t="s">
        <x:v>116</x:v>
      </x:c>
      <x:c r="C149" s="30"/>
      <x:c r="D149" s="39" t="n">
        <x:f aca="0">365/D146</x:f>
        <x:v>26.695664391757177</x:v>
      </x:c>
      <x:c r="E149" s="39" t="n">
        <x:f aca="0">365/E146</x:f>
        <x:v>22.44512723840719</x:v>
      </x:c>
      <x:c r="F149" s="39" t="n">
        <x:f aca="0">365/F146</x:f>
        <x:v>12.531624662163898</x:v>
      </x:c>
      <x:c r="G149" s="39" t="n">
        <x:f aca="0">365/G146</x:f>
        <x:v>16.36441117170576</x:v>
      </x:c>
      <x:c r="H149" s="39" t="n">
        <x:f aca="0">365/H146</x:f>
        <x:v>31.10648886452127</x:v>
      </x:c>
      <x:c r="I149" s="9" t="s">
        <x:v>111</x:v>
      </x:c>
    </x:row>
    <x:row r="150" ht="15" hidden="0">
      <x:c r="A150" t="s">
        <x:v>117</x:v>
      </x:c>
      <x:c r="B150" s="19" t="s">
        <x:v>118</x:v>
      </x:c>
      <x:c r="C150" s="30"/>
      <x:c r="D150" s="39" t="n">
        <x:f aca="0">D147+D148</x:f>
        <x:v>86.35901303504376</x:v>
      </x:c>
      <x:c r="E150" s="39" t="n">
        <x:f aca="0">E147+E148</x:f>
        <x:v>88.51732307409006</x:v>
      </x:c>
      <x:c r="F150" s="39" t="n">
        <x:f aca="0">F147+F148</x:f>
        <x:v>95.32050082525674</x:v>
      </x:c>
      <x:c r="G150" s="39" t="n">
        <x:f aca="0">G147+G148</x:f>
        <x:v>117.16675674129961</x:v>
      </x:c>
      <x:c r="H150" s="39" t="n">
        <x:f aca="0">H147+H148</x:f>
        <x:v>139.1536515172909</x:v>
      </x:c>
      <x:c r="I150" s="9" t="s">
        <x:v>111</x:v>
      </x:c>
    </x:row>
    <x:row r="151" ht="15" hidden="0">
      <x:c r="A151" t="s">
        <x:v>119</x:v>
      </x:c>
      <x:c r="B151" s="19" t="s">
        <x:v>120</x:v>
      </x:c>
      <x:c r="C151" s="30"/>
      <x:c r="D151" s="39" t="n">
        <x:f aca="0">D147+D148-D149</x:f>
        <x:v>59.66334864328658</x:v>
      </x:c>
      <x:c r="E151" s="39" t="n">
        <x:f aca="0">E147+E148-E149</x:f>
        <x:v>66.07219583568286</x:v>
      </x:c>
      <x:c r="F151" s="39" t="n">
        <x:f aca="0">F147+F148-F149</x:f>
        <x:v>82.78887616309285</x:v>
      </x:c>
      <x:c r="G151" s="39" t="n">
        <x:f aca="0">G147+G148-G149</x:f>
        <x:v>100.80234556959385</x:v>
      </x:c>
      <x:c r="H151" s="39" t="n">
        <x:f aca="0">H147+H148-H149</x:f>
        <x:v>108.04716265276964</x:v>
      </x:c>
      <x:c r="I151" s="9" t="s">
        <x:v>111</x:v>
      </x:c>
    </x:row>
    <x:row r="152" ht="15" hidden="0">
      <x:c r="A152" t="s">
        <x:v>121</x:v>
      </x:c>
      <x:c r="B152" s="19" t="s">
        <x:v>122</x:v>
      </x:c>
      <x:c r="C152" s="30"/>
      <x:c r="D152" s="37" t="n">
        <x:f aca="0">D84/((C37+D37)/2)</x:f>
        <x:v>0.7092011621843222</x:v>
      </x:c>
      <x:c r="E152" s="37" t="n">
        <x:f aca="0">E84/((D37+E37)/2)</x:f>
        <x:v>0.8277428727778264</x:v>
      </x:c>
      <x:c r="F152" s="37" t="n">
        <x:f aca="0">F84/((E37+F37)/2)</x:f>
        <x:v>0.838099135080987</x:v>
      </x:c>
      <x:c r="G152" s="37" t="n">
        <x:f aca="0">G84/((F37+G37)/2)</x:f>
        <x:v>0.7132336607672219</x:v>
      </x:c>
      <x:c r="H152" s="37" t="n">
        <x:f aca="0">H84/((G37+H37)/2)</x:f>
        <x:v>0.59752332567838</x:v>
      </x:c>
      <x:c r="I152" s="9" t="s">
        <x:v>89</x:v>
      </x:c>
    </x:row>
    <x:row r="153" ht="15" hidden="0">
      <x:c r="A153" t="s">
        <x:v>123</x:v>
      </x:c>
      <x:c r="B153" s="19" t="s">
        <x:v>124</x:v>
      </x:c>
      <x:c r="C153" s="30"/>
      <x:c r="D153" s="37" t="n">
        <x:f aca="0">D84/((C22+D22)/2)</x:f>
        <x:v>1.0844791007988606</x:v>
      </x:c>
      <x:c r="E153" s="37" t="n">
        <x:f aca="0">E84/((D22+E22)/2)</x:f>
        <x:v>1.5307978904973403</x:v>
      </x:c>
      <x:c r="F153" s="37" t="n">
        <x:f aca="0">F84/((E22+F22)/2)</x:f>
        <x:v>1.876337672472641</x:v>
      </x:c>
      <x:c r="G153" s="37" t="n">
        <x:f aca="0">G84/((F22+G22)/2)</x:f>
        <x:v>1.8650719460684553</x:v>
      </x:c>
      <x:c r="H153" s="37" t="n">
        <x:f aca="0">H84/((G22+H22)/2)</x:f>
        <x:v>1.7861104563188661</x:v>
      </x:c>
      <x:c r="I153" s="9" t="s">
        <x:v>89</x:v>
      </x:c>
    </x:row>
    <x:row r="154" ht="15" hidden="0">
      <x:c r="A154" s="24" t="s">
        <x:v>512</x:v>
      </x:c>
      <x:c r="B154" s="25"/>
      <x:c r="C154" s="25"/>
      <x:c r="D154" s="25"/>
      <x:c r="E154" s="25"/>
      <x:c r="F154" s="25"/>
      <x:c r="G154" s="25"/>
      <x:c r="H154" s="25"/>
      <x:c r="I154" s="25"/>
      <x:c r="J154" s="25"/>
    </x:row>
    <x:row r="155" ht="15" hidden="0">
      <x:c r="A155" t="s">
        <x:v>125</x:v>
      </x:c>
      <x:c r="B155" s="19" t="s">
        <x:v>126</x:v>
      </x:c>
      <x:c r="C155" s="30"/>
      <x:c r="D155" s="40" t="n">
        <x:f aca="0">D62/D37</x:f>
        <x:v>0.384166382555034</x:v>
      </x:c>
      <x:c r="E155" s="40" t="n">
        <x:f aca="0">E62/E37</x:f>
        <x:v>0.37149249167170456</x:v>
      </x:c>
      <x:c r="F155" s="40" t="n">
        <x:f aca="0">F62/F37</x:f>
        <x:v>0.3416112409848334</x:v>
      </x:c>
      <x:c r="G155" s="40" t="n">
        <x:f aca="0">G62/G37</x:f>
        <x:v>0.3016994518502951</x:v>
      </x:c>
      <x:c r="H155" s="40" t="n">
        <x:f aca="0">H62/H37</x:f>
        <x:v>0.28204672647028445</x:v>
      </x:c>
      <x:c r="I155" s="9" t="s">
        <x:v>127</x:v>
      </x:c>
    </x:row>
    <x:row r="156" ht="15" hidden="0">
      <x:c r="A156" t="s">
        <x:v>129</x:v>
      </x:c>
      <x:c r="B156" s="19" t="s">
        <x:v>130</x:v>
      </x:c>
      <x:c r="C156" s="30"/>
      <x:c r="D156" s="37" t="n">
        <x:f aca="0">D62/D41</x:f>
        <x:v>0.6238152183846396</x:v>
      </x:c>
      <x:c r="E156" s="37" t="n">
        <x:f aca="0">E62/E41</x:f>
        <x:v>0.5910708889696489</x:v>
      </x:c>
      <x:c r="F156" s="37" t="n">
        <x:f aca="0">F62/F41</x:f>
        <x:v>0.5188594676127575</x:v>
      </x:c>
      <x:c r="G156" s="37" t="n">
        <x:f aca="0">G62/G41</x:f>
        <x:v>0.4320481383692331</x:v>
      </x:c>
      <x:c r="H156" s="37" t="n">
        <x:f aca="0">H62/H41</x:f>
        <x:v>0.3928483048536595</x:v>
      </x:c>
      <x:c r="I156" s="9" t="s">
        <x:v>89</x:v>
      </x:c>
    </x:row>
    <x:row r="157" ht="15" hidden="0">
      <x:c r="A157" t="s">
        <x:v>131</x:v>
      </x:c>
      <x:c r="B157" s="19" t="s">
        <x:v>132</x:v>
      </x:c>
      <x:c r="C157" s="30"/>
      <x:c r="D157" s="40" t="n">
        <x:f aca="0">D66/(D66+D41)</x:f>
        <x:v>0.21400284667161887</x:v>
      </x:c>
      <x:c r="E157" s="40" t="n">
        <x:f aca="0">E66/(E66+E41)</x:f>
        <x:v>0.13497287275854264</x:v>
      </x:c>
      <x:c r="F157" s="40" t="n">
        <x:f aca="0">F66/(F66+F41)</x:f>
        <x:v>0.08893739146213345</x:v>
      </x:c>
      <x:c r="G157" s="40" t="n">
        <x:f aca="0">G66/(G66+G41)</x:f>
        <x:v>0.05274524653901662</x:v>
      </x:c>
      <x:c r="H157" s="40" t="n">
        <x:f aca="0">H66/(H66+H41)</x:f>
        <x:v>0.045577294289546766</x:v>
      </x:c>
      <x:c r="I157" s="9" t="s">
        <x:v>127</x:v>
      </x:c>
    </x:row>
    <x:row r="158" ht="15" hidden="0">
      <x:c r="A158" t="s">
        <x:v>133</x:v>
      </x:c>
      <x:c r="B158" s="19" t="s">
        <x:v>134</x:v>
      </x:c>
      <x:c r="C158" s="30"/>
      <x:c r="D158" s="40" t="n">
        <x:f aca="0">D67/D37</x:f>
        <x:v>0.1220875910318789</x:v>
      </x:c>
      <x:c r="E158" s="40" t="n">
        <x:f aca="0">E67/E37</x:f>
        <x:v>0.07334143338786069</x:v>
      </x:c>
      <x:c r="F158" s="40" t="n">
        <x:f aca="0">F67/F37</x:f>
        <x:v>0.04338813037035516</x:v>
      </x:c>
      <x:c r="G158" s="40" t="n">
        <x:f aca="0">G67/G37</x:f>
        <x:v>0.01901053423767185</x:v>
      </x:c>
      <x:c r="H158" s="40" t="n">
        <x:f aca="0">H67/H37</x:f>
        <x:v>0.02169313165517457</x:v>
      </x:c>
      <x:c r="I158" s="9" t="s">
        <x:v>127</x:v>
      </x:c>
    </x:row>
    <x:row r="159" ht="15" hidden="0">
      <x:c r="A159" t="s">
        <x:v>135</x:v>
      </x:c>
      <x:c r="B159" s="19" t="s">
        <x:v>136</x:v>
      </x:c>
      <x:c r="C159" s="30"/>
      <x:c r="D159" s="37" t="n">
        <x:f aca="0">IF(D106&lt;=0,"n/m",D108/D106)</x:f>
        <x:v>11.019706901181747</x:v>
      </x:c>
      <x:c r="E159" s="37" t="n">
        <x:f aca="0">IF(E106&lt;=0,"n/m",E108/E106)</x:f>
        <x:v>18.36315245249661</x:v>
      </x:c>
      <x:c r="F159" s="37" t="n">
        <x:f aca="0">IF(F106&lt;=0,"n/m",F108/F106)</x:f>
        <x:v>16.398825279873954</x:v>
      </x:c>
      <x:c r="G159" s="37" t="n">
        <x:f aca="0">IF(G106&lt;=0,"n/m",G108/G106)</x:f>
        <x:v>22.367720224205137</x:v>
      </x:c>
      <x:c r="H159" s="37" t="n">
        <x:f aca="0">IF(H106&lt;=0,"n/m",H108/H106)</x:f>
        <x:v>59.09895319837231</x:v>
      </x:c>
      <x:c r="I159" s="9" t="s">
        <x:v>89</x:v>
      </x:c>
    </x:row>
    <x:row r="160" ht="15" hidden="0">
      <x:c r="A160" t="s">
        <x:v>137</x:v>
      </x:c>
      <x:c r="B160" s="19" t="s">
        <x:v>138</x:v>
      </x:c>
      <x:c r="C160" s="30"/>
      <x:c r="D160" s="37" t="n">
        <x:f aca="0">IF(D109&lt;=0,"n/m",D68/D109)</x:f>
        <x:v>0.7315758637535726</x:v>
      </x:c>
      <x:c r="E160" s="37" t="n">
        <x:f aca="0">IF(E109&lt;=0,"n/m",E68/E109)</x:f>
        <x:v>0.3563402762598097</x:v>
      </x:c>
      <x:c r="F160" s="37" t="n">
        <x:f aca="0">IF(F109&lt;=0,"n/m",F68/F109)</x:f>
        <x:v>0.18253286758574166</x:v>
      </x:c>
      <x:c r="G160" s="37" t="n">
        <x:f aca="0">IF(G109&lt;=0,"n/m",G68/G109)</x:f>
        <x:v>0.07580684653859704</x:v>
      </x:c>
      <x:c r="H160" s="37" t="n">
        <x:f aca="0">IF(H109&lt;=0,"n/m",H68/H109)</x:f>
        <x:v>0.043350427185611946</x:v>
      </x:c>
      <x:c r="I160" s="9" t="s">
        <x:v>89</x:v>
      </x:c>
    </x:row>
    <x:row r="161" ht="15" hidden="0">
      <x:c r="A161" s="24" t="s">
        <x:v>513</x:v>
      </x:c>
      <x:c r="B161" s="25"/>
      <x:c r="C161" s="25"/>
      <x:c r="D161" s="25"/>
      <x:c r="E161" s="25"/>
      <x:c r="F161" s="25"/>
      <x:c r="G161" s="25"/>
      <x:c r="H161" s="25"/>
      <x:c r="I161" s="25"/>
      <x:c r="J161" s="25"/>
    </x:row>
    <x:row r="162" ht="15" hidden="0">
      <x:c r="A162" t="s">
        <x:v>139</x:v>
      </x:c>
      <x:c r="B162" s="19" t="s">
        <x:v>140</x:v>
      </x:c>
      <x:c r="C162" s="30"/>
      <x:c r="D162" s="40" t="n">
        <x:f aca="0">D86/D84</x:f>
        <x:v>0.2479634130082893</x:v>
      </x:c>
      <x:c r="E162" s="40" t="n">
        <x:f aca="0">E86/E84</x:f>
        <x:v>0.2984391421350988</x:v>
      </x:c>
      <x:c r="F162" s="40" t="n">
        <x:f aca="0">F86/F84</x:f>
        <x:v>0.2680435681898961</x:v>
      </x:c>
      <x:c r="G162" s="40" t="n">
        <x:f aca="0">G86/G84</x:f>
        <x:v>0.29125851467425595</x:v>
      </x:c>
      <x:c r="H162" s="40" t="n">
        <x:f aca="0">H86/H84</x:f>
        <x:v>0.39220278175445145</x:v>
      </x:c>
      <x:c r="I162" s="9" t="s">
        <x:v>127</x:v>
      </x:c>
    </x:row>
    <x:row r="163" ht="15" hidden="0">
      <x:c r="A163" t="s">
        <x:v>142</x:v>
      </x:c>
      <x:c r="B163" s="19" t="s">
        <x:v>143</x:v>
      </x:c>
      <x:c r="C163" s="30"/>
      <x:c r="D163" s="40" t="n">
        <x:f aca="0">D91/D84</x:f>
        <x:v>0.2174940172918257</x:v>
      </x:c>
      <x:c r="E163" s="40" t="n">
        <x:f aca="0">E91/E84</x:f>
        <x:v>0.26684521417223683</x:v>
      </x:c>
      <x:c r="F163" s="40" t="n">
        <x:f aca="0">F91/F84</x:f>
        <x:v>0.23441531849714523</x:v>
      </x:c>
      <x:c r="G163" s="40" t="n">
        <x:f aca="0">G91/G84</x:f>
        <x:v>0.25877948344250634</x:v>
      </x:c>
      <x:c r="H163" s="40" t="n">
        <x:f aca="0">H91/H84</x:f>
        <x:v>0.34143534845456586</x:v>
      </x:c>
      <x:c r="I163" s="9" t="s">
        <x:v>127</x:v>
      </x:c>
    </x:row>
    <x:row r="164" ht="15" hidden="0">
      <x:c r="A164" t="s">
        <x:v>144</x:v>
      </x:c>
      <x:c r="B164" s="19" t="s">
        <x:v>145</x:v>
      </x:c>
      <x:c r="C164" s="30"/>
      <x:c r="D164" s="40" t="n">
        <x:f aca="0">D99/D84</x:f>
        <x:v>0.1453819089897026</x:v>
      </x:c>
      <x:c r="E164" s="40" t="n">
        <x:f aca="0">E99/E84</x:f>
        <x:v>0.15282075695786385</x:v>
      </x:c>
      <x:c r="F164" s="40" t="n">
        <x:f aca="0">F99/F84</x:f>
        <x:v>0.14955052871384544</x:v>
      </x:c>
      <x:c r="G164" s="40" t="n">
        <x:f aca="0">G99/G84</x:f>
        <x:v>0.23011561219895646</x:v>
      </x:c>
      <x:c r="H164" s="40" t="n">
        <x:f aca="0">H99/H84</x:f>
        <x:v>0.3083771970759486</x:v>
      </x:c>
      <x:c r="I164" s="9" t="s">
        <x:v>127</x:v>
      </x:c>
    </x:row>
    <x:row r="165" ht="15" hidden="0">
      <x:c r="A165" t="s">
        <x:v>146</x:v>
      </x:c>
      <x:c r="B165" s="19" t="s">
        <x:v>147</x:v>
      </x:c>
      <x:c r="C165" s="30"/>
      <x:c r="D165" s="40" t="n">
        <x:f aca="0">D99/((C37+D37)/2)</x:f>
        <x:v>0.10310501881607244</x:v>
      </x:c>
      <x:c r="E165" s="40" t="n">
        <x:f aca="0">E99/((D37+E37)/2)</x:f>
        <x:v>0.12649629238438423</x:v>
      </x:c>
      <x:c r="F165" s="40" t="n">
        <x:f aca="0">F99/((E37+F37)/2)</x:f>
        <x:v>0.12533816876597817</x:v>
      </x:c>
      <x:c r="G165" s="40" t="n">
        <x:f aca="0">G99/((F37+G37)/2)</x:f>
        <x:v>0.1641262004883521</x:v>
      </x:c>
      <x:c r="H165" s="40" t="n">
        <x:f aca="0">H99/((G37+H37)/2)</x:f>
        <x:v>0.184262568360198</x:v>
      </x:c>
      <x:c r="I165" s="9" t="s">
        <x:v>127</x:v>
      </x:c>
    </x:row>
    <x:row r="166" ht="15" hidden="0">
      <x:c r="A166" t="s">
        <x:v>148</x:v>
      </x:c>
      <x:c r="B166" s="19" t="s">
        <x:v>149</x:v>
      </x:c>
      <x:c r="C166" s="30"/>
      <x:c r="D166" s="40" t="n">
        <x:f aca="0">D99/((C41+D41)/2)</x:f>
        <x:v>0.1708175375326949</x:v>
      </x:c>
      <x:c r="E166" s="40" t="n">
        <x:f aca="0">E99/((D41+E41)/2)</x:f>
        <x:v>0.2031253153612202</x:v>
      </x:c>
      <x:c r="F166" s="40" t="n">
        <x:f aca="0">F99/((E41+F41)/2)</x:f>
        <x:v>0.1944909568032407</x:v>
      </x:c>
      <x:c r="G166" s="40" t="n">
        <x:f aca="0">G99/((F41+G41)/2)</x:f>
        <x:v>0.24134090965005384</x:v>
      </x:c>
      <x:c r="H166" s="40" t="n">
        <x:f aca="0">H99/((G41+H41)/2)</x:f>
        <x:v>0.25998290898160303</x:v>
      </x:c>
      <x:c r="I166" s="9" t="s">
        <x:v>127</x:v>
      </x:c>
    </x:row>
    <x:row r="167" ht="15" hidden="0">
      <x:c r="A167" t="s">
        <x:v>150</x:v>
      </x:c>
      <x:c r="B167" s="19" t="s">
        <x:v>151</x:v>
      </x:c>
      <x:c r="C167" s="30"/>
      <x:c r="D167" s="40" t="n">
        <x:f aca="0">D113/((C70+D70)/2)</x:f>
        <x:v>0.14327122643181978</x:v>
      </x:c>
      <x:c r="E167" s="40" t="n">
        <x:f aca="0">E113/((D70+E70)/2)</x:f>
        <x:v>0.17824324729851332</x:v>
      </x:c>
      <x:c r="F167" s="40" t="n">
        <x:f aca="0">F113/((E70+F70)/2)</x:f>
        <x:v>0.18523585661078099</x:v>
      </x:c>
      <x:c r="G167" s="40" t="n">
        <x:f aca="0">G113/((F70+G70)/2)</x:f>
        <x:v>0.23570906894923696</x:v>
      </x:c>
      <x:c r="H167" s="40" t="n">
        <x:f aca="0">H113/((G70+H70)/2)</x:f>
        <x:v>0.25214553924649025</x:v>
      </x:c>
      <x:c r="I167" s="9" t="s">
        <x:v>127</x:v>
      </x:c>
    </x:row>
    <x:row r="168" ht="15" hidden="0">
      <x:c r="A168" t="s">
        <x:v>152</x:v>
      </x:c>
      <x:c r="B168" s="19" t="s">
        <x:v>153</x:v>
      </x:c>
      <x:c r="C168" s="30"/>
      <x:c r="D168" s="40" t="n">
        <x:f aca="0">D108/((C37+D37)/2)</x:f>
        <x:v>0.15927842615719043</x:v>
      </x:c>
      <x:c r="E168" s="40" t="n">
        <x:f aca="0">E108/((D37+E37)/2)</x:f>
        <x:v>0.23825496283693048</x:v>
      </x:c>
      <x:c r="F168" s="40" t="n">
        <x:f aca="0">F108/((E37+F37)/2)</x:f>
        <x:v>0.24137695696625033</x:v>
      </x:c>
      <x:c r="G168" s="40" t="n">
        <x:f aca="0">G108/((F37+G37)/2)</x:f>
        <x:v>0.2667383296475893</x:v>
      </x:c>
      <x:c r="H168" s="40" t="n">
        <x:f aca="0">H108/((G37+H37)/2)</x:f>
        <x:v>0.28807830028219766</x:v>
      </x:c>
      <x:c r="I168" s="9" t="s">
        <x:v>127</x:v>
      </x:c>
    </x:row>
    <x:row r="169" ht="15" hidden="0">
      <x:c r="A169" t="s">
        <x:v>154</x:v>
      </x:c>
      <x:c r="B169" s="19" t="s">
        <x:v>155</x:v>
      </x:c>
      <x:c r="C169" s="30"/>
      <x:c r="D169" s="40" t="n">
        <x:f aca="0">D109/D84</x:f>
        <x:v>0.2757450655967617</x:v>
      </x:c>
      <x:c r="E169" s="40" t="n">
        <x:f aca="0">E109/E84</x:f>
        <x:v>0.3218458531352648</x:v>
      </x:c>
      <x:c r="F169" s="40" t="n">
        <x:f aca="0">F109/F84</x:f>
        <x:v>0.31667859993966047</x:v>
      </x:c>
      <x:c r="G169" s="40" t="n">
        <x:f aca="0">G109/G84</x:f>
        <x:v>0.4045887754844856</x:v>
      </x:c>
      <x:c r="H169" s="40" t="n">
        <x:f aca="0">H109/H84</x:f>
        <x:v>0.5158217027553589</x:v>
      </x:c>
      <x:c r="I169" s="9" t="s">
        <x:v>127</x:v>
      </x:c>
    </x:row>
    <x:row r="170" ht="15" hidden="0">
      <x:c r="A170" s="24" t="s">
        <x:v>514</x:v>
      </x:c>
      <x:c r="B170" s="25"/>
      <x:c r="C170" s="25"/>
      <x:c r="D170" s="25"/>
      <x:c r="E170" s="25"/>
      <x:c r="F170" s="25"/>
      <x:c r="G170" s="25"/>
      <x:c r="H170" s="25"/>
      <x:c r="I170" s="25"/>
      <x:c r="J170" s="25"/>
    </x:row>
    <x:row r="171" ht="15" hidden="0">
      <x:c r="A171" t="s">
        <x:v>156</x:v>
      </x:c>
      <x:c r="B171" s="19" t="s">
        <x:v>157</x:v>
      </x:c>
      <x:c r="C171" s="30"/>
      <x:c r="D171" s="41" t="n">
        <x:f aca="0">D41/D128</x:f>
        <x:v>110.64122209168052</x:v>
      </x:c>
      <x:c r="E171" s="41" t="n">
        <x:f aca="0">E41/E128</x:f>
        <x:v>135.64693964412666</x:v>
      </x:c>
      <x:c r="F171" s="41" t="n">
        <x:f aca="0">F41/F128</x:f>
        <x:v>162.35106244484723</x:v>
      </x:c>
      <x:c r="G171" s="41" t="n">
        <x:f aca="0">G41/G128</x:f>
        <x:v>209.7928785338331</x:v>
      </x:c>
      <x:c r="H171" s="41" t="n">
        <x:f aca="0">H41/H128</x:f>
        <x:v>260.8226721418157</x:v>
      </x:c>
      <x:c r="I171" s="9" t="s">
        <x:v>158</x:v>
      </x:c>
    </x:row>
    <x:row r="172" ht="15" hidden="0">
      <x:c r="A172" t="s">
        <x:v>160</x:v>
      </x:c>
      <x:c r="B172" s="19" t="s">
        <x:v>161</x:v>
      </x:c>
      <x:c r="C172" s="30"/>
      <x:c r="D172" s="37" t="n">
        <x:f aca="0">D130/D171</x:f>
        <x:v>1.8663025958706099</x:v>
      </x:c>
      <x:c r="E172" s="37" t="n">
        <x:f aca="0">E130/E171</x:f>
        <x:v>0.959328683281757</x:v>
      </x:c>
      <x:c r="F172" s="37" t="n">
        <x:f aca="0">F130/F171</x:f>
        <x:v>1.0684870021034203</x:v>
      </x:c>
      <x:c r="G172" s="37" t="n">
        <x:f aca="0">G130/G171</x:f>
        <x:v>1.1937011482475721</x:v>
      </x:c>
      <x:c r="H172" s="37" t="n">
        <x:f aca="0">H130/H171</x:f>
        <x:v>1.4544747850514033</x:v>
      </x:c>
      <x:c r="I172" s="9" t="s">
        <x:v>89</x:v>
      </x:c>
    </x:row>
    <x:row r="173" ht="15" hidden="0">
      <x:c r="A173" t="s">
        <x:v>162</x:v>
      </x:c>
      <x:c r="B173" s="19" t="s">
        <x:v>163</x:v>
      </x:c>
      <x:c r="C173" s="30"/>
      <x:c r="D173" s="41" t="n">
        <x:f aca="0">D99/D129</x:f>
        <x:v>17.412549352402124</x:v>
      </x:c>
      <x:c r="E173" s="41" t="n">
        <x:f aca="0">E99/E129</x:f>
        <x:v>25.013680261160516</x:v>
      </x:c>
      <x:c r="F173" s="41" t="n">
        <x:f aca="0">F99/F129</x:f>
        <x:v>28.978958275869324</x:v>
      </x:c>
      <x:c r="G173" s="41" t="n">
        <x:f aca="0">G99/G129</x:f>
        <x:v>45.27427267861498</x:v>
      </x:c>
      <x:c r="H173" s="41" t="n">
        <x:f aca="0">H99/H129</x:f>
        <x:v>59.84205460086993</x:v>
      </x:c>
      <x:c r="I173" s="9" t="s">
        <x:v>158</x:v>
      </x:c>
    </x:row>
    <x:row r="174" ht="15" hidden="0">
      <x:c r="A174" t="s">
        <x:v>164</x:v>
      </x:c>
      <x:c r="B174" s="19" t="s">
        <x:v>165</x:v>
      </x:c>
      <x:c r="C174" s="30"/>
      <x:c r="D174" s="37" t="n">
        <x:f aca="0">IF(D173&lt;=0,"n/m",D130/D173)</x:f>
        <x:v>11.858688571154802</x:v>
      </x:c>
      <x:c r="E174" s="37" t="n">
        <x:f aca="0">IF(E173&lt;=0,"n/m",E130/E173)</x:f>
        <x:v>5.202353217973155</x:v>
      </x:c>
      <x:c r="F174" s="37" t="n">
        <x:f aca="0">IF(F173&lt;=0,"n/m",F130/F173)</x:f>
        <x:v>5.986067488990722</x:v>
      </x:c>
      <x:c r="G174" s="37" t="n">
        <x:f aca="0">IF(G173&lt;=0,"n/m",G130/G173)</x:f>
        <x:v>5.531397528519306</x:v>
      </x:c>
      <x:c r="H174" s="37" t="n">
        <x:f aca="0">IF(H173&lt;=0,"n/m",H130/H173)</x:f>
        <x:v>6.339354531361382</x:v>
      </x:c>
      <x:c r="I174" s="9" t="s">
        <x:v>89</x:v>
      </x:c>
    </x:row>
    <x:row r="175" ht="15" hidden="0">
      <x:c r="A175" t="s">
        <x:v>166</x:v>
      </x:c>
      <x:c r="B175" s="19" t="s">
        <x:v>167</x:v>
      </x:c>
      <x:c r="C175" s="30"/>
      <x:c r="D175" s="40" t="n">
        <x:f aca="0">D131/D130</x:f>
        <x:v>0</x:v>
      </x:c>
      <x:c r="E175" s="40" t="n">
        <x:f aca="0">E131/E130</x:f>
        <x:v>0</x:v>
      </x:c>
      <x:c r="F175" s="40" t="n">
        <x:f aca="0">F131/F130</x:f>
        <x:v>0</x:v>
      </x:c>
      <x:c r="G175" s="40" t="n">
        <x:f aca="0">G131/G130</x:f>
        <x:v>0</x:v>
      </x:c>
      <x:c r="H175" s="40" t="n">
        <x:f aca="0">H131/H130</x:f>
        <x:v>0</x:v>
      </x:c>
      <x:c r="I175" s="9" t="s">
        <x:v>127</x:v>
      </x:c>
    </x:row>
    <x:row r="176" ht="15" hidden="0">
      <x:c r="A176" t="s">
        <x:v>168</x:v>
      </x:c>
      <x:c r="B176" s="19" t="s">
        <x:v>169</x:v>
      </x:c>
      <x:c r="C176" s="30"/>
      <x:c r="D176" s="40" t="n">
        <x:f aca="0">IF(D173&lt;=0,"n/m",D131/D173)</x:f>
        <x:v>0</x:v>
      </x:c>
      <x:c r="E176" s="40" t="n">
        <x:f aca="0">IF(E173&lt;=0,"n/m",E131/E173)</x:f>
        <x:v>0</x:v>
      </x:c>
      <x:c r="F176" s="40" t="n">
        <x:f aca="0">IF(F173&lt;=0,"n/m",F131/F173)</x:f>
        <x:v>0</x:v>
      </x:c>
      <x:c r="G176" s="40" t="n">
        <x:f aca="0">IF(G173&lt;=0,"n/m",G131/G173)</x:f>
        <x:v>0</x:v>
      </x:c>
      <x:c r="H176" s="40" t="n">
        <x:f aca="0">IF(H173&lt;=0,"n/m",H131/H173)</x:f>
        <x:v>0</x:v>
      </x:c>
      <x:c r="I176" s="9" t="s">
        <x:v>127</x:v>
      </x:c>
    </x:row>
    <x:row r="177" ht="15" hidden="0">
      <x:c r="A177" s="24" t="s">
        <x:v>515</x:v>
      </x:c>
      <x:c r="B177" s="25"/>
      <x:c r="C177" s="25"/>
      <x:c r="D177" s="25"/>
      <x:c r="E177" s="25"/>
      <x:c r="F177" s="25"/>
      <x:c r="G177" s="25"/>
      <x:c r="H177" s="25"/>
      <x:c r="I177" s="25"/>
      <x:c r="J177" s="25"/>
    </x:row>
    <x:row r="178" ht="15" hidden="0">
      <x:c r="A178" t="s">
        <x:v>170</x:v>
      </x:c>
      <x:c r="B178" s="19" t="s">
        <x:v>171</x:v>
      </x:c>
      <x:c r="C178" s="30"/>
      <x:c r="D178" s="37" t="n">
        <x:f aca="0">D117/((C61+D61)/2)</x:f>
        <x:v>0.7348241709774519</x:v>
      </x:c>
      <x:c r="E178" s="37" t="n">
        <x:f aca="0">E117/((D61+E61)/2)</x:f>
        <x:v>0.9591143466325385</x:v>
      </x:c>
      <x:c r="F178" s="37" t="n">
        <x:f aca="0">F117/((E61+F61)/2)</x:f>
        <x:v>0.45896656897619287</x:v>
      </x:c>
      <x:c r="G178" s="37" t="n">
        <x:f aca="0">G117/((F61+G61)/2)</x:f>
        <x:v>0.6328198162609167</x:v>
      </x:c>
      <x:c r="H178" s="37" t="n">
        <x:f aca="0">H117/((G61+H61)/2)</x:f>
        <x:v>0.8241991052874028</x:v>
      </x:c>
      <x:c r="I178" s="9" t="s">
        <x:v>89</x:v>
      </x:c>
    </x:row>
    <x:row r="179" ht="15" hidden="0">
      <x:c r="A179" s="24" t="s">
        <x:v>516</x:v>
      </x:c>
      <x:c r="B179" s="25"/>
      <x:c r="C179" s="25"/>
      <x:c r="D179" s="25"/>
      <x:c r="E179" s="25"/>
      <x:c r="F179" s="25"/>
      <x:c r="G179" s="25"/>
      <x:c r="H179" s="25"/>
      <x:c r="I179" s="25"/>
      <x:c r="J179" s="25"/>
    </x:row>
    <x:row r="180" ht="15" hidden="0">
      <x:c r="A180" t="s">
        <x:v>173</x:v>
      </x:c>
      <x:c r="B180" s="19" t="s">
        <x:v>174</x:v>
      </x:c>
      <x:c r="C180" s="30"/>
      <x:c r="D180" s="40" t="n">
        <x:f aca="0">D108/((C71+D71)/2)</x:f>
        <x:v>0.20014188698824495</x:v>
      </x:c>
      <x:c r="E180" s="40" t="n">
        <x:f aca="0">E108/((D71+E71)/2)</x:f>
        <x:v>0.30341780257523293</x:v>
      </x:c>
      <x:c r="F180" s="40" t="n">
        <x:f aca="0">F108/((E71+F71)/2)</x:f>
        <x:v>0.30510595228634624</x:v>
      </x:c>
      <x:c r="G180" s="40" t="n">
        <x:f aca="0">G108/((F71+G71)/2)</x:f>
        <x:v>0.33087901145461096</x:v>
      </x:c>
      <x:c r="H180" s="40" t="n">
        <x:f aca="0">H108/((G71+H71)/2)</x:f>
        <x:v>0.35180184109770796</x:v>
      </x:c>
      <x:c r="I180" s="9" t="s">
        <x:v>127</x:v>
      </x:c>
    </x:row>
    <x:row r="181" ht="15" hidden="0">
      <x:c r="A181" t="s">
        <x:v>176</x:v>
      </x:c>
      <x:c r="B181" s="19" t="s">
        <x:v>177</x:v>
      </x:c>
      <x:c r="C181" s="30"/>
      <x:c r="D181" s="40" t="n">
        <x:f aca="0">D117/D84</x:f>
        <x:v>0.2115490843927614</x:v>
      </x:c>
      <x:c r="E181" s="40" t="n">
        <x:f aca="0">E117/E84</x:f>
        <x:v>0.24884784307255017</x:v>
      </x:c>
      <x:c r="F181" s="40" t="n">
        <x:f aca="0">F117/F84</x:f>
        <x:v>0.11438578366414917</x:v>
      </x:c>
      <x:c r="G181" s="40" t="n">
        <x:f aca="0">G117/G84</x:f>
        <x:v>0.17199372066753826</x:v>
      </x:c>
      <x:c r="H181" s="40" t="n">
        <x:f aca="0">H117/H84</x:f>
        <x:v>0.24984983482540254</x:v>
      </x:c>
      <x:c r="I181" s="9" t="s">
        <x:v>127</x:v>
      </x:c>
    </x:row>
    <x:row r="182" ht="15" hidden="0">
      <x:c r="A182" t="s">
        <x:v>178</x:v>
      </x:c>
      <x:c r="B182" s="19" t="s">
        <x:v>179</x:v>
      </x:c>
      <x:c r="C182" s="30"/>
      <x:c r="D182" s="37" t="n">
        <x:f aca="0">D66/D41</x:f>
        <x:v>0.2722692388457173</x:v>
      </x:c>
      <x:c r="E182" s="37" t="n">
        <x:f aca="0">E66/E41</x:f>
        <x:v>0.1560331098389557</x:v>
      </x:c>
      <x:c r="F182" s="37" t="n">
        <x:f aca="0">F66/F41</x:f>
        <x:v>0.09761940686476646</x:v>
      </x:c>
      <x:c r="G182" s="37" t="n">
        <x:f aca="0">G66/G41</x:f>
        <x:v>0.05568221890288899</x:v>
      </x:c>
      <x:c r="H182" s="37" t="n">
        <x:f aca="0">H66/H41</x:f>
        <x:v>0.04775378248741467</x:v>
      </x:c>
      <x:c r="I182" s="9" t="s">
        <x:v>89</x:v>
      </x:c>
    </x:row>
    <x:row r="183" ht="15" hidden="0">
      <x:c r="A183" s="24" t="s">
        <x:v>517</x:v>
      </x:c>
      <x:c r="B183" s="25"/>
      <x:c r="C183" s="25"/>
      <x:c r="D183" s="25"/>
      <x:c r="E183" s="25"/>
      <x:c r="F183" s="25"/>
      <x:c r="G183" s="25"/>
      <x:c r="H183" s="25"/>
      <x:c r="I183" s="25"/>
      <x:c r="J183" s="25"/>
    </x:row>
    <x:row r="184" ht="15" hidden="0">
      <x:c r="A184" t="s">
        <x:v>518</x:v>
      </x:c>
      <x:c r="B184" s="19" t="s">
        <x:v>519</x:v>
      </x:c>
      <x:c r="C184" s="30"/>
      <x:c r="D184" s="37" t="n">
        <x:f aca="0">(D34+D33)/D61</x:f>
        <x:v>0.5542908822348372</x:v>
      </x:c>
      <x:c r="E184" s="37" t="n">
        <x:f aca="0">(E34+E33)/E61</x:f>
        <x:v>1.1177141381970364</x:v>
      </x:c>
      <x:c r="F184" s="37" t="n">
        <x:f aca="0">(F34+F33)/F61</x:f>
        <x:v>1.3385774807154196</x:v>
      </x:c>
      <x:c r="G184" s="37" t="n">
        <x:f aca="0">(G34+G33)/G61</x:f>
        <x:v>1.9270995083869025</x:v>
      </x:c>
      <x:c r="H184" s="37" t="n">
        <x:f aca="0">(H34+H33)/H61</x:f>
        <x:v>2.434664947913876</x:v>
      </x:c>
      <x:c r="I184" s="9" t="s">
        <x:v>89</x:v>
      </x:c>
    </x:row>
    <x:row r="185" ht="15" hidden="0">
      <x:c r="A185" t="s">
        <x:v>520</x:v>
      </x:c>
      <x:c r="B185" s="19" t="s">
        <x:v>521</x:v>
      </x:c>
      <x:c r="C185" s="30"/>
      <x:c r="D185" s="37" t="n">
        <x:f aca="0">IF(D109&lt;=0,"n/m",D69/D109)</x:f>
        <x:v>0.2794156526086512</x:v>
      </x:c>
      <x:c r="E185" s="37" t="n">
        <x:f aca="0">IF(E109&lt;=0,"n/m",E69/E109)</x:f>
        <x:v>-0.6004501330089924</x:v>
      </x:c>
      <x:c r="F185" s="37" t="n">
        <x:f aca="0">IF(F109&lt;=0,"n/m",F69/F109)</x:f>
        <x:v>-0.8182317839151774</x:v>
      </x:c>
      <x:c r="G185" s="37" t="n">
        <x:f aca="0">IF(G109&lt;=0,"n/m",G69/G109)</x:f>
        <x:v>-1.2211462284114944</x:v>
      </x:c>
      <x:c r="H185" s="37" t="n">
        <x:f aca="0">IF(H109&lt;=0,"n/m",H69/H109)</x:f>
        <x:v>-1.3481385442785936</x:v>
      </x:c>
      <x:c r="I185" s="9" t="s">
        <x:v>89</x:v>
      </x:c>
    </x:row>
    <x:row r="186" ht="15" hidden="0">
      <x:c r="A186" t="s">
        <x:v>522</x:v>
      </x:c>
      <x:c r="B186" s="19" t="s">
        <x:v>523</x:v>
      </x:c>
      <x:c r="C186" s="30"/>
      <x:c r="D186" s="39" t="n">
        <x:f aca="0">365/(-D85/((C31+D31)/2))</x:f>
        <x:v>21.473884086136408</x:v>
      </x:c>
      <x:c r="E186" s="39" t="n">
        <x:f aca="0">365/(-E85/((D31+E31)/2))</x:f>
        <x:v>20.326321652003774</x:v>
      </x:c>
      <x:c r="F186" s="39" t="n">
        <x:f aca="0">365/(-F85/((E31+F31)/2))</x:f>
        <x:v>28.180087037717236</x:v>
      </x:c>
      <x:c r="G186" s="39" t="n">
        <x:f aca="0">365/(-G85/((F31+G31)/2))</x:f>
        <x:v>31.558596023476586</x:v>
      </x:c>
      <x:c r="H186" s="39" t="n">
        <x:f aca="0">365/(-H85/((G31+H31)/2))</x:f>
        <x:v>34.45598395020325</x:v>
      </x:c>
      <x:c r="I186" s="9" t="s">
        <x:v>111</x:v>
      </x:c>
    </x:row>
    <x:row r="187" ht="15" hidden="0">
      <x:c r="A187" t="s">
        <x:v>524</x:v>
      </x:c>
      <x:c r="B187" s="19" t="s">
        <x:v>525</x:v>
      </x:c>
      <x:c r="C187" s="30"/>
      <x:c r="D187" s="37" t="n">
        <x:f aca="0">D120/((C61+D61)/2)</x:f>
        <x:v>0.7348241709774519</x:v>
      </x:c>
      <x:c r="E187" s="37" t="n">
        <x:f aca="0">E120/((D61+E61)/2)</x:f>
        <x:v>0.9591143466325385</x:v>
      </x:c>
      <x:c r="F187" s="37" t="n">
        <x:f aca="0">F120/((E61+F61)/2)</x:f>
        <x:v>0.45896656897619287</x:v>
      </x:c>
      <x:c r="G187" s="37" t="n">
        <x:f aca="0">G120/((F61+G61)/2)</x:f>
        <x:v>0.6328198162609167</x:v>
      </x:c>
      <x:c r="H187" s="37" t="n">
        <x:f aca="0">H120/((G61+H61)/2)</x:f>
        <x:v>0.8241991052874028</x:v>
      </x:c>
      <x:c r="I187" s="9" t="s">
        <x:v>89</x:v>
      </x:c>
    </x:row>
    <x:row r="188" ht="15" hidden="0">
      <x:c r="A188" t="str">
        <x:v>M5. EPS on FY2025 annual-report split basis (Rs)</x:v>
      </x:c>
      <x:c r="B188" s="19" t="s">
        <x:v>526</x:v>
      </x:c>
      <x:c r="C188" s="30"/>
      <x:c r="D188" s="41" t="n">
        <x:f aca="0">D173/D134</x:f>
        <x:v>3.482509870480425</x:v>
      </x:c>
      <x:c r="E188" s="41" t="n">
        <x:f aca="0">E173/E134</x:f>
        <x:v>5.002736052232104</x:v>
      </x:c>
      <x:c r="F188" s="41" t="n">
        <x:f aca="0">F173/F134</x:f>
        <x:v>5.795791655173865</x:v>
      </x:c>
      <x:c r="G188" s="41" t="n">
        <x:f aca="0">G173/G134</x:f>
        <x:v>9.054854535722995</x:v>
      </x:c>
      <x:c r="H188" s="41" t="n">
        <x:f aca="0">H173/H134</x:f>
        <x:v>11.968410920173985</x:v>
      </x:c>
      <x:c r="I188" s="9" t="s">
        <x:v>158</x:v>
      </x:c>
    </x:row>
    <x:row r="189" ht="15" hidden="0">
      <x:c r="A189" t="s">
        <x:v>527</x:v>
      </x:c>
      <x:c r="B189" s="19" t="s">
        <x:v>528</x:v>
      </x:c>
      <x:c r="C189" s="30"/>
      <x:c r="D189" s="40" t="n">
        <x:f aca="0">D108/D84</x:f>
        <x:v>0.22458850133101418</x:v>
      </x:c>
      <x:c r="E189" s="40" t="n">
        <x:f aca="0">E108/E84</x:f>
        <x:v>0.2878369245722038</x:v>
      </x:c>
      <x:c r="F189" s="40" t="n">
        <x:f aca="0">F108/F84</x:f>
        <x:v>0.28800525720972814</x:v>
      </x:c>
      <x:c r="G189" s="40" t="n">
        <x:f aca="0">G108/G84</x:f>
        <x:v>0.3739844938903475</x:v>
      </x:c>
      <x:c r="H189" s="40" t="n">
        <x:f aca="0">H108/H84</x:f>
        <x:v>0.4821205932925492</x:v>
      </x:c>
      <x:c r="I189" s="9" t="s">
        <x:v>127</x:v>
      </x:c>
    </x:row>
    <x:row r="191" ht="15" hidden="0">
      <x:c r="A191" s="5" t="s">
        <x:v>529</x:v>
      </x:c>
      <x:c r="B191" s="20"/>
      <x:c r="C191" s="20"/>
      <x:c r="D191" s="20"/>
      <x:c r="E191" s="20"/>
      <x:c r="F191" s="20"/>
      <x:c r="G191" s="20"/>
      <x:c r="H191" s="20"/>
      <x:c r="I191" s="20"/>
      <x:c r="J191" s="20"/>
    </x:row>
    <x:row r="192" ht="15" hidden="0">
      <x:c r="A192" s="24" t="s">
        <x:v>530</x:v>
      </x:c>
      <x:c r="B192" s="25"/>
      <x:c r="C192" s="25"/>
      <x:c r="D192" s="25"/>
      <x:c r="E192" s="25"/>
      <x:c r="F192" s="25"/>
      <x:c r="G192" s="25"/>
      <x:c r="H192" s="25"/>
      <x:c r="I192" s="25"/>
      <x:c r="J192" s="25"/>
    </x:row>
    <x:row r="193" ht="15" hidden="0">
      <x:c r="A193" t="s">
        <x:v>531</x:v>
      </x:c>
      <x:c r="B193" s="19" t="s">
        <x:v>532</x:v>
      </x:c>
      <x:c r="C193" s="42" t="n">
        <x:f aca="0">IF(C37=0,"n/m",C22/C37)</x:f>
        <x:v>0.7120737207841543</x:v>
      </x:c>
      <x:c r="D193" s="42" t="n">
        <x:f aca="0">IF(D37=0,"n/m",D22/D37)</x:f>
        <x:v>0.6028113368433801</x:v>
      </x:c>
      <x:c r="E193" s="42" t="n">
        <x:f aca="0">IF(E37=0,"n/m",E22/E37)</x:f>
        <x:v>0.48904433240315737</x:v>
      </x:c>
      <x:c r="F193" s="42" t="n">
        <x:f aca="0">IF(F37=0,"n/m",F22/F37)</x:f>
        <x:v>0.4095777092762357</x:v>
      </x:c>
      <x:c r="G193" s="42" t="n">
        <x:f aca="0">IF(G37=0,"n/m",G22/G37)</x:f>
        <x:v>0.35955352019576675</x:v>
      </x:c>
      <x:c r="H193" s="42" t="n">
        <x:f aca="0">IF(H37=0,"n/m",H22/H37)</x:f>
        <x:v>0.3125018463623135</x:v>
      </x:c>
      <x:c r="I193" s="11" t="s">
        <x:v>127</x:v>
      </x:c>
    </x:row>
    <x:row r="194" ht="15" hidden="0">
      <x:c r="A194" t="s">
        <x:v>533</x:v>
      </x:c>
      <x:c r="B194" s="19" t="s">
        <x:v>534</x:v>
      </x:c>
      <x:c r="C194" s="42" t="n">
        <x:f aca="0">IF(C37=0,"n/m",C21/C37)</x:f>
        <x:v>0.005182471460527684</x:v>
      </x:c>
      <x:c r="D194" s="42" t="n">
        <x:f aca="0">IF(D37=0,"n/m",D21/D37)</x:f>
        <x:v>0.00759110359353428</x:v>
      </x:c>
      <x:c r="E194" s="42" t="n">
        <x:f aca="0">IF(E37=0,"n/m",E21/E37)</x:f>
        <x:v>0.0030195139662217933</x:v>
      </x:c>
      <x:c r="F194" s="42" t="n">
        <x:f aca="0">IF(F37=0,"n/m",F21/F37)</x:f>
        <x:v>0.039229085754870115</x:v>
      </x:c>
      <x:c r="G194" s="42" t="n">
        <x:f aca="0">IF(G37=0,"n/m",G21/G37)</x:f>
        <x:v>0.01698284573721406</x:v>
      </x:c>
      <x:c r="H194" s="42" t="n">
        <x:f aca="0">IF(H37=0,"n/m",H21/H37)</x:f>
        <x:v>0.0372282412855297</x:v>
      </x:c>
      <x:c r="I194" s="11" t="s">
        <x:v>127</x:v>
      </x:c>
    </x:row>
    <x:row r="195" ht="15" hidden="0">
      <x:c r="A195" t="s">
        <x:v>312</x:v>
      </x:c>
      <x:c r="B195" s="19" t="s">
        <x:v>535</x:v>
      </x:c>
      <x:c r="C195" s="42" t="n">
        <x:f aca="0">IF(C37=0,"n/m",C28/C37)</x:f>
        <x:v>0.8350701058027745</x:v>
      </x:c>
      <x:c r="D195" s="42" t="n">
        <x:f aca="0">IF(D37=0,"n/m",D28/D37)</x:f>
        <x:v>0.7270812160800726</x:v>
      </x:c>
      <x:c r="E195" s="42" t="n">
        <x:f aca="0">IF(E37=0,"n/m",E28/E37)</x:f>
        <x:v>0.5899525351958268</x:v>
      </x:c>
      <x:c r="F195" s="42" t="n">
        <x:f aca="0">IF(F37=0,"n/m",F28/F37)</x:f>
        <x:v>0.5373845810474829</x:v>
      </x:c>
      <x:c r="G195" s="42" t="n">
        <x:f aca="0">IF(G37=0,"n/m",G28/G37)</x:f>
        <x:v>0.4525732003084308</x:v>
      </x:c>
      <x:c r="H195" s="42" t="n">
        <x:f aca="0">IF(H37=0,"n/m",H28/H37)</x:f>
        <x:v>0.42188501577615356</x:v>
      </x:c>
      <x:c r="I195" s="11" t="s">
        <x:v>127</x:v>
      </x:c>
    </x:row>
    <x:row r="196" ht="15" hidden="0">
      <x:c r="A196" t="s">
        <x:v>536</x:v>
      </x:c>
      <x:c r="B196" s="19" t="s">
        <x:v>537</x:v>
      </x:c>
      <x:c r="C196" s="42" t="n">
        <x:f aca="0">IF(C37=0,"n/m",C65/C37)</x:f>
        <x:v>0.10285023388710719</x:v>
      </x:c>
      <x:c r="D196" s="42" t="n">
        <x:f aca="0">IF(D37=0,"n/m",D65/D37)</x:f>
        <x:v>0.11592968312089379</x:v>
      </x:c>
      <x:c r="E196" s="42" t="n">
        <x:f aca="0">IF(E37=0,"n/m",E65/E37)</x:f>
        <x:v>0.13081658714941574</x:v>
      </x:c>
      <x:c r="F196" s="42" t="n">
        <x:f aca="0">IF(F37=0,"n/m",F65/F37)</x:f>
        <x:v>0.1545725750214985</x:v>
      </x:c>
      <x:c r="G196" s="42" t="n">
        <x:f aca="0">IF(G37=0,"n/m",G65/G37)</x:f>
        <x:v>0.1288069592402164</x:v>
      </x:c>
      <x:c r="H196" s="42" t="n">
        <x:f aca="0">IF(H37=0,"n/m",H65/H37)</x:f>
        <x:v>0.11235789138852169</x:v>
      </x:c>
      <x:c r="I196" s="11" t="s">
        <x:v>127</x:v>
      </x:c>
    </x:row>
    <x:row r="197" ht="15" hidden="0">
      <x:c r="A197" t="s">
        <x:v>319</x:v>
      </x:c>
      <x:c r="B197" s="19" t="s">
        <x:v>538</x:v>
      </x:c>
      <x:c r="C197" s="42" t="n">
        <x:f aca="0">IF(C37=0,"n/m",C32/C37)</x:f>
        <x:v>0.0155657141607879</x:v>
      </x:c>
      <x:c r="D197" s="42" t="n">
        <x:f aca="0">IF(D37=0,"n/m",D32/D37)</x:f>
        <x:v>0.027255531473281764</x:v>
      </x:c>
      <x:c r="E197" s="42" t="n">
        <x:f aca="0">IF(E37=0,"n/m",E32/E37)</x:f>
        <x:v>0.021130919419659774</x:v>
      </x:c>
      <x:c r="F197" s="42" t="n">
        <x:f aca="0">IF(F37=0,"n/m",F32/F37)</x:f>
        <x:v>0.024339825080717026</x:v>
      </x:c>
      <x:c r="G197" s="42" t="n">
        <x:f aca="0">IF(G37=0,"n/m",G32/G37)</x:f>
        <x:v>0.035862163988864895</x:v>
      </x:c>
      <x:c r="H197" s="42" t="n">
        <x:f aca="0">IF(H37=0,"n/m",H32/H37)</x:f>
        <x:v>0.025334759610633677</x:v>
      </x:c>
      <x:c r="I197" s="11" t="s">
        <x:v>127</x:v>
      </x:c>
    </x:row>
    <x:row r="198" ht="15" hidden="0">
      <x:c r="A198" t="s">
        <x:v>321</x:v>
      </x:c>
      <x:c r="B198" s="19" t="s">
        <x:v>539</x:v>
      </x:c>
      <x:c r="C198" s="42" t="n">
        <x:f aca="0">IF(C37=0,"n/m",C33/C37)</x:f>
        <x:v>0.005042424586055447</x:v>
      </x:c>
      <x:c r="D198" s="42" t="n">
        <x:f aca="0">IF(D37=0,"n/m",D33/D37)</x:f>
        <x:v>0.08311865638736946</x:v>
      </x:c>
      <x:c r="E198" s="42" t="n">
        <x:f aca="0">IF(E37=0,"n/m",E33/E37)</x:f>
        <x:v>0.23353955536353374</x:v>
      </x:c>
      <x:c r="F198" s="42" t="n">
        <x:f aca="0">IF(F37=0,"n/m",F33/F37)</x:f>
        <x:v>0.24904209574227493</x:v>
      </x:c>
      <x:c r="G198" s="42" t="n">
        <x:f aca="0">IF(G37=0,"n/m",G33/G37)</x:f>
        <x:v>0.34463987589590195</x:v>
      </x:c>
      <x:c r="H198" s="42" t="n">
        <x:f aca="0">IF(H37=0,"n/m",H33/H37)</x:f>
        <x:v>0.40335219409966694</x:v>
      </x:c>
      <x:c r="I198" s="11" t="s">
        <x:v>127</x:v>
      </x:c>
    </x:row>
    <x:row r="199" ht="15" hidden="0">
      <x:c r="A199" t="s">
        <x:v>540</x:v>
      </x:c>
      <x:c r="B199" s="19" t="s">
        <x:v>541</x:v>
      </x:c>
      <x:c r="C199" s="42" t="n">
        <x:f aca="0">IF(C37=0,"n/m",C34/C37)</x:f>
        <x:v>0.02807618565199588</x:v>
      </x:c>
      <x:c r="D199" s="42" t="n">
        <x:f aca="0">IF(D37=0,"n/m",D34/D37)</x:f>
        <x:v>0.033190122717754615</x:v>
      </x:c>
      <x:c r="E199" s="42" t="n">
        <x:f aca="0">IF(E37=0,"n/m",E34/E37)</x:f>
        <x:v>0.011090155144323594</x:v>
      </x:c>
      <x:c r="F199" s="42" t="n">
        <x:f aca="0">IF(F37=0,"n/m",F34/F37)</x:f>
        <x:v>0.018847885506490802</x:v>
      </x:c>
      <x:c r="G199" s="42" t="n">
        <x:f aca="0">IF(G37=0,"n/m",G34/G37)</x:f>
        <x:v>0.018738739363736656</x:v>
      </x:c>
      <x:c r="H199" s="42" t="n">
        <x:f aca="0">IF(H37=0,"n/m",H34/H37)</x:f>
        <x:v>0.021718956069774295</x:v>
      </x:c>
      <x:c r="I199" s="11" t="s">
        <x:v>127</x:v>
      </x:c>
    </x:row>
    <x:row r="200" ht="15" hidden="0">
      <x:c r="A200" t="s">
        <x:v>327</x:v>
      </x:c>
      <x:c r="B200" s="19" t="s">
        <x:v>542</x:v>
      </x:c>
      <x:c r="C200" s="42" t="n">
        <x:f aca="0">IF(C37=0,"n/m",C36/C37)</x:f>
        <x:v>0.1649298941972255</x:v>
      </x:c>
      <x:c r="D200" s="42" t="n">
        <x:f aca="0">IF(D37=0,"n/m",D36/D37)</x:f>
        <x:v>0.27291878391992735</x:v>
      </x:c>
      <x:c r="E200" s="42" t="n">
        <x:f aca="0">IF(E37=0,"n/m",E36/E37)</x:f>
        <x:v>0.4100474648041733</x:v>
      </x:c>
      <x:c r="F200" s="42" t="n">
        <x:f aca="0">IF(F37=0,"n/m",F36/F37)</x:f>
        <x:v>0.4626154189525172</x:v>
      </x:c>
      <x:c r="G200" s="42" t="n">
        <x:f aca="0">IF(G37=0,"n/m",G36/G37)</x:f>
        <x:v>0.5474267996915693</x:v>
      </x:c>
      <x:c r="H200" s="42" t="n">
        <x:f aca="0">IF(H37=0,"n/m",H36/H37)</x:f>
        <x:v>0.5781149842238464</x:v>
      </x:c>
      <x:c r="I200" s="11" t="s">
        <x:v>127</x:v>
      </x:c>
    </x:row>
    <x:row r="201" ht="15" hidden="0">
      <x:c r="A201" t="s">
        <x:v>336</x:v>
      </x:c>
      <x:c r="B201" s="19" t="s">
        <x:v>543</x:v>
      </x:c>
      <x:c r="C201" s="42" t="n">
        <x:f aca="0">IF(C37=0,"n/m",C41/C37)</x:f>
        <x:v>0.5896926507735953</x:v>
      </x:c>
      <x:c r="D201" s="42" t="n">
        <x:f aca="0">IF(D37=0,"n/m",D41/D37)</x:f>
        <x:v>0.6158336174449659</x:v>
      </x:c>
      <x:c r="E201" s="42" t="n">
        <x:f aca="0">IF(E37=0,"n/m",E41/E37)</x:f>
        <x:v>0.6285075083282955</x:v>
      </x:c>
      <x:c r="F201" s="42" t="n">
        <x:f aca="0">IF(F37=0,"n/m",F41/F37)</x:f>
        <x:v>0.6583887590151666</x:v>
      </x:c>
      <x:c r="G201" s="42" t="n">
        <x:f aca="0">IF(G37=0,"n/m",G41/G37)</x:f>
        <x:v>0.698300548149705</x:v>
      </x:c>
      <x:c r="H201" s="42" t="n">
        <x:f aca="0">IF(H37=0,"n/m",H41/H37)</x:f>
        <x:v>0.7179532735297155</x:v>
      </x:c>
      <x:c r="I201" s="11" t="s">
        <x:v>127</x:v>
      </x:c>
    </x:row>
    <x:row r="202" ht="15" hidden="0">
      <x:c r="A202" t="s">
        <x:v>544</x:v>
      </x:c>
      <x:c r="B202" s="19" t="s">
        <x:v>545</x:v>
      </x:c>
      <x:c r="C202" s="42" t="n">
        <x:f aca="0">IF(C37=0,"n/m",C67/C37)</x:f>
        <x:v>0.17127824180722684</x:v>
      </x:c>
      <x:c r="D202" s="42" t="n">
        <x:f aca="0">IF(D37=0,"n/m",D67/D37)</x:f>
        <x:v>0.1220875910318789</x:v>
      </x:c>
      <x:c r="E202" s="42" t="n">
        <x:f aca="0">IF(E37=0,"n/m",E67/E37)</x:f>
        <x:v>0.07334143338786069</x:v>
      </x:c>
      <x:c r="F202" s="42" t="n">
        <x:f aca="0">IF(F37=0,"n/m",F67/F37)</x:f>
        <x:v>0.04338813037035516</x:v>
      </x:c>
      <x:c r="G202" s="42" t="n">
        <x:f aca="0">IF(G37=0,"n/m",G67/G37)</x:f>
        <x:v>0.01901053423767185</x:v>
      </x:c>
      <x:c r="H202" s="42" t="n">
        <x:f aca="0">IF(H37=0,"n/m",H67/H37)</x:f>
        <x:v>0.02169313165517457</x:v>
      </x:c>
      <x:c r="I202" s="11" t="s">
        <x:v>127</x:v>
      </x:c>
    </x:row>
    <x:row r="203" ht="15" hidden="0">
      <x:c r="A203" t="s">
        <x:v>349</x:v>
      </x:c>
      <x:c r="B203" s="19" t="s">
        <x:v>546</x:v>
      </x:c>
      <x:c r="C203" s="42" t="n">
        <x:f aca="0">IF(C37=0,"n/m",C48/C37)</x:f>
        <x:v>0.21256782538739594</x:v>
      </x:c>
      <x:c r="D203" s="42" t="n">
        <x:f aca="0">IF(D37=0,"n/m",D48/D37)</x:f>
        <x:v>0.17433291274189106</x:v>
      </x:c>
      <x:c r="E203" s="42" t="n">
        <x:f aca="0">IF(E37=0,"n/m",E48/E37)</x:f>
        <x:v>0.15262641299575178</x:v>
      </x:c>
      <x:c r="F203" s="42" t="n">
        <x:f aca="0">IF(F37=0,"n/m",F48/F37)</x:f>
        <x:v>0.14148088984102922</x:v>
      </x:c>
      <x:c r="G203" s="42" t="n">
        <x:f aca="0">IF(G37=0,"n/m",G48/G37)</x:f>
        <x:v>0.11313699636826952</x:v>
      </x:c>
      <x:c r="H203" s="42" t="n">
        <x:f aca="0">IF(H37=0,"n/m",H48/H37)</x:f>
        <x:v>0.10745549553575273</x:v>
      </x:c>
      <x:c r="I203" s="11" t="s">
        <x:v>127</x:v>
      </x:c>
    </x:row>
    <x:row r="204" ht="15" hidden="0">
      <x:c r="A204" t="s">
        <x:v>352</x:v>
      </x:c>
      <x:c r="B204" s="19" t="s">
        <x:v>547</x:v>
      </x:c>
      <x:c r="C204" s="42" t="n">
        <x:f aca="0">IF(C37=0,"n/m",C50/C37)</x:f>
        <x:v>0.13519067833839307</x:v>
      </x:c>
      <x:c r="D204" s="42" t="n">
        <x:f aca="0">IF(D37=0,"n/m",D50/D37)</x:f>
        <x:v>0.13814937186324996</x:v>
      </x:c>
      <x:c r="E204" s="42" t="n">
        <x:f aca="0">IF(E37=0,"n/m",E50/E37)</x:f>
        <x:v>0.1274541196892939</x:v>
      </x:c>
      <x:c r="F204" s="42" t="n">
        <x:f aca="0">IF(F37=0,"n/m",F50/F37)</x:f>
        <x:v>0.10714854145898316</x:v>
      </x:c>
      <x:c r="G204" s="42" t="n">
        <x:f aca="0">IF(G37=0,"n/m",G50/G37)</x:f>
        <x:v>0.1057580698049907</x:v>
      </x:c>
      <x:c r="H204" s="42" t="n">
        <x:f aca="0">IF(H37=0,"n/m",H50/H37)</x:f>
        <x:v>0.11542917643615476</x:v>
      </x:c>
      <x:c r="I204" s="11" t="s">
        <x:v>127</x:v>
      </x:c>
    </x:row>
    <x:row r="205" ht="15" hidden="0">
      <x:c r="A205" t="s">
        <x:v>548</x:v>
      </x:c>
      <x:c r="B205" s="19" t="s">
        <x:v>549</x:v>
      </x:c>
      <x:c r="C205" s="42" t="n">
        <x:f aca="0">IF(C37=0,"n/m",C66/C37)</x:f>
        <x:v>0.2200902096064523</x:v>
      </x:c>
      <x:c r="D205" s="42" t="n">
        <x:f aca="0">IF(D37=0,"n/m",D66/D37)</x:f>
        <x:v>0.1676725502773455</x:v>
      </x:c>
      <x:c r="E205" s="42" t="n">
        <x:f aca="0">IF(E37=0,"n/m",E66/E37)</x:f>
        <x:v>0.09806798108159731</x:v>
      </x:c>
      <x:c r="F205" s="42" t="n">
        <x:f aca="0">IF(F37=0,"n/m",F66/F37)</x:f>
        <x:v>0.06427152014149022</x:v>
      </x:c>
      <x:c r="G205" s="42" t="n">
        <x:f aca="0">IF(G37=0,"n/m",G66/G37)</x:f>
        <x:v>0.03888292398207925</x:v>
      </x:c>
      <x:c r="H205" s="42" t="n">
        <x:f aca="0">IF(H37=0,"n/m",H66/H37)</x:f>
        <x:v>0.034284984460265365</x:v>
      </x:c>
      <x:c r="I205" s="11" t="s">
        <x:v>127</x:v>
      </x:c>
    </x:row>
    <x:row r="206" ht="15" hidden="0">
      <x:c r="A206" t="s">
        <x:v>374</x:v>
      </x:c>
      <x:c r="B206" s="19" t="s">
        <x:v>550</x:v>
      </x:c>
      <x:c r="C206" s="42" t="n">
        <x:f aca="0">IF(C37=0,"n/m",C61/C37)</x:f>
        <x:v>0.1977395238075194</x:v>
      </x:c>
      <x:c r="D206" s="42" t="n">
        <x:f aca="0">IF(D37=0,"n/m",D61/D37)</x:f>
        <x:v>0.2098334698131429</x:v>
      </x:c>
      <x:c r="E206" s="42" t="n">
        <x:f aca="0">IF(E37=0,"n/m",E61/E37)</x:f>
        <x:v>0.2188660786759528</x:v>
      </x:c>
      <x:c r="F206" s="42" t="n">
        <x:f aca="0">IF(F37=0,"n/m",F61/F37)</x:f>
        <x:v>0.20013035114380423</x:v>
      </x:c>
      <x:c r="G206" s="42" t="n">
        <x:f aca="0">IF(G37=0,"n/m",G61/G37)</x:f>
        <x:v>0.18856245548202555</x:v>
      </x:c>
      <x:c r="H206" s="42" t="n">
        <x:f aca="0">IF(H37=0,"n/m",H61/H37)</x:f>
        <x:v>0.17459123093453174</x:v>
      </x:c>
      <x:c r="I206" s="11" t="s">
        <x:v>127</x:v>
      </x:c>
    </x:row>
    <x:row r="207" ht="15" hidden="0">
      <x:c r="A207" t="s">
        <x:v>377</x:v>
      </x:c>
      <x:c r="B207" s="19" t="s">
        <x:v>551</x:v>
      </x:c>
      <x:c r="C207" s="42" t="n">
        <x:f aca="0">IF(C37=0,"n/m",C62/C37)</x:f>
        <x:v>0.41030734919491535</x:v>
      </x:c>
      <x:c r="D207" s="42" t="n">
        <x:f aca="0">IF(D37=0,"n/m",D62/D37)</x:f>
        <x:v>0.384166382555034</x:v>
      </x:c>
      <x:c r="E207" s="42" t="n">
        <x:f aca="0">IF(E37=0,"n/m",E62/E37)</x:f>
        <x:v>0.37149249167170456</x:v>
      </x:c>
      <x:c r="F207" s="42" t="n">
        <x:f aca="0">IF(F37=0,"n/m",F62/F37)</x:f>
        <x:v>0.3416112409848334</x:v>
      </x:c>
      <x:c r="G207" s="42" t="n">
        <x:f aca="0">IF(G37=0,"n/m",G62/G37)</x:f>
        <x:v>0.3016994518502951</x:v>
      </x:c>
      <x:c r="H207" s="42" t="n">
        <x:f aca="0">IF(H37=0,"n/m",H62/H37)</x:f>
        <x:v>0.28204672647028445</x:v>
      </x:c>
      <x:c r="I207" s="11" t="s">
        <x:v>127</x:v>
      </x:c>
    </x:row>
    <x:row r="208" ht="15" hidden="0">
      <x:c r="A208" s="24" t="s">
        <x:v>552</x:v>
      </x:c>
      <x:c r="B208" s="25"/>
      <x:c r="C208" s="25"/>
      <x:c r="D208" s="25"/>
      <x:c r="E208" s="25"/>
      <x:c r="F208" s="25"/>
      <x:c r="G208" s="25"/>
      <x:c r="H208" s="25"/>
      <x:c r="I208" s="25"/>
      <x:c r="J208" s="25"/>
    </x:row>
    <x:row r="209" ht="15" hidden="0">
      <x:c r="A209" t="s">
        <x:v>416</x:v>
      </x:c>
      <x:c r="B209" s="19" t="s">
        <x:v>553</x:v>
      </x:c>
      <x:c r="C209" s="30"/>
      <x:c r="D209" s="42" t="n">
        <x:f aca="0">IF(D84=0,"n/m",D85/D84)</x:f>
        <x:v>-0.7520365869917107</x:v>
      </x:c>
      <x:c r="E209" s="42" t="n">
        <x:f aca="0">IF(E84=0,"n/m",E85/E84)</x:f>
        <x:v>-0.7015608578649012</x:v>
      </x:c>
      <x:c r="F209" s="42" t="n">
        <x:f aca="0">IF(F84=0,"n/m",F85/F84)</x:f>
        <x:v>-0.731956431810104</x:v>
      </x:c>
      <x:c r="G209" s="42" t="n">
        <x:f aca="0">IF(G84=0,"n/m",G85/G84)</x:f>
        <x:v>-0.708741485325744</x:v>
      </x:c>
      <x:c r="H209" s="42" t="n">
        <x:f aca="0">IF(H84=0,"n/m",H85/H84)</x:f>
        <x:v>-0.6077972182455486</x:v>
      </x:c>
      <x:c r="I209" s="11" t="s">
        <x:v>127</x:v>
      </x:c>
    </x:row>
    <x:row r="210" ht="15" hidden="0">
      <x:c r="A210" t="s">
        <x:v>418</x:v>
      </x:c>
      <x:c r="B210" s="19" t="s">
        <x:v>554</x:v>
      </x:c>
      <x:c r="C210" s="30"/>
      <x:c r="D210" s="42" t="n">
        <x:f aca="0">IF(D84=0,"n/m",D86/D84)</x:f>
        <x:v>0.2479634130082893</x:v>
      </x:c>
      <x:c r="E210" s="42" t="n">
        <x:f aca="0">IF(E84=0,"n/m",E86/E84)</x:f>
        <x:v>0.2984391421350988</x:v>
      </x:c>
      <x:c r="F210" s="42" t="n">
        <x:f aca="0">IF(F84=0,"n/m",F86/F84)</x:f>
        <x:v>0.2680435681898961</x:v>
      </x:c>
      <x:c r="G210" s="42" t="n">
        <x:f aca="0">IF(G84=0,"n/m",G86/G84)</x:f>
        <x:v>0.29125851467425595</x:v>
      </x:c>
      <x:c r="H210" s="42" t="n">
        <x:f aca="0">IF(H84=0,"n/m",H86/H84)</x:f>
        <x:v>0.39220278175445145</x:v>
      </x:c>
      <x:c r="I210" s="11" t="s">
        <x:v>127</x:v>
      </x:c>
    </x:row>
    <x:row r="211" ht="15" hidden="0">
      <x:c r="A211" t="s">
        <x:v>555</x:v>
      </x:c>
      <x:c r="B211" s="19" t="s">
        <x:v>556</x:v>
      </x:c>
      <x:c r="C211" s="30"/>
      <x:c r="D211" s="42" t="n">
        <x:f aca="0">IF(D84=0,"n/m",D87/D84)</x:f>
        <x:v>-0.003914224270814647</x:v>
      </x:c>
      <x:c r="E211" s="42" t="n">
        <x:f aca="0">IF(E84=0,"n/m",E87/E84)</x:f>
        <x:v>-0.0037149656233314452</x:v>
      </x:c>
      <x:c r="F211" s="42" t="n">
        <x:f aca="0">IF(F84=0,"n/m",F87/F84)</x:f>
        <x:v>-0.004525078569187099</x:v>
      </x:c>
      <x:c r="G211" s="42" t="n">
        <x:f aca="0">IF(G84=0,"n/m",G87/G84)</x:f>
        <x:v>-0.005104029788807282</x:v>
      </x:c>
      <x:c r="H211" s="42" t="n">
        <x:f aca="0">IF(H84=0,"n/m",H87/H84)</x:f>
        <x:v>-0.0060102892649976526</x:v>
      </x:c>
      <x:c r="I211" s="11" t="s">
        <x:v>127</x:v>
      </x:c>
    </x:row>
    <x:row r="212" ht="15" hidden="0">
      <x:c r="A212" t="s">
        <x:v>557</x:v>
      </x:c>
      <x:c r="B212" s="19" t="s">
        <x:v>558</x:v>
      </x:c>
      <x:c r="C212" s="30"/>
      <x:c r="D212" s="42" t="n">
        <x:f aca="0">IF(D84=0,"n/m",D88/D84)</x:f>
        <x:v>-0.013032371864007903</x:v>
      </x:c>
      <x:c r="E212" s="42" t="n">
        <x:f aca="0">IF(E84=0,"n/m",E88/E84)</x:f>
        <x:v>-0.01075290909978384</x:v>
      </x:c>
      <x:c r="F212" s="42" t="n">
        <x:f aca="0">IF(F84=0,"n/m",F88/F84)</x:f>
        <x:v>-0.010180200586047575</x:v>
      </x:c>
      <x:c r="G212" s="42" t="n">
        <x:f aca="0">IF(G84=0,"n/m",G88/G84)</x:f>
        <x:v>-0.012627969391494565</x:v>
      </x:c>
      <x:c r="H212" s="42" t="n">
        <x:f aca="0">IF(H84=0,"n/m",H88/H84)</x:f>
        <x:v>-0.018530441982077747</x:v>
      </x:c>
      <x:c r="I212" s="11" t="s">
        <x:v>127</x:v>
      </x:c>
    </x:row>
    <x:row r="213" ht="15" hidden="0">
      <x:c r="A213" t="s">
        <x:v>559</x:v>
      </x:c>
      <x:c r="B213" s="19" t="s">
        <x:v>560</x:v>
      </x:c>
      <x:c r="C213" s="30"/>
      <x:c r="D213" s="42" t="n">
        <x:f aca="0">IF(D84=0,"n/m",(D90+D89)/D84)</x:f>
        <x:v>-0.01352279958164109</x:v>
      </x:c>
      <x:c r="E213" s="42" t="n">
        <x:f aca="0">IF(E84=0,"n/m",(E90+E89)/E84)</x:f>
        <x:v>-0.01712605323974668</x:v>
      </x:c>
      <x:c r="F213" s="42" t="n">
        <x:f aca="0">IF(F84=0,"n/m",(F90+F89)/F84)</x:f>
        <x:v>-0.018922970537516227</x:v>
      </x:c>
      <x:c r="G213" s="42" t="n">
        <x:f aca="0">IF(G84=0,"n/m",(G90+G89)/G84)</x:f>
        <x:v>-0.014747032051447753</x:v>
      </x:c>
      <x:c r="H213" s="42" t="n">
        <x:f aca="0">IF(H84=0,"n/m",(H90+H89)/H84)</x:f>
        <x:v>-0.026226702052810174</x:v>
      </x:c>
      <x:c r="I213" s="11" t="s">
        <x:v>127</x:v>
      </x:c>
    </x:row>
    <x:row r="214" ht="15" hidden="0">
      <x:c r="A214" t="s">
        <x:v>561</x:v>
      </x:c>
      <x:c r="B214" s="19" t="s">
        <x:v>562</x:v>
      </x:c>
      <x:c r="C214" s="30"/>
      <x:c r="D214" s="42" t="n">
        <x:f aca="0">IF(D84=0,"n/m",D91/D84)</x:f>
        <x:v>0.2174940172918257</x:v>
      </x:c>
      <x:c r="E214" s="42" t="n">
        <x:f aca="0">IF(E84=0,"n/m",E91/E84)</x:f>
        <x:v>0.26684521417223683</x:v>
      </x:c>
      <x:c r="F214" s="42" t="n">
        <x:f aca="0">IF(F84=0,"n/m",F91/F84)</x:f>
        <x:v>0.23441531849714523</x:v>
      </x:c>
      <x:c r="G214" s="42" t="n">
        <x:f aca="0">IF(G84=0,"n/m",G91/G84)</x:f>
        <x:v>0.25877948344250634</x:v>
      </x:c>
      <x:c r="H214" s="42" t="n">
        <x:f aca="0">IF(H84=0,"n/m",H91/H84)</x:f>
        <x:v>0.34143534845456586</x:v>
      </x:c>
      <x:c r="I214" s="11" t="s">
        <x:v>127</x:v>
      </x:c>
    </x:row>
    <x:row r="215" ht="15" hidden="0">
      <x:c r="A215" t="s">
        <x:v>430</x:v>
      </x:c>
      <x:c r="B215" s="19" t="s">
        <x:v>563</x:v>
      </x:c>
      <x:c r="C215" s="30"/>
      <x:c r="D215" s="42" t="n">
        <x:f aca="0">IF(D84=0,"n/m",(D92+D93+D94)/D84)</x:f>
        <x:v>0.007094484039188474</x:v>
      </x:c>
      <x:c r="E215" s="42" t="n">
        <x:f aca="0">IF(E84=0,"n/m",(E92+E93+E94)/E84)</x:f>
        <x:v>0.020991710399966976</x:v>
      </x:c>
      <x:c r="F215" s="42" t="n">
        <x:f aca="0">IF(F84=0,"n/m",(F92+F93+F94)/F84)</x:f>
        <x:v>0.053589938712582906</x:v>
      </x:c>
      <x:c r="G215" s="42" t="n">
        <x:f aca="0">IF(G84=0,"n/m",(G92+G93+G94)/G84)</x:f>
        <x:v>0.11520501044784114</x:v>
      </x:c>
      <x:c r="H215" s="42" t="n">
        <x:f aca="0">IF(H84=0,"n/m",(H92+H93+H94)/H84)</x:f>
        <x:v>0.14068524483798328</x:v>
      </x:c>
      <x:c r="I215" s="11" t="s">
        <x:v>127</x:v>
      </x:c>
    </x:row>
    <x:row r="216" ht="15" hidden="0">
      <x:c r="A216" t="s">
        <x:v>436</x:v>
      </x:c>
      <x:c r="B216" s="19" t="s">
        <x:v>564</x:v>
      </x:c>
      <x:c r="C216" s="30"/>
      <x:c r="D216" s="42" t="n">
        <x:f aca="0">IF(D84=0,"n/m",D95/D84)</x:f>
        <x:v>-0.021492593920963813</x:v>
      </x:c>
      <x:c r="E216" s="42" t="n">
        <x:f aca="0">IF(E84=0,"n/m",E95/E84)</x:f>
        <x:v>-0.01635525279649306</x:v>
      </x:c>
      <x:c r="F216" s="42" t="n">
        <x:f aca="0">IF(F84=0,"n/m",F95/F84)</x:f>
        <x:v>-0.01902046934417929</x:v>
      </x:c>
      <x:c r="G216" s="42" t="n">
        <x:f aca="0">IF(G84=0,"n/m",G95/G84)</x:f>
        <x:v>-0.017527036632251494</x:v>
      </x:c>
      <x:c r="H216" s="42" t="n">
        <x:f aca="0">IF(H84=0,"n/m",H95/H84)</x:f>
        <x:v>-0.009322077716205827</x:v>
      </x:c>
      <x:c r="I216" s="11" t="s">
        <x:v>127</x:v>
      </x:c>
    </x:row>
    <x:row r="217" ht="15" hidden="0">
      <x:c r="A217" t="s">
        <x:v>565</x:v>
      </x:c>
      <x:c r="B217" s="19" t="s">
        <x:v>566</x:v>
      </x:c>
      <x:c r="C217" s="30"/>
      <x:c r="D217" s="42" t="n">
        <x:f aca="0">IF(D84=0,"n/m",D96/D84)</x:f>
        <x:v>0.20309590741005035</x:v>
      </x:c>
      <x:c r="E217" s="42" t="n">
        <x:f aca="0">IF(E84=0,"n/m",E96/E84)</x:f>
        <x:v>0.2714816717757107</x:v>
      </x:c>
      <x:c r="F217" s="42" t="n">
        <x:f aca="0">IF(F84=0,"n/m",F96/F84)</x:f>
        <x:v>0.26898478786554886</x:v>
      </x:c>
      <x:c r="G217" s="42" t="n">
        <x:f aca="0">IF(G84=0,"n/m",G96/G84)</x:f>
        <x:v>0.356457457258096</x:v>
      </x:c>
      <x:c r="H217" s="42" t="n">
        <x:f aca="0">IF(H84=0,"n/m",H96/H84)</x:f>
        <x:v>0.4727985155763434</x:v>
      </x:c>
      <x:c r="I217" s="11" t="s">
        <x:v>127</x:v>
      </x:c>
    </x:row>
    <x:row r="218" ht="15" hidden="0">
      <x:c r="A218" t="s">
        <x:v>567</x:v>
      </x:c>
      <x:c r="B218" s="19" t="s">
        <x:v>568</x:v>
      </x:c>
      <x:c r="C218" s="30"/>
      <x:c r="D218" s="42" t="n">
        <x:f aca="0">IF(D84=0,"n/m",-D110/D84)</x:f>
        <x:v>-0.057713998420347745</x:v>
      </x:c>
      <x:c r="E218" s="42" t="n">
        <x:f aca="0">IF(E84=0,"n/m",-E110/E84)</x:f>
        <x:v>-0.11866091481784687</x:v>
      </x:c>
      <x:c r="F218" s="42" t="n">
        <x:f aca="0">IF(F84=0,"n/m",-F110/F84)</x:f>
        <x:v>-0.11943425915170339</x:v>
      </x:c>
      <x:c r="G218" s="42" t="n">
        <x:f aca="0">IF(G84=0,"n/m",-G110/G84)</x:f>
        <x:v>-0.12634184505913956</x:v>
      </x:c>
      <x:c r="H218" s="42" t="n">
        <x:f aca="0">IF(H84=0,"n/m",-H110/H84)</x:f>
        <x:v>-0.16442131850039482</x:v>
      </x:c>
      <x:c r="I218" s="11" t="s">
        <x:v>127</x:v>
      </x:c>
    </x:row>
    <x:row r="219" ht="15" hidden="0">
      <x:c r="A219" t="s">
        <x:v>569</x:v>
      </x:c>
      <x:c r="B219" s="19" t="s">
        <x:v>570</x:v>
      </x:c>
      <x:c r="C219" s="30"/>
      <x:c r="D219" s="42" t="n">
        <x:f aca="0">IF(D84=0,"n/m",D99/D84)</x:f>
        <x:v>0.1453819089897026</x:v>
      </x:c>
      <x:c r="E219" s="42" t="n">
        <x:f aca="0">IF(E84=0,"n/m",E99/E84)</x:f>
        <x:v>0.15282075695786385</x:v>
      </x:c>
      <x:c r="F219" s="42" t="n">
        <x:f aca="0">IF(F84=0,"n/m",F99/F84)</x:f>
        <x:v>0.14955052871384544</x:v>
      </x:c>
      <x:c r="G219" s="42" t="n">
        <x:f aca="0">IF(G84=0,"n/m",G99/G84)</x:f>
        <x:v>0.23011561219895646</x:v>
      </x:c>
      <x:c r="H219" s="42" t="n">
        <x:f aca="0">IF(H84=0,"n/m",H99/H84)</x:f>
        <x:v>0.3083771970759486</x:v>
      </x:c>
      <x:c r="I219" s="11" t="s">
        <x:v>127</x:v>
      </x:c>
    </x:row>
    <x:row r="220" ht="15" hidden="0">
      <x:c r="A220" t="s">
        <x:v>571</x:v>
      </x:c>
      <x:c r="B220" s="19" t="s">
        <x:v>572</x:v>
      </x:c>
      <x:c r="C220" s="30"/>
      <x:c r="D220" s="42" t="n">
        <x:f aca="0">IF(D84=0,"n/m",D109/D84)</x:f>
        <x:v>0.2757450655967617</x:v>
      </x:c>
      <x:c r="E220" s="42" t="n">
        <x:f aca="0">IF(E84=0,"n/m",E109/E84)</x:f>
        <x:v>0.3218458531352648</x:v>
      </x:c>
      <x:c r="F220" s="42" t="n">
        <x:f aca="0">IF(F84=0,"n/m",F109/F84)</x:f>
        <x:v>0.31667859993966047</x:v>
      </x:c>
      <x:c r="G220" s="42" t="n">
        <x:f aca="0">IF(G84=0,"n/m",G109/G84)</x:f>
        <x:v>0.4045887754844856</x:v>
      </x:c>
      <x:c r="H220" s="42" t="n">
        <x:f aca="0">IF(H84=0,"n/m",H109/H84)</x:f>
        <x:v>0.5158217027553589</x:v>
      </x:c>
      <x:c r="I220" s="11" t="s">
        <x:v>127</x:v>
      </x:c>
    </x:row>
    <x:row r="222" ht="15" hidden="0">
      <x:c r="A222" s="5" t="s">
        <x:v>573</x:v>
      </x:c>
      <x:c r="B222" s="20"/>
      <x:c r="C222" s="20"/>
      <x:c r="D222" s="20"/>
      <x:c r="E222" s="20"/>
      <x:c r="F222" s="20"/>
      <x:c r="G222" s="20"/>
      <x:c r="H222" s="20"/>
      <x:c r="I222" s="20"/>
      <x:c r="J222" s="20"/>
    </x:row>
    <x:row r="223" ht="15" hidden="0">
      <x:c r="A223" t="s">
        <x:v>574</x:v>
      </x:c>
      <x:c r="B223" s="19" t="s">
        <x:v>575</x:v>
      </x:c>
      <x:c r="C223" s="30"/>
      <x:c r="D223" s="43" t="s">
        <x:v>576</x:v>
      </x:c>
      <x:c r="E223" s="44" t="n">
        <x:f aca="0">E84-D84</x:f>
        <x:v>8819.573187000002</x:v>
      </x:c>
      <x:c r="F223" s="44" t="n">
        <x:f aca="0">F84-E84</x:f>
        <x:v>6044.686170999994</x:v>
      </x:c>
      <x:c r="G223" s="44" t="n">
        <x:f aca="0">G84-F84</x:f>
        <x:v>-273.86737799999537</x:v>
      </x:c>
      <x:c r="H223" s="44" t="n">
        <x:f aca="0">H84-G84</x:f>
        <x:v>-1112.0676000000021</x:v>
      </x:c>
      <x:c r="I223" s="11" t="s">
        <x:v>98</x:v>
      </x:c>
    </x:row>
    <x:row r="224" ht="15" hidden="0">
      <x:c r="A224" t="s">
        <x:v>577</x:v>
      </x:c>
      <x:c r="B224" s="19" t="s">
        <x:v>578</x:v>
      </x:c>
      <x:c r="C224" s="30"/>
      <x:c r="D224" s="43" t="s">
        <x:v>576</x:v>
      </x:c>
      <x:c r="E224" s="42" t="n">
        <x:f aca="0">IF(D84&lt;=0,"n/m",(E84-D84)/D84)</x:f>
        <x:v>0.36660578401953925</x:v>
      </x:c>
      <x:c r="F224" s="42" t="n">
        <x:f aca="0">IF(E84&lt;=0,"n/m",(F84-E84)/E84)</x:f>
        <x:v>0.18385787981997456</x:v>
      </x:c>
      <x:c r="G224" s="42" t="n">
        <x:f aca="0">IF(F84&lt;=0,"n/m",(G84-F84)/F84)</x:f>
        <x:v>-0.007036379009701487</x:v>
      </x:c>
      <x:c r="H224" s="42" t="n">
        <x:f aca="0">IF(G84&lt;=0,"n/m",(H84-G84)/G84)</x:f>
        <x:v>-0.028774432738410308</x:v>
      </x:c>
      <x:c r="I224" s="11" t="s">
        <x:v>127</x:v>
      </x:c>
    </x:row>
    <x:row r="225" ht="15" hidden="0">
      <x:c r="A225" t="s">
        <x:v>579</x:v>
      </x:c>
      <x:c r="B225" s="19" t="s">
        <x:v>575</x:v>
      </x:c>
      <x:c r="C225" s="30"/>
      <x:c r="D225" s="43" t="s">
        <x:v>576</x:v>
      </x:c>
      <x:c r="E225" s="44" t="n">
        <x:f aca="0">E86-D86</x:f>
        <x:v>3846.4194500000012</x:v>
      </x:c>
      <x:c r="F225" s="44" t="n">
        <x:f aca="0">F86-E86</x:f>
        <x:v>620.9255099999937</x:v>
      </x:c>
      <x:c r="G225" s="44" t="n">
        <x:f aca="0">G86-F86</x:f>
        <x:v>823.797476000007</x:v>
      </x:c>
      <x:c r="H225" s="44" t="n">
        <x:f aca="0">H86-G86</x:f>
        <x:v>3465.1146059999955</x:v>
      </x:c>
      <x:c r="I225" s="11" t="s">
        <x:v>98</x:v>
      </x:c>
    </x:row>
    <x:row r="226" ht="15" hidden="0">
      <x:c r="A226" t="s">
        <x:v>580</x:v>
      </x:c>
      <x:c r="B226" s="19" t="s">
        <x:v>578</x:v>
      </x:c>
      <x:c r="C226" s="30"/>
      <x:c r="D226" s="43" t="s">
        <x:v>576</x:v>
      </x:c>
      <x:c r="E226" s="42" t="n">
        <x:f aca="0">IF(D86&lt;=0,"n/m",(E86-D86)/D86)</x:f>
        <x:v>0.6447936930357592</x:v>
      </x:c>
      <x:c r="F226" s="42" t="n">
        <x:f aca="0">IF(E86&lt;=0,"n/m",(F86-E86)/E86)</x:f>
        <x:v>0.06328375047071685</x:v>
      </x:c>
      <x:c r="G226" s="42" t="n">
        <x:f aca="0">IF(F86&lt;=0,"n/m",(G86-F86)/F86)</x:f>
        <x:v>0.07896306308799139</x:v>
      </x:c>
      <x:c r="H226" s="42" t="n">
        <x:f aca="0">IF(G86&lt;=0,"n/m",(H86-G86)/G86)</x:f>
        <x:v>0.30783256110833096</x:v>
      </x:c>
      <x:c r="I226" s="11" t="s">
        <x:v>127</x:v>
      </x:c>
    </x:row>
    <x:row r="227" ht="15" hidden="0">
      <x:c r="A227" t="s">
        <x:v>581</x:v>
      </x:c>
      <x:c r="B227" s="19" t="s">
        <x:v>575</x:v>
      </x:c>
      <x:c r="C227" s="30"/>
      <x:c r="D227" s="43" t="s">
        <x:v>576</x:v>
      </x:c>
      <x:c r="E227" s="44" t="n">
        <x:f aca="0">E91-D91</x:f>
        <x:v>3540.721195000001</x:v>
      </x:c>
      <x:c r="F227" s="44" t="n">
        <x:f aca="0">F91-E91</x:f>
        <x:v>350.77100199999404</x:v>
      </x:c>
      <x:c r="G227" s="44" t="n">
        <x:f aca="0">G91-F91</x:f>
        <x:v>877.421885000007</x:v>
      </x:c>
      <x:c r="H227" s="44" t="n">
        <x:f aca="0">H91-G91</x:f>
        <x:v>2814.7655039999954</x:v>
      </x:c>
      <x:c r="I227" s="11" t="s">
        <x:v>98</x:v>
      </x:c>
    </x:row>
    <x:row r="228" ht="15" hidden="0">
      <x:c r="A228" t="s">
        <x:v>582</x:v>
      </x:c>
      <x:c r="B228" s="19" t="s">
        <x:v>578</x:v>
      </x:c>
      <x:c r="C228" s="30"/>
      <x:c r="D228" s="43" t="s">
        <x:v>576</x:v>
      </x:c>
      <x:c r="E228" s="42" t="n">
        <x:f aca="0">IF(D91&lt;=0,"n/m",(E91-D91)/D91)</x:f>
        <x:v>0.6766999739418462</x:v>
      </x:c>
      <x:c r="F228" s="42" t="n">
        <x:f aca="0">IF(E91&lt;=0,"n/m",(F91-E91)/E91)</x:f>
        <x:v>0.039982758597390755</x:v>
      </x:c>
      <x:c r="G228" s="42" t="n">
        <x:f aca="0">IF(F91&lt;=0,"n/m",(G91-F91)/F91)</x:f>
        <x:v>0.09616817947074328</x:v>
      </x:c>
      <x:c r="H228" s="42" t="n">
        <x:f aca="0">IF(G91&lt;=0,"n/m",(H91-G91)/G91)</x:f>
        <x:v>0.2814413862125936</x:v>
      </x:c>
      <x:c r="I228" s="11" t="s">
        <x:v>127</x:v>
      </x:c>
    </x:row>
    <x:row r="229" ht="15" hidden="0">
      <x:c r="A229" t="s">
        <x:v>583</x:v>
      </x:c>
      <x:c r="B229" s="19" t="s">
        <x:v>575</x:v>
      </x:c>
      <x:c r="C229" s="30"/>
      <x:c r="D229" s="43" t="s">
        <x:v>576</x:v>
      </x:c>
      <x:c r="E229" s="44" t="n">
        <x:f aca="0">E109-D109</x:f>
        <x:v>3947.6070360000003</x:v>
      </x:c>
      <x:c r="F229" s="44" t="n">
        <x:f aca="0">F109-E109</x:f>
        <x:v>1744.3392329999951</x:v>
      </x:c>
      <x:c r="G229" s="44" t="n">
        <x:f aca="0">G109-F109</x:f>
        <x:v>3310.8041290000056</x:v>
      </x:c>
      <x:c r="H229" s="44" t="n">
        <x:f aca="0">H109-G109</x:f>
        <x:v>3725.275760999997</x:v>
      </x:c>
      <x:c r="I229" s="11" t="s">
        <x:v>98</x:v>
      </x:c>
    </x:row>
    <x:row r="230" ht="15" hidden="0">
      <x:c r="A230" t="s">
        <x:v>584</x:v>
      </x:c>
      <x:c r="B230" s="19" t="s">
        <x:v>578</x:v>
      </x:c>
      <x:c r="C230" s="30"/>
      <x:c r="D230" s="43" t="s">
        <x:v>576</x:v>
      </x:c>
      <x:c r="E230" s="42" t="n">
        <x:f aca="0">IF(D109&lt;=0,"n/m",(E109-D109)/D109)</x:f>
        <x:v>0.5950835004262772</x:v>
      </x:c>
      <x:c r="F230" s="42" t="n">
        <x:f aca="0">IF(E109&lt;=0,"n/m",(F109-E109)/E109)</x:f>
        <x:v>0.16485097526287218</x:v>
      </x:c>
      <x:c r="G230" s="42" t="n">
        <x:f aca="0">IF(F109&lt;=0,"n/m",(G109-F109)/F109)</x:f>
        <x:v>0.26861093737831704</x:v>
      </x:c>
      <x:c r="H230" s="42" t="n">
        <x:f aca="0">IF(G109&lt;=0,"n/m",(H109-G109)/G109)</x:f>
        <x:v>0.2382430166642702</x:v>
      </x:c>
      <x:c r="I230" s="11" t="s">
        <x:v>127</x:v>
      </x:c>
    </x:row>
    <x:row r="231" ht="15" hidden="0">
      <x:c r="A231" t="s">
        <x:v>585</x:v>
      </x:c>
      <x:c r="B231" s="19" t="s">
        <x:v>575</x:v>
      </x:c>
      <x:c r="C231" s="30"/>
      <x:c r="D231" s="43" t="s">
        <x:v>576</x:v>
      </x:c>
      <x:c r="E231" s="44" t="n">
        <x:f aca="0">E99-D99</x:f>
        <x:v>1526.773013</x:v>
      </x:c>
      <x:c r="F231" s="44" t="n">
        <x:f aca="0">F99-E99</x:f>
        <x:v>796.4708849999961</x:v>
      </x:c>
      <x:c r="G231" s="44" t="n">
        <x:f aca="0">G99-F99</x:f>
        <x:v>3072.703642000006</x:v>
      </x:c>
      <x:c r="H231" s="44" t="n">
        <x:f aca="0">H99-G99</x:f>
        <x:v>2681.6992839999984</x:v>
      </x:c>
      <x:c r="I231" s="11" t="s">
        <x:v>98</x:v>
      </x:c>
    </x:row>
    <x:row r="232" ht="15" hidden="0">
      <x:c r="A232" t="s">
        <x:v>586</x:v>
      </x:c>
      <x:c r="B232" s="19" t="s">
        <x:v>578</x:v>
      </x:c>
      <x:c r="C232" s="30"/>
      <x:c r="D232" s="43" t="s">
        <x:v>576</x:v>
      </x:c>
      <x:c r="E232" s="42" t="n">
        <x:f aca="0">IF(D99&lt;=0,"n/m",(E99-D99)/D99)</x:f>
        <x:v>0.4365317653907923</x:v>
      </x:c>
      <x:c r="F232" s="42" t="n">
        <x:f aca="0">IF(E99&lt;=0,"n/m",(F99-E99)/E99)</x:f>
        <x:v>0.1585243743946712</x:v>
      </x:c>
      <x:c r="G232" s="42" t="n">
        <x:f aca="0">IF(F99&lt;=0,"n/m",(G99-F99)/F99)</x:f>
        <x:v>0.5278878215983253</x:v>
      </x:c>
      <x:c r="H232" s="42" t="n">
        <x:f aca="0">IF(G99&lt;=0,"n/m",(H99-G99)/G99)</x:f>
        <x:v>0.30153628125708465</x:v>
      </x:c>
      <x:c r="I232" s="11" t="s">
        <x:v>127</x:v>
      </x:c>
    </x:row>
    <x:row r="233" ht="15" hidden="0">
      <x:c r="A233" t="s">
        <x:v>587</x:v>
      </x:c>
      <x:c r="B233" s="19" t="s">
        <x:v>575</x:v>
      </x:c>
      <x:c r="C233" s="30"/>
      <x:c r="D233" s="43" t="s">
        <x:v>576</x:v>
      </x:c>
      <x:c r="E233" s="44" t="n">
        <x:f aca="0">E117-D117</x:f>
        <x:v>3092.042026</x:v>
      </x:c>
      <x:c r="F233" s="44" t="n">
        <x:f aca="0">F117-E117</x:f>
        <x:v>-3729.276129</x:v>
      </x:c>
      <x:c r="G233" s="44" t="n">
        <x:f aca="0">G117-F117</x:f>
        <x:v>2195.0916479999996</x:v>
      </x:c>
      <x:c r="H233" s="44" t="n">
        <x:f aca="0">H117-G117</x:f>
        <x:v>2731.1151290000007</x:v>
      </x:c>
      <x:c r="I233" s="11" t="s">
        <x:v>98</x:v>
      </x:c>
    </x:row>
    <x:row r="234" ht="15" hidden="0">
      <x:c r="A234" t="s">
        <x:v>588</x:v>
      </x:c>
      <x:c r="B234" s="19" t="s">
        <x:v>578</x:v>
      </x:c>
      <x:c r="C234" s="30"/>
      <x:c r="D234" s="43" t="s">
        <x:v>576</x:v>
      </x:c>
      <x:c r="E234" s="42" t="n">
        <x:f aca="0">IF(D117&lt;=0,"n/m",(E117-D117)/D117)</x:f>
        <x:v>0.6075555356805419</x:v>
      </x:c>
      <x:c r="F234" s="42" t="n">
        <x:f aca="0">IF(E117&lt;=0,"n/m",(F117-E117)/E117)</x:f>
        <x:v>-0.45582605957847905</x:v>
      </x:c>
      <x:c r="G234" s="42" t="n">
        <x:f aca="0">IF(F117&lt;=0,"n/m",(G117-F117)/F117)</x:f>
        <x:v>0.49304836834509325</x:v>
      </x:c>
      <x:c r="H234" s="42" t="n">
        <x:f aca="0">IF(G117&lt;=0,"n/m",(H117-G117)/G117)</x:f>
        <x:v>0.4108686446034615</x:v>
      </x:c>
      <x:c r="I234" s="11" t="s">
        <x:v>127</x:v>
      </x:c>
    </x:row>
    <x:row r="235" ht="15" hidden="0">
      <x:c r="A235" t="s">
        <x:v>589</x:v>
      </x:c>
      <x:c r="B235" s="19" t="s">
        <x:v>575</x:v>
      </x:c>
      <x:c r="C235" s="30"/>
      <x:c r="D235" s="44" t="n">
        <x:f aca="0">D37-C37</x:f>
        <x:v>4330.254130000008</x:v>
      </x:c>
      <x:c r="E235" s="44" t="n">
        <x:f aca="0">E37-D37</x:f>
        <x:v>7263.746406999991</x:v>
      </x:c>
      <x:c r="F235" s="44" t="n">
        <x:f aca="0">F37-E37</x:f>
        <x:v>6179.407701000004</x:v>
      </x:c>
      <x:c r="G235" s="44" t="n">
        <x:f aca="0">G37-F37</x:f>
        <x:v>9313.219652</x:v>
      </x:c>
      <x:c r="H235" s="44" t="n">
        <x:f aca="0">H37-G37</x:f>
        <x:v>7951.016571</x:v>
      </x:c>
      <x:c r="I235" s="11" t="s">
        <x:v>98</x:v>
      </x:c>
    </x:row>
    <x:row r="236" ht="15" hidden="0">
      <x:c r="A236" t="s">
        <x:v>590</x:v>
      </x:c>
      <x:c r="B236" s="19" t="s">
        <x:v>578</x:v>
      </x:c>
      <x:c r="C236" s="30"/>
      <x:c r="D236" s="42" t="n">
        <x:f aca="0">IF(C37&lt;=0,"n/m",(D37-C37)/C37)</x:f>
        <x:v>0.13635732264152</x:v>
      </x:c>
      <x:c r="E236" s="42" t="n">
        <x:f aca="0">IF(D37&lt;=0,"n/m",(E37-D37)/D37)</x:f>
        <x:v>0.20128473468375319</x:v>
      </x:c>
      <x:c r="F236" s="42" t="n">
        <x:f aca="0">IF(E37&lt;=0,"n/m",(F37-E37)/E37)</x:f>
        <x:v>0.14254469442632295</x:v>
      </x:c>
      <x:c r="G236" s="42" t="n">
        <x:f aca="0">IF(F37&lt;=0,"n/m",(G37-F37)/F37)</x:f>
        <x:v>0.18803160603982075</x:v>
      </x:c>
      <x:c r="H236" s="42" t="n">
        <x:f aca="0">IF(G37&lt;=0,"n/m",(H37-G37)/G37)</x:f>
        <x:v>0.13512187827654773</x:v>
      </x:c>
      <x:c r="I236" s="11" t="s">
        <x:v>127</x:v>
      </x:c>
    </x:row>
    <x:row r="237" ht="15" hidden="0">
      <x:c r="A237" t="s">
        <x:v>591</x:v>
      </x:c>
      <x:c r="B237" s="19" t="s">
        <x:v>575</x:v>
      </x:c>
      <x:c r="C237" s="30"/>
      <x:c r="D237" s="44" t="n">
        <x:f aca="0">D41-C41</x:f>
        <x:v>3496.8660469999995</x:v>
      </x:c>
      <x:c r="E237" s="44" t="n">
        <x:f aca="0">E41-D41</x:f>
        <x:v>5022.68086</x:v>
      </x:c>
      <x:c r="F237" s="44" t="n">
        <x:f aca="0">F41-E41</x:f>
        <x:v>5363.824741</x:v>
      </x:c>
      <x:c r="G237" s="44" t="n">
        <x:f aca="0">G41-F41</x:f>
        <x:v>8480.260319000005</x:v>
      </x:c>
      <x:c r="H237" s="44" t="n">
        <x:f aca="0">H41-G41</x:f>
        <x:v>6864.889495999996</x:v>
      </x:c>
      <x:c r="I237" s="11" t="s">
        <x:v>98</x:v>
      </x:c>
    </x:row>
    <x:row r="238" ht="15" hidden="0">
      <x:c r="A238" t="s">
        <x:v>592</x:v>
      </x:c>
      <x:c r="B238" s="19" t="s">
        <x:v>578</x:v>
      </x:c>
      <x:c r="C238" s="30"/>
      <x:c r="D238" s="42" t="n">
        <x:f aca="0">IF(C41&lt;=0,"n/m",(D41-C41)/C41)</x:f>
        <x:v>0.18673183359899997</x:v>
      </x:c>
      <x:c r="E238" s="42" t="n">
        <x:f aca="0">IF(D41&lt;=0,"n/m",(E41-D41)/D41)</x:f>
        <x:v>0.226007242867633</x:v>
      </x:c>
      <x:c r="F238" s="42" t="n">
        <x:f aca="0">IF(E41&lt;=0,"n/m",(F41-E41)/E41)</x:f>
        <x:v>0.19686491173910384</x:v>
      </x:c>
      <x:c r="G238" s="42" t="n">
        <x:f aca="0">IF(F41&lt;=0,"n/m",(G41-F41)/F41)</x:f>
        <x:v>0.260050555780632</x:v>
      </x:c>
      <x:c r="H238" s="42" t="n">
        <x:f aca="0">IF(G41&lt;=0,"n/m",(H41-G41)/G41)</x:f>
        <x:v>0.16706834975751836</x:v>
      </x:c>
      <x:c r="I238" s="11" t="s">
        <x:v>127</x:v>
      </x:c>
    </x:row>
    <x:row r="239" ht="15" hidden="0">
      <x:c r="A239" t="s">
        <x:v>593</x:v>
      </x:c>
      <x:c r="B239" s="19" t="s">
        <x:v>575</x:v>
      </x:c>
      <x:c r="C239" s="30"/>
      <x:c r="D239" s="44" t="n">
        <x:f aca="0">D66-C66</x:f>
        <x:v>-938.5454149999996</x:v>
      </x:c>
      <x:c r="E239" s="44" t="n">
        <x:f aca="0">E66-D66</x:f>
        <x:v>-1799.4736750000002</x:v>
      </x:c>
      <x:c r="F239" s="44" t="n">
        <x:f aca="0">F66-E66</x:f>
        <x:v>-1067.9392260000004</x:v>
      </x:c>
      <x:c r="G239" s="44" t="n">
        <x:f aca="0">G66-F66</x:f>
        <x:v>-895.3738739999999</x:v>
      </x:c>
      <x:c r="H239" s="44" t="n">
        <x:f aca="0">H66-G66</x:f>
        <x:v>2.0425669999999627</x:v>
      </x:c>
      <x:c r="I239" s="11" t="s">
        <x:v>98</x:v>
      </x:c>
    </x:row>
    <x:row r="240" ht="15" hidden="0">
      <x:c r="A240" t="s">
        <x:v>594</x:v>
      </x:c>
      <x:c r="B240" s="19" t="s">
        <x:v>578</x:v>
      </x:c>
      <x:c r="C240" s="30"/>
      <x:c r="D240" s="42" t="n">
        <x:f aca="0">IF(C66&lt;=0,"n/m",(D66-C66)/C66)</x:f>
        <x:v>-0.13428257143131858</x:v>
      </x:c>
      <x:c r="E240" s="42" t="n">
        <x:f aca="0">IF(D66&lt;=0,"n/m",(E66-D66)/D66)</x:f>
        <x:v>-0.2973950211903283</x:v>
      </x:c>
      <x:c r="F240" s="42" t="n">
        <x:f aca="0">IF(E66&lt;=0,"n/m",(F66-E66)/E66)</x:f>
        <x:v>-0.25120224225607</x:v>
      </x:c>
      <x:c r="G240" s="42" t="n">
        <x:f aca="0">IF(F66&lt;=0,"n/m",(G66-F66)/F66)</x:f>
        <x:v>-0.28126575310090685</x:v>
      </x:c>
      <x:c r="H240" s="42" t="n">
        <x:f aca="0">IF(G66&lt;=0,"n/m",(H66-G66)/G66)</x:f>
        <x:v>0.0008927305764201501</x:v>
      </x:c>
      <x:c r="I240" s="11" t="s">
        <x:v>127</x:v>
      </x:c>
    </x:row>
    <x:row r="241" ht="15" hidden="0">
      <x:c r="A241" t="s">
        <x:v>595</x:v>
      </x:c>
      <x:c r="B241" s="19" t="s">
        <x:v>575</x:v>
      </x:c>
      <x:c r="C241" s="30"/>
      <x:c r="D241" s="44" t="n">
        <x:f aca="0">D65-C65</x:f>
        <x:v>917.3647069999997</x:v>
      </x:c>
      <x:c r="E241" s="44" t="n">
        <x:f aca="0">E65-D65</x:f>
        <x:v>1487.4410510000007</x:v>
      </x:c>
      <x:c r="F241" s="44" t="n">
        <x:f aca="0">F65-E65</x:f>
        <x:v>1985.0049</x:v>
      </x:c>
      <x:c r="G241" s="44" t="n">
        <x:f aca="0">G65-F65</x:f>
        <x:v>-76.56539200000043</x:v>
      </x:c>
      <x:c r="H241" s="44" t="n">
        <x:f aca="0">H65-G65</x:f>
        <x:v>-74.55789899999945</x:v>
      </x:c>
      <x:c r="I241" s="11" t="s">
        <x:v>98</x:v>
      </x:c>
    </x:row>
    <x:row r="242" ht="15" hidden="0">
      <x:c r="A242" t="s">
        <x:v>596</x:v>
      </x:c>
      <x:c r="B242" s="19" t="s">
        <x:v>578</x:v>
      </x:c>
      <x:c r="C242" s="30"/>
      <x:c r="D242" s="42" t="n">
        <x:f aca="0">IF(C65&lt;=0,"n/m",(D65-C65)/C65)</x:f>
        <x:v>0.28086771752545975</x:v>
      </x:c>
      <x:c r="E242" s="42" t="n">
        <x:f aca="0">IF(D65&lt;=0,"n/m",(E65-D65)/D65)</x:f>
        <x:v>0.3555455769006367</x:v>
      </x:c>
      <x:c r="F242" s="42" t="n">
        <x:f aca="0">IF(E65&lt;=0,"n/m",(F65-E65)/E65)</x:f>
        <x:v>0.35002815272127846</x:v>
      </x:c>
      <x:c r="G242" s="42" t="n">
        <x:f aca="0">IF(F65&lt;=0,"n/m",(G65-F65)/F65)</x:f>
        <x:v>-0.010000715625158502</x:v>
      </x:c>
      <x:c r="H242" s="42" t="n">
        <x:f aca="0">IF(G65&lt;=0,"n/m",(H65-G65)/G65)</x:f>
        <x:v>-0.009836879432285311</x:v>
      </x:c>
      <x:c r="I242" s="11" t="s">
        <x:v>127</x:v>
      </x:c>
    </x:row>
    <x:row r="243" ht="15" hidden="0">
      <x:c r="A243" t="s">
        <x:v>597</x:v>
      </x:c>
      <x:c r="B243" s="19" t="s">
        <x:v>575</x:v>
      </x:c>
      <x:c r="C243" s="30"/>
      <x:c r="D243" s="44" t="n">
        <x:f aca="0">D32-C32</x:f>
        <x:v>489.253017</x:v>
      </x:c>
      <x:c r="E243" s="44" t="n">
        <x:f aca="0">E32-D32</x:f>
        <x:v>-67.52875399999994</x:v>
      </x:c>
      <x:c r="F243" s="44" t="n">
        <x:f aca="0">F32-E32</x:f>
        <x:v>289.5139059999999</x:v>
      </x:c>
      <x:c r="G243" s="44" t="n">
        <x:f aca="0">G32-F32</x:f>
        <x:v>904.6945270000001</x:v>
      </x:c>
      <x:c r="H243" s="44" t="n">
        <x:f aca="0">H32-G32</x:f>
        <x:v>-418.03007</x:v>
      </x:c>
      <x:c r="I243" s="11" t="s">
        <x:v>98</x:v>
      </x:c>
    </x:row>
    <x:row r="244" ht="15" hidden="0">
      <x:c r="A244" t="s">
        <x:v>598</x:v>
      </x:c>
      <x:c r="B244" s="19" t="s">
        <x:v>578</x:v>
      </x:c>
      <x:c r="C244" s="30"/>
      <x:c r="D244" s="42" t="n">
        <x:f aca="0">IF(C32&lt;=0,"n/m",(D32-C32)/C32)</x:f>
        <x:v>0.9897591881889225</x:v>
      </x:c>
      <x:c r="E244" s="42" t="n">
        <x:f aca="0">IF(D32&lt;=0,"n/m",(E32-D32)/D32)</x:f>
        <x:v>-0.06865690901850123</x:v>
      </x:c>
      <x:c r="F244" s="42" t="n">
        <x:f aca="0">IF(E32&lt;=0,"n/m",(F32-E32)/E32)</x:f>
        <x:v>0.3160495980768705</x:v>
      </x:c>
      <x:c r="G244" s="42" t="n">
        <x:f aca="0">IF(F32&lt;=0,"n/m",(G32-F32)/F32)</x:f>
        <x:v>0.7504392138589469</x:v>
      </x:c>
      <x:c r="H244" s="42" t="n">
        <x:f aca="0">IF(G32&lt;=0,"n/m",(H32-G32)/G32)</x:f>
        <x:v>-0.19809524255600944</x:v>
      </x:c>
      <x:c r="I244" s="11" t="s">
        <x:v>127</x:v>
      </x:c>
    </x:row>
    <x:row r="245" ht="15" hidden="0">
      <x:c r="A245" t="s">
        <x:v>599</x:v>
      </x:c>
      <x:c r="B245" s="19" t="s">
        <x:v>575</x:v>
      </x:c>
      <x:c r="C245" s="30"/>
      <x:c r="D245" s="44" t="n">
        <x:f aca="0">D34-C34</x:f>
        <x:v>306.12326399999995</x:v>
      </x:c>
      <x:c r="E245" s="44" t="n">
        <x:f aca="0">E34-D34</x:f>
        <x:v>-716.963719</x:v>
      </x:c>
      <x:c r="F245" s="44" t="n">
        <x:f aca="0">F34-E34</x:f>
        <x:v>452.771561</x:v>
      </x:c>
      <x:c r="G245" s="44" t="n">
        <x:f aca="0">G34-F34</x:f>
        <x:v>169.1119789999999</x:v>
      </x:c>
      <x:c r="H245" s="44" t="n">
        <x:f aca="0">H34-G34</x:f>
        <x:v>348.0535510000002</x:v>
      </x:c>
      <x:c r="I245" s="11" t="s">
        <x:v>98</x:v>
      </x:c>
    </x:row>
    <x:row r="246" ht="15" hidden="0">
      <x:c r="A246" t="s">
        <x:v>600</x:v>
      </x:c>
      <x:c r="B246" s="19" t="s">
        <x:v>578</x:v>
      </x:c>
      <x:c r="C246" s="30"/>
      <x:c r="D246" s="42" t="n">
        <x:f aca="0">IF(C34&lt;=0,"n/m",(D34-C34)/C34)</x:f>
        <x:v>0.34333913649021547</x:v>
      </x:c>
      <x:c r="E246" s="42" t="n">
        <x:f aca="0">IF(D34&lt;=0,"n/m",(E34-D34)/D34)</x:f>
        <x:v>-0.5986024458709287</x:v>
      </x:c>
      <x:c r="F246" s="42" t="n">
        <x:f aca="0">IF(E34&lt;=0,"n/m",(F34-E34)/E34)</x:f>
        <x:v>0.9417718964570246</x:v>
      </x:c>
      <x:c r="G246" s="42" t="n">
        <x:f aca="0">IF(F34&lt;=0,"n/m",(G34-F34)/F34)</x:f>
        <x:v>0.18115183869272994</x:v>
      </x:c>
      <x:c r="H246" s="42" t="n">
        <x:f aca="0">IF(G34&lt;=0,"n/m",(H34-G34)/G34)</x:f>
        <x:v>0.3156521220332447</x:v>
      </x:c>
      <x:c r="I246" s="11" t="s">
        <x:v>127</x:v>
      </x:c>
    </x:row>
    <x:row r="248" ht="15" hidden="0">
      <x:c r="A248" s="5" t="s">
        <x:v>601</x:v>
      </x:c>
      <x:c r="B248" s="20"/>
      <x:c r="C248" s="20"/>
      <x:c r="D248" s="20"/>
      <x:c r="E248" s="20"/>
      <x:c r="F248" s="20"/>
      <x:c r="G248" s="20"/>
      <x:c r="H248" s="20"/>
      <x:c r="I248" s="20"/>
      <x:c r="J248" s="20"/>
    </x:row>
    <x:row r="250" ht="15" hidden="0">
      <x:c r="A250" s="5" t="s">
        <x:v>602</x:v>
      </x:c>
      <x:c r="B250" s="20"/>
      <x:c r="C250" s="20"/>
      <x:c r="D250" s="20"/>
      <x:c r="E250" s="20"/>
      <x:c r="F250" s="20"/>
      <x:c r="G250" s="20"/>
      <x:c r="H250" s="20"/>
      <x:c r="I250" s="20"/>
      <x:c r="J250" s="20"/>
    </x:row>
    <x:row r="251" ht="15" hidden="0">
      <x:c r="A251" s="45" t="s">
        <x:v>603</x:v>
      </x:c>
    </x:row>
    <x:row r="252" ht="15" hidden="0">
      <x:c r="A252" s="24" t="s">
        <x:v>82</x:v>
      </x:c>
      <x:c r="B252" s="24" t="s">
        <x:v>604</x:v>
      </x:c>
      <x:c r="C252" s="24"/>
      <x:c r="D252" s="24" t="s">
        <x:v>73</x:v>
      </x:c>
      <x:c r="E252" s="24" t="s">
        <x:v>74</x:v>
      </x:c>
      <x:c r="F252" s="24" t="s">
        <x:v>75</x:v>
      </x:c>
      <x:c r="G252" s="24" t="s">
        <x:v>76</x:v>
      </x:c>
      <x:c r="H252" s="24" t="s">
        <x:v>77</x:v>
      </x:c>
      <x:c r="I252" s="24"/>
      <x:c r="J252" s="24" t="s">
        <x:v>605</x:v>
      </x:c>
    </x:row>
    <x:row r="253" ht="15" hidden="0">
      <x:c r="A253" t="s">
        <x:v>606</x:v>
      </x:c>
      <x:c r="B253" s="9" t="s">
        <x:v>607</x:v>
      </x:c>
      <x:c r="D253" s="46" t="n">
        <x:f aca="0">D138</x:f>
        <x:v>1.3006446691414961</x:v>
      </x:c>
      <x:c r="E253" s="46" t="n">
        <x:f aca="0">E138</x:f>
        <x:v>1.8735085276109804</x:v>
      </x:c>
      <x:c r="F253" s="46" t="n">
        <x:f aca="0">F138</x:f>
        <x:v>2.311570515459215</x:v>
      </x:c>
      <x:c r="G253" s="46" t="n">
        <x:f aca="0">G138</x:f>
        <x:v>2.903159053016002</x:v>
      </x:c>
      <x:c r="H253" s="46" t="n">
        <x:f aca="0">H138</x:f>
        <x:v>3.311248687172772</x:v>
      </x:c>
      <x:c r="J253" s="9"/>
    </x:row>
    <x:row r="254" ht="15" hidden="0">
      <x:c r="A254" t="s">
        <x:v>608</x:v>
      </x:c>
      <x:c r="D254" s="47" t="n">
        <x:v>1.3</x:v>
      </x:c>
      <x:c r="E254" s="47" t="n">
        <x:v>1.87</x:v>
      </x:c>
      <x:c r="F254" s="47" t="n">
        <x:v>2.31</x:v>
      </x:c>
      <x:c r="G254" s="47" t="n">
        <x:v>2.9</x:v>
      </x:c>
      <x:c r="H254" s="47" t="n">
        <x:v>3.31</x:v>
      </x:c>
    </x:row>
    <x:row r="255" ht="15" hidden="0">
      <x:c r="A255" t="s">
        <x:v>609</x:v>
      </x:c>
      <x:c r="D255" s="46" t="n">
        <x:f aca="0">IF(AND(ISNUMBER(D253),ISNUMBER(D254)),D253-D254,"n/a")</x:f>
        <x:v>0.0006446691414960792</x:v>
      </x:c>
      <x:c r="E255" s="46" t="n">
        <x:f aca="0">IF(AND(ISNUMBER(E253),ISNUMBER(E254)),E253-E254,"n/a")</x:f>
        <x:v>0.0035085276109803054</x:v>
      </x:c>
      <x:c r="F255" s="46" t="n">
        <x:f aca="0">IF(AND(ISNUMBER(F253),ISNUMBER(F254)),F253-F254,"n/a")</x:f>
        <x:v>0.0015705154592149384</x:v>
      </x:c>
      <x:c r="G255" s="46" t="n">
        <x:f aca="0">IF(AND(ISNUMBER(G253),ISNUMBER(G254)),G253-G254,"n/a")</x:f>
        <x:v>0.0031590530160019448</x:v>
      </x:c>
      <x:c r="H255" s="46" t="n">
        <x:f aca="0">IF(AND(ISNUMBER(H253),ISNUMBER(H254)),H253-H254,"n/a")</x:f>
        <x:v>0.001248687172771934</x:v>
      </x:c>
    </x:row>
    <x:row r="256" ht="15" hidden="0">
      <x:c r="A256" t="s">
        <x:v>194</x:v>
      </x:c>
      <x:c r="D256" s="48" t="str">
        <x:f aca="0">IF(NOT(ISNUMBER(D255)),"n/a",IF(ABS(D255)&lt;=MAX(0.01,0.02*ABS(D254)),"Agrees","Differs"))</x:f>
        <x:v>Agrees</x:v>
      </x:c>
      <x:c r="E256" s="48" t="str">
        <x:f aca="0">IF(NOT(ISNUMBER(E255)),"n/a",IF(ABS(E255)&lt;=MAX(0.01,0.02*ABS(E254)),"Agrees","Differs"))</x:f>
        <x:v>Agrees</x:v>
      </x:c>
      <x:c r="F256" s="48" t="str">
        <x:f aca="0">IF(NOT(ISNUMBER(F255)),"n/a",IF(ABS(F255)&lt;=MAX(0.01,0.02*ABS(F254)),"Agrees","Differs"))</x:f>
        <x:v>Agrees</x:v>
      </x:c>
      <x:c r="G256" s="48" t="str">
        <x:f aca="0">IF(NOT(ISNUMBER(G255)),"n/a",IF(ABS(G255)&lt;=MAX(0.01,0.02*ABS(G254)),"Agrees","Differs"))</x:f>
        <x:v>Agrees</x:v>
      </x:c>
      <x:c r="H256" s="48" t="str">
        <x:f aca="0">IF(NOT(ISNUMBER(H255)),"n/a",IF(ABS(H255)&lt;=MAX(0.01,0.02*ABS(H254)),"Agrees","Differs"))</x:f>
        <x:v>Agrees</x:v>
      </x:c>
    </x:row>
    <x:row r="257" ht="15" hidden="0">
      <x:c r="A257" t="s">
        <x:v>610</x:v>
      </x:c>
      <x:c r="B257" s="9" t="s">
        <x:v>611</x:v>
      </x:c>
      <x:c r="D257" s="46" t="n">
        <x:f aca="0">D139</x:f>
        <x:v>0.748160438555549</x:v>
      </x:c>
      <x:c r="E257" s="46" t="n">
        <x:f aca="0">E139</x:f>
        <x:v>1.2758070110452304</x:v>
      </x:c>
      <x:c r="F257" s="46" t="n">
        <x:f aca="0">F139</x:f>
        <x:v>1.5392110300634694</x:v>
      </x:c>
      <x:c r="G257" s="46" t="n">
        <x:f aca="0">G139</x:f>
        <x:v>2.220059339921235</x:v>
      </x:c>
      <x:c r="H257" s="46" t="n">
        <x:f aca="0">H139</x:f>
        <x:v>2.6677003784340947</x:v>
      </x:c>
      <x:c r="J257" s="9"/>
    </x:row>
    <x:row r="258" ht="15" hidden="0">
      <x:c r="A258" t="s">
        <x:v>612</x:v>
      </x:c>
      <x:c r="D258" s="47" t="n">
        <x:v>0.75</x:v>
      </x:c>
      <x:c r="E258" s="47" t="n">
        <x:v>1.28</x:v>
      </x:c>
      <x:c r="F258" s="47" t="n">
        <x:v>1.54</x:v>
      </x:c>
      <x:c r="G258" s="47" t="n">
        <x:v>2.22</x:v>
      </x:c>
      <x:c r="H258" s="47" t="n">
        <x:v>2.67</x:v>
      </x:c>
    </x:row>
    <x:row r="259" ht="15" hidden="0">
      <x:c r="A259" t="s">
        <x:v>609</x:v>
      </x:c>
      <x:c r="D259" s="46" t="n">
        <x:f aca="0">IF(AND(ISNUMBER(D257),ISNUMBER(D258)),D257-D258,"n/a")</x:f>
        <x:v>-0.0018395614444509656</x:v>
      </x:c>
      <x:c r="E259" s="46" t="n">
        <x:f aca="0">IF(AND(ISNUMBER(E257),ISNUMBER(E258)),E257-E258,"n/a")</x:f>
        <x:v>-0.004192988954769605</x:v>
      </x:c>
      <x:c r="F259" s="46" t="n">
        <x:f aca="0">IF(AND(ISNUMBER(F257),ISNUMBER(F258)),F257-F258,"n/a")</x:f>
        <x:v>-0.0007889699365306591</x:v>
      </x:c>
      <x:c r="G259" s="46" t="n">
        <x:f aca="0">IF(AND(ISNUMBER(G257),ISNUMBER(G258)),G257-G258,"n/a")</x:f>
        <x:v>0.000059339921234968784</x:v>
      </x:c>
      <x:c r="H259" s="46" t="n">
        <x:f aca="0">IF(AND(ISNUMBER(H257),ISNUMBER(H258)),H257-H258,"n/a")</x:f>
        <x:v>-0.002299621565905241</x:v>
      </x:c>
    </x:row>
    <x:row r="260" ht="15" hidden="0">
      <x:c r="A260" t="s">
        <x:v>194</x:v>
      </x:c>
      <x:c r="D260" s="48" t="str">
        <x:f aca="0">IF(NOT(ISNUMBER(D259)),"n/a",IF(ABS(D259)&lt;=MAX(0.01,0.02*ABS(D258)),"Agrees","Differs"))</x:f>
        <x:v>Agrees</x:v>
      </x:c>
      <x:c r="E260" s="48" t="str">
        <x:f aca="0">IF(NOT(ISNUMBER(E259)),"n/a",IF(ABS(E259)&lt;=MAX(0.01,0.02*ABS(E258)),"Agrees","Differs"))</x:f>
        <x:v>Agrees</x:v>
      </x:c>
      <x:c r="F260" s="48" t="str">
        <x:f aca="0">IF(NOT(ISNUMBER(F259)),"n/a",IF(ABS(F259)&lt;=MAX(0.01,0.02*ABS(F258)),"Agrees","Differs"))</x:f>
        <x:v>Agrees</x:v>
      </x:c>
      <x:c r="G260" s="48" t="str">
        <x:f aca="0">IF(NOT(ISNUMBER(G259)),"n/a",IF(ABS(G259)&lt;=MAX(0.01,0.02*ABS(G258)),"Agrees","Differs"))</x:f>
        <x:v>Agrees</x:v>
      </x:c>
      <x:c r="H260" s="48" t="str">
        <x:f aca="0">IF(NOT(ISNUMBER(H259)),"n/a",IF(ABS(H259)&lt;=MAX(0.01,0.02*ABS(H258)),"Agrees","Differs"))</x:f>
        <x:v>Agrees</x:v>
      </x:c>
    </x:row>
    <x:row r="261" ht="15" hidden="0">
      <x:c r="A261" t="s">
        <x:v>613</x:v>
      </x:c>
      <x:c r="B261" s="9" t="s">
        <x:v>614</x:v>
      </x:c>
      <x:c r="D261" s="46" t="n">
        <x:f aca="0">D144</x:f>
        <x:v>4.857098601325517</x:v>
      </x:c>
      <x:c r="E261" s="46" t="n">
        <x:f aca="0">E144</x:f>
        <x:v>4.681131721571692</x:v>
      </x:c>
      <x:c r="F261" s="46" t="n">
        <x:f aca="0">F144</x:f>
        <x:v>4.275379143771386</x:v>
      </x:c>
      <x:c r="G261" s="46" t="n">
        <x:f aca="0">G144</x:f>
        <x:v>3.5957369645110586</x:v>
      </x:c>
      <x:c r="H261" s="46" t="n">
        <x:f aca="0">H144</x:f>
        <x:v>3.024880626442934</x:v>
      </x:c>
      <x:c r="J261" s="9" t="s">
        <x:v>615</x:v>
      </x:c>
    </x:row>
    <x:row r="262" ht="15" hidden="0">
      <x:c r="A262" t="s">
        <x:v>616</x:v>
      </x:c>
      <x:c r="D262" s="47" t="n">
        <x:v>5.75</x:v>
      </x:c>
      <x:c r="E262" s="47" t="n">
        <x:v>5.8</x:v>
      </x:c>
      <x:c r="F262" s="47" t="n">
        <x:v>5.08</x:v>
      </x:c>
      <x:c r="G262" s="47" t="n">
        <x:v>5.1</x:v>
      </x:c>
      <x:c r="H262" s="47" t="n">
        <x:v>5</x:v>
      </x:c>
    </x:row>
    <x:row r="263" ht="15" hidden="0">
      <x:c r="A263" t="s">
        <x:v>609</x:v>
      </x:c>
      <x:c r="D263" s="46" t="n">
        <x:f aca="0">IF(AND(ISNUMBER(D261),ISNUMBER(D262)),D261-D262,"n/a")</x:f>
        <x:v>-0.8929013986744829</x:v>
      </x:c>
      <x:c r="E263" s="46" t="n">
        <x:f aca="0">IF(AND(ISNUMBER(E261),ISNUMBER(E262)),E261-E262,"n/a")</x:f>
        <x:v>-1.118868278428308</x:v>
      </x:c>
      <x:c r="F263" s="46" t="n">
        <x:f aca="0">IF(AND(ISNUMBER(F261),ISNUMBER(F262)),F261-F262,"n/a")</x:f>
        <x:v>-0.8046208562286141</x:v>
      </x:c>
      <x:c r="G263" s="46" t="n">
        <x:f aca="0">IF(AND(ISNUMBER(G261),ISNUMBER(G262)),G261-G262,"n/a")</x:f>
        <x:v>-1.504263035488941</x:v>
      </x:c>
      <x:c r="H263" s="46" t="n">
        <x:f aca="0">IF(AND(ISNUMBER(H261),ISNUMBER(H262)),H261-H262,"n/a")</x:f>
        <x:v>-1.975119373557066</x:v>
      </x:c>
    </x:row>
    <x:row r="264" ht="15" hidden="0">
      <x:c r="A264" t="s">
        <x:v>194</x:v>
      </x:c>
      <x:c r="D264" s="48" t="str">
        <x:f aca="0">IF(NOT(ISNUMBER(D263)),"n/a",IF(ABS(D263)&lt;=MAX(0.01,0.02*ABS(D262)),"Agrees","Differs"))</x:f>
        <x:v>Differs</x:v>
      </x:c>
      <x:c r="E264" s="48" t="str">
        <x:f aca="0">IF(NOT(ISNUMBER(E263)),"n/a",IF(ABS(E263)&lt;=MAX(0.01,0.02*ABS(E262)),"Agrees","Differs"))</x:f>
        <x:v>Differs</x:v>
      </x:c>
      <x:c r="F264" s="48" t="str">
        <x:f aca="0">IF(NOT(ISNUMBER(F263)),"n/a",IF(ABS(F263)&lt;=MAX(0.01,0.02*ABS(F262)),"Agrees","Differs"))</x:f>
        <x:v>Differs</x:v>
      </x:c>
      <x:c r="G264" s="48" t="str">
        <x:f aca="0">IF(NOT(ISNUMBER(G263)),"n/a",IF(ABS(G263)&lt;=MAX(0.01,0.02*ABS(G262)),"Agrees","Differs"))</x:f>
        <x:v>Differs</x:v>
      </x:c>
      <x:c r="H264" s="48" t="str">
        <x:f aca="0">IF(NOT(ISNUMBER(H263)),"n/a",IF(ABS(H263)&lt;=MAX(0.01,0.02*ABS(H262)),"Agrees","Differs"))</x:f>
        <x:v>Differs</x:v>
      </x:c>
    </x:row>
    <x:row r="265" ht="15" hidden="0">
      <x:c r="A265" t="s">
        <x:v>617</x:v>
      </x:c>
      <x:c r="B265" s="9" t="s">
        <x:v>618</x:v>
      </x:c>
      <x:c r="D265" s="49" t="n">
        <x:f aca="0">D148</x:f>
        <x:v>11.21126950346497</x:v>
      </x:c>
      <x:c r="E265" s="49" t="n">
        <x:f aca="0">E148</x:f>
        <x:v>10.544725482358297</x:v>
      </x:c>
      <x:c r="F265" s="49" t="n">
        <x:f aca="0">F148</x:f>
        <x:v>9.947955437848783</x:v>
      </x:c>
      <x:c r="G265" s="49" t="n">
        <x:f aca="0">G148</x:f>
        <x:v>15.65766316675557</x:v>
      </x:c>
      <x:c r="H265" s="49" t="n">
        <x:f aca="0">H148</x:f>
        <x:v>18.487732733839078</x:v>
      </x:c>
      <x:c r="J265" s="9" t="s">
        <x:v>619</x:v>
      </x:c>
    </x:row>
    <x:row r="266" ht="15" hidden="0">
      <x:c r="A266" t="s">
        <x:v>620</x:v>
      </x:c>
      <x:c r="D266" s="50" t="n">
        <x:v>14.92</x:v>
      </x:c>
      <x:c r="E266" s="50" t="n">
        <x:v>10.17</x:v>
      </x:c>
      <x:c r="F266" s="50" t="n">
        <x:v>11.31</x:v>
      </x:c>
      <x:c r="G266" s="50" t="n">
        <x:v>19.93</x:v>
      </x:c>
      <x:c r="H266" s="50" t="n">
        <x:v>16.46</x:v>
      </x:c>
    </x:row>
    <x:row r="267" ht="15" hidden="0">
      <x:c r="A267" t="s">
        <x:v>609</x:v>
      </x:c>
      <x:c r="D267" s="49" t="n">
        <x:f aca="0">IF(AND(ISNUMBER(D265),ISNUMBER(D266)),D265-D266,"n/a")</x:f>
        <x:v>-3.708730496535029</x:v>
      </x:c>
      <x:c r="E267" s="49" t="n">
        <x:f aca="0">IF(AND(ISNUMBER(E265),ISNUMBER(E266)),E265-E266,"n/a")</x:f>
        <x:v>0.37472548235829706</x:v>
      </x:c>
      <x:c r="F267" s="49" t="n">
        <x:f aca="0">IF(AND(ISNUMBER(F265),ISNUMBER(F266)),F265-F266,"n/a")</x:f>
        <x:v>-1.3620445621512172</x:v>
      </x:c>
      <x:c r="G267" s="49" t="n">
        <x:f aca="0">IF(AND(ISNUMBER(G265),ISNUMBER(G266)),G265-G266,"n/a")</x:f>
        <x:v>-4.272336833244429</x:v>
      </x:c>
      <x:c r="H267" s="49" t="n">
        <x:f aca="0">IF(AND(ISNUMBER(H265),ISNUMBER(H266)),H265-H266,"n/a")</x:f>
        <x:v>2.027732733839077</x:v>
      </x:c>
    </x:row>
    <x:row r="268" ht="15" hidden="0">
      <x:c r="A268" t="s">
        <x:v>194</x:v>
      </x:c>
      <x:c r="D268" s="48" t="str">
        <x:f aca="0">IF(NOT(ISNUMBER(D267)),"n/a",IF(ABS(D267)&lt;=MAX(1,0.02*ABS(D266)),"Agrees","Differs"))</x:f>
        <x:v>Differs</x:v>
      </x:c>
      <x:c r="E268" s="48" t="str">
        <x:f aca="0">IF(NOT(ISNUMBER(E267)),"n/a",IF(ABS(E267)&lt;=MAX(1,0.02*ABS(E266)),"Agrees","Differs"))</x:f>
        <x:v>Agrees</x:v>
      </x:c>
      <x:c r="F268" s="48" t="str">
        <x:f aca="0">IF(NOT(ISNUMBER(F267)),"n/a",IF(ABS(F267)&lt;=MAX(1,0.02*ABS(F266)),"Agrees","Differs"))</x:f>
        <x:v>Differs</x:v>
      </x:c>
      <x:c r="G268" s="48" t="str">
        <x:f aca="0">IF(NOT(ISNUMBER(G267)),"n/a",IF(ABS(G267)&lt;=MAX(1,0.02*ABS(G266)),"Agrees","Differs"))</x:f>
        <x:v>Differs</x:v>
      </x:c>
      <x:c r="H268" s="48" t="str">
        <x:f aca="0">IF(NOT(ISNUMBER(H267)),"n/a",IF(ABS(H267)&lt;=MAX(1,0.02*ABS(H266)),"Agrees","Differs"))</x:f>
        <x:v>Differs</x:v>
      </x:c>
    </x:row>
    <x:row r="269" ht="15" hidden="0">
      <x:c r="A269" t="s">
        <x:v>621</x:v>
      </x:c>
      <x:c r="B269" s="9" t="s">
        <x:v>622</x:v>
      </x:c>
      <x:c r="D269" s="49" t="n">
        <x:f aca="0">D149</x:f>
        <x:v>26.695664391757177</x:v>
      </x:c>
      <x:c r="E269" s="49" t="n">
        <x:f aca="0">E149</x:f>
        <x:v>22.44512723840719</x:v>
      </x:c>
      <x:c r="F269" s="49" t="n">
        <x:f aca="0">F149</x:f>
        <x:v>12.531624662163898</x:v>
      </x:c>
      <x:c r="G269" s="49" t="n">
        <x:f aca="0">G149</x:f>
        <x:v>16.36441117170576</x:v>
      </x:c>
      <x:c r="H269" s="49" t="n">
        <x:f aca="0">H149</x:f>
        <x:v>31.10648886452127</x:v>
      </x:c>
      <x:c r="J269" s="9" t="s">
        <x:v>623</x:v>
      </x:c>
    </x:row>
    <x:row r="270" ht="15" hidden="0">
      <x:c r="A270" t="s">
        <x:v>624</x:v>
      </x:c>
      <x:c r="D270" s="50" t="n">
        <x:v>33.74</x:v>
      </x:c>
      <x:c r="E270" s="50" t="n">
        <x:v>20.97</x:v>
      </x:c>
      <x:c r="F270" s="50" t="n">
        <x:v>9.14</x:v>
      </x:c>
      <x:c r="G270" s="50" t="n">
        <x:v>24.36</x:v>
      </x:c>
      <x:c r="H270" s="50" t="n">
        <x:v>34.79</x:v>
      </x:c>
    </x:row>
    <x:row r="271" ht="15" hidden="0">
      <x:c r="A271" t="s">
        <x:v>609</x:v>
      </x:c>
      <x:c r="D271" s="49" t="n">
        <x:f aca="0">IF(AND(ISNUMBER(D269),ISNUMBER(D270)),D269-D270,"n/a")</x:f>
        <x:v>-7.044335608242825</x:v>
      </x:c>
      <x:c r="E271" s="49" t="n">
        <x:f aca="0">IF(AND(ISNUMBER(E269),ISNUMBER(E270)),E269-E270,"n/a")</x:f>
        <x:v>1.4751272384071896</x:v>
      </x:c>
      <x:c r="F271" s="49" t="n">
        <x:f aca="0">IF(AND(ISNUMBER(F269),ISNUMBER(F270)),F269-F270,"n/a")</x:f>
        <x:v>3.3916246621638972</x:v>
      </x:c>
      <x:c r="G271" s="49" t="n">
        <x:f aca="0">IF(AND(ISNUMBER(G269),ISNUMBER(G270)),G269-G270,"n/a")</x:f>
        <x:v>-7.995588828294238</x:v>
      </x:c>
      <x:c r="H271" s="49" t="n">
        <x:f aca="0">IF(AND(ISNUMBER(H269),ISNUMBER(H270)),H269-H270,"n/a")</x:f>
        <x:v>-3.683511135478728</x:v>
      </x:c>
    </x:row>
    <x:row r="272" ht="15" hidden="0">
      <x:c r="A272" t="s">
        <x:v>194</x:v>
      </x:c>
      <x:c r="D272" s="48" t="str">
        <x:f aca="0">IF(NOT(ISNUMBER(D271)),"n/a",IF(ABS(D271)&lt;=MAX(1,0.02*ABS(D270)),"Agrees","Differs"))</x:f>
        <x:v>Differs</x:v>
      </x:c>
      <x:c r="E272" s="48" t="str">
        <x:f aca="0">IF(NOT(ISNUMBER(E271)),"n/a",IF(ABS(E271)&lt;=MAX(1,0.02*ABS(E270)),"Agrees","Differs"))</x:f>
        <x:v>Differs</x:v>
      </x:c>
      <x:c r="F272" s="48" t="str">
        <x:f aca="0">IF(NOT(ISNUMBER(F271)),"n/a",IF(ABS(F271)&lt;=MAX(1,0.02*ABS(F270)),"Agrees","Differs"))</x:f>
        <x:v>Differs</x:v>
      </x:c>
      <x:c r="G272" s="48" t="str">
        <x:f aca="0">IF(NOT(ISNUMBER(G271)),"n/a",IF(ABS(G271)&lt;=MAX(1,0.02*ABS(G270)),"Agrees","Differs"))</x:f>
        <x:v>Differs</x:v>
      </x:c>
      <x:c r="H272" s="48" t="str">
        <x:f aca="0">IF(NOT(ISNUMBER(H271)),"n/a",IF(ABS(H271)&lt;=MAX(1,0.02*ABS(H270)),"Agrees","Differs"))</x:f>
        <x:v>Differs</x:v>
      </x:c>
    </x:row>
    <x:row r="273" ht="15" hidden="0">
      <x:c r="A273" t="s">
        <x:v>625</x:v>
      </x:c>
      <x:c r="B273" s="9" t="s">
        <x:v>626</x:v>
      </x:c>
      <x:c r="D273" s="49" t="n">
        <x:f aca="0">D151</x:f>
        <x:v>59.66334864328658</x:v>
      </x:c>
      <x:c r="E273" s="49" t="n">
        <x:f aca="0">E151</x:f>
        <x:v>66.07219583568286</x:v>
      </x:c>
      <x:c r="F273" s="49" t="n">
        <x:f aca="0">F151</x:f>
        <x:v>82.78887616309285</x:v>
      </x:c>
      <x:c r="G273" s="49" t="n">
        <x:f aca="0">G151</x:f>
        <x:v>100.80234556959385</x:v>
      </x:c>
      <x:c r="H273" s="49" t="n">
        <x:f aca="0">H151</x:f>
        <x:v>108.04716265276964</x:v>
      </x:c>
      <x:c r="J273" s="9" t="s">
        <x:v>627</x:v>
      </x:c>
    </x:row>
    <x:row r="274" ht="15" hidden="0">
      <x:c r="A274" t="s">
        <x:v>628</x:v>
      </x:c>
      <x:c r="D274" s="50" t="n">
        <x:v>44.66</x:v>
      </x:c>
      <x:c r="E274" s="50" t="n">
        <x:v>52.16</x:v>
      </x:c>
      <x:c r="F274" s="50" t="n">
        <x:v>73.96</x:v>
      </x:c>
      <x:c r="G274" s="50" t="n">
        <x:v>67.15</x:v>
      </x:c>
      <x:c r="H274" s="50" t="n">
        <x:v>54.64</x:v>
      </x:c>
    </x:row>
    <x:row r="275" ht="15" hidden="0">
      <x:c r="A275" t="s">
        <x:v>609</x:v>
      </x:c>
      <x:c r="D275" s="49" t="n">
        <x:f aca="0">IF(AND(ISNUMBER(D273),ISNUMBER(D274)),D273-D274,"n/a")</x:f>
        <x:v>15.003348643286586</x:v>
      </x:c>
      <x:c r="E275" s="49" t="n">
        <x:f aca="0">IF(AND(ISNUMBER(E273),ISNUMBER(E274)),E273-E274,"n/a")</x:f>
        <x:v>13.912195835682866</x:v>
      </x:c>
      <x:c r="F275" s="49" t="n">
        <x:f aca="0">IF(AND(ISNUMBER(F273),ISNUMBER(F274)),F273-F274,"n/a")</x:f>
        <x:v>8.828876163092858</x:v>
      </x:c>
      <x:c r="G275" s="49" t="n">
        <x:f aca="0">IF(AND(ISNUMBER(G273),ISNUMBER(G274)),G273-G274,"n/a")</x:f>
        <x:v>33.65234556959385</x:v>
      </x:c>
      <x:c r="H275" s="49" t="n">
        <x:f aca="0">IF(AND(ISNUMBER(H273),ISNUMBER(H274)),H273-H274,"n/a")</x:f>
        <x:v>53.40716265276964</x:v>
      </x:c>
    </x:row>
    <x:row r="276" ht="15" hidden="0">
      <x:c r="A276" t="s">
        <x:v>194</x:v>
      </x:c>
      <x:c r="D276" s="48" t="str">
        <x:f aca="0">IF(NOT(ISNUMBER(D275)),"n/a",IF(ABS(D275)&lt;=MAX(1,0.02*ABS(D274)),"Agrees","Differs"))</x:f>
        <x:v>Differs</x:v>
      </x:c>
      <x:c r="E276" s="48" t="str">
        <x:f aca="0">IF(NOT(ISNUMBER(E275)),"n/a",IF(ABS(E275)&lt;=MAX(1,0.02*ABS(E274)),"Agrees","Differs"))</x:f>
        <x:v>Differs</x:v>
      </x:c>
      <x:c r="F276" s="48" t="str">
        <x:f aca="0">IF(NOT(ISNUMBER(F275)),"n/a",IF(ABS(F275)&lt;=MAX(1,0.02*ABS(F274)),"Agrees","Differs"))</x:f>
        <x:v>Differs</x:v>
      </x:c>
      <x:c r="G276" s="48" t="str">
        <x:f aca="0">IF(NOT(ISNUMBER(G275)),"n/a",IF(ABS(G275)&lt;=MAX(1,0.02*ABS(G274)),"Agrees","Differs"))</x:f>
        <x:v>Differs</x:v>
      </x:c>
      <x:c r="H276" s="48" t="str">
        <x:f aca="0">IF(NOT(ISNUMBER(H275)),"n/a",IF(ABS(H275)&lt;=MAX(1,0.02*ABS(H274)),"Agrees","Differs"))</x:f>
        <x:v>Differs</x:v>
      </x:c>
    </x:row>
    <x:row r="277" ht="15" hidden="0">
      <x:c r="A277" t="s">
        <x:v>629</x:v>
      </x:c>
      <x:c r="B277" s="9" t="s">
        <x:v>630</x:v>
      </x:c>
      <x:c r="D277" s="46" t="n">
        <x:f aca="0">D152</x:f>
        <x:v>0.7092011621843222</x:v>
      </x:c>
      <x:c r="E277" s="46" t="n">
        <x:f aca="0">E152</x:f>
        <x:v>0.8277428727778264</x:v>
      </x:c>
      <x:c r="F277" s="46" t="n">
        <x:f aca="0">F152</x:f>
        <x:v>0.838099135080987</x:v>
      </x:c>
      <x:c r="G277" s="46" t="n">
        <x:f aca="0">G152</x:f>
        <x:v>0.7132336607672219</x:v>
      </x:c>
      <x:c r="H277" s="46" t="n">
        <x:f aca="0">H152</x:f>
        <x:v>0.59752332567838</x:v>
      </x:c>
      <x:c r="J277" s="9" t="s">
        <x:v>631</x:v>
      </x:c>
    </x:row>
    <x:row r="278" ht="15" hidden="0">
      <x:c r="A278" t="s">
        <x:v>632</x:v>
      </x:c>
      <x:c r="D278" s="47" t="n">
        <x:v>0.67</x:v>
      </x:c>
      <x:c r="E278" s="47" t="n">
        <x:v>0.76</x:v>
      </x:c>
      <x:c r="F278" s="47" t="n">
        <x:v>0.79</x:v>
      </x:c>
      <x:c r="G278" s="47" t="n">
        <x:v>0.66</x:v>
      </x:c>
      <x:c r="H278" s="47" t="n">
        <x:v>0.56</x:v>
      </x:c>
    </x:row>
    <x:row r="279" ht="15" hidden="0">
      <x:c r="A279" t="s">
        <x:v>609</x:v>
      </x:c>
      <x:c r="D279" s="46" t="n">
        <x:f aca="0">IF(AND(ISNUMBER(D277),ISNUMBER(D278)),D277-D278,"n/a")</x:f>
        <x:v>0.039201162184322125</x:v>
      </x:c>
      <x:c r="E279" s="46" t="n">
        <x:f aca="0">IF(AND(ISNUMBER(E277),ISNUMBER(E278)),E277-E278,"n/a")</x:f>
        <x:v>0.06774287277782642</x:v>
      </x:c>
      <x:c r="F279" s="46" t="n">
        <x:f aca="0">IF(AND(ISNUMBER(F277),ISNUMBER(F278)),F277-F278,"n/a")</x:f>
        <x:v>0.048099135080986954</x:v>
      </x:c>
      <x:c r="G279" s="46" t="n">
        <x:f aca="0">IF(AND(ISNUMBER(G277),ISNUMBER(G278)),G277-G278,"n/a")</x:f>
        <x:v>0.05323366076722191</x:v>
      </x:c>
      <x:c r="H279" s="46" t="n">
        <x:f aca="0">IF(AND(ISNUMBER(H277),ISNUMBER(H278)),H277-H278,"n/a")</x:f>
        <x:v>0.037523325678379904</x:v>
      </x:c>
    </x:row>
    <x:row r="280" ht="15" hidden="0">
      <x:c r="A280" t="s">
        <x:v>194</x:v>
      </x:c>
      <x:c r="D280" s="48" t="str">
        <x:f aca="0">IF(NOT(ISNUMBER(D279)),"n/a",IF(ABS(D279)&lt;=MAX(0.01,0.02*ABS(D278)),"Agrees","Differs"))</x:f>
        <x:v>Differs</x:v>
      </x:c>
      <x:c r="E280" s="48" t="str">
        <x:f aca="0">IF(NOT(ISNUMBER(E279)),"n/a",IF(ABS(E279)&lt;=MAX(0.01,0.02*ABS(E278)),"Agrees","Differs"))</x:f>
        <x:v>Differs</x:v>
      </x:c>
      <x:c r="F280" s="48" t="str">
        <x:f aca="0">IF(NOT(ISNUMBER(F279)),"n/a",IF(ABS(F279)&lt;=MAX(0.01,0.02*ABS(F278)),"Agrees","Differs"))</x:f>
        <x:v>Differs</x:v>
      </x:c>
      <x:c r="G280" s="48" t="str">
        <x:f aca="0">IF(NOT(ISNUMBER(G279)),"n/a",IF(ABS(G279)&lt;=MAX(0.01,0.02*ABS(G278)),"Agrees","Differs"))</x:f>
        <x:v>Differs</x:v>
      </x:c>
      <x:c r="H280" s="48" t="str">
        <x:f aca="0">IF(NOT(ISNUMBER(H279)),"n/a",IF(ABS(H279)&lt;=MAX(0.01,0.02*ABS(H278)),"Agrees","Differs"))</x:f>
        <x:v>Differs</x:v>
      </x:c>
    </x:row>
    <x:row r="281" ht="15" hidden="0">
      <x:c r="A281" t="s">
        <x:v>633</x:v>
      </x:c>
      <x:c r="B281" s="9" t="s">
        <x:v>634</x:v>
      </x:c>
      <x:c r="D281" s="46" t="n">
        <x:f aca="0">D153</x:f>
        <x:v>1.0844791007988606</x:v>
      </x:c>
      <x:c r="E281" s="46" t="n">
        <x:f aca="0">E153</x:f>
        <x:v>1.5307978904973403</x:v>
      </x:c>
      <x:c r="F281" s="46" t="n">
        <x:f aca="0">F153</x:f>
        <x:v>1.876337672472641</x:v>
      </x:c>
      <x:c r="G281" s="46" t="n">
        <x:f aca="0">G153</x:f>
        <x:v>1.8650719460684553</x:v>
      </x:c>
      <x:c r="H281" s="46" t="n">
        <x:f aca="0">H153</x:f>
        <x:v>1.7861104563188661</x:v>
      </x:c>
      <x:c r="J281" s="9" t="s">
        <x:v>635</x:v>
      </x:c>
    </x:row>
    <x:row r="282" ht="15" hidden="0">
      <x:c r="A282" t="s">
        <x:v>636</x:v>
      </x:c>
      <x:c r="D282" s="47" t="n">
        <x:v>1.11</x:v>
      </x:c>
      <x:c r="E282" s="47" t="n">
        <x:v>1.55</x:v>
      </x:c>
      <x:c r="F282" s="47" t="n">
        <x:v>1.92</x:v>
      </x:c>
      <x:c r="G282" s="47" t="n">
        <x:v>1.83</x:v>
      </x:c>
      <x:c r="H282" s="47" t="n">
        <x:v>1.8</x:v>
      </x:c>
    </x:row>
    <x:row r="283" ht="15" hidden="0">
      <x:c r="A283" t="s">
        <x:v>609</x:v>
      </x:c>
      <x:c r="D283" s="46" t="n">
        <x:f aca="0">IF(AND(ISNUMBER(D281),ISNUMBER(D282)),D281-D282,"n/a")</x:f>
        <x:v>-0.025520899201139535</x:v>
      </x:c>
      <x:c r="E283" s="46" t="n">
        <x:f aca="0">IF(AND(ISNUMBER(E281),ISNUMBER(E282)),E281-E282,"n/a")</x:f>
        <x:v>-0.01920210950265977</x:v>
      </x:c>
      <x:c r="F283" s="46" t="n">
        <x:f aca="0">IF(AND(ISNUMBER(F281),ISNUMBER(F282)),F281-F282,"n/a")</x:f>
        <x:v>-0.04366232752735888</x:v>
      </x:c>
      <x:c r="G283" s="46" t="n">
        <x:f aca="0">IF(AND(ISNUMBER(G281),ISNUMBER(G282)),G281-G282,"n/a")</x:f>
        <x:v>0.035071946068455206</x:v>
      </x:c>
      <x:c r="H283" s="46" t="n">
        <x:f aca="0">IF(AND(ISNUMBER(H281),ISNUMBER(H282)),H281-H282,"n/a")</x:f>
        <x:v>-0.013889543681133931</x:v>
      </x:c>
    </x:row>
    <x:row r="284" ht="15" hidden="0">
      <x:c r="A284" t="s">
        <x:v>194</x:v>
      </x:c>
      <x:c r="D284" s="48" t="str">
        <x:f aca="0">IF(NOT(ISNUMBER(D283)),"n/a",IF(ABS(D283)&lt;=MAX(0.01,0.02*ABS(D282)),"Agrees","Differs"))</x:f>
        <x:v>Differs</x:v>
      </x:c>
      <x:c r="E284" s="48" t="str">
        <x:f aca="0">IF(NOT(ISNUMBER(E283)),"n/a",IF(ABS(E283)&lt;=MAX(0.01,0.02*ABS(E282)),"Agrees","Differs"))</x:f>
        <x:v>Agrees</x:v>
      </x:c>
      <x:c r="F284" s="48" t="str">
        <x:f aca="0">IF(NOT(ISNUMBER(F283)),"n/a",IF(ABS(F283)&lt;=MAX(0.01,0.02*ABS(F282)),"Agrees","Differs"))</x:f>
        <x:v>Differs</x:v>
      </x:c>
      <x:c r="G284" s="48" t="str">
        <x:f aca="0">IF(NOT(ISNUMBER(G283)),"n/a",IF(ABS(G283)&lt;=MAX(0.01,0.02*ABS(G282)),"Agrees","Differs"))</x:f>
        <x:v>Agrees</x:v>
      </x:c>
      <x:c r="H284" s="48" t="str">
        <x:f aca="0">IF(NOT(ISNUMBER(H283)),"n/a",IF(ABS(H283)&lt;=MAX(0.01,0.02*ABS(H282)),"Agrees","Differs"))</x:f>
        <x:v>Agrees</x:v>
      </x:c>
    </x:row>
    <x:row r="285" ht="15" hidden="0">
      <x:c r="A285" t="s">
        <x:v>637</x:v>
      </x:c>
      <x:c r="B285" s="9" t="s">
        <x:v>638</x:v>
      </x:c>
      <x:c r="D285" s="46" t="n">
        <x:f aca="0">D159</x:f>
        <x:v>11.019706901181747</x:v>
      </x:c>
      <x:c r="E285" s="46" t="n">
        <x:f aca="0">E159</x:f>
        <x:v>18.36315245249661</x:v>
      </x:c>
      <x:c r="F285" s="46" t="n">
        <x:f aca="0">F159</x:f>
        <x:v>16.398825279873954</x:v>
      </x:c>
      <x:c r="G285" s="46" t="n">
        <x:f aca="0">G159</x:f>
        <x:v>22.367720224205137</x:v>
      </x:c>
      <x:c r="H285" s="46" t="n">
        <x:f aca="0">H159</x:f>
        <x:v>59.09895319837231</x:v>
      </x:c>
      <x:c r="J285" s="9" t="s">
        <x:v>639</x:v>
      </x:c>
    </x:row>
    <x:row r="286" ht="15" hidden="0">
      <x:c r="A286" t="s">
        <x:v>640</x:v>
      </x:c>
      <x:c r="D286" s="47" t="n">
        <x:v>10.45</x:v>
      </x:c>
      <x:c r="E286" s="47" t="n">
        <x:v>17.6</x:v>
      </x:c>
      <x:c r="F286" s="47" t="n">
        <x:v>15.14</x:v>
      </x:c>
      <x:c r="G286" s="47" t="n">
        <x:v>21.34</x:v>
      </x:c>
      <x:c r="H286" s="47" t="n">
        <x:v>51.72</x:v>
      </x:c>
    </x:row>
    <x:row r="287" ht="15" hidden="0">
      <x:c r="A287" t="s">
        <x:v>609</x:v>
      </x:c>
      <x:c r="D287" s="46" t="n">
        <x:f aca="0">IF(AND(ISNUMBER(D285),ISNUMBER(D286)),D285-D286,"n/a")</x:f>
        <x:v>0.5697069011817479</x:v>
      </x:c>
      <x:c r="E287" s="46" t="n">
        <x:f aca="0">IF(AND(ISNUMBER(E285),ISNUMBER(E286)),E285-E286,"n/a")</x:f>
        <x:v>0.7631524524966089</x:v>
      </x:c>
      <x:c r="F287" s="46" t="n">
        <x:f aca="0">IF(AND(ISNUMBER(F285),ISNUMBER(F286)),F285-F286,"n/a")</x:f>
        <x:v>1.2588252798739532</x:v>
      </x:c>
      <x:c r="G287" s="46" t="n">
        <x:f aca="0">IF(AND(ISNUMBER(G285),ISNUMBER(G286)),G285-G286,"n/a")</x:f>
        <x:v>1.0277202242051366</x:v>
      </x:c>
      <x:c r="H287" s="46" t="n">
        <x:f aca="0">IF(AND(ISNUMBER(H285),ISNUMBER(H286)),H285-H286,"n/a")</x:f>
        <x:v>7.378953198372308</x:v>
      </x:c>
    </x:row>
    <x:row r="288" ht="15" hidden="0">
      <x:c r="A288" t="s">
        <x:v>194</x:v>
      </x:c>
      <x:c r="D288" s="48" t="str">
        <x:f aca="0">IF(NOT(ISNUMBER(D287)),"n/a",IF(ABS(D287)&lt;=MAX(0.01,0.02*ABS(D286)),"Agrees","Differs"))</x:f>
        <x:v>Differs</x:v>
      </x:c>
      <x:c r="E288" s="48" t="str">
        <x:f aca="0">IF(NOT(ISNUMBER(E287)),"n/a",IF(ABS(E287)&lt;=MAX(0.01,0.02*ABS(E286)),"Agrees","Differs"))</x:f>
        <x:v>Differs</x:v>
      </x:c>
      <x:c r="F288" s="48" t="str">
        <x:f aca="0">IF(NOT(ISNUMBER(F287)),"n/a",IF(ABS(F287)&lt;=MAX(0.01,0.02*ABS(F286)),"Agrees","Differs"))</x:f>
        <x:v>Differs</x:v>
      </x:c>
      <x:c r="G288" s="48" t="str">
        <x:f aca="0">IF(NOT(ISNUMBER(G287)),"n/a",IF(ABS(G287)&lt;=MAX(0.01,0.02*ABS(G286)),"Agrees","Differs"))</x:f>
        <x:v>Differs</x:v>
      </x:c>
      <x:c r="H288" s="48" t="str">
        <x:f aca="0">IF(NOT(ISNUMBER(H287)),"n/a",IF(ABS(H287)&lt;=MAX(0.01,0.02*ABS(H286)),"Agrees","Differs"))</x:f>
        <x:v>Differs</x:v>
      </x:c>
    </x:row>
    <x:row r="289" ht="15" hidden="0">
      <x:c r="A289" t="s">
        <x:v>641</x:v>
      </x:c>
      <x:c r="B289" s="9" t="s">
        <x:v>642</x:v>
      </x:c>
      <x:c r="D289" s="42" t="n">
        <x:f aca="0">D162</x:f>
        <x:v>0.2479634130082893</x:v>
      </x:c>
      <x:c r="E289" s="42" t="n">
        <x:f aca="0">E162</x:f>
        <x:v>0.2984391421350988</x:v>
      </x:c>
      <x:c r="F289" s="42" t="n">
        <x:f aca="0">F162</x:f>
        <x:v>0.2680435681898961</x:v>
      </x:c>
      <x:c r="G289" s="42" t="n">
        <x:f aca="0">G162</x:f>
        <x:v>0.29125851467425595</x:v>
      </x:c>
      <x:c r="H289" s="42" t="n">
        <x:f aca="0">H162</x:f>
        <x:v>0.39220278175445145</x:v>
      </x:c>
      <x:c r="J289" s="9"/>
    </x:row>
    <x:row r="290" ht="15" hidden="0">
      <x:c r="A290" t="s">
        <x:v>643</x:v>
      </x:c>
      <x:c r="D290" s="51" t="n">
        <x:v>0.248</x:v>
      </x:c>
      <x:c r="E290" s="51" t="n">
        <x:v>0.2984</x:v>
      </x:c>
      <x:c r="F290" s="51" t="n">
        <x:v>0.268</x:v>
      </x:c>
      <x:c r="G290" s="51" t="n">
        <x:v>0.2913</x:v>
      </x:c>
      <x:c r="H290" s="51" t="n">
        <x:v>0.3922</x:v>
      </x:c>
    </x:row>
    <x:row r="291" ht="15" hidden="0">
      <x:c r="A291" t="s">
        <x:v>609</x:v>
      </x:c>
      <x:c r="D291" s="42" t="n">
        <x:f aca="0">IF(AND(ISNUMBER(D289),ISNUMBER(D290)),D289-D290,"n/a")</x:f>
        <x:v>-0.00003658699171069091</x:v>
      </x:c>
      <x:c r="E291" s="42" t="n">
        <x:f aca="0">IF(AND(ISNUMBER(E289),ISNUMBER(E290)),E289-E290,"n/a")</x:f>
        <x:v>0.000039142135098813036</x:v>
      </x:c>
      <x:c r="F291" s="42" t="n">
        <x:f aca="0">IF(AND(ISNUMBER(F289),ISNUMBER(F290)),F289-F290,"n/a")</x:f>
        <x:v>0.00004356818989609268</x:v>
      </x:c>
      <x:c r="G291" s="42" t="n">
        <x:f aca="0">IF(AND(ISNUMBER(G289),ISNUMBER(G290)),G289-G290,"n/a")</x:f>
        <x:v>-0.000041485325744050616</x:v>
      </x:c>
      <x:c r="H291" s="42" t="n">
        <x:f aca="0">IF(AND(ISNUMBER(H289),ISNUMBER(H290)),H289-H290,"n/a")</x:f>
        <x:v>0.0000027817544514530113</x:v>
      </x:c>
    </x:row>
    <x:row r="292" ht="15" hidden="0">
      <x:c r="A292" t="s">
        <x:v>194</x:v>
      </x:c>
      <x:c r="D292" s="48" t="str">
        <x:f aca="0">IF(NOT(ISNUMBER(D291)),"n/a",IF(ABS(D291)&lt;=MAX(0.002,0.02*ABS(D290)),"Agrees","Differs"))</x:f>
        <x:v>Agrees</x:v>
      </x:c>
      <x:c r="E292" s="48" t="str">
        <x:f aca="0">IF(NOT(ISNUMBER(E291)),"n/a",IF(ABS(E291)&lt;=MAX(0.002,0.02*ABS(E290)),"Agrees","Differs"))</x:f>
        <x:v>Agrees</x:v>
      </x:c>
      <x:c r="F292" s="48" t="str">
        <x:f aca="0">IF(NOT(ISNUMBER(F291)),"n/a",IF(ABS(F291)&lt;=MAX(0.002,0.02*ABS(F290)),"Agrees","Differs"))</x:f>
        <x:v>Agrees</x:v>
      </x:c>
      <x:c r="G292" s="48" t="str">
        <x:f aca="0">IF(NOT(ISNUMBER(G291)),"n/a",IF(ABS(G291)&lt;=MAX(0.002,0.02*ABS(G290)),"Agrees","Differs"))</x:f>
        <x:v>Agrees</x:v>
      </x:c>
      <x:c r="H292" s="48" t="str">
        <x:f aca="0">IF(NOT(ISNUMBER(H291)),"n/a",IF(ABS(H291)&lt;=MAX(0.002,0.02*ABS(H290)),"Agrees","Differs"))</x:f>
        <x:v>Agrees</x:v>
      </x:c>
    </x:row>
    <x:row r="293" ht="15" hidden="0">
      <x:c r="A293" t="s">
        <x:v>644</x:v>
      </x:c>
      <x:c r="B293" s="9" t="s">
        <x:v>642</x:v>
      </x:c>
      <x:c r="D293" s="42" t="n">
        <x:f aca="0">D164</x:f>
        <x:v>0.1453819089897026</x:v>
      </x:c>
      <x:c r="E293" s="42" t="n">
        <x:f aca="0">E164</x:f>
        <x:v>0.15282075695786385</x:v>
      </x:c>
      <x:c r="F293" s="42" t="n">
        <x:f aca="0">F164</x:f>
        <x:v>0.14955052871384544</x:v>
      </x:c>
      <x:c r="G293" s="42" t="n">
        <x:f aca="0">G164</x:f>
        <x:v>0.23011561219895646</x:v>
      </x:c>
      <x:c r="H293" s="42" t="n">
        <x:f aca="0">H164</x:f>
        <x:v>0.3083771970759486</x:v>
      </x:c>
      <x:c r="J293" s="9"/>
    </x:row>
    <x:row r="294" ht="15" hidden="0">
      <x:c r="A294" t="s">
        <x:v>645</x:v>
      </x:c>
      <x:c r="D294" s="51" t="n">
        <x:v>0.1454</x:v>
      </x:c>
      <x:c r="E294" s="51" t="n">
        <x:v>0.1528</x:v>
      </x:c>
      <x:c r="F294" s="51" t="n">
        <x:v>0.1496</x:v>
      </x:c>
      <x:c r="G294" s="51" t="n">
        <x:v>0.2301</x:v>
      </x:c>
      <x:c r="H294" s="51" t="n">
        <x:v>0.3084</x:v>
      </x:c>
    </x:row>
    <x:row r="295" ht="15" hidden="0">
      <x:c r="A295" t="s">
        <x:v>609</x:v>
      </x:c>
      <x:c r="D295" s="42" t="n">
        <x:f aca="0">IF(AND(ISNUMBER(D293),ISNUMBER(D294)),D293-D294,"n/a")</x:f>
        <x:v>-0.00001809101029739968</x:v>
      </x:c>
      <x:c r="E295" s="42" t="n">
        <x:f aca="0">IF(AND(ISNUMBER(E293),ISNUMBER(E294)),E293-E294,"n/a")</x:f>
        <x:v>0.000020756957863854453</x:v>
      </x:c>
      <x:c r="F295" s="42" t="n">
        <x:f aca="0">IF(AND(ISNUMBER(F293),ISNUMBER(F294)),F293-F294,"n/a")</x:f>
        <x:v>-0.00004947128615456764</x:v>
      </x:c>
      <x:c r="G295" s="42" t="n">
        <x:f aca="0">IF(AND(ISNUMBER(G293),ISNUMBER(G294)),G293-G294,"n/a")</x:f>
        <x:v>0.0000156121989564606</x:v>
      </x:c>
      <x:c r="H295" s="42" t="n">
        <x:f aca="0">IF(AND(ISNUMBER(H293),ISNUMBER(H294)),H293-H294,"n/a")</x:f>
        <x:v>-0.000022802924051434914</x:v>
      </x:c>
    </x:row>
    <x:row r="296" ht="15" hidden="0">
      <x:c r="A296" t="s">
        <x:v>194</x:v>
      </x:c>
      <x:c r="D296" s="48" t="str">
        <x:f aca="0">IF(NOT(ISNUMBER(D295)),"n/a",IF(ABS(D295)&lt;=MAX(0.002,0.02*ABS(D294)),"Agrees","Differs"))</x:f>
        <x:v>Agrees</x:v>
      </x:c>
      <x:c r="E296" s="48" t="str">
        <x:f aca="0">IF(NOT(ISNUMBER(E295)),"n/a",IF(ABS(E295)&lt;=MAX(0.002,0.02*ABS(E294)),"Agrees","Differs"))</x:f>
        <x:v>Agrees</x:v>
      </x:c>
      <x:c r="F296" s="48" t="str">
        <x:f aca="0">IF(NOT(ISNUMBER(F295)),"n/a",IF(ABS(F295)&lt;=MAX(0.002,0.02*ABS(F294)),"Agrees","Differs"))</x:f>
        <x:v>Agrees</x:v>
      </x:c>
      <x:c r="G296" s="48" t="str">
        <x:f aca="0">IF(NOT(ISNUMBER(G295)),"n/a",IF(ABS(G295)&lt;=MAX(0.002,0.02*ABS(G294)),"Agrees","Differs"))</x:f>
        <x:v>Agrees</x:v>
      </x:c>
      <x:c r="H296" s="48" t="str">
        <x:f aca="0">IF(NOT(ISNUMBER(H295)),"n/a",IF(ABS(H295)&lt;=MAX(0.002,0.02*ABS(H294)),"Agrees","Differs"))</x:f>
        <x:v>Agrees</x:v>
      </x:c>
    </x:row>
    <x:row r="297" ht="15" hidden="0">
      <x:c r="A297" t="s">
        <x:v>646</x:v>
      </x:c>
      <x:c r="B297" s="9" t="s">
        <x:v>225</x:v>
      </x:c>
      <x:c r="D297" s="42" t="n">
        <x:f aca="0">D166</x:f>
        <x:v>0.1708175375326949</x:v>
      </x:c>
      <x:c r="E297" s="42" t="n">
        <x:f aca="0">E166</x:f>
        <x:v>0.2031253153612202</x:v>
      </x:c>
      <x:c r="F297" s="42" t="n">
        <x:f aca="0">F166</x:f>
        <x:v>0.1944909568032407</x:v>
      </x:c>
      <x:c r="G297" s="42" t="n">
        <x:f aca="0">G166</x:f>
        <x:v>0.24134090965005384</x:v>
      </x:c>
      <x:c r="H297" s="42" t="n">
        <x:f aca="0">H166</x:f>
        <x:v>0.25998290898160303</x:v>
      </x:c>
      <x:c r="J297" s="9" t="s">
        <x:v>647</x:v>
      </x:c>
    </x:row>
    <x:row r="298" ht="15" hidden="0">
      <x:c r="A298" t="s">
        <x:v>648</x:v>
      </x:c>
      <x:c r="D298" s="51" t="n">
        <x:v>0.1574</x:v>
      </x:c>
      <x:c r="E298" s="51" t="n">
        <x:v>0.1844</x:v>
      </x:c>
      <x:c r="F298" s="51" t="n">
        <x:v>0.1785</x:v>
      </x:c>
      <x:c r="G298" s="51" t="n">
        <x:v>0.2164</x:v>
      </x:c>
      <x:c r="H298" s="51" t="n">
        <x:v>0.2414</x:v>
      </x:c>
    </x:row>
    <x:row r="299" ht="15" hidden="0">
      <x:c r="A299" t="s">
        <x:v>609</x:v>
      </x:c>
      <x:c r="D299" s="42" t="n">
        <x:f aca="0">IF(AND(ISNUMBER(D297),ISNUMBER(D298)),D297-D298,"n/a")</x:f>
        <x:v>0.013417537532694895</x:v>
      </x:c>
      <x:c r="E299" s="42" t="n">
        <x:f aca="0">IF(AND(ISNUMBER(E297),ISNUMBER(E298)),E297-E298,"n/a")</x:f>
        <x:v>0.018725315361220185</x:v>
      </x:c>
      <x:c r="F299" s="42" t="n">
        <x:f aca="0">IF(AND(ISNUMBER(F297),ISNUMBER(F298)),F297-F298,"n/a")</x:f>
        <x:v>0.015990956803240697</x:v>
      </x:c>
      <x:c r="G299" s="42" t="n">
        <x:f aca="0">IF(AND(ISNUMBER(G297),ISNUMBER(G298)),G297-G298,"n/a")</x:f>
        <x:v>0.024940909650053827</x:v>
      </x:c>
      <x:c r="H299" s="42" t="n">
        <x:f aca="0">IF(AND(ISNUMBER(H297),ISNUMBER(H298)),H297-H298,"n/a")</x:f>
        <x:v>0.01858290898160303</x:v>
      </x:c>
    </x:row>
    <x:row r="300" ht="15" hidden="0">
      <x:c r="A300" t="s">
        <x:v>194</x:v>
      </x:c>
      <x:c r="D300" s="48" t="str">
        <x:f aca="0">IF(NOT(ISNUMBER(D299)),"n/a",IF(ABS(D299)&lt;=MAX(0.002,0.02*ABS(D298)),"Agrees","Differs"))</x:f>
        <x:v>Differs</x:v>
      </x:c>
      <x:c r="E300" s="48" t="str">
        <x:f aca="0">IF(NOT(ISNUMBER(E299)),"n/a",IF(ABS(E299)&lt;=MAX(0.002,0.02*ABS(E298)),"Agrees","Differs"))</x:f>
        <x:v>Differs</x:v>
      </x:c>
      <x:c r="F300" s="48" t="str">
        <x:f aca="0">IF(NOT(ISNUMBER(F299)),"n/a",IF(ABS(F299)&lt;=MAX(0.002,0.02*ABS(F298)),"Agrees","Differs"))</x:f>
        <x:v>Differs</x:v>
      </x:c>
      <x:c r="G300" s="48" t="str">
        <x:f aca="0">IF(NOT(ISNUMBER(G299)),"n/a",IF(ABS(G299)&lt;=MAX(0.002,0.02*ABS(G298)),"Agrees","Differs"))</x:f>
        <x:v>Differs</x:v>
      </x:c>
      <x:c r="H300" s="48" t="str">
        <x:f aca="0">IF(NOT(ISNUMBER(H299)),"n/a",IF(ABS(H299)&lt;=MAX(0.002,0.02*ABS(H298)),"Agrees","Differs"))</x:f>
        <x:v>Differs</x:v>
      </x:c>
    </x:row>
    <x:row r="301" ht="15" hidden="0">
      <x:c r="A301" t="s">
        <x:v>649</x:v>
      </x:c>
      <x:c r="B301" s="9" t="s">
        <x:v>650</x:v>
      </x:c>
      <x:c r="D301" s="42" t="n">
        <x:f aca="0">D169</x:f>
        <x:v>0.2757450655967617</x:v>
      </x:c>
      <x:c r="E301" s="42" t="n">
        <x:f aca="0">E169</x:f>
        <x:v>0.3218458531352648</x:v>
      </x:c>
      <x:c r="F301" s="42" t="n">
        <x:f aca="0">F169</x:f>
        <x:v>0.31667859993966047</x:v>
      </x:c>
      <x:c r="G301" s="42" t="n">
        <x:f aca="0">G169</x:f>
        <x:v>0.4045887754844856</x:v>
      </x:c>
      <x:c r="H301" s="42" t="n">
        <x:f aca="0">H169</x:f>
        <x:v>0.5158217027553589</x:v>
      </x:c>
      <x:c r="J301" s="9"/>
    </x:row>
    <x:row r="302" ht="15" hidden="0">
      <x:c r="A302" t="s">
        <x:v>651</x:v>
      </x:c>
      <x:c r="D302" s="51" t="n">
        <x:v>0.2757</x:v>
      </x:c>
      <x:c r="E302" s="51" t="n">
        <x:v>0.3218</x:v>
      </x:c>
      <x:c r="F302" s="51" t="n">
        <x:v>0.3167</x:v>
      </x:c>
      <x:c r="G302" s="51" t="n">
        <x:v>0.4046</x:v>
      </x:c>
      <x:c r="H302" s="51" t="n">
        <x:v>0.5158</x:v>
      </x:c>
    </x:row>
    <x:row r="303" ht="15" hidden="0">
      <x:c r="A303" t="s">
        <x:v>609</x:v>
      </x:c>
      <x:c r="D303" s="42" t="n">
        <x:f aca="0">IF(AND(ISNUMBER(D301),ISNUMBER(D302)),D301-D302,"n/a")</x:f>
        <x:v>0.000045065596761706406</x:v>
      </x:c>
      <x:c r="E303" s="42" t="n">
        <x:f aca="0">IF(AND(ISNUMBER(E301),ISNUMBER(E302)),E301-E302,"n/a")</x:f>
        <x:v>0.00004585313526483947</x:v>
      </x:c>
      <x:c r="F303" s="42" t="n">
        <x:f aca="0">IF(AND(ISNUMBER(F301),ISNUMBER(F302)),F301-F302,"n/a")</x:f>
        <x:v>-0.000021400060339515914</x:v>
      </x:c>
      <x:c r="G303" s="42" t="n">
        <x:f aca="0">IF(AND(ISNUMBER(G301),ISNUMBER(G302)),G301-G302,"n/a")</x:f>
        <x:v>-0.000011224515514440814</x:v>
      </x:c>
      <x:c r="H303" s="42" t="n">
        <x:f aca="0">IF(AND(ISNUMBER(H301),ISNUMBER(H302)),H301-H302,"n/a")</x:f>
        <x:v>0.000021702755358843362</x:v>
      </x:c>
    </x:row>
    <x:row r="304" ht="15" hidden="0">
      <x:c r="A304" t="s">
        <x:v>194</x:v>
      </x:c>
      <x:c r="D304" s="48" t="str">
        <x:f aca="0">IF(NOT(ISNUMBER(D303)),"n/a",IF(ABS(D303)&lt;=MAX(0.002,0.02*ABS(D302)),"Agrees","Differs"))</x:f>
        <x:v>Agrees</x:v>
      </x:c>
      <x:c r="E304" s="48" t="str">
        <x:f aca="0">IF(NOT(ISNUMBER(E303)),"n/a",IF(ABS(E303)&lt;=MAX(0.002,0.02*ABS(E302)),"Agrees","Differs"))</x:f>
        <x:v>Agrees</x:v>
      </x:c>
      <x:c r="F304" s="48" t="str">
        <x:f aca="0">IF(NOT(ISNUMBER(F303)),"n/a",IF(ABS(F303)&lt;=MAX(0.002,0.02*ABS(F302)),"Agrees","Differs"))</x:f>
        <x:v>Agrees</x:v>
      </x:c>
      <x:c r="G304" s="48" t="str">
        <x:f aca="0">IF(NOT(ISNUMBER(G303)),"n/a",IF(ABS(G303)&lt;=MAX(0.002,0.02*ABS(G302)),"Agrees","Differs"))</x:f>
        <x:v>Agrees</x:v>
      </x:c>
      <x:c r="H304" s="48" t="str">
        <x:f aca="0">IF(NOT(ISNUMBER(H303)),"n/a",IF(ABS(H303)&lt;=MAX(0.002,0.02*ABS(H302)),"Agrees","Differs"))</x:f>
        <x:v>Agrees</x:v>
      </x:c>
    </x:row>
    <x:row r="305" ht="15" hidden="0">
      <x:c r="A305" t="s">
        <x:v>652</x:v>
      </x:c>
      <x:c r="B305" s="9" t="s">
        <x:v>653</x:v>
      </x:c>
      <x:c r="D305" s="46" t="n">
        <x:f aca="0">D174</x:f>
        <x:v>11.858688571154802</x:v>
      </x:c>
      <x:c r="E305" s="46" t="n">
        <x:f aca="0">E174</x:f>
        <x:v>5.202353217973155</x:v>
      </x:c>
      <x:c r="F305" s="46" t="n">
        <x:f aca="0">F174</x:f>
        <x:v>5.986067488990722</x:v>
      </x:c>
      <x:c r="G305" s="46" t="n">
        <x:f aca="0">G174</x:f>
        <x:v>5.531397528519306</x:v>
      </x:c>
      <x:c r="H305" s="46" t="n">
        <x:f aca="0">H174</x:f>
        <x:v>6.339354531361382</x:v>
      </x:c>
      <x:c r="J305" s="9"/>
    </x:row>
    <x:row r="306" ht="15" hidden="0">
      <x:c r="A306" t="s">
        <x:v>654</x:v>
      </x:c>
      <x:c r="D306" s="47" t="n">
        <x:v>11.86</x:v>
      </x:c>
      <x:c r="E306" s="47" t="n">
        <x:v>5.2</x:v>
      </x:c>
      <x:c r="F306" s="47" t="n">
        <x:v>5.99</x:v>
      </x:c>
      <x:c r="G306" s="47" t="n">
        <x:v>5.41</x:v>
      </x:c>
      <x:c r="H306" s="47" t="n">
        <x:v>6.32</x:v>
      </x:c>
    </x:row>
    <x:row r="307" ht="15" hidden="0">
      <x:c r="A307" t="s">
        <x:v>609</x:v>
      </x:c>
      <x:c r="D307" s="46" t="n">
        <x:f aca="0">IF(AND(ISNUMBER(D305),ISNUMBER(D306)),D305-D306,"n/a")</x:f>
        <x:v>-0.0013114288451969713</x:v>
      </x:c>
      <x:c r="E307" s="46" t="n">
        <x:f aca="0">IF(AND(ISNUMBER(E305),ISNUMBER(E306)),E305-E306,"n/a")</x:f>
        <x:v>0.0023532179731544645</x:v>
      </x:c>
      <x:c r="F307" s="46" t="n">
        <x:f aca="0">IF(AND(ISNUMBER(F305),ISNUMBER(F306)),F305-F306,"n/a")</x:f>
        <x:v>-0.003932511009278272</x:v>
      </x:c>
      <x:c r="G307" s="46" t="n">
        <x:f aca="0">IF(AND(ISNUMBER(G305),ISNUMBER(G306)),G305-G306,"n/a")</x:f>
        <x:v>0.12139752851930563</x:v>
      </x:c>
      <x:c r="H307" s="46" t="n">
        <x:f aca="0">IF(AND(ISNUMBER(H305),ISNUMBER(H306)),H305-H306,"n/a")</x:f>
        <x:v>0.019354531361381433</x:v>
      </x:c>
    </x:row>
    <x:row r="308" ht="15" hidden="0">
      <x:c r="A308" t="s">
        <x:v>194</x:v>
      </x:c>
      <x:c r="D308" s="48" t="str">
        <x:f aca="0">IF(NOT(ISNUMBER(D307)),"n/a",IF(ABS(D307)&lt;=MAX(0.01,0.02*ABS(D306)),"Agrees","Differs"))</x:f>
        <x:v>Agrees</x:v>
      </x:c>
      <x:c r="E308" s="48" t="str">
        <x:f aca="0">IF(NOT(ISNUMBER(E307)),"n/a",IF(ABS(E307)&lt;=MAX(0.01,0.02*ABS(E306)),"Agrees","Differs"))</x:f>
        <x:v>Agrees</x:v>
      </x:c>
      <x:c r="F308" s="48" t="str">
        <x:f aca="0">IF(NOT(ISNUMBER(F307)),"n/a",IF(ABS(F307)&lt;=MAX(0.01,0.02*ABS(F306)),"Agrees","Differs"))</x:f>
        <x:v>Agrees</x:v>
      </x:c>
      <x:c r="G308" s="48" t="str">
        <x:f aca="0">IF(NOT(ISNUMBER(G307)),"n/a",IF(ABS(G307)&lt;=MAX(0.01,0.02*ABS(G306)),"Agrees","Differs"))</x:f>
        <x:v>Differs</x:v>
      </x:c>
      <x:c r="H308" s="48" t="str">
        <x:f aca="0">IF(NOT(ISNUMBER(H307)),"n/a",IF(ABS(H307)&lt;=MAX(0.01,0.02*ABS(H306)),"Agrees","Differs"))</x:f>
        <x:v>Agrees</x:v>
      </x:c>
    </x:row>
    <x:row r="309" ht="15" hidden="0">
      <x:c r="A309" t="s">
        <x:v>655</x:v>
      </x:c>
      <x:c r="B309" s="9" t="s">
        <x:v>656</x:v>
      </x:c>
      <x:c r="D309" s="46" t="n">
        <x:f aca="0">D172</x:f>
        <x:v>1.8663025958706099</x:v>
      </x:c>
      <x:c r="E309" s="46" t="n">
        <x:f aca="0">E172</x:f>
        <x:v>0.959328683281757</x:v>
      </x:c>
      <x:c r="F309" s="46" t="n">
        <x:f aca="0">F172</x:f>
        <x:v>1.0684870021034203</x:v>
      </x:c>
      <x:c r="G309" s="46" t="n">
        <x:f aca="0">G172</x:f>
        <x:v>1.1937011482475721</x:v>
      </x:c>
      <x:c r="H309" s="46" t="n">
        <x:f aca="0">H172</x:f>
        <x:v>1.4544747850514033</x:v>
      </x:c>
      <x:c r="J309" s="9" t="s">
        <x:v>657</x:v>
      </x:c>
    </x:row>
    <x:row r="310" ht="15" hidden="0">
      <x:c r="A310" t="s">
        <x:v>658</x:v>
      </x:c>
      <x:c r="D310" s="47" t="n">
        <x:v>0.23</x:v>
      </x:c>
      <x:c r="E310" s="47" t="n">
        <x:v>0.12</x:v>
      </x:c>
      <x:c r="F310" s="47" t="n">
        <x:v>0.14</x:v>
      </x:c>
      <x:c r="G310" s="47" t="n">
        <x:v>0.82</x:v>
      </x:c>
      <x:c r="H310" s="47" t="n">
        <x:v>1.1</x:v>
      </x:c>
    </x:row>
    <x:row r="311" ht="15" hidden="0">
      <x:c r="A311" t="s">
        <x:v>609</x:v>
      </x:c>
      <x:c r="D311" s="46" t="n">
        <x:f aca="0">IF(AND(ISNUMBER(D309),ISNUMBER(D310)),D309-D310,"n/a")</x:f>
        <x:v>1.6363025958706099</x:v>
      </x:c>
      <x:c r="E311" s="46" t="n">
        <x:f aca="0">IF(AND(ISNUMBER(E309),ISNUMBER(E310)),E309-E310,"n/a")</x:f>
        <x:v>0.839328683281757</x:v>
      </x:c>
      <x:c r="F311" s="46" t="n">
        <x:f aca="0">IF(AND(ISNUMBER(F309),ISNUMBER(F310)),F309-F310,"n/a")</x:f>
        <x:v>0.9284870021034203</x:v>
      </x:c>
      <x:c r="G311" s="46" t="n">
        <x:f aca="0">IF(AND(ISNUMBER(G309),ISNUMBER(G310)),G309-G310,"n/a")</x:f>
        <x:v>0.37370114824757217</x:v>
      </x:c>
      <x:c r="H311" s="46" t="n">
        <x:f aca="0">IF(AND(ISNUMBER(H309),ISNUMBER(H310)),H309-H310,"n/a")</x:f>
        <x:v>0.3544747850514032</x:v>
      </x:c>
    </x:row>
    <x:row r="312" ht="15" hidden="0">
      <x:c r="A312" t="s">
        <x:v>194</x:v>
      </x:c>
      <x:c r="D312" s="48" t="str">
        <x:f aca="0">IF(NOT(ISNUMBER(D311)),"n/a",IF(ABS(D311)&lt;=MAX(0.01,0.02*ABS(D310)),"Agrees","Differs"))</x:f>
        <x:v>Differs</x:v>
      </x:c>
      <x:c r="E312" s="48" t="str">
        <x:f aca="0">IF(NOT(ISNUMBER(E311)),"n/a",IF(ABS(E311)&lt;=MAX(0.01,0.02*ABS(E310)),"Agrees","Differs"))</x:f>
        <x:v>Differs</x:v>
      </x:c>
      <x:c r="F312" s="48" t="str">
        <x:f aca="0">IF(NOT(ISNUMBER(F311)),"n/a",IF(ABS(F311)&lt;=MAX(0.01,0.02*ABS(F310)),"Agrees","Differs"))</x:f>
        <x:v>Differs</x:v>
      </x:c>
      <x:c r="G312" s="48" t="str">
        <x:f aca="0">IF(NOT(ISNUMBER(G311)),"n/a",IF(ABS(G311)&lt;=MAX(0.01,0.02*ABS(G310)),"Agrees","Differs"))</x:f>
        <x:v>Differs</x:v>
      </x:c>
      <x:c r="H312" s="48" t="str">
        <x:f aca="0">IF(NOT(ISNUMBER(H311)),"n/a",IF(ABS(H311)&lt;=MAX(0.01,0.02*ABS(H310)),"Agrees","Differs"))</x:f>
        <x:v>Differs</x:v>
      </x:c>
    </x:row>
    <x:row r="313" ht="15" hidden="0">
      <x:c r="A313" t="s">
        <x:v>659</x:v>
      </x:c>
      <x:c r="B313" s="9" t="s">
        <x:v>660</x:v>
      </x:c>
      <x:c r="D313" s="42" t="n">
        <x:f aca="0">D157</x:f>
        <x:v>0.21400284667161887</x:v>
      </x:c>
      <x:c r="E313" s="42" t="n">
        <x:f aca="0">E157</x:f>
        <x:v>0.13497287275854264</x:v>
      </x:c>
      <x:c r="F313" s="42" t="n">
        <x:f aca="0">F157</x:f>
        <x:v>0.08893739146213345</x:v>
      </x:c>
      <x:c r="G313" s="42" t="n">
        <x:f aca="0">G157</x:f>
        <x:v>0.05274524653901662</x:v>
      </x:c>
      <x:c r="H313" s="42" t="n">
        <x:f aca="0">H157</x:f>
        <x:v>0.045577294289546766</x:v>
      </x:c>
      <x:c r="J313" s="9" t="s">
        <x:v>661</x:v>
      </x:c>
    </x:row>
    <x:row r="314" ht="15" hidden="0">
      <x:c r="A314" t="s">
        <x:v>662</x:v>
      </x:c>
      <x:c r="D314" s="51" t="n">
        <x:v>0.21</x:v>
      </x:c>
      <x:c r="E314" s="51" t="n">
        <x:v>0.13</x:v>
      </x:c>
      <x:c r="F314" s="51" t="n">
        <x:v>0.09</x:v>
      </x:c>
      <x:c r="G314" s="51" t="n">
        <x:v>0.05</x:v>
      </x:c>
      <x:c r="H314" s="51" t="n">
        <x:v>0.04</x:v>
      </x:c>
    </x:row>
    <x:row r="315" ht="15" hidden="0">
      <x:c r="A315" t="s">
        <x:v>609</x:v>
      </x:c>
      <x:c r="D315" s="42" t="n">
        <x:f aca="0">IF(AND(ISNUMBER(D313),ISNUMBER(D314)),D313-D314,"n/a")</x:f>
        <x:v>0.004002846671618876</x:v>
      </x:c>
      <x:c r="E315" s="42" t="n">
        <x:f aca="0">IF(AND(ISNUMBER(E313),ISNUMBER(E314)),E313-E314,"n/a")</x:f>
        <x:v>0.004972872758542635</x:v>
      </x:c>
      <x:c r="F315" s="42" t="n">
        <x:f aca="0">IF(AND(ISNUMBER(F313),ISNUMBER(F314)),F313-F314,"n/a")</x:f>
        <x:v>-0.0010626085378665495</x:v>
      </x:c>
      <x:c r="G315" s="42" t="n">
        <x:f aca="0">IF(AND(ISNUMBER(G313),ISNUMBER(G314)),G313-G314,"n/a")</x:f>
        <x:v>0.002745246539016616</x:v>
      </x:c>
      <x:c r="H315" s="42" t="n">
        <x:f aca="0">IF(AND(ISNUMBER(H313),ISNUMBER(H314)),H313-H314,"n/a")</x:f>
        <x:v>0.005577294289546765</x:v>
      </x:c>
    </x:row>
    <x:row r="316" ht="15" hidden="0">
      <x:c r="A316" t="s">
        <x:v>194</x:v>
      </x:c>
      <x:c r="D316" s="48" t="str">
        <x:f aca="0">IF(NOT(ISNUMBER(D315)),"n/a",IF(ABS(D315)&lt;=MAX(0.002,0.02*ABS(D314)),"Agrees","Differs"))</x:f>
        <x:v>Agrees</x:v>
      </x:c>
      <x:c r="E316" s="48" t="str">
        <x:f aca="0">IF(NOT(ISNUMBER(E315)),"n/a",IF(ABS(E315)&lt;=MAX(0.002,0.02*ABS(E314)),"Agrees","Differs"))</x:f>
        <x:v>Differs</x:v>
      </x:c>
      <x:c r="F316" s="48" t="str">
        <x:f aca="0">IF(NOT(ISNUMBER(F315)),"n/a",IF(ABS(F315)&lt;=MAX(0.002,0.02*ABS(F314)),"Agrees","Differs"))</x:f>
        <x:v>Agrees</x:v>
      </x:c>
      <x:c r="G316" s="48" t="str">
        <x:f aca="0">IF(NOT(ISNUMBER(G315)),"n/a",IF(ABS(G315)&lt;=MAX(0.002,0.02*ABS(G314)),"Agrees","Differs"))</x:f>
        <x:v>Differs</x:v>
      </x:c>
      <x:c r="H316" s="48" t="str">
        <x:f aca="0">IF(NOT(ISNUMBER(H315)),"n/a",IF(ABS(H315)&lt;=MAX(0.002,0.02*ABS(H314)),"Agrees","Differs"))</x:f>
        <x:v>Differs</x:v>
      </x:c>
    </x:row>
    <x:row r="317" ht="15" hidden="0">
      <x:c r="A317" t="s">
        <x:v>663</x:v>
      </x:c>
      <x:c r="B317" s="9" t="s">
        <x:v>664</x:v>
      </x:c>
      <x:c r="D317" s="42" t="n">
        <x:f aca="0">D180</x:f>
        <x:v>0.20014188698824495</x:v>
      </x:c>
      <x:c r="E317" s="42" t="n">
        <x:f aca="0">E180</x:f>
        <x:v>0.30341780257523293</x:v>
      </x:c>
      <x:c r="F317" s="42" t="n">
        <x:f aca="0">F180</x:f>
        <x:v>0.30510595228634624</x:v>
      </x:c>
      <x:c r="G317" s="42" t="n">
        <x:f aca="0">G180</x:f>
        <x:v>0.33087901145461096</x:v>
      </x:c>
      <x:c r="H317" s="42" t="n">
        <x:f aca="0">H180</x:f>
        <x:v>0.35180184109770796</x:v>
      </x:c>
      <x:c r="J317" s="9" t="s">
        <x:v>665</x:v>
      </x:c>
    </x:row>
    <x:row r="318" ht="15" hidden="0">
      <x:c r="A318" t="s">
        <x:v>666</x:v>
      </x:c>
      <x:c r="D318" s="51" t="n">
        <x:v>0.206</x:v>
      </x:c>
      <x:c r="E318" s="51" t="n">
        <x:v>0.3075</x:v>
      </x:c>
      <x:c r="F318" s="51" t="n">
        <x:v>0.2799</x:v>
      </x:c>
      <x:c r="G318" s="51" t="n">
        <x:v>0.2599</x:v>
      </x:c>
      <x:c r="H318" s="51" t="n">
        <x:v>0.2798</x:v>
      </x:c>
    </x:row>
    <x:row r="319" ht="15" hidden="0">
      <x:c r="A319" t="s">
        <x:v>609</x:v>
      </x:c>
      <x:c r="D319" s="42" t="n">
        <x:f aca="0">IF(AND(ISNUMBER(D317),ISNUMBER(D318)),D317-D318,"n/a")</x:f>
        <x:v>-0.0058581130117550395</x:v>
      </x:c>
      <x:c r="E319" s="42" t="n">
        <x:f aca="0">IF(AND(ISNUMBER(E317),ISNUMBER(E318)),E317-E318,"n/a")</x:f>
        <x:v>-0.0040821974247670645</x:v>
      </x:c>
      <x:c r="F319" s="42" t="n">
        <x:f aca="0">IF(AND(ISNUMBER(F317),ISNUMBER(F318)),F317-F318,"n/a")</x:f>
        <x:v>0.025205952286346256</x:v>
      </x:c>
      <x:c r="G319" s="42" t="n">
        <x:f aca="0">IF(AND(ISNUMBER(G317),ISNUMBER(G318)),G317-G318,"n/a")</x:f>
        <x:v>0.07097901145461094</x:v>
      </x:c>
      <x:c r="H319" s="42" t="n">
        <x:f aca="0">IF(AND(ISNUMBER(H317),ISNUMBER(H318)),H317-H318,"n/a")</x:f>
        <x:v>0.07200184109770796</x:v>
      </x:c>
    </x:row>
    <x:row r="320" ht="15" hidden="0">
      <x:c r="A320" t="s">
        <x:v>194</x:v>
      </x:c>
      <x:c r="D320" s="48" t="str">
        <x:f aca="0">IF(NOT(ISNUMBER(D319)),"n/a",IF(ABS(D319)&lt;=MAX(0.002,0.02*ABS(D318)),"Agrees","Differs"))</x:f>
        <x:v>Differs</x:v>
      </x:c>
      <x:c r="E320" s="48" t="str">
        <x:f aca="0">IF(NOT(ISNUMBER(E319)),"n/a",IF(ABS(E319)&lt;=MAX(0.002,0.02*ABS(E318)),"Agrees","Differs"))</x:f>
        <x:v>Agrees</x:v>
      </x:c>
      <x:c r="F320" s="48" t="str">
        <x:f aca="0">IF(NOT(ISNUMBER(F319)),"n/a",IF(ABS(F319)&lt;=MAX(0.002,0.02*ABS(F318)),"Agrees","Differs"))</x:f>
        <x:v>Differs</x:v>
      </x:c>
      <x:c r="G320" s="48" t="str">
        <x:f aca="0">IF(NOT(ISNUMBER(G319)),"n/a",IF(ABS(G319)&lt;=MAX(0.002,0.02*ABS(G318)),"Agrees","Differs"))</x:f>
        <x:v>Differs</x:v>
      </x:c>
      <x:c r="H320" s="48" t="str">
        <x:f aca="0">IF(NOT(ISNUMBER(H319)),"n/a",IF(ABS(H319)&lt;=MAX(0.002,0.02*ABS(H318)),"Agrees","Differs"))</x:f>
        <x:v>Differs</x:v>
      </x:c>
    </x:row>
  </x:sheetData>
  <x:mergeCells>
    <x:mergeCell ref="B6:J6"/>
    <x:mergeCell ref="B7:J7"/>
    <x:mergeCell ref="B8:J8"/>
    <x:mergeCell ref="B9:J9"/>
    <x:mergeCell ref="B10:J10"/>
    <x:mergeCell ref="B11:J11"/>
    <x:mergeCell ref="B12:J12"/>
    <x:mergeCell ref="B13:J13"/>
    <x:mergeCell ref="B14:J14"/>
    <x:mergeCell ref="B15:J15"/>
  </x:mergeCells>
  <x:pageMargins left="0.7" right="0.7" top="0.75" bottom="0.75" header="0.3" footer="0.3"/>
  <x:drawing xmlns:r="http://schemas.openxmlformats.org/officeDocument/2006/relationships" r:id="R5faeb1648bfe4d0e"/>
</x:worksheet>
</file>

<file path=xl/worksheets/sheet4.xml><?xml version="1.0" encoding="utf-8"?>
<x:worksheet xmlns:x="http://schemas.openxmlformats.org/spreadsheetml/2006/main">
  <x:sheetPr>
    <x:tabColor rgb="FF8EA9DB"/>
  </x:sheetPr>
  <x:sheetViews>
    <x:sheetView showGridLines="0" workbookViewId="0">
      <x:pane xSplit="2" ySplit="17" topLeftCell="C18" activePane="bottomRight" state="frozen"/>
    </x:sheetView>
  </x:sheetViews>
  <x:sheetFormatPr defaultColWidth="8.6796875" defaultRowHeight="15"/>
  <x:cols>
    <x:col min="1" max="1" width="58" hidden="0" customWidth="1"/>
    <x:col min="2" max="2" width="46" hidden="0" customWidth="1"/>
    <x:col min="3" max="8" width="11" hidden="0" customWidth="1"/>
    <x:col min="9" max="9" width="9" hidden="0" customWidth="1"/>
    <x:col min="10" max="10" width="62" hidden="0" customWidth="1"/>
  </x:cols>
  <x:sheetData>
    <x:row r="1" ht="17.350000381469727" hidden="0">
      <x:c r="A1" s="17" t="s">
        <x:v>667</x:v>
      </x:c>
    </x:row>
    <x:row r="2" ht="15" hidden="0">
      <x:c r="A2" s="18" t="s">
        <x:v>668</x:v>
      </x:c>
    </x:row>
    <x:row r="3" ht="15" hidden="0">
      <x:c r="A3" s="19" t="s">
        <x:v>273</x:v>
      </x:c>
    </x:row>
    <x:row r="5" ht="15" hidden="0">
      <x:c r="A5" s="5" t="s">
        <x:v>274</x:v>
      </x:c>
      <x:c r="B5" s="20"/>
      <x:c r="C5" s="20"/>
      <x:c r="D5" s="20"/>
      <x:c r="E5" s="20"/>
      <x:c r="F5" s="20"/>
      <x:c r="G5" s="20"/>
      <x:c r="H5" s="20"/>
      <x:c r="I5" s="20"/>
      <x:c r="J5" s="20"/>
    </x:row>
    <x:row r="6" ht="15" hidden="0" customHeight="1">
      <x:c r="A6" s="2" t="s">
        <x:v>19</x:v>
      </x:c>
      <x:c r="B6" s="21" t="s">
        <x:v>32</x:v>
      </x:c>
      <x:c r="C6" s="21"/>
      <x:c r="D6" s="21"/>
      <x:c r="E6" s="21"/>
      <x:c r="F6" s="21"/>
      <x:c r="G6" s="21"/>
      <x:c r="H6" s="21"/>
      <x:c r="I6" s="21"/>
      <x:c r="J6" s="21"/>
    </x:row>
    <x:row r="7" ht="15" hidden="0" customHeight="1">
      <x:c r="A7" s="2" t="s">
        <x:v>275</x:v>
      </x:c>
      <x:c r="B7" s="21" t="s">
        <x:v>31</x:v>
      </x:c>
      <x:c r="C7" s="21"/>
      <x:c r="D7" s="21"/>
      <x:c r="E7" s="21"/>
      <x:c r="F7" s="21"/>
      <x:c r="G7" s="21"/>
      <x:c r="H7" s="21"/>
      <x:c r="I7" s="21"/>
      <x:c r="J7" s="21"/>
    </x:row>
    <x:row r="8" ht="15" hidden="0" customHeight="1">
      <x:c r="A8" s="2" t="s">
        <x:v>276</x:v>
      </x:c>
      <x:c r="B8" s="21" t="s">
        <x:v>33</x:v>
      </x:c>
      <x:c r="C8" s="21"/>
      <x:c r="D8" s="21"/>
      <x:c r="E8" s="21"/>
      <x:c r="F8" s="21"/>
      <x:c r="G8" s="21"/>
      <x:c r="H8" s="21"/>
      <x:c r="I8" s="21"/>
      <x:c r="J8" s="21"/>
    </x:row>
    <x:row r="9" ht="15" hidden="0" customHeight="1">
      <x:c r="A9" s="2" t="s">
        <x:v>277</x:v>
      </x:c>
      <x:c r="B9" s="21" t="s">
        <x:v>278</x:v>
      </x:c>
      <x:c r="C9" s="21"/>
      <x:c r="D9" s="21"/>
      <x:c r="E9" s="21"/>
      <x:c r="F9" s="21"/>
      <x:c r="G9" s="21"/>
      <x:c r="H9" s="21"/>
      <x:c r="I9" s="21"/>
      <x:c r="J9" s="21"/>
    </x:row>
    <x:row r="10" ht="15" hidden="0" customHeight="1">
      <x:c r="A10" s="2" t="s">
        <x:v>279</x:v>
      </x:c>
      <x:c r="B10" s="21" t="s">
        <x:v>669</x:v>
      </x:c>
      <x:c r="C10" s="21"/>
      <x:c r="D10" s="21"/>
      <x:c r="E10" s="21"/>
      <x:c r="F10" s="21"/>
      <x:c r="G10" s="21"/>
      <x:c r="H10" s="21"/>
      <x:c r="I10" s="21"/>
      <x:c r="J10" s="21"/>
    </x:row>
    <x:row r="11" ht="15" hidden="0" customHeight="1">
      <x:c r="A11" s="2" t="s">
        <x:v>281</x:v>
      </x:c>
      <x:c r="B11" s="21" t="s">
        <x:v>670</x:v>
      </x:c>
      <x:c r="C11" s="21"/>
      <x:c r="D11" s="21"/>
      <x:c r="E11" s="21"/>
      <x:c r="F11" s="21"/>
      <x:c r="G11" s="21"/>
      <x:c r="H11" s="21"/>
      <x:c r="I11" s="21"/>
      <x:c r="J11" s="21"/>
    </x:row>
    <x:row r="12" ht="15" hidden="0" customHeight="1">
      <x:c r="A12" s="2" t="s">
        <x:v>283</x:v>
      </x:c>
      <x:c r="B12" s="21" t="s">
        <x:v>671</x:v>
      </x:c>
      <x:c r="C12" s="21"/>
      <x:c r="D12" s="21"/>
      <x:c r="E12" s="21"/>
      <x:c r="F12" s="21"/>
      <x:c r="G12" s="21"/>
      <x:c r="H12" s="21"/>
      <x:c r="I12" s="21"/>
      <x:c r="J12" s="21"/>
    </x:row>
    <x:row r="13" ht="27.75" hidden="0" customHeight="1">
      <x:c r="A13" s="2" t="s">
        <x:v>285</x:v>
      </x:c>
      <x:c r="B13" s="21" t="s">
        <x:v>286</x:v>
      </x:c>
      <x:c r="C13" s="21"/>
      <x:c r="D13" s="21"/>
      <x:c r="E13" s="21"/>
      <x:c r="F13" s="21"/>
      <x:c r="G13" s="21"/>
      <x:c r="H13" s="21"/>
      <x:c r="I13" s="21"/>
      <x:c r="J13" s="21"/>
    </x:row>
    <x:row r="14" ht="27.75" hidden="0" customHeight="1">
      <x:c r="A14" s="2" t="s">
        <x:v>287</x:v>
      </x:c>
      <x:c r="B14" s="21" t="str">
        <x:v>Actual PSX FY-end close paired with the share basis in force on that date. EPS notes, splits, treasury shares and bonus treatment are documented on Share Basis.</x:v>
      </x:c>
      <x:c r="C14" s="21"/>
      <x:c r="D14" s="21"/>
      <x:c r="E14" s="21"/>
      <x:c r="F14" s="21"/>
      <x:c r="G14" s="21"/>
      <x:c r="H14" s="21"/>
      <x:c r="I14" s="21"/>
      <x:c r="J14" s="21"/>
    </x:row>
    <x:row r="15" ht="27.75" hidden="0" customHeight="1">
      <x:c r="A15" s="2" t="s">
        <x:v>288</x:v>
      </x:c>
      <x:c r="B15" s="21" t="s">
        <x:v>289</x:v>
      </x:c>
      <x:c r="C15" s="21"/>
      <x:c r="D15" s="21"/>
      <x:c r="E15" s="21"/>
      <x:c r="F15" s="21"/>
      <x:c r="G15" s="21"/>
      <x:c r="H15" s="21"/>
      <x:c r="I15" s="21"/>
      <x:c r="J15" s="21"/>
    </x:row>
    <x:row r="17" ht="15" hidden="0">
      <x:c r="A17" s="22" t="s">
        <x:v>290</x:v>
      </x:c>
      <x:c r="B17" s="22" t="s">
        <x:v>291</x:v>
      </x:c>
      <x:c r="C17" s="23" t="s">
        <x:v>292</x:v>
      </x:c>
      <x:c r="D17" s="23" t="s">
        <x:v>73</x:v>
      </x:c>
      <x:c r="E17" s="23" t="s">
        <x:v>74</x:v>
      </x:c>
      <x:c r="F17" s="23" t="s">
        <x:v>75</x:v>
      </x:c>
      <x:c r="G17" s="23" t="s">
        <x:v>76</x:v>
      </x:c>
      <x:c r="H17" s="23" t="s">
        <x:v>77</x:v>
      </x:c>
      <x:c r="I17" s="23" t="s">
        <x:v>84</x:v>
      </x:c>
      <x:c r="J17" s="23" t="s">
        <x:v>293</x:v>
      </x:c>
    </x:row>
    <x:row r="18" ht="15" hidden="0">
      <x:c r="A18" s="5" t="s">
        <x:v>294</x:v>
      </x:c>
      <x:c r="B18" s="20"/>
      <x:c r="C18" s="20"/>
      <x:c r="D18" s="20"/>
      <x:c r="E18" s="20"/>
      <x:c r="F18" s="20"/>
      <x:c r="G18" s="20"/>
      <x:c r="H18" s="20"/>
      <x:c r="I18" s="20"/>
      <x:c r="J18" s="20"/>
    </x:row>
    <x:row r="19" ht="15" hidden="0">
      <x:c r="A19" s="24" t="s">
        <x:v>295</x:v>
      </x:c>
      <x:c r="B19" s="25"/>
      <x:c r="C19" s="25"/>
      <x:c r="D19" s="25"/>
      <x:c r="E19" s="25"/>
      <x:c r="F19" s="25"/>
      <x:c r="G19" s="25"/>
      <x:c r="H19" s="25"/>
      <x:c r="I19" s="25"/>
      <x:c r="J19" s="25"/>
    </x:row>
    <x:row r="20" ht="15" hidden="0">
      <x:c r="A20" t="s">
        <x:v>296</x:v>
      </x:c>
      <x:c r="B20" s="19" t="s">
        <x:v>672</x:v>
      </x:c>
      <x:c r="C20" s="26" t="n">
        <x:v>60247.57</x:v>
      </x:c>
      <x:c r="D20" s="26" t="n">
        <x:v>62389.947</x:v>
      </x:c>
      <x:c r="E20" s="26" t="n">
        <x:v>82301.05</x:v>
      </x:c>
      <x:c r="F20" s="26" t="n">
        <x:v>95620.306</x:v>
      </x:c>
      <x:c r="G20" s="26" t="n">
        <x:v>107258.973</x:v>
      </x:c>
      <x:c r="H20" s="26" t="n">
        <x:v>107409.588</x:v>
      </x:c>
      <x:c r="I20" s="9" t="s">
        <x:v>98</x:v>
      </x:c>
    </x:row>
    <x:row r="21" ht="15" hidden="0">
      <x:c r="A21" t="s">
        <x:v>298</x:v>
      </x:c>
      <x:c r="B21" s="19" t="s">
        <x:v>673</x:v>
      </x:c>
      <x:c r="C21" s="26" t="n">
        <x:v>334.191</x:v>
      </x:c>
      <x:c r="D21" s="26" t="n">
        <x:v>4015.044</x:v>
      </x:c>
      <x:c r="E21" s="26" t="n">
        <x:v>21911.214</x:v>
      </x:c>
      <x:c r="F21" s="26" t="n">
        <x:v>5562.145</x:v>
      </x:c>
      <x:c r="G21" s="26" t="n">
        <x:v>11633.303</x:v>
      </x:c>
      <x:c r="H21" s="26" t="n">
        <x:v>5420.742</x:v>
      </x:c>
      <x:c r="I21" s="9" t="s">
        <x:v>98</x:v>
      </x:c>
    </x:row>
    <x:row r="22" ht="15" hidden="0">
      <x:c r="A22" t="s">
        <x:v>300</x:v>
      </x:c>
      <x:c r="B22" s="19" t="s">
        <x:v>301</x:v>
      </x:c>
      <x:c r="C22" s="27" t="n">
        <x:f aca="0">C20-C21</x:f>
        <x:v>59913.379</x:v>
      </x:c>
      <x:c r="D22" s="27" t="n">
        <x:f aca="0">D20-D21</x:f>
        <x:v>58374.903</x:v>
      </x:c>
      <x:c r="E22" s="27" t="n">
        <x:f aca="0">E20-E21</x:f>
        <x:v>60389.836</x:v>
      </x:c>
      <x:c r="F22" s="27" t="n">
        <x:f aca="0">F20-F21</x:f>
        <x:v>90058.161</x:v>
      </x:c>
      <x:c r="G22" s="27" t="n">
        <x:f aca="0">G20-G21</x:f>
        <x:v>95625.67</x:v>
      </x:c>
      <x:c r="H22" s="27" t="n">
        <x:f aca="0">H20-H21</x:f>
        <x:v>101988.846</x:v>
      </x:c>
      <x:c r="I22" s="9" t="s">
        <x:v>98</x:v>
      </x:c>
    </x:row>
    <x:row r="23" ht="15" hidden="0">
      <x:c r="A23" t="s">
        <x:v>302</x:v>
      </x:c>
      <x:c r="B23" s="19" t="s">
        <x:v>674</x:v>
      </x:c>
      <x:c r="C23" s="26" t="n">
        <x:v>0</x:v>
      </x:c>
      <x:c r="D23" s="26" t="n">
        <x:v>0</x:v>
      </x:c>
      <x:c r="E23" s="26" t="n">
        <x:v>0</x:v>
      </x:c>
      <x:c r="F23" s="26" t="n">
        <x:v>0</x:v>
      </x:c>
      <x:c r="G23" s="26" t="n">
        <x:v>0</x:v>
      </x:c>
      <x:c r="H23" s="26" t="n">
        <x:v>0</x:v>
      </x:c>
      <x:c r="I23" s="9" t="s">
        <x:v>98</x:v>
      </x:c>
    </x:row>
    <x:row r="24" ht="15" hidden="0">
      <x:c r="A24" t="s">
        <x:v>304</x:v>
      </x:c>
      <x:c r="B24" s="19" t="s">
        <x:v>675</x:v>
      </x:c>
      <x:c r="C24" s="26" t="n">
        <x:v>11.323</x:v>
      </x:c>
      <x:c r="D24" s="26" t="n">
        <x:v>0.67</x:v>
      </x:c>
      <x:c r="E24" s="26" t="n">
        <x:v>51.352</x:v>
      </x:c>
      <x:c r="F24" s="26" t="n">
        <x:v>85.588</x:v>
      </x:c>
      <x:c r="G24" s="26" t="n">
        <x:v>69.394</x:v>
      </x:c>
      <x:c r="H24" s="26" t="n">
        <x:v>46.229</x:v>
      </x:c>
      <x:c r="I24" s="9" t="s">
        <x:v>98</x:v>
      </x:c>
    </x:row>
    <x:row r="25" ht="15" hidden="0">
      <x:c r="A25" t="s">
        <x:v>306</x:v>
      </x:c>
      <x:c r="B25" s="19" t="s">
        <x:v>676</x:v>
      </x:c>
      <x:c r="C25" s="26" t="n">
        <x:v>0</x:v>
      </x:c>
      <x:c r="D25" s="26" t="n">
        <x:v>0</x:v>
      </x:c>
      <x:c r="E25" s="26" t="n">
        <x:v>0</x:v>
      </x:c>
      <x:c r="F25" s="26" t="n">
        <x:v>0</x:v>
      </x:c>
      <x:c r="G25" s="26" t="n">
        <x:v>0</x:v>
      </x:c>
      <x:c r="H25" s="26" t="n">
        <x:v>0</x:v>
      </x:c>
      <x:c r="I25" s="9" t="s">
        <x:v>98</x:v>
      </x:c>
    </x:row>
    <x:row r="26" ht="15" hidden="0">
      <x:c r="A26" t="s">
        <x:v>308</x:v>
      </x:c>
      <x:c r="B26" s="19" t="s">
        <x:v>677</x:v>
      </x:c>
      <x:c r="C26" s="26" t="n">
        <x:v>47144.485</x:v>
      </x:c>
      <x:c r="D26" s="26" t="n">
        <x:v>53194.485</x:v>
      </x:c>
      <x:c r="E26" s="26" t="n">
        <x:v>57594.485</x:v>
      </x:c>
      <x:c r="F26" s="26" t="n">
        <x:v>57594.485</x:v>
      </x:c>
      <x:c r="G26" s="26" t="n">
        <x:v>58072.373</x:v>
      </x:c>
      <x:c r="H26" s="26" t="n">
        <x:v>58555.707</x:v>
      </x:c>
      <x:c r="I26" s="9" t="s">
        <x:v>98</x:v>
      </x:c>
    </x:row>
    <x:row r="27" ht="15" hidden="0">
      <x:c r="A27" t="s">
        <x:v>310</x:v>
      </x:c>
      <x:c r="B27" s="19" t="s">
        <x:v>678</x:v>
      </x:c>
      <x:c r="C27" s="26" t="n">
        <x:v>90.183</x:v>
      </x:c>
      <x:c r="D27" s="26" t="n">
        <x:v>106.592</x:v>
      </x:c>
      <x:c r="E27" s="26" t="n">
        <x:v>199.79</x:v>
      </x:c>
      <x:c r="F27" s="26" t="n">
        <x:v>202.046</x:v>
      </x:c>
      <x:c r="G27" s="26" t="n">
        <x:v>165.266</x:v>
      </x:c>
      <x:c r="H27" s="26" t="n">
        <x:v>189.147</x:v>
      </x:c>
      <x:c r="I27" s="9" t="s">
        <x:v>98</x:v>
      </x:c>
    </x:row>
    <x:row r="28" ht="15" hidden="0">
      <x:c r="A28" s="2" t="s">
        <x:v>312</x:v>
      </x:c>
      <x:c r="B28" s="19" t="s">
        <x:v>313</x:v>
      </x:c>
      <x:c r="C28" s="28" t="n">
        <x:f aca="0">C20+C23+C24+C25+C26+C27</x:f>
        <x:v>107493.561</x:v>
      </x:c>
      <x:c r="D28" s="28" t="n">
        <x:f aca="0">D20+D23+D24+D25+D26+D27</x:f>
        <x:v>115691.694</x:v>
      </x:c>
      <x:c r="E28" s="28" t="n">
        <x:f aca="0">E20+E23+E24+E25+E26+E27</x:f>
        <x:v>140146.677</x:v>
      </x:c>
      <x:c r="F28" s="28" t="n">
        <x:f aca="0">F20+F23+F24+F25+F26+F27</x:f>
        <x:v>153502.42500000002</x:v>
      </x:c>
      <x:c r="G28" s="28" t="n">
        <x:f aca="0">G20+G23+G24+G25+G26+G27</x:f>
        <x:v>165566.006</x:v>
      </x:c>
      <x:c r="H28" s="28" t="n">
        <x:f aca="0">H20+H23+H24+H25+H26+H27</x:f>
        <x:v>166200.671</x:v>
      </x:c>
      <x:c r="I28" s="9" t="s">
        <x:v>98</x:v>
      </x:c>
    </x:row>
    <x:row r="29" ht="15" hidden="0">
      <x:c r="A29" s="24" t="s">
        <x:v>314</x:v>
      </x:c>
      <x:c r="B29" s="25"/>
      <x:c r="C29" s="25"/>
      <x:c r="D29" s="25"/>
      <x:c r="E29" s="25"/>
      <x:c r="F29" s="25"/>
      <x:c r="G29" s="25"/>
      <x:c r="H29" s="25"/>
      <x:c r="I29" s="25"/>
      <x:c r="J29" s="25"/>
    </x:row>
    <x:row r="30" ht="15" hidden="0">
      <x:c r="A30" t="s">
        <x:v>315</x:v>
      </x:c>
      <x:c r="B30" s="19" t="s">
        <x:v>679</x:v>
      </x:c>
      <x:c r="C30" s="26" t="n">
        <x:v>6520.17</x:v>
      </x:c>
      <x:c r="D30" s="26" t="n">
        <x:v>10526.573</x:v>
      </x:c>
      <x:c r="E30" s="26" t="n">
        <x:v>11206.843</x:v>
      </x:c>
      <x:c r="F30" s="26" t="n">
        <x:v>14084.018</x:v>
      </x:c>
      <x:c r="G30" s="26" t="n">
        <x:v>14591.821</x:v>
      </x:c>
      <x:c r="H30" s="26" t="n">
        <x:v>19895.13</x:v>
      </x:c>
      <x:c r="I30" s="9" t="s">
        <x:v>98</x:v>
      </x:c>
    </x:row>
    <x:row r="31" ht="15" hidden="0">
      <x:c r="A31" t="s">
        <x:v>317</x:v>
      </x:c>
      <x:c r="B31" s="19" t="s">
        <x:v>680</x:v>
      </x:c>
      <x:c r="C31" s="26" t="n">
        <x:v>2915.552</x:v>
      </x:c>
      <x:c r="D31" s="26" t="n">
        <x:v>3105.037</x:v>
      </x:c>
      <x:c r="E31" s="26" t="n">
        <x:v>7171.364</x:v>
      </x:c>
      <x:c r="F31" s="26" t="n">
        <x:v>6048.507</x:v>
      </x:c>
      <x:c r="G31" s="26" t="n">
        <x:v>8505.426</x:v>
      </x:c>
      <x:c r="H31" s="26" t="n">
        <x:v>4774.577</x:v>
      </x:c>
      <x:c r="I31" s="9" t="s">
        <x:v>98</x:v>
      </x:c>
    </x:row>
    <x:row r="32" ht="15" hidden="0">
      <x:c r="A32" t="s">
        <x:v>319</x:v>
      </x:c>
      <x:c r="B32" s="19" t="s">
        <x:v>681</x:v>
      </x:c>
      <x:c r="C32" s="26" t="n">
        <x:v>3422.767</x:v>
      </x:c>
      <x:c r="D32" s="26" t="n">
        <x:v>2710.081</x:v>
      </x:c>
      <x:c r="E32" s="26" t="n">
        <x:v>3522.931</x:v>
      </x:c>
      <x:c r="F32" s="26" t="n">
        <x:v>5089.667</x:v>
      </x:c>
      <x:c r="G32" s="26" t="n">
        <x:v>6932.479</x:v>
      </x:c>
      <x:c r="H32" s="26" t="n">
        <x:v>6353.194</x:v>
      </x:c>
      <x:c r="I32" s="9" t="s">
        <x:v>98</x:v>
      </x:c>
    </x:row>
    <x:row r="33" ht="15" hidden="0">
      <x:c r="A33" t="s">
        <x:v>321</x:v>
      </x:c>
      <x:c r="B33" s="19" t="s">
        <x:v>682</x:v>
      </x:c>
      <x:c r="C33" s="26" t="n">
        <x:v>2970.999</x:v>
      </x:c>
      <x:c r="D33" s="26" t="n">
        <x:v>16227.103</x:v>
      </x:c>
      <x:c r="E33" s="26" t="n">
        <x:v>12751.155</x:v>
      </x:c>
      <x:c r="F33" s="26" t="n">
        <x:v>21898.496</x:v>
      </x:c>
      <x:c r="G33" s="26" t="n">
        <x:v>29837.628</x:v>
      </x:c>
      <x:c r="H33" s="26" t="n">
        <x:v>61298.052</x:v>
      </x:c>
      <x:c r="I33" s="9" t="s">
        <x:v>98</x:v>
      </x:c>
    </x:row>
    <x:row r="34" ht="15" hidden="0">
      <x:c r="A34" t="s">
        <x:v>323</x:v>
      </x:c>
      <x:c r="B34" s="19" t="s">
        <x:v>683</x:v>
      </x:c>
      <x:c r="C34" s="26" t="n">
        <x:v>7816.606</x:v>
      </x:c>
      <x:c r="D34" s="26" t="n">
        <x:v>2825.424</x:v>
      </x:c>
      <x:c r="E34" s="26" t="n">
        <x:v>3871.078</x:v>
      </x:c>
      <x:c r="F34" s="26" t="n">
        <x:v>4116.181</x:v>
      </x:c>
      <x:c r="G34" s="26" t="n">
        <x:v>2567.176</x:v>
      </x:c>
      <x:c r="H34" s="26" t="n">
        <x:v>2790.323</x:v>
      </x:c>
      <x:c r="I34" s="9" t="s">
        <x:v>98</x:v>
      </x:c>
    </x:row>
    <x:row r="35" ht="15" hidden="0">
      <x:c r="A35" t="s">
        <x:v>325</x:v>
      </x:c>
      <x:c r="B35" s="19" t="s">
        <x:v>684</x:v>
      </x:c>
      <x:c r="C35" s="26" t="n">
        <x:v>4728.819</x:v>
      </x:c>
      <x:c r="D35" s="26" t="n">
        <x:v>5282.15</x:v>
      </x:c>
      <x:c r="E35" s="26" t="n">
        <x:v>6292.32</x:v>
      </x:c>
      <x:c r="F35" s="26" t="n">
        <x:v>8339.773</x:v>
      </x:c>
      <x:c r="G35" s="26" t="n">
        <x:v>6017.554</x:v>
      </x:c>
      <x:c r="H35" s="26" t="n">
        <x:v>5436.083</x:v>
      </x:c>
      <x:c r="I35" s="9" t="s">
        <x:v>98</x:v>
      </x:c>
    </x:row>
    <x:row r="36" ht="15" hidden="0">
      <x:c r="A36" s="2" t="s">
        <x:v>327</x:v>
      </x:c>
      <x:c r="B36" s="19" t="s">
        <x:v>328</x:v>
      </x:c>
      <x:c r="C36" s="28" t="n">
        <x:f aca="0">C30+C31+C32+C33+C34+C35</x:f>
        <x:v>28374.912999999997</x:v>
      </x:c>
      <x:c r="D36" s="28" t="n">
        <x:f aca="0">D30+D31+D32+D33+D34+D35</x:f>
        <x:v>40676.368</x:v>
      </x:c>
      <x:c r="E36" s="28" t="n">
        <x:f aca="0">E30+E31+E32+E33+E34+E35</x:f>
        <x:v>44815.691000000006</x:v>
      </x:c>
      <x:c r="F36" s="28" t="n">
        <x:f aca="0">F30+F31+F32+F33+F34+F35</x:f>
        <x:v>59576.642</x:v>
      </x:c>
      <x:c r="G36" s="28" t="n">
        <x:f aca="0">G30+G31+G32+G33+G34+G35</x:f>
        <x:v>68452.084</x:v>
      </x:c>
      <x:c r="H36" s="28" t="n">
        <x:f aca="0">H30+H31+H32+H33+H34+H35</x:f>
        <x:v>100547.35900000001</x:v>
      </x:c>
      <x:c r="I36" s="9" t="s">
        <x:v>98</x:v>
      </x:c>
    </x:row>
    <x:row r="37" ht="15" hidden="0">
      <x:c r="A37" s="2" t="s">
        <x:v>329</x:v>
      </x:c>
      <x:c r="B37" s="19" t="s">
        <x:v>330</x:v>
      </x:c>
      <x:c r="C37" s="28" t="n">
        <x:f aca="0">C28+C36</x:f>
        <x:v>135868.474</x:v>
      </x:c>
      <x:c r="D37" s="28" t="n">
        <x:f aca="0">D28+D36</x:f>
        <x:v>156368.062</x:v>
      </x:c>
      <x:c r="E37" s="28" t="n">
        <x:f aca="0">E28+E36</x:f>
        <x:v>184962.36800000002</x:v>
      </x:c>
      <x:c r="F37" s="28" t="n">
        <x:f aca="0">F28+F36</x:f>
        <x:v>213079.067</x:v>
      </x:c>
      <x:c r="G37" s="28" t="n">
        <x:f aca="0">G28+G36</x:f>
        <x:v>234018.09</x:v>
      </x:c>
      <x:c r="H37" s="28" t="n">
        <x:f aca="0">H28+H36</x:f>
        <x:v>266748.03</x:v>
      </x:c>
      <x:c r="I37" s="9" t="s">
        <x:v>98</x:v>
      </x:c>
    </x:row>
    <x:row r="38" ht="15" hidden="0">
      <x:c r="A38" s="24" t="s">
        <x:v>331</x:v>
      </x:c>
      <x:c r="B38" s="25"/>
      <x:c r="C38" s="25"/>
      <x:c r="D38" s="25"/>
      <x:c r="E38" s="25"/>
      <x:c r="F38" s="25"/>
      <x:c r="G38" s="25"/>
      <x:c r="H38" s="25"/>
      <x:c r="I38" s="25"/>
      <x:c r="J38" s="25"/>
    </x:row>
    <x:row r="39" ht="15" hidden="0">
      <x:c r="A39" t="s">
        <x:v>332</x:v>
      </x:c>
      <x:c r="B39" s="19" t="s">
        <x:v>685</x:v>
      </x:c>
      <x:c r="C39" s="26" t="n">
        <x:v>3233.75</x:v>
      </x:c>
      <x:c r="D39" s="26" t="n">
        <x:v>3233.75</x:v>
      </x:c>
      <x:c r="E39" s="26" t="n">
        <x:v>3233.75</x:v>
      </x:c>
      <x:c r="F39" s="26" t="n">
        <x:v>3118.386</x:v>
      </x:c>
      <x:c r="G39" s="26" t="n">
        <x:v>2930</x:v>
      </x:c>
      <x:c r="H39" s="26" t="n">
        <x:v>2930</x:v>
      </x:c>
      <x:c r="I39" s="9" t="s">
        <x:v>98</x:v>
      </x:c>
    </x:row>
    <x:row r="40" ht="15" hidden="0">
      <x:c r="A40" t="s">
        <x:v>334</x:v>
      </x:c>
      <x:c r="B40" s="19" t="s">
        <x:v>686</x:v>
      </x:c>
      <x:c r="C40" s="26" t="n">
        <x:v>95950.111</x:v>
      </x:c>
      <x:c r="D40" s="26" t="n">
        <x:v>109966.508</x:v>
      </x:c>
      <x:c r="E40" s="26" t="n">
        <x:v>125306.574</x:v>
      </x:c>
      <x:c r="F40" s="26" t="n">
        <x:v>134247.94</x:v>
      </x:c>
      <x:c r="G40" s="26" t="n">
        <x:v>144831.277</x:v>
      </x:c>
      <x:c r="H40" s="26" t="n">
        <x:v>172980.4</x:v>
      </x:c>
      <x:c r="I40" s="9" t="s">
        <x:v>98</x:v>
      </x:c>
    </x:row>
    <x:row r="41" ht="15" hidden="0">
      <x:c r="A41" s="2" t="s">
        <x:v>336</x:v>
      </x:c>
      <x:c r="B41" s="19" t="s">
        <x:v>337</x:v>
      </x:c>
      <x:c r="C41" s="28" t="n">
        <x:f aca="0">C39+C40</x:f>
        <x:v>99183.861</x:v>
      </x:c>
      <x:c r="D41" s="28" t="n">
        <x:f aca="0">D39+D40</x:f>
        <x:v>113200.258</x:v>
      </x:c>
      <x:c r="E41" s="28" t="n">
        <x:f aca="0">E39+E40</x:f>
        <x:v>128540.324</x:v>
      </x:c>
      <x:c r="F41" s="28" t="n">
        <x:f aca="0">F39+F40</x:f>
        <x:v>137366.326</x:v>
      </x:c>
      <x:c r="G41" s="28" t="n">
        <x:f aca="0">G39+G40</x:f>
        <x:v>147761.277</x:v>
      </x:c>
      <x:c r="H41" s="28" t="n">
        <x:f aca="0">H39+H40</x:f>
        <x:v>175910.4</x:v>
      </x:c>
      <x:c r="I41" s="9" t="s">
        <x:v>98</x:v>
      </x:c>
    </x:row>
    <x:row r="42" ht="15" hidden="0">
      <x:c r="A42" s="24" t="s">
        <x:v>338</x:v>
      </x:c>
      <x:c r="B42" s="25"/>
      <x:c r="C42" s="25"/>
      <x:c r="D42" s="25"/>
      <x:c r="E42" s="25"/>
      <x:c r="F42" s="25"/>
      <x:c r="G42" s="25"/>
      <x:c r="H42" s="25"/>
      <x:c r="I42" s="25"/>
      <x:c r="J42" s="25"/>
    </x:row>
    <x:row r="43" ht="15" hidden="0">
      <x:c r="A43" t="s">
        <x:v>339</x:v>
      </x:c>
      <x:c r="B43" s="19" t="s">
        <x:v>687</x:v>
      </x:c>
      <x:c r="C43" s="26" t="n">
        <x:v>320.461</x:v>
      </x:c>
      <x:c r="D43" s="26" t="n">
        <x:v>2934.044</x:v>
      </x:c>
      <x:c r="E43" s="26" t="n">
        <x:v>14108.446</x:v>
      </x:c>
      <x:c r="F43" s="26" t="n">
        <x:v>14557.294</x:v>
      </x:c>
      <x:c r="G43" s="26" t="n">
        <x:v>12760.637</x:v>
      </x:c>
      <x:c r="H43" s="26" t="n">
        <x:v>9184.522</x:v>
      </x:c>
      <x:c r="I43" s="9" t="s">
        <x:v>98</x:v>
      </x:c>
    </x:row>
    <x:row r="44" ht="15" hidden="0">
      <x:c r="A44" t="s">
        <x:v>341</x:v>
      </x:c>
      <x:c r="B44" s="19" t="s">
        <x:v>688</x:v>
      </x:c>
      <x:c r="C44" s="26" t="n">
        <x:v>0</x:v>
      </x:c>
      <x:c r="D44" s="26" t="n">
        <x:v>0</x:v>
      </x:c>
      <x:c r="E44" s="26" t="n">
        <x:v>0</x:v>
      </x:c>
      <x:c r="F44" s="26" t="n">
        <x:v>0</x:v>
      </x:c>
      <x:c r="G44" s="26" t="n">
        <x:v>0</x:v>
      </x:c>
      <x:c r="H44" s="26" t="n">
        <x:v>0</x:v>
      </x:c>
      <x:c r="I44" s="9" t="s">
        <x:v>98</x:v>
      </x:c>
    </x:row>
    <x:row r="45" ht="15" hidden="0">
      <x:c r="A45" t="s">
        <x:v>343</x:v>
      </x:c>
      <x:c r="B45" s="19" t="s">
        <x:v>689</x:v>
      </x:c>
      <x:c r="C45" s="26" t="n">
        <x:v>59.72</x:v>
      </x:c>
      <x:c r="D45" s="26" t="n">
        <x:v>1107.94</x:v>
      </x:c>
      <x:c r="E45" s="26" t="n">
        <x:v>2164.455</x:v>
      </x:c>
      <x:c r="F45" s="26" t="n">
        <x:v>2121.307</x:v>
      </x:c>
      <x:c r="G45" s="26" t="n">
        <x:v>1766.055</x:v>
      </x:c>
      <x:c r="H45" s="26" t="n">
        <x:v>1382.651</x:v>
      </x:c>
      <x:c r="I45" s="9" t="s">
        <x:v>98</x:v>
      </x:c>
    </x:row>
    <x:row r="46" ht="15" hidden="0">
      <x:c r="A46" t="s">
        <x:v>345</x:v>
      </x:c>
      <x:c r="B46" s="19" t="s">
        <x:v>690</x:v>
      </x:c>
      <x:c r="C46" s="26" t="n">
        <x:v>5167.161</x:v>
      </x:c>
      <x:c r="D46" s="26" t="n">
        <x:v>6157.224</x:v>
      </x:c>
      <x:c r="E46" s="26" t="n">
        <x:v>6941.172</x:v>
      </x:c>
      <x:c r="F46" s="26" t="n">
        <x:v>10025.499</x:v>
      </x:c>
      <x:c r="G46" s="26" t="n">
        <x:v>0</x:v>
      </x:c>
      <x:c r="H46" s="26" t="n">
        <x:v>0</x:v>
      </x:c>
      <x:c r="I46" s="9" t="s">
        <x:v>98</x:v>
      </x:c>
    </x:row>
    <x:row r="47" ht="15" hidden="0">
      <x:c r="A47" t="s">
        <x:v>347</x:v>
      </x:c>
      <x:c r="B47" s="19" t="s">
        <x:v>691</x:v>
      </x:c>
      <x:c r="C47" s="26" t="n">
        <x:v>2181.919</x:v>
      </x:c>
      <x:c r="D47" s="26" t="n">
        <x:v>2581.53</x:v>
      </x:c>
      <x:c r="E47" s="26" t="n">
        <x:v>2846.613</x:v>
      </x:c>
      <x:c r="F47" s="26" t="n">
        <x:v>2827.762</x:v>
      </x:c>
      <x:c r="G47" s="26" t="n">
        <x:v>17541.648</x:v>
      </x:c>
      <x:c r="H47" s="26" t="n">
        <x:v>21629.074</x:v>
      </x:c>
      <x:c r="I47" s="9" t="s">
        <x:v>98</x:v>
      </x:c>
    </x:row>
    <x:row r="48" ht="15" hidden="0">
      <x:c r="A48" s="2" t="s">
        <x:v>349</x:v>
      </x:c>
      <x:c r="B48" s="19" t="s">
        <x:v>350</x:v>
      </x:c>
      <x:c r="C48" s="28" t="n">
        <x:f aca="0">C43+C44+C45+C46+C47</x:f>
        <x:v>7729.261</x:v>
      </x:c>
      <x:c r="D48" s="28" t="n">
        <x:f aca="0">D43+D44+D45+D46+D47</x:f>
        <x:v>12780.738000000001</x:v>
      </x:c>
      <x:c r="E48" s="28" t="n">
        <x:f aca="0">E43+E44+E45+E46+E47</x:f>
        <x:v>26060.686</x:v>
      </x:c>
      <x:c r="F48" s="28" t="n">
        <x:f aca="0">F43+F44+F45+F46+F47</x:f>
        <x:v>29531.861999999997</x:v>
      </x:c>
      <x:c r="G48" s="28" t="n">
        <x:f aca="0">G43+G44+G45+G46+G47</x:f>
        <x:v>32068.340000000004</x:v>
      </x:c>
      <x:c r="H48" s="28" t="n">
        <x:f aca="0">H43+H44+H45+H46+H47</x:f>
        <x:v>32196.247000000003</x:v>
      </x:c>
      <x:c r="I48" s="9" t="s">
        <x:v>98</x:v>
      </x:c>
    </x:row>
    <x:row r="49" ht="15" hidden="0">
      <x:c r="A49" s="24" t="s">
        <x:v>351</x:v>
      </x:c>
      <x:c r="B49" s="25"/>
      <x:c r="C49" s="25"/>
      <x:c r="D49" s="25"/>
      <x:c r="E49" s="25"/>
      <x:c r="F49" s="25"/>
      <x:c r="G49" s="25"/>
      <x:c r="H49" s="25"/>
      <x:c r="I49" s="25"/>
      <x:c r="J49" s="25"/>
    </x:row>
    <x:row r="50" ht="15" hidden="0">
      <x:c r="A50" t="s">
        <x:v>352</x:v>
      </x:c>
      <x:c r="B50" s="19" t="s">
        <x:v>692</x:v>
      </x:c>
      <x:c r="C50" s="26" t="n">
        <x:v>19354.794</x:v>
      </x:c>
      <x:c r="D50" s="26" t="n">
        <x:v>20789.76</x:v>
      </x:c>
      <x:c r="E50" s="26" t="n">
        <x:v>23191.483</x:v>
      </x:c>
      <x:c r="F50" s="26" t="n">
        <x:v>29918.702</x:v>
      </x:c>
      <x:c r="G50" s="26" t="n">
        <x:v>30006.625</x:v>
      </x:c>
      <x:c r="H50" s="26" t="n">
        <x:v>27300.919</x:v>
      </x:c>
      <x:c r="I50" s="9" t="s">
        <x:v>98</x:v>
      </x:c>
    </x:row>
    <x:row r="51" ht="15" hidden="0">
      <x:c r="A51" t="s">
        <x:v>354</x:v>
      </x:c>
      <x:c r="B51" s="19" t="s">
        <x:v>693</x:v>
      </x:c>
      <x:c r="C51" s="26" t="n">
        <x:v>2599.29</x:v>
      </x:c>
      <x:c r="D51" s="26" t="n">
        <x:v>2882.434</x:v>
      </x:c>
      <x:c r="E51" s="26" t="n">
        <x:v>3352.998</x:v>
      </x:c>
      <x:c r="F51" s="26" t="n">
        <x:v>5030.546</x:v>
      </x:c>
      <x:c r="G51" s="26" t="n">
        <x:v>7172.144</x:v>
      </x:c>
      <x:c r="H51" s="26" t="n">
        <x:v>6426.975</x:v>
      </x:c>
      <x:c r="I51" s="9" t="s">
        <x:v>98</x:v>
      </x:c>
    </x:row>
    <x:row r="52" ht="15" hidden="0">
      <x:c r="A52" t="s">
        <x:v>356</x:v>
      </x:c>
      <x:c r="B52" s="19" t="s">
        <x:v>694</x:v>
      </x:c>
      <x:c r="C52" s="26" t="n">
        <x:v>0</x:v>
      </x:c>
      <x:c r="D52" s="26" t="n">
        <x:v>0</x:v>
      </x:c>
      <x:c r="E52" s="26" t="n">
        <x:v>0</x:v>
      </x:c>
      <x:c r="F52" s="26" t="n">
        <x:v>0</x:v>
      </x:c>
      <x:c r="G52" s="26" t="n">
        <x:v>0</x:v>
      </x:c>
      <x:c r="H52" s="26" t="n">
        <x:v>0</x:v>
      </x:c>
      <x:c r="I52" s="9" t="s">
        <x:v>98</x:v>
      </x:c>
    </x:row>
    <x:row r="53" ht="15" hidden="0">
      <x:c r="A53" t="s">
        <x:v>358</x:v>
      </x:c>
      <x:c r="B53" s="19" t="s">
        <x:v>695</x:v>
      </x:c>
      <x:c r="C53" s="26" t="n">
        <x:v>46.173</x:v>
      </x:c>
      <x:c r="D53" s="26" t="n">
        <x:v>70.868</x:v>
      </x:c>
      <x:c r="E53" s="26" t="n">
        <x:v>135.452</x:v>
      </x:c>
      <x:c r="F53" s="26" t="n">
        <x:v>497.745</x:v>
      </x:c>
      <x:c r="G53" s="26" t="n">
        <x:v>342.935</x:v>
      </x:c>
      <x:c r="H53" s="26" t="n">
        <x:v>185.616</x:v>
      </x:c>
      <x:c r="I53" s="9" t="s">
        <x:v>98</x:v>
      </x:c>
    </x:row>
    <x:row r="54" ht="15" hidden="0">
      <x:c r="A54" t="s">
        <x:v>360</x:v>
      </x:c>
      <x:c r="B54" s="19" t="s">
        <x:v>696</x:v>
      </x:c>
      <x:c r="C54" s="26" t="n">
        <x:v>7931.444</x:v>
      </x:c>
      <x:c r="D54" s="26" t="n">
        <x:v>7050</x:v>
      </x:c>
      <x:c r="E54" s="26" t="n">
        <x:v>1000</x:v>
      </x:c>
      <x:c r="F54" s="26" t="n">
        <x:v>5885</x:v>
      </x:c>
      <x:c r="G54" s="26" t="n">
        <x:v>5485</x:v>
      </x:c>
      <x:c r="H54" s="26" t="n">
        <x:v>6485</x:v>
      </x:c>
      <x:c r="I54" s="9" t="s">
        <x:v>98</x:v>
      </x:c>
    </x:row>
    <x:row r="55" ht="15" hidden="0">
      <x:c r="A55" t="s">
        <x:v>362</x:v>
      </x:c>
      <x:c r="B55" s="19" t="s">
        <x:v>697</x:v>
      </x:c>
      <x:c r="C55" s="26" t="n">
        <x:v>126.727</x:v>
      </x:c>
      <x:c r="D55" s="26" t="n">
        <x:v>506.908</x:v>
      </x:c>
      <x:c r="E55" s="26" t="n">
        <x:v>487.202</x:v>
      </x:c>
      <x:c r="F55" s="26" t="n">
        <x:v>599.653</x:v>
      </x:c>
      <x:c r="G55" s="26" t="n">
        <x:v>2099.147</x:v>
      </x:c>
      <x:c r="H55" s="26" t="n">
        <x:v>1866.085</x:v>
      </x:c>
      <x:c r="I55" s="9" t="s">
        <x:v>98</x:v>
      </x:c>
    </x:row>
    <x:row r="56" ht="15" hidden="0">
      <x:c r="A56" t="s">
        <x:v>364</x:v>
      </x:c>
      <x:c r="B56" s="19" t="s">
        <x:v>698</x:v>
      </x:c>
      <x:c r="C56" s="26" t="n">
        <x:v>0</x:v>
      </x:c>
      <x:c r="D56" s="26" t="n">
        <x:v>0</x:v>
      </x:c>
      <x:c r="E56" s="26" t="n">
        <x:v>0</x:v>
      </x:c>
      <x:c r="F56" s="26" t="n">
        <x:v>0</x:v>
      </x:c>
      <x:c r="G56" s="26" t="n">
        <x:v>0</x:v>
      </x:c>
      <x:c r="H56" s="26" t="n">
        <x:v>0</x:v>
      </x:c>
      <x:c r="I56" s="9" t="s">
        <x:v>98</x:v>
      </x:c>
    </x:row>
    <x:row r="57" ht="15" hidden="0">
      <x:c r="A57" t="s">
        <x:v>366</x:v>
      </x:c>
      <x:c r="B57" s="19" t="s">
        <x:v>699</x:v>
      </x:c>
      <x:c r="C57" s="26" t="n">
        <x:v>0</x:v>
      </x:c>
      <x:c r="D57" s="26" t="n">
        <x:v>0</x:v>
      </x:c>
      <x:c r="E57" s="26" t="n">
        <x:v>0</x:v>
      </x:c>
      <x:c r="F57" s="26" t="n">
        <x:v>0</x:v>
      </x:c>
      <x:c r="G57" s="26" t="n">
        <x:v>0</x:v>
      </x:c>
      <x:c r="H57" s="26" t="n">
        <x:v>0</x:v>
      </x:c>
      <x:c r="I57" s="9" t="s">
        <x:v>98</x:v>
      </x:c>
    </x:row>
    <x:row r="58" ht="15" hidden="0">
      <x:c r="A58" t="s">
        <x:v>368</x:v>
      </x:c>
      <x:c r="B58" s="19" t="s">
        <x:v>700</x:v>
      </x:c>
      <x:c r="C58" s="26" t="n">
        <x:v>73.347</x:v>
      </x:c>
      <x:c r="D58" s="26" t="n">
        <x:v>53.458</x:v>
      </x:c>
      <x:c r="E58" s="26" t="n">
        <x:v>51.03</x:v>
      </x:c>
      <x:c r="F58" s="26" t="n">
        <x:v>50.115</x:v>
      </x:c>
      <x:c r="G58" s="26" t="n">
        <x:v>59.148</x:v>
      </x:c>
      <x:c r="H58" s="26" t="n">
        <x:v>65.745</x:v>
      </x:c>
      <x:c r="I58" s="9" t="s">
        <x:v>98</x:v>
      </x:c>
    </x:row>
    <x:row r="59" ht="15" hidden="0">
      <x:c r="A59" t="s">
        <x:v>370</x:v>
      </x:c>
      <x:c r="B59" s="19" t="s">
        <x:v>701</x:v>
      </x:c>
      <x:c r="C59" s="26" t="n">
        <x:v>1422.867</x:v>
      </x:c>
      <x:c r="D59" s="26" t="n">
        <x:v>1916.072</x:v>
      </x:c>
      <x:c r="E59" s="26" t="n">
        <x:v>5496.191</x:v>
      </x:c>
      <x:c r="F59" s="26" t="n">
        <x:v>9229.664</x:v>
      </x:c>
      <x:c r="G59" s="26" t="n">
        <x:v>16195.618</x:v>
      </x:c>
      <x:c r="H59" s="26" t="n">
        <x:v>22738.018</x:v>
      </x:c>
      <x:c r="I59" s="9" t="s">
        <x:v>98</x:v>
      </x:c>
    </x:row>
    <x:row r="60" ht="15" hidden="0">
      <x:c r="A60" t="s">
        <x:v>372</x:v>
      </x:c>
      <x:c r="B60" s="19" t="s">
        <x:v>702</x:v>
      </x:c>
      <x:c r="C60" s="26" t="n">
        <x:v>0</x:v>
      </x:c>
      <x:c r="D60" s="26" t="n">
        <x:v>0</x:v>
      </x:c>
      <x:c r="E60" s="26" t="n">
        <x:v>0</x:v>
      </x:c>
      <x:c r="F60" s="26" t="n">
        <x:v>0</x:v>
      </x:c>
      <x:c r="G60" s="26" t="n">
        <x:v>0</x:v>
      </x:c>
      <x:c r="H60" s="26" t="n">
        <x:v>0</x:v>
      </x:c>
      <x:c r="I60" s="9" t="s">
        <x:v>98</x:v>
      </x:c>
    </x:row>
    <x:row r="61" ht="15" hidden="0">
      <x:c r="A61" s="2" t="s">
        <x:v>374</x:v>
      </x:c>
      <x:c r="B61" s="19" t="s">
        <x:v>375</x:v>
      </x:c>
      <x:c r="C61" s="28" t="n">
        <x:f aca="0">C50+C52+C53+C54+C55+C56+C57+C58+C59+C60</x:f>
        <x:v>28955.352</x:v>
      </x:c>
      <x:c r="D61" s="28" t="n">
        <x:f aca="0">D50+D52+D53+D54+D55+D56+D57+D58+D59+D60</x:f>
        <x:v>30387.065999999995</x:v>
      </x:c>
      <x:c r="E61" s="28" t="n">
        <x:f aca="0">E50+E52+E53+E54+E55+E56+E57+E58+E59+E60</x:f>
        <x:v>30361.358</x:v>
      </x:c>
      <x:c r="F61" s="28" t="n">
        <x:f aca="0">F50+F52+F53+F54+F55+F56+F57+F58+F59+F60</x:f>
        <x:v>46180.879</x:v>
      </x:c>
      <x:c r="G61" s="28" t="n">
        <x:f aca="0">G50+G52+G53+G54+G55+G56+G57+G58+G59+G60</x:f>
        <x:v>54188.473</x:v>
      </x:c>
      <x:c r="H61" s="28" t="n">
        <x:f aca="0">H50+H52+H53+H54+H55+H56+H57+H58+H59+H60</x:f>
        <x:v>58641.383</x:v>
      </x:c>
      <x:c r="I61" s="9" t="s">
        <x:v>98</x:v>
      </x:c>
      <x:c r="J61" s="9" t="s">
        <x:v>376</x:v>
      </x:c>
    </x:row>
    <x:row r="62" ht="15" hidden="0">
      <x:c r="A62" s="2" t="s">
        <x:v>377</x:v>
      </x:c>
      <x:c r="B62" s="19" t="s">
        <x:v>378</x:v>
      </x:c>
      <x:c r="C62" s="28" t="n">
        <x:f aca="0">C48+C61</x:f>
        <x:v>36684.613</x:v>
      </x:c>
      <x:c r="D62" s="28" t="n">
        <x:f aca="0">D48+D61</x:f>
        <x:v>43167.804</x:v>
      </x:c>
      <x:c r="E62" s="28" t="n">
        <x:f aca="0">E48+E61</x:f>
        <x:v>56422.044</x:v>
      </x:c>
      <x:c r="F62" s="28" t="n">
        <x:f aca="0">F48+F61</x:f>
        <x:v>75712.741</x:v>
      </x:c>
      <x:c r="G62" s="28" t="n">
        <x:f aca="0">G48+G61</x:f>
        <x:v>86256.813</x:v>
      </x:c>
      <x:c r="H62" s="28" t="n">
        <x:f aca="0">H48+H61</x:f>
        <x:v>90837.63</x:v>
      </x:c>
      <x:c r="I62" s="9" t="s">
        <x:v>98</x:v>
      </x:c>
    </x:row>
    <x:row r="63" ht="15" hidden="0">
      <x:c r="A63" s="2" t="s">
        <x:v>379</x:v>
      </x:c>
      <x:c r="B63" s="19" t="s">
        <x:v>380</x:v>
      </x:c>
      <x:c r="C63" s="28" t="n">
        <x:f aca="0">C41+C62</x:f>
        <x:v>135868.474</x:v>
      </x:c>
      <x:c r="D63" s="28" t="n">
        <x:f aca="0">D41+D62</x:f>
        <x:v>156368.062</x:v>
      </x:c>
      <x:c r="E63" s="28" t="n">
        <x:f aca="0">E41+E62</x:f>
        <x:v>184962.368</x:v>
      </x:c>
      <x:c r="F63" s="28" t="n">
        <x:f aca="0">F41+F62</x:f>
        <x:v>213079.06699999998</x:v>
      </x:c>
      <x:c r="G63" s="28" t="n">
        <x:f aca="0">G41+G62</x:f>
        <x:v>234018.09</x:v>
      </x:c>
      <x:c r="H63" s="28" t="n">
        <x:f aca="0">H41+H62</x:f>
        <x:v>266748.03</x:v>
      </x:c>
      <x:c r="I63" s="9" t="s">
        <x:v>98</x:v>
      </x:c>
    </x:row>
    <x:row r="64" ht="15" hidden="0">
      <x:c r="A64" s="24" t="s">
        <x:v>381</x:v>
      </x:c>
      <x:c r="B64" s="25"/>
      <x:c r="C64" s="25"/>
      <x:c r="D64" s="25"/>
      <x:c r="E64" s="25"/>
      <x:c r="F64" s="25"/>
      <x:c r="G64" s="25"/>
      <x:c r="H64" s="25"/>
      <x:c r="I64" s="25"/>
      <x:c r="J64" s="25"/>
    </x:row>
    <x:row r="65" ht="15" hidden="0">
      <x:c r="A65" t="s">
        <x:v>382</x:v>
      </x:c>
      <x:c r="B65" s="19" t="s">
        <x:v>383</x:v>
      </x:c>
      <x:c r="C65" s="27" t="n">
        <x:f aca="0">C30+C31</x:f>
        <x:v>9435.722</x:v>
      </x:c>
      <x:c r="D65" s="27" t="n">
        <x:f aca="0">D30+D31</x:f>
        <x:v>13631.61</x:v>
      </x:c>
      <x:c r="E65" s="27" t="n">
        <x:f aca="0">E30+E31</x:f>
        <x:v>18378.207000000002</x:v>
      </x:c>
      <x:c r="F65" s="27" t="n">
        <x:f aca="0">F30+F31</x:f>
        <x:v>20132.525</x:v>
      </x:c>
      <x:c r="G65" s="27" t="n">
        <x:f aca="0">G30+G31</x:f>
        <x:v>23097.247</x:v>
      </x:c>
      <x:c r="H65" s="27" t="n">
        <x:f aca="0">H30+H31</x:f>
        <x:v>24669.707000000002</x:v>
      </x:c>
      <x:c r="I65" s="9" t="s">
        <x:v>98</x:v>
      </x:c>
    </x:row>
    <x:row r="66" ht="15" hidden="0">
      <x:c r="A66" t="s">
        <x:v>384</x:v>
      </x:c>
      <x:c r="B66" s="19" t="s">
        <x:v>385</x:v>
      </x:c>
      <x:c r="C66" s="27" t="n">
        <x:f aca="0">C43+C44+C54+C55+C56</x:f>
        <x:v>8378.632000000001</x:v>
      </x:c>
      <x:c r="D66" s="27" t="n">
        <x:f aca="0">D43+D44+D54+D55+D56</x:f>
        <x:v>10490.952</x:v>
      </x:c>
      <x:c r="E66" s="27" t="n">
        <x:f aca="0">E43+E44+E54+E55+E56</x:f>
        <x:v>15595.648</x:v>
      </x:c>
      <x:c r="F66" s="27" t="n">
        <x:f aca="0">F43+F44+F54+F55+F56</x:f>
        <x:v>21041.947</x:v>
      </x:c>
      <x:c r="G66" s="27" t="n">
        <x:f aca="0">G43+G44+G54+G55+G56</x:f>
        <x:v>20344.784000000003</x:v>
      </x:c>
      <x:c r="H66" s="27" t="n">
        <x:f aca="0">H43+H44+H54+H55+H56</x:f>
        <x:v>17535.607</x:v>
      </x:c>
      <x:c r="I66" s="9" t="s">
        <x:v>98</x:v>
      </x:c>
    </x:row>
    <x:row r="67" ht="15" hidden="0">
      <x:c r="A67" t="s">
        <x:v>386</x:v>
      </x:c>
      <x:c r="B67" s="19" t="s">
        <x:v>387</x:v>
      </x:c>
      <x:c r="C67" s="27" t="n">
        <x:f aca="0">C43+C44</x:f>
        <x:v>320.461</x:v>
      </x:c>
      <x:c r="D67" s="27" t="n">
        <x:f aca="0">D43+D44</x:f>
        <x:v>2934.044</x:v>
      </x:c>
      <x:c r="E67" s="27" t="n">
        <x:f aca="0">E43+E44</x:f>
        <x:v>14108.446</x:v>
      </x:c>
      <x:c r="F67" s="27" t="n">
        <x:f aca="0">F43+F44</x:f>
        <x:v>14557.294</x:v>
      </x:c>
      <x:c r="G67" s="27" t="n">
        <x:f aca="0">G43+G44</x:f>
        <x:v>12760.637</x:v>
      </x:c>
      <x:c r="H67" s="27" t="n">
        <x:f aca="0">H43+H44</x:f>
        <x:v>9184.522</x:v>
      </x:c>
      <x:c r="I67" s="9" t="s">
        <x:v>98</x:v>
      </x:c>
    </x:row>
    <x:row r="68" ht="15" hidden="0">
      <x:c r="A68" t="s">
        <x:v>388</x:v>
      </x:c>
      <x:c r="B68" s="19" t="s">
        <x:v>389</x:v>
      </x:c>
      <x:c r="C68" s="27" t="n">
        <x:f aca="0">C66-C34</x:f>
        <x:v>562.0260000000017</x:v>
      </x:c>
      <x:c r="D68" s="27" t="n">
        <x:f aca="0">D66-D34</x:f>
        <x:v>7665.527999999999</x:v>
      </x:c>
      <x:c r="E68" s="27" t="n">
        <x:f aca="0">E66-E34</x:f>
        <x:v>11724.57</x:v>
      </x:c>
      <x:c r="F68" s="27" t="n">
        <x:f aca="0">F66-F34</x:f>
        <x:v>16925.766</x:v>
      </x:c>
      <x:c r="G68" s="27" t="n">
        <x:f aca="0">G66-G34</x:f>
        <x:v>17777.608000000004</x:v>
      </x:c>
      <x:c r="H68" s="27" t="n">
        <x:f aca="0">H66-H34</x:f>
        <x:v>14745.284</x:v>
      </x:c>
      <x:c r="I68" s="9" t="s">
        <x:v>98</x:v>
      </x:c>
    </x:row>
    <x:row r="69" ht="15" hidden="0">
      <x:c r="A69" t="s">
        <x:v>390</x:v>
      </x:c>
      <x:c r="B69" s="19" t="s">
        <x:v>391</x:v>
      </x:c>
      <x:c r="C69" s="27" t="n">
        <x:f aca="0">C66-C34-C33</x:f>
        <x:v>-2408.972999999998</x:v>
      </x:c>
      <x:c r="D69" s="27" t="n">
        <x:f aca="0">D66-D34-D33</x:f>
        <x:v>-8561.575</x:v>
      </x:c>
      <x:c r="E69" s="27" t="n">
        <x:f aca="0">E66-E34-E33</x:f>
        <x:v>-1026.585000000001</x:v>
      </x:c>
      <x:c r="F69" s="27" t="n">
        <x:f aca="0">F66-F34-F33</x:f>
        <x:v>-4972.73</x:v>
      </x:c>
      <x:c r="G69" s="27" t="n">
        <x:f aca="0">G66-G34-G33</x:f>
        <x:v>-12060.019999999997</x:v>
      </x:c>
      <x:c r="H69" s="27" t="n">
        <x:f aca="0">H66-H34-H33</x:f>
        <x:v>-46552.768000000004</x:v>
      </x:c>
      <x:c r="I69" s="9" t="s">
        <x:v>98</x:v>
      </x:c>
    </x:row>
    <x:row r="70" ht="15" hidden="0">
      <x:c r="A70" t="s">
        <x:v>392</x:v>
      </x:c>
      <x:c r="B70" s="19" t="s">
        <x:v>393</x:v>
      </x:c>
      <x:c r="C70" s="27" t="n">
        <x:f aca="0">C66+C41</x:f>
        <x:v>107562.493</x:v>
      </x:c>
      <x:c r="D70" s="27" t="n">
        <x:f aca="0">D66+D41</x:f>
        <x:v>123691.21</x:v>
      </x:c>
      <x:c r="E70" s="27" t="n">
        <x:f aca="0">E66+E41</x:f>
        <x:v>144135.97199999998</x:v>
      </x:c>
      <x:c r="F70" s="27" t="n">
        <x:f aca="0">F66+F41</x:f>
        <x:v>158408.273</x:v>
      </x:c>
      <x:c r="G70" s="27" t="n">
        <x:f aca="0">G66+G41</x:f>
        <x:v>168106.06100000002</x:v>
      </x:c>
      <x:c r="H70" s="27" t="n">
        <x:f aca="0">H66+H41</x:f>
        <x:v>193446.00699999998</x:v>
      </x:c>
      <x:c r="I70" s="9" t="s">
        <x:v>98</x:v>
      </x:c>
    </x:row>
    <x:row r="71" ht="15" hidden="0">
      <x:c r="A71" t="s">
        <x:v>394</x:v>
      </x:c>
      <x:c r="B71" s="19" t="s">
        <x:v>395</x:v>
      </x:c>
      <x:c r="C71" s="27" t="n">
        <x:f aca="0">C37-C61</x:f>
        <x:v>106913.12199999999</x:v>
      </x:c>
      <x:c r="D71" s="27" t="n">
        <x:f aca="0">D37-D61</x:f>
        <x:v>125980.99600000001</x:v>
      </x:c>
      <x:c r="E71" s="27" t="n">
        <x:f aca="0">E37-E61</x:f>
        <x:v>154601.01</x:v>
      </x:c>
      <x:c r="F71" s="27" t="n">
        <x:f aca="0">F37-F61</x:f>
        <x:v>166898.18800000002</x:v>
      </x:c>
      <x:c r="G71" s="27" t="n">
        <x:f aca="0">G37-G61</x:f>
        <x:v>179829.617</x:v>
      </x:c>
      <x:c r="H71" s="27" t="n">
        <x:f aca="0">H37-H61</x:f>
        <x:v>208106.64700000003</x:v>
      </x:c>
      <x:c r="I71" s="9" t="s">
        <x:v>98</x:v>
      </x:c>
    </x:row>
    <x:row r="72" ht="15" hidden="0">
      <x:c r="A72" t="s">
        <x:v>396</x:v>
      </x:c>
      <x:c r="B72" s="19" t="s">
        <x:v>397</x:v>
      </x:c>
      <x:c r="C72" s="27" t="n">
        <x:f aca="0">C36-C34-C33</x:f>
        <x:v>17587.307999999997</x:v>
      </x:c>
      <x:c r="D72" s="27" t="n">
        <x:f aca="0">D36-D34-D33</x:f>
        <x:v>21623.841000000004</x:v>
      </x:c>
      <x:c r="E72" s="27" t="n">
        <x:f aca="0">E36-E34-E33</x:f>
        <x:v>28193.458000000006</x:v>
      </x:c>
      <x:c r="F72" s="27" t="n">
        <x:f aca="0">F36-F34-F33</x:f>
        <x:v>33561.965000000004</x:v>
      </x:c>
      <x:c r="G72" s="27" t="n">
        <x:f aca="0">G36-G34-G33</x:f>
        <x:v>36047.28</x:v>
      </x:c>
      <x:c r="H72" s="27" t="n">
        <x:f aca="0">H36-H34-H33</x:f>
        <x:v>36458.984000000004</x:v>
      </x:c>
      <x:c r="I72" s="9" t="s">
        <x:v>98</x:v>
      </x:c>
    </x:row>
    <x:row r="73" ht="15" hidden="0">
      <x:c r="A73" t="s">
        <x:v>398</x:v>
      </x:c>
      <x:c r="B73" s="19" t="s">
        <x:v>399</x:v>
      </x:c>
      <x:c r="C73" s="27" t="n">
        <x:f aca="0">C61-C54-C55-C56-C57-C53-C58</x:f>
        <x:v>20777.661</x:v>
      </x:c>
      <x:c r="D73" s="27" t="n">
        <x:f aca="0">D61-D54-D55-D56-D57-D53-D58</x:f>
        <x:v>22705.832</x:v>
      </x:c>
      <x:c r="E73" s="27" t="n">
        <x:f aca="0">E61-E54-E55-E56-E57-E53-E58</x:f>
        <x:v>28687.674</x:v>
      </x:c>
      <x:c r="F73" s="27" t="n">
        <x:f aca="0">F61-F54-F55-F56-F57-F53-F58</x:f>
        <x:v>39148.366</x:v>
      </x:c>
      <x:c r="G73" s="27" t="n">
        <x:f aca="0">G61-G54-G55-G56-G57-G53-G58</x:f>
        <x:v>46202.243</x:v>
      </x:c>
      <x:c r="H73" s="27" t="n">
        <x:f aca="0">H61-H54-H55-H56-H57-H53-H58</x:f>
        <x:v>50038.937</x:v>
      </x:c>
      <x:c r="I73" s="9" t="s">
        <x:v>98</x:v>
      </x:c>
    </x:row>
    <x:row r="74" ht="15" hidden="0">
      <x:c r="A74" s="24" t="s">
        <x:v>400</x:v>
      </x:c>
      <x:c r="B74" s="25"/>
      <x:c r="C74" s="25"/>
      <x:c r="D74" s="25"/>
      <x:c r="E74" s="25"/>
      <x:c r="F74" s="25"/>
      <x:c r="G74" s="25"/>
      <x:c r="H74" s="25"/>
      <x:c r="I74" s="25"/>
      <x:c r="J74" s="25"/>
    </x:row>
    <x:row r="75" ht="15" hidden="0">
      <x:c r="A75" t="s">
        <x:v>401</x:v>
      </x:c>
      <x:c r="B75" s="19" t="s">
        <x:v>703</x:v>
      </x:c>
      <x:c r="C75" s="26" t="n">
        <x:v>135868.474</x:v>
      </x:c>
      <x:c r="D75" s="26" t="n">
        <x:v>156368.062</x:v>
      </x:c>
      <x:c r="E75" s="26" t="n">
        <x:v>184962.368</x:v>
      </x:c>
      <x:c r="F75" s="26" t="n">
        <x:v>213079.067</x:v>
      </x:c>
      <x:c r="G75" s="26" t="n">
        <x:v>234018.09</x:v>
      </x:c>
      <x:c r="H75" s="26" t="n">
        <x:v>266748.03</x:v>
      </x:c>
      <x:c r="I75" s="9" t="s">
        <x:v>98</x:v>
      </x:c>
    </x:row>
    <x:row r="76" ht="15" hidden="0">
      <x:c r="A76" t="s">
        <x:v>403</x:v>
      </x:c>
      <x:c r="B76" s="19" t="s">
        <x:v>704</x:v>
      </x:c>
      <x:c r="C76" s="26" t="n">
        <x:v>99183.861</x:v>
      </x:c>
      <x:c r="D76" s="26" t="n">
        <x:v>113200.258</x:v>
      </x:c>
      <x:c r="E76" s="26" t="n">
        <x:v>128540.324</x:v>
      </x:c>
      <x:c r="F76" s="26" t="n">
        <x:v>137366.326</x:v>
      </x:c>
      <x:c r="G76" s="26" t="n">
        <x:v>147761.277</x:v>
      </x:c>
      <x:c r="H76" s="26" t="n">
        <x:v>175910.4</x:v>
      </x:c>
      <x:c r="I76" s="9" t="s">
        <x:v>98</x:v>
      </x:c>
    </x:row>
    <x:row r="77" ht="15" hidden="0">
      <x:c r="A77" t="s">
        <x:v>405</x:v>
      </x:c>
      <x:c r="B77" s="19" t="s">
        <x:v>705</x:v>
      </x:c>
      <x:c r="C77" s="26" t="n">
        <x:v>28374.913</x:v>
      </x:c>
      <x:c r="D77" s="26" t="n">
        <x:v>40676.368</x:v>
      </x:c>
      <x:c r="E77" s="26" t="n">
        <x:v>44815.691</x:v>
      </x:c>
      <x:c r="F77" s="26" t="n">
        <x:v>59576.642</x:v>
      </x:c>
      <x:c r="G77" s="26" t="n">
        <x:v>68452.084</x:v>
      </x:c>
      <x:c r="H77" s="26" t="n">
        <x:v>100547.359</x:v>
      </x:c>
      <x:c r="I77" s="9" t="s">
        <x:v>98</x:v>
      </x:c>
    </x:row>
    <x:row r="78" ht="15" hidden="0">
      <x:c r="A78" t="s">
        <x:v>407</x:v>
      </x:c>
      <x:c r="B78" s="19" t="s">
        <x:v>706</x:v>
      </x:c>
      <x:c r="C78" s="26" t="n">
        <x:v>28955.352</x:v>
      </x:c>
      <x:c r="D78" s="26" t="n">
        <x:v>30387.066</x:v>
      </x:c>
      <x:c r="E78" s="26" t="n">
        <x:v>30361.358</x:v>
      </x:c>
      <x:c r="F78" s="26" t="n">
        <x:v>46180.879</x:v>
      </x:c>
      <x:c r="G78" s="26" t="n">
        <x:v>54188.473</x:v>
      </x:c>
      <x:c r="H78" s="26" t="n">
        <x:v>58641.383</x:v>
      </x:c>
      <x:c r="I78" s="9" t="s">
        <x:v>98</x:v>
      </x:c>
    </x:row>
    <x:row r="79" ht="15" hidden="0">
      <x:c r="A79" t="s">
        <x:v>409</x:v>
      </x:c>
      <x:c r="B79" s="19" t="s">
        <x:v>410</x:v>
      </x:c>
      <x:c r="C79" s="29" t="str">
        <x:f aca="0">IF(ABS(C37-C63)&lt;0.005,"PASS","FAIL")</x:f>
        <x:v>PASS</x:v>
      </x:c>
      <x:c r="D79" s="29" t="str">
        <x:f aca="0">IF(ABS(D37-D63)&lt;0.005,"PASS","FAIL")</x:f>
        <x:v>PASS</x:v>
      </x:c>
      <x:c r="E79" s="29" t="str">
        <x:f aca="0">IF(ABS(E37-E63)&lt;0.005,"PASS","FAIL")</x:f>
        <x:v>PASS</x:v>
      </x:c>
      <x:c r="F79" s="29" t="str">
        <x:f aca="0">IF(ABS(F37-F63)&lt;0.005,"PASS","FAIL")</x:f>
        <x:v>PASS</x:v>
      </x:c>
      <x:c r="G79" s="29" t="str">
        <x:f aca="0">IF(ABS(G37-G63)&lt;0.005,"PASS","FAIL")</x:f>
        <x:v>PASS</x:v>
      </x:c>
      <x:c r="H79" s="29" t="str">
        <x:f aca="0">IF(ABS(H37-H63)&lt;0.005,"PASS","FAIL")</x:f>
        <x:v>PASS</x:v>
      </x:c>
      <x:c r="I79" s="9"/>
    </x:row>
    <x:row r="80" ht="15" hidden="0">
      <x:c r="A80" t="s">
        <x:v>411</x:v>
      </x:c>
      <x:c r="B80" s="19" t="s">
        <x:v>410</x:v>
      </x:c>
      <x:c r="C80" s="29" t="str">
        <x:f aca="0">IF(ABS(C37-C75)&lt;0.005,"PASS","FAIL")</x:f>
        <x:v>PASS</x:v>
      </x:c>
      <x:c r="D80" s="29" t="str">
        <x:f aca="0">IF(ABS(D37-D75)&lt;0.005,"PASS","FAIL")</x:f>
        <x:v>PASS</x:v>
      </x:c>
      <x:c r="E80" s="29" t="str">
        <x:f aca="0">IF(ABS(E37-E75)&lt;0.005,"PASS","FAIL")</x:f>
        <x:v>PASS</x:v>
      </x:c>
      <x:c r="F80" s="29" t="str">
        <x:f aca="0">IF(ABS(F37-F75)&lt;0.005,"PASS","FAIL")</x:f>
        <x:v>PASS</x:v>
      </x:c>
      <x:c r="G80" s="29" t="str">
        <x:f aca="0">IF(ABS(G37-G75)&lt;0.005,"PASS","FAIL")</x:f>
        <x:v>PASS</x:v>
      </x:c>
      <x:c r="H80" s="29" t="str">
        <x:f aca="0">IF(ABS(H37-H75)&lt;0.005,"PASS","FAIL")</x:f>
        <x:v>PASS</x:v>
      </x:c>
      <x:c r="I80" s="9"/>
    </x:row>
    <x:row r="81" ht="15" hidden="0">
      <x:c r="A81" t="s">
        <x:v>412</x:v>
      </x:c>
      <x:c r="B81" s="19" t="s">
        <x:v>410</x:v>
      </x:c>
      <x:c r="C81" s="29" t="str">
        <x:f aca="0">IF(AND(ABS(C41-C76)&lt;0.005,ABS(C36-C77)&lt;0.005,ABS(C61-C78)&lt;0.005),"PASS","FAIL")</x:f>
        <x:v>PASS</x:v>
      </x:c>
      <x:c r="D81" s="29" t="str">
        <x:f aca="0">IF(AND(ABS(D41-D76)&lt;0.005,ABS(D36-D77)&lt;0.005,ABS(D61-D78)&lt;0.005),"PASS","FAIL")</x:f>
        <x:v>PASS</x:v>
      </x:c>
      <x:c r="E81" s="29" t="str">
        <x:f aca="0">IF(AND(ABS(E41-E76)&lt;0.005,ABS(E36-E77)&lt;0.005,ABS(E61-E78)&lt;0.005),"PASS","FAIL")</x:f>
        <x:v>PASS</x:v>
      </x:c>
      <x:c r="F81" s="29" t="str">
        <x:f aca="0">IF(AND(ABS(F41-F76)&lt;0.005,ABS(F36-F77)&lt;0.005,ABS(F61-F78)&lt;0.005),"PASS","FAIL")</x:f>
        <x:v>PASS</x:v>
      </x:c>
      <x:c r="G81" s="29" t="str">
        <x:f aca="0">IF(AND(ABS(G41-G76)&lt;0.005,ABS(G36-G77)&lt;0.005,ABS(G61-G78)&lt;0.005),"PASS","FAIL")</x:f>
        <x:v>PASS</x:v>
      </x:c>
      <x:c r="H81" s="29" t="str">
        <x:f aca="0">IF(AND(ABS(H41-H76)&lt;0.005,ABS(H36-H77)&lt;0.005,ABS(H61-H78)&lt;0.005),"PASS","FAIL")</x:f>
        <x:v>PASS</x:v>
      </x:c>
      <x:c r="I81" s="9"/>
    </x:row>
    <x:row r="83" ht="15" hidden="0">
      <x:c r="A83" s="5" t="s">
        <x:v>413</x:v>
      </x:c>
      <x:c r="B83" s="20"/>
      <x:c r="C83" s="20"/>
      <x:c r="D83" s="20"/>
      <x:c r="E83" s="20"/>
      <x:c r="F83" s="20"/>
      <x:c r="G83" s="20"/>
      <x:c r="H83" s="20"/>
      <x:c r="I83" s="20"/>
      <x:c r="J83" s="20"/>
    </x:row>
    <x:row r="84" ht="15" hidden="0">
      <x:c r="A84" t="s">
        <x:v>414</x:v>
      </x:c>
      <x:c r="B84" s="19" t="s">
        <x:v>707</x:v>
      </x:c>
      <x:c r="C84" s="30"/>
      <x:c r="D84" s="26" t="n">
        <x:v>62940.805</x:v>
      </x:c>
      <x:c r="E84" s="26" t="n">
        <x:v>81093.525</x:v>
      </x:c>
      <x:c r="F84" s="26" t="n">
        <x:v>95832.147</x:v>
      </x:c>
      <x:c r="G84" s="26" t="n">
        <x:v>115324.942</x:v>
      </x:c>
      <x:c r="H84" s="26" t="n">
        <x:v>124511.744</x:v>
      </x:c>
      <x:c r="I84" s="9" t="s">
        <x:v>98</x:v>
      </x:c>
    </x:row>
    <x:row r="85" ht="15" hidden="0">
      <x:c r="A85" t="s">
        <x:v>416</x:v>
      </x:c>
      <x:c r="B85" s="19" t="s">
        <x:v>708</x:v>
      </x:c>
      <x:c r="C85" s="30"/>
      <x:c r="D85" s="26" t="n">
        <x:v>-43984.873</x:v>
      </x:c>
      <x:c r="E85" s="26" t="n">
        <x:v>-58541.684</x:v>
      </x:c>
      <x:c r="F85" s="26" t="n">
        <x:v>-69771.469</x:v>
      </x:c>
      <x:c r="G85" s="26" t="n">
        <x:v>-76520.37</x:v>
      </x:c>
      <x:c r="H85" s="26" t="n">
        <x:v>-81827.06</x:v>
      </x:c>
      <x:c r="I85" s="9" t="s">
        <x:v>98</x:v>
      </x:c>
    </x:row>
    <x:row r="86" ht="15" hidden="0">
      <x:c r="A86" s="2" t="s">
        <x:v>418</x:v>
      </x:c>
      <x:c r="B86" s="19" t="s">
        <x:v>419</x:v>
      </x:c>
      <x:c r="C86" s="31"/>
      <x:c r="D86" s="28" t="n">
        <x:f aca="0">D84+D85</x:f>
        <x:v>18955.932</x:v>
      </x:c>
      <x:c r="E86" s="28" t="n">
        <x:f aca="0">E84+E85</x:f>
        <x:v>22551.840999999993</x:v>
      </x:c>
      <x:c r="F86" s="28" t="n">
        <x:f aca="0">F84+F85</x:f>
        <x:v>26060.678</x:v>
      </x:c>
      <x:c r="G86" s="28" t="n">
        <x:f aca="0">G84+G85</x:f>
        <x:v>38804.572</x:v>
      </x:c>
      <x:c r="H86" s="28" t="n">
        <x:f aca="0">H84+H85</x:f>
        <x:v>42684.68400000001</x:v>
      </x:c>
      <x:c r="I86" s="9" t="s">
        <x:v>98</x:v>
      </x:c>
    </x:row>
    <x:row r="87" ht="15" hidden="0">
      <x:c r="A87" t="s">
        <x:v>420</x:v>
      </x:c>
      <x:c r="B87" s="19" t="s">
        <x:v>709</x:v>
      </x:c>
      <x:c r="C87" s="30"/>
      <x:c r="D87" s="26" t="n">
        <x:v>-4859.096</x:v>
      </x:c>
      <x:c r="E87" s="26" t="n">
        <x:v>-4764.574</x:v>
      </x:c>
      <x:c r="F87" s="26" t="n">
        <x:v>-5326.894</x:v>
      </x:c>
      <x:c r="G87" s="26" t="n">
        <x:v>-7773.885</x:v>
      </x:c>
      <x:c r="H87" s="26" t="n">
        <x:v>-8972.815</x:v>
      </x:c>
      <x:c r="I87" s="9" t="s">
        <x:v>98</x:v>
      </x:c>
    </x:row>
    <x:row r="88" ht="15" hidden="0">
      <x:c r="A88" t="s">
        <x:v>422</x:v>
      </x:c>
      <x:c r="B88" s="19" t="s">
        <x:v>710</x:v>
      </x:c>
      <x:c r="C88" s="30"/>
      <x:c r="D88" s="26" t="n">
        <x:v>-1257.074</x:v>
      </x:c>
      <x:c r="E88" s="26" t="n">
        <x:v>-1512.279</x:v>
      </x:c>
      <x:c r="F88" s="26" t="n">
        <x:v>-1825.578</x:v>
      </x:c>
      <x:c r="G88" s="26" t="n">
        <x:v>-2160.682</x:v>
      </x:c>
      <x:c r="H88" s="26" t="n">
        <x:v>-2427.249</x:v>
      </x:c>
      <x:c r="I88" s="9" t="s">
        <x:v>98</x:v>
      </x:c>
    </x:row>
    <x:row r="89" ht="15" hidden="0">
      <x:c r="A89" t="s">
        <x:v>424</x:v>
      </x:c>
      <x:c r="B89" s="19" t="s">
        <x:v>711</x:v>
      </x:c>
      <x:c r="C89" s="30"/>
      <x:c r="D89" s="26" t="n">
        <x:v>0</x:v>
      </x:c>
      <x:c r="E89" s="26" t="n">
        <x:v>0</x:v>
      </x:c>
      <x:c r="F89" s="26" t="n">
        <x:v>0</x:v>
      </x:c>
      <x:c r="G89" s="26" t="n">
        <x:v>0</x:v>
      </x:c>
      <x:c r="H89" s="26" t="n">
        <x:v>0</x:v>
      </x:c>
      <x:c r="I89" s="9" t="s">
        <x:v>98</x:v>
      </x:c>
    </x:row>
    <x:row r="90" ht="15" hidden="0">
      <x:c r="A90" t="s">
        <x:v>426</x:v>
      </x:c>
      <x:c r="B90" s="19" t="s">
        <x:v>712</x:v>
      </x:c>
      <x:c r="C90" s="30"/>
      <x:c r="D90" s="26" t="n">
        <x:v>-1507.673</x:v>
      </x:c>
      <x:c r="E90" s="26" t="n">
        <x:v>-1847.039</x:v>
      </x:c>
      <x:c r="F90" s="26" t="n">
        <x:v>-2442.585</x:v>
      </x:c>
      <x:c r="G90" s="26" t="n">
        <x:v>-2476.636</x:v>
      </x:c>
      <x:c r="H90" s="26" t="n">
        <x:v>-3056.913</x:v>
      </x:c>
      <x:c r="I90" s="9" t="s">
        <x:v>98</x:v>
      </x:c>
    </x:row>
    <x:row r="91" ht="15" hidden="0">
      <x:c r="A91" t="s">
        <x:v>428</x:v>
      </x:c>
      <x:c r="B91" s="19" t="s">
        <x:v>429</x:v>
      </x:c>
      <x:c r="C91" s="30"/>
      <x:c r="D91" s="27" t="n">
        <x:f aca="0">D86+D87+D88+D89+D90</x:f>
        <x:v>11332.089</x:v>
      </x:c>
      <x:c r="E91" s="27" t="n">
        <x:f aca="0">E86+E87+E88+E89+E90</x:f>
        <x:v>14427.948999999991</x:v>
      </x:c>
      <x:c r="F91" s="27" t="n">
        <x:f aca="0">F86+F87+F88+F89+F90</x:f>
        <x:v>16465.621</x:v>
      </x:c>
      <x:c r="G91" s="27" t="n">
        <x:f aca="0">G86+G87+G88+G89+G90</x:f>
        <x:v>26393.369</x:v>
      </x:c>
      <x:c r="H91" s="27" t="n">
        <x:f aca="0">H86+H87+H88+H89+H90</x:f>
        <x:v>28227.707000000006</x:v>
      </x:c>
      <x:c r="I91" s="9" t="s">
        <x:v>98</x:v>
      </x:c>
    </x:row>
    <x:row r="92" ht="15" hidden="0">
      <x:c r="A92" t="s">
        <x:v>430</x:v>
      </x:c>
      <x:c r="B92" s="19" t="s">
        <x:v>713</x:v>
      </x:c>
      <x:c r="C92" s="30"/>
      <x:c r="D92" s="26" t="n">
        <x:v>5993.029</x:v>
      </x:c>
      <x:c r="E92" s="26" t="n">
        <x:v>7387.8</x:v>
      </x:c>
      <x:c r="F92" s="26" t="n">
        <x:v>6047.423</x:v>
      </x:c>
      <x:c r="G92" s="26" t="n">
        <x:v>16575.363</x:v>
      </x:c>
      <x:c r="H92" s="26" t="n">
        <x:v>20465.921</x:v>
      </x:c>
      <x:c r="I92" s="9" t="s">
        <x:v>98</x:v>
      </x:c>
    </x:row>
    <x:row r="93" ht="15" hidden="0">
      <x:c r="A93" t="s">
        <x:v>432</x:v>
      </x:c>
      <x:c r="B93" s="19" t="s">
        <x:v>714</x:v>
      </x:c>
      <x:c r="C93" s="30"/>
      <x:c r="D93" s="26" t="n">
        <x:v>0</x:v>
      </x:c>
      <x:c r="E93" s="26" t="n">
        <x:v>0</x:v>
      </x:c>
      <x:c r="F93" s="26" t="n">
        <x:v>0</x:v>
      </x:c>
      <x:c r="G93" s="26" t="n">
        <x:v>0</x:v>
      </x:c>
      <x:c r="H93" s="26" t="n">
        <x:v>0</x:v>
      </x:c>
      <x:c r="I93" s="9" t="s">
        <x:v>98</x:v>
      </x:c>
    </x:row>
    <x:row r="94" ht="15" hidden="0">
      <x:c r="A94" t="s">
        <x:v>434</x:v>
      </x:c>
      <x:c r="B94" s="19" t="s">
        <x:v>715</x:v>
      </x:c>
      <x:c r="C94" s="30"/>
      <x:c r="D94" s="26" t="n">
        <x:v>0</x:v>
      </x:c>
      <x:c r="E94" s="26" t="n">
        <x:v>0</x:v>
      </x:c>
      <x:c r="F94" s="26" t="n">
        <x:v>0</x:v>
      </x:c>
      <x:c r="G94" s="26" t="n">
        <x:v>0</x:v>
      </x:c>
      <x:c r="H94" s="26" t="n">
        <x:v>0</x:v>
      </x:c>
      <x:c r="I94" s="9" t="s">
        <x:v>98</x:v>
      </x:c>
    </x:row>
    <x:row r="95" ht="15" hidden="0">
      <x:c r="A95" t="s">
        <x:v>436</x:v>
      </x:c>
      <x:c r="B95" s="19" t="s">
        <x:v>716</x:v>
      </x:c>
      <x:c r="C95" s="30"/>
      <x:c r="D95" s="26" t="n">
        <x:v>-332.905</x:v>
      </x:c>
      <x:c r="E95" s="26" t="n">
        <x:v>-394.517</x:v>
      </x:c>
      <x:c r="F95" s="26" t="n">
        <x:v>-1169.77</x:v>
      </x:c>
      <x:c r="G95" s="26" t="n">
        <x:v>-1581.168</x:v>
      </x:c>
      <x:c r="H95" s="26" t="n">
        <x:v>-1370.569</x:v>
      </x:c>
      <x:c r="I95" s="9" t="s">
        <x:v>98</x:v>
      </x:c>
    </x:row>
    <x:row r="96" ht="15" hidden="0">
      <x:c r="A96" s="2" t="s">
        <x:v>438</x:v>
      </x:c>
      <x:c r="B96" s="19" t="s">
        <x:v>439</x:v>
      </x:c>
      <x:c r="C96" s="31"/>
      <x:c r="D96" s="28" t="n">
        <x:f aca="0">D91+D92+D93+D94+D95</x:f>
        <x:v>16992.213000000003</x:v>
      </x:c>
      <x:c r="E96" s="28" t="n">
        <x:f aca="0">E91+E92+E93+E94+E95</x:f>
        <x:v>21421.231999999993</x:v>
      </x:c>
      <x:c r="F96" s="28" t="n">
        <x:f aca="0">F91+F92+F93+F94+F95</x:f>
        <x:v>21343.273999999998</x:v>
      </x:c>
      <x:c r="G96" s="28" t="n">
        <x:f aca="0">G91+G92+G93+G94+G95</x:f>
        <x:v>41387.564000000006</x:v>
      </x:c>
      <x:c r="H96" s="28" t="n">
        <x:f aca="0">H91+H92+H93+H94+H95</x:f>
        <x:v>47323.059</x:v>
      </x:c>
      <x:c r="I96" s="9" t="s">
        <x:v>98</x:v>
      </x:c>
    </x:row>
    <x:row r="97" ht="15" hidden="0">
      <x:c r="A97" t="s">
        <x:v>440</x:v>
      </x:c>
      <x:c r="B97" s="19" t="s">
        <x:v>717</x:v>
      </x:c>
      <x:c r="C97" s="30"/>
      <x:c r="D97" s="26" t="n">
        <x:v>0</x:v>
      </x:c>
      <x:c r="E97" s="26" t="n">
        <x:v>0</x:v>
      </x:c>
      <x:c r="F97" s="26" t="n">
        <x:v>-437.833</x:v>
      </x:c>
      <x:c r="G97" s="26" t="n">
        <x:v>-953.051</x:v>
      </x:c>
      <x:c r="H97" s="26" t="n">
        <x:v>-329.6</x:v>
      </x:c>
      <x:c r="I97" s="9" t="s">
        <x:v>98</x:v>
      </x:c>
    </x:row>
    <x:row r="98" ht="15" hidden="0">
      <x:c r="A98" t="s">
        <x:v>442</x:v>
      </x:c>
      <x:c r="B98" s="19" t="s">
        <x:v>718</x:v>
      </x:c>
      <x:c r="C98" s="30"/>
      <x:c r="D98" s="26" t="n">
        <x:v>-2922.024</x:v>
      </x:c>
      <x:c r="E98" s="26" t="n">
        <x:v>-6122.614</x:v>
      </x:c>
      <x:c r="F98" s="26" t="n">
        <x:v>-7179.627</x:v>
      </x:c>
      <x:c r="G98" s="26" t="n">
        <x:v>-12327.974</x:v>
      </x:c>
      <x:c r="H98" s="26" t="n">
        <x:v>-13901.297</x:v>
      </x:c>
      <x:c r="I98" s="9" t="s">
        <x:v>98</x:v>
      </x:c>
    </x:row>
    <x:row r="99" ht="15" hidden="0">
      <x:c r="A99" s="2" t="s">
        <x:v>444</x:v>
      </x:c>
      <x:c r="B99" s="19" t="s">
        <x:v>445</x:v>
      </x:c>
      <x:c r="C99" s="31"/>
      <x:c r="D99" s="28" t="n">
        <x:f aca="0">D96+D97+D98</x:f>
        <x:v>14070.189000000004</x:v>
      </x:c>
      <x:c r="E99" s="28" t="n">
        <x:f aca="0">E96+E97+E98</x:f>
        <x:v>15298.617999999993</x:v>
      </x:c>
      <x:c r="F99" s="28" t="n">
        <x:f aca="0">F96+F97+F98</x:f>
        <x:v>13725.813999999998</x:v>
      </x:c>
      <x:c r="G99" s="28" t="n">
        <x:f aca="0">G96+G97+G98</x:f>
        <x:v>28106.539000000004</x:v>
      </x:c>
      <x:c r="H99" s="28" t="n">
        <x:f aca="0">H96+H97+H98</x:f>
        <x:v>33092.162000000004</x:v>
      </x:c>
      <x:c r="I99" s="9" t="s">
        <x:v>98</x:v>
      </x:c>
    </x:row>
    <x:row r="100" ht="15" hidden="0">
      <x:c r="A100" t="s">
        <x:v>446</x:v>
      </x:c>
      <x:c r="B100" s="19" t="s">
        <x:v>719</x:v>
      </x:c>
      <x:c r="C100" s="30"/>
      <x:c r="D100" s="26" t="n">
        <x:v>18955.932</x:v>
      </x:c>
      <x:c r="E100" s="26" t="n">
        <x:v>22551.841</x:v>
      </x:c>
      <x:c r="F100" s="26" t="n">
        <x:v>26060.678</x:v>
      </x:c>
      <x:c r="G100" s="26" t="n">
        <x:v>38804.572</x:v>
      </x:c>
      <x:c r="H100" s="26" t="n">
        <x:v>42684.684</x:v>
      </x:c>
      <x:c r="I100" s="9" t="s">
        <x:v>98</x:v>
      </x:c>
    </x:row>
    <x:row r="101" ht="15" hidden="0">
      <x:c r="A101" t="s">
        <x:v>448</x:v>
      </x:c>
      <x:c r="B101" s="19" t="s">
        <x:v>720</x:v>
      </x:c>
      <x:c r="C101" s="30"/>
      <x:c r="D101" s="26" t="n">
        <x:v>16992.213</x:v>
      </x:c>
      <x:c r="E101" s="26" t="n">
        <x:v>21421.232</x:v>
      </x:c>
      <x:c r="F101" s="26" t="n">
        <x:v>21343.274</x:v>
      </x:c>
      <x:c r="G101" s="26" t="n">
        <x:v>41387.564</x:v>
      </x:c>
      <x:c r="H101" s="26" t="n">
        <x:v>47323.059</x:v>
      </x:c>
      <x:c r="I101" s="9" t="s">
        <x:v>98</x:v>
      </x:c>
    </x:row>
    <x:row r="102" ht="15" hidden="0">
      <x:c r="A102" t="s">
        <x:v>450</x:v>
      </x:c>
      <x:c r="B102" s="19" t="s">
        <x:v>721</x:v>
      </x:c>
      <x:c r="C102" s="30"/>
      <x:c r="D102" s="26" t="n">
        <x:v>14070.189</x:v>
      </x:c>
      <x:c r="E102" s="26" t="n">
        <x:v>15298.618</x:v>
      </x:c>
      <x:c r="F102" s="26" t="n">
        <x:v>13725.814</x:v>
      </x:c>
      <x:c r="G102" s="26" t="n">
        <x:v>28106.539</x:v>
      </x:c>
      <x:c r="H102" s="26" t="n">
        <x:v>33092.162</x:v>
      </x:c>
      <x:c r="I102" s="9" t="s">
        <x:v>98</x:v>
      </x:c>
    </x:row>
    <x:row r="103" ht="15" hidden="0">
      <x:c r="A103" t="s">
        <x:v>452</x:v>
      </x:c>
      <x:c r="B103" s="19" t="s">
        <x:v>410</x:v>
      </x:c>
      <x:c r="C103" s="30"/>
      <x:c r="D103" s="29" t="str">
        <x:f aca="0">IF(AND(ABS(D86-D100)&lt;0.005,ABS(D96-D101)&lt;0.005,ABS(D99-D102)&lt;0.005),"PASS","FAIL")</x:f>
        <x:v>PASS</x:v>
      </x:c>
      <x:c r="E103" s="29" t="str">
        <x:f aca="0">IF(AND(ABS(E86-E100)&lt;0.005,ABS(E96-E101)&lt;0.005,ABS(E99-E102)&lt;0.005),"PASS","FAIL")</x:f>
        <x:v>PASS</x:v>
      </x:c>
      <x:c r="F103" s="29" t="str">
        <x:f aca="0">IF(AND(ABS(F86-F100)&lt;0.005,ABS(F96-F101)&lt;0.005,ABS(F99-F102)&lt;0.005),"PASS","FAIL")</x:f>
        <x:v>PASS</x:v>
      </x:c>
      <x:c r="G103" s="29" t="str">
        <x:f aca="0">IF(AND(ABS(G86-G100)&lt;0.005,ABS(G96-G101)&lt;0.005,ABS(G99-G102)&lt;0.005),"PASS","FAIL")</x:f>
        <x:v>PASS</x:v>
      </x:c>
      <x:c r="H103" s="29" t="str">
        <x:f aca="0">IF(AND(ABS(H86-H100)&lt;0.005,ABS(H96-H101)&lt;0.005,ABS(H99-H102)&lt;0.005),"PASS","FAIL")</x:f>
        <x:v>PASS</x:v>
      </x:c>
      <x:c r="I103" s="9"/>
    </x:row>
    <x:row r="104" ht="15" hidden="0">
      <x:c r="A104" s="24" t="s">
        <x:v>453</x:v>
      </x:c>
      <x:c r="B104" s="25"/>
      <x:c r="C104" s="25"/>
      <x:c r="D104" s="25"/>
      <x:c r="E104" s="25"/>
      <x:c r="F104" s="25"/>
      <x:c r="G104" s="25"/>
      <x:c r="H104" s="25"/>
      <x:c r="I104" s="25"/>
      <x:c r="J104" s="25"/>
    </x:row>
    <x:row r="105" ht="15" hidden="0">
      <x:c r="A105" t="s">
        <x:v>454</x:v>
      </x:c>
      <x:c r="B105" s="19" t="s">
        <x:v>722</x:v>
      </x:c>
      <x:c r="C105" s="30"/>
      <x:c r="D105" s="26" t="n">
        <x:v>0</x:v>
      </x:c>
      <x:c r="E105" s="26" t="n">
        <x:v>0</x:v>
      </x:c>
      <x:c r="F105" s="26" t="n">
        <x:v>10.974</x:v>
      </x:c>
      <x:c r="G105" s="26" t="n">
        <x:v>20.633</x:v>
      </x:c>
      <x:c r="H105" s="26" t="n">
        <x:v>44.522</x:v>
      </x:c>
      <x:c r="I105" s="9" t="s">
        <x:v>98</x:v>
      </x:c>
    </x:row>
    <x:row r="106" ht="15" hidden="0">
      <x:c r="A106" t="s">
        <x:v>456</x:v>
      </x:c>
      <x:c r="B106" s="19" t="s">
        <x:v>457</x:v>
      </x:c>
      <x:c r="C106" s="30"/>
      <x:c r="D106" s="27" t="n">
        <x:f aca="0">-D95-D105</x:f>
        <x:v>332.905</x:v>
      </x:c>
      <x:c r="E106" s="27" t="n">
        <x:f aca="0">-E95-E105</x:f>
        <x:v>394.517</x:v>
      </x:c>
      <x:c r="F106" s="27" t="n">
        <x:f aca="0">-F95-F105</x:f>
        <x:v>1158.796</x:v>
      </x:c>
      <x:c r="G106" s="27" t="n">
        <x:f aca="0">-G95-G105</x:f>
        <x:v>1560.5349999999999</x:v>
      </x:c>
      <x:c r="H106" s="27" t="n">
        <x:f aca="0">-H95-H105</x:f>
        <x:v>1326.047</x:v>
      </x:c>
      <x:c r="I106" s="9" t="s">
        <x:v>98</x:v>
      </x:c>
    </x:row>
    <x:row r="107" ht="15" hidden="0">
      <x:c r="A107" t="s">
        <x:v>458</x:v>
      </x:c>
      <x:c r="B107" s="19" t="s">
        <x:v>723</x:v>
      </x:c>
      <x:c r="C107" s="30"/>
      <x:c r="D107" s="26" t="n">
        <x:v>4298.76</x:v>
      </x:c>
      <x:c r="E107" s="26" t="n">
        <x:v>4527.761</x:v>
      </x:c>
      <x:c r="F107" s="26" t="n">
        <x:v>5314.762</x:v>
      </x:c>
      <x:c r="G107" s="26" t="n">
        <x:v>6097.422</x:v>
      </x:c>
      <x:c r="H107" s="26" t="n">
        <x:v>6937.732</x:v>
      </x:c>
      <x:c r="I107" s="9" t="s">
        <x:v>98</x:v>
      </x:c>
    </x:row>
    <x:row r="108" ht="15" hidden="0">
      <x:c r="A108" s="2" t="s">
        <x:v>460</x:v>
      </x:c>
      <x:c r="B108" s="19" t="s">
        <x:v>461</x:v>
      </x:c>
      <x:c r="C108" s="31"/>
      <x:c r="D108" s="28" t="n">
        <x:f aca="0">D96-D95</x:f>
        <x:v>17325.118000000002</x:v>
      </x:c>
      <x:c r="E108" s="28" t="n">
        <x:f aca="0">E96-E95</x:f>
        <x:v>21815.748999999993</x:v>
      </x:c>
      <x:c r="F108" s="28" t="n">
        <x:f aca="0">F96-F95</x:f>
        <x:v>22513.043999999998</x:v>
      </x:c>
      <x:c r="G108" s="28" t="n">
        <x:f aca="0">G96-G95</x:f>
        <x:v>42968.732</x:v>
      </x:c>
      <x:c r="H108" s="28" t="n">
        <x:f aca="0">H96-H95</x:f>
        <x:v>48693.628000000004</x:v>
      </x:c>
      <x:c r="I108" s="9" t="s">
        <x:v>98</x:v>
      </x:c>
    </x:row>
    <x:row r="109" ht="15" hidden="0">
      <x:c r="A109" s="2" t="s">
        <x:v>462</x:v>
      </x:c>
      <x:c r="B109" s="19" t="s">
        <x:v>463</x:v>
      </x:c>
      <x:c r="C109" s="31"/>
      <x:c r="D109" s="28" t="n">
        <x:f aca="0">D108+D107</x:f>
        <x:v>21623.878000000004</x:v>
      </x:c>
      <x:c r="E109" s="28" t="n">
        <x:f aca="0">E108+E107</x:f>
        <x:v>26343.509999999995</x:v>
      </x:c>
      <x:c r="F109" s="28" t="n">
        <x:f aca="0">F108+F107</x:f>
        <x:v>27827.805999999997</x:v>
      </x:c>
      <x:c r="G109" s="28" t="n">
        <x:f aca="0">G108+G107</x:f>
        <x:v>49066.154</x:v>
      </x:c>
      <x:c r="H109" s="28" t="n">
        <x:f aca="0">H108+H107</x:f>
        <x:v>55631.36</x:v>
      </x:c>
      <x:c r="I109" s="9" t="s">
        <x:v>98</x:v>
      </x:c>
    </x:row>
    <x:row r="110" ht="15" hidden="0">
      <x:c r="A110" t="s">
        <x:v>464</x:v>
      </x:c>
      <x:c r="B110" s="19" t="s">
        <x:v>465</x:v>
      </x:c>
      <x:c r="C110" s="30"/>
      <x:c r="D110" s="27" t="n">
        <x:f aca="0">-(D97+D98)</x:f>
        <x:v>2922.024</x:v>
      </x:c>
      <x:c r="E110" s="27" t="n">
        <x:f aca="0">-(E97+E98)</x:f>
        <x:v>6122.614</x:v>
      </x:c>
      <x:c r="F110" s="27" t="n">
        <x:f aca="0">-(F97+F98)</x:f>
        <x:v>7617.46</x:v>
      </x:c>
      <x:c r="G110" s="27" t="n">
        <x:f aca="0">-(G97+G98)</x:f>
        <x:v>13281.025</x:v>
      </x:c>
      <x:c r="H110" s="27" t="n">
        <x:f aca="0">-(H97+H98)</x:f>
        <x:v>14230.897</x:v>
      </x:c>
      <x:c r="I110" s="9" t="s">
        <x:v>98</x:v>
      </x:c>
    </x:row>
    <x:row r="111" ht="15" hidden="0">
      <x:c r="A111" t="s">
        <x:v>466</x:v>
      </x:c>
      <x:c r="B111" s="19" t="s">
        <x:v>467</x:v>
      </x:c>
      <x:c r="C111" s="30"/>
      <x:c r="D111" s="32" t="n">
        <x:f aca="0">IF(D96&lt;=0,"n/m",D110/D96)</x:f>
        <x:v>0.17196253366174255</x:v>
      </x:c>
      <x:c r="E111" s="32" t="n">
        <x:f aca="0">IF(E96&lt;=0,"n/m",E110/E96)</x:f>
        <x:v>0.2858198818816771</x:v>
      </x:c>
      <x:c r="F111" s="32" t="n">
        <x:f aca="0">IF(F96&lt;=0,"n/m",F110/F96)</x:f>
        <x:v>0.35690213225955875</x:v>
      </x:c>
      <x:c r="G111" s="32" t="n">
        <x:f aca="0">IF(G96&lt;=0,"n/m",G110/G96)</x:f>
        <x:v>0.3208940975603202</x:v>
      </x:c>
      <x:c r="H111" s="32" t="n">
        <x:f aca="0">IF(H96&lt;=0,"n/m",H110/H96)</x:f>
        <x:v>0.30071802839288136</x:v>
      </x:c>
      <x:c r="I111" s="9" t="s">
        <x:v>127</x:v>
      </x:c>
    </x:row>
    <x:row r="112" ht="15" hidden="0">
      <x:c r="A112" t="s">
        <x:v>468</x:v>
      </x:c>
      <x:c r="B112" s="19" t="s">
        <x:v>469</x:v>
      </x:c>
      <x:c r="C112" s="30"/>
      <x:c r="D112" s="32" t="n">
        <x:f aca="0">IF(AND(ISNUMBER(D111),D111&gt;=0,D111&lt;=0.6),D111,'Overview &amp; Methodology'!$C$35)</x:f>
        <x:v>0.17196253366174255</x:v>
      </x:c>
      <x:c r="E112" s="32" t="n">
        <x:f aca="0">IF(AND(ISNUMBER(E111),E111&gt;=0,E111&lt;=0.6),E111,'Overview &amp; Methodology'!$D$35)</x:f>
        <x:v>0.2858198818816771</x:v>
      </x:c>
      <x:c r="F112" s="32" t="n">
        <x:f aca="0">IF(AND(ISNUMBER(F111),F111&gt;=0,F111&lt;=0.6),F111,'Overview &amp; Methodology'!$E$35)</x:f>
        <x:v>0.35690213225955875</x:v>
      </x:c>
      <x:c r="G112" s="32" t="n">
        <x:f aca="0">IF(AND(ISNUMBER(G111),G111&gt;=0,G111&lt;=0.6),G111,'Overview &amp; Methodology'!$F$35)</x:f>
        <x:v>0.3208940975603202</x:v>
      </x:c>
      <x:c r="H112" s="32" t="n">
        <x:f aca="0">IF(AND(ISNUMBER(H111),H111&gt;=0,H111&lt;=0.6),H111,'Overview &amp; Methodology'!$G$35)</x:f>
        <x:v>0.30071802839288136</x:v>
      </x:c>
      <x:c r="I112" s="9" t="s">
        <x:v>127</x:v>
      </x:c>
    </x:row>
    <x:row r="113" ht="15" hidden="0">
      <x:c r="A113" t="s">
        <x:v>470</x:v>
      </x:c>
      <x:c r="B113" s="19" t="s">
        <x:v>471</x:v>
      </x:c>
      <x:c r="C113" s="30"/>
      <x:c r="D113" s="27" t="n">
        <x:f aca="0">D108*(1-D112)</x:f>
        <x:v>14345.84681273134</x:v>
      </x:c>
      <x:c r="E113" s="27" t="n">
        <x:f aca="0">E108*(1-E112)</x:f>
        <x:v>15580.37419765968</x:v>
      </x:c>
      <x:c r="F113" s="27" t="n">
        <x:f aca="0">F108*(1-F112)</x:f>
        <x:v>14478.090592746734</x:v>
      </x:c>
      <x:c r="G113" s="27" t="n">
        <x:f aca="0">G108*(1-G112)</x:f>
        <x:v>29180.319521548747</x:v>
      </x:c>
      <x:c r="H113" s="27" t="n">
        <x:f aca="0">H108*(1-H112)</x:f>
        <x:v>34050.576192543595</x:v>
      </x:c>
      <x:c r="I113" s="9" t="s">
        <x:v>98</x:v>
      </x:c>
    </x:row>
    <x:row r="115" ht="15" hidden="0">
      <x:c r="A115" s="5" t="s">
        <x:v>472</x:v>
      </x:c>
      <x:c r="B115" s="20"/>
      <x:c r="C115" s="20"/>
      <x:c r="D115" s="20"/>
      <x:c r="E115" s="20"/>
      <x:c r="F115" s="20"/>
      <x:c r="G115" s="20"/>
      <x:c r="H115" s="20"/>
      <x:c r="I115" s="20"/>
      <x:c r="J115" s="20"/>
    </x:row>
    <x:row r="116" ht="15" hidden="0">
      <x:c r="A116" t="s">
        <x:v>473</x:v>
      </x:c>
      <x:c r="B116" s="19" t="s">
        <x:v>724</x:v>
      </x:c>
      <x:c r="C116" s="30"/>
      <x:c r="D116" s="26" t="n">
        <x:v>13285.674</x:v>
      </x:c>
      <x:c r="E116" s="26" t="n">
        <x:v>18126.508</x:v>
      </x:c>
      <x:c r="F116" s="26" t="n">
        <x:v>24515.258</x:v>
      </x:c>
      <x:c r="G116" s="26" t="n">
        <x:v>30937.432</x:v>
      </x:c>
      <x:c r="H116" s="26" t="n">
        <x:v>33808.781</x:v>
      </x:c>
      <x:c r="I116" s="9" t="s">
        <x:v>98</x:v>
      </x:c>
    </x:row>
    <x:row r="117" ht="15" hidden="0">
      <x:c r="A117" t="s">
        <x:v>475</x:v>
      </x:c>
      <x:c r="B117" s="19" t="s">
        <x:v>725</x:v>
      </x:c>
      <x:c r="C117" s="30"/>
      <x:c r="D117" s="26" t="n">
        <x:v>12492.631</x:v>
      </x:c>
      <x:c r="E117" s="26" t="n">
        <x:v>15469.449</x:v>
      </x:c>
      <x:c r="F117" s="26" t="n">
        <x:v>23242.896</x:v>
      </x:c>
      <x:c r="G117" s="26" t="n">
        <x:v>27580.741</x:v>
      </x:c>
      <x:c r="H117" s="26" t="n">
        <x:v>27572.567</x:v>
      </x:c>
      <x:c r="I117" s="9" t="s">
        <x:v>98</x:v>
      </x:c>
    </x:row>
    <x:row r="118" ht="15" hidden="0">
      <x:c r="A118" t="s">
        <x:v>477</x:v>
      </x:c>
      <x:c r="B118" s="19" t="s">
        <x:v>726</x:v>
      </x:c>
      <x:c r="C118" s="30"/>
      <x:c r="D118" s="26" t="n">
        <x:v>-308.21</x:v>
      </x:c>
      <x:c r="E118" s="26" t="n">
        <x:v>-329.933</x:v>
      </x:c>
      <x:c r="F118" s="26" t="n">
        <x:v>-807.477</x:v>
      </x:c>
      <x:c r="G118" s="26" t="n">
        <x:v>-1735.978</x:v>
      </x:c>
      <x:c r="H118" s="26" t="n">
        <x:v>-1527.888</x:v>
      </x:c>
      <x:c r="I118" s="9" t="s">
        <x:v>98</x:v>
      </x:c>
    </x:row>
    <x:row r="119" ht="15" hidden="0">
      <x:c r="A119" t="s">
        <x:v>479</x:v>
      </x:c>
      <x:c r="B119" s="19" t="s">
        <x:v>727</x:v>
      </x:c>
      <x:c r="C119" s="30"/>
      <x:c r="D119" s="33" t="s">
        <x:v>481</x:v>
      </x:c>
      <x:c r="E119" s="33" t="s">
        <x:v>481</x:v>
      </x:c>
      <x:c r="F119" s="33" t="s">
        <x:v>481</x:v>
      </x:c>
      <x:c r="G119" s="33" t="s">
        <x:v>481</x:v>
      </x:c>
      <x:c r="H119" s="33" t="s">
        <x:v>481</x:v>
      </x:c>
      <x:c r="I119" s="9" t="s">
        <x:v>482</x:v>
      </x:c>
    </x:row>
    <x:row r="120" ht="15" hidden="0">
      <x:c r="A120" t="s">
        <x:v>483</x:v>
      </x:c>
      <x:c r="B120" s="19" t="s">
        <x:v>484</x:v>
      </x:c>
      <x:c r="C120" s="30"/>
      <x:c r="D120" s="27" t="n">
        <x:f aca="0">IF(D119="Financing",D117+D118,D117)</x:f>
        <x:v>12492.631</x:v>
      </x:c>
      <x:c r="E120" s="27" t="n">
        <x:f aca="0">IF(E119="Financing",E117+E118,E117)</x:f>
        <x:v>15469.449</x:v>
      </x:c>
      <x:c r="F120" s="27" t="n">
        <x:f aca="0">IF(F119="Financing",F117+F118,F117)</x:f>
        <x:v>23242.896</x:v>
      </x:c>
      <x:c r="G120" s="27" t="n">
        <x:f aca="0">IF(G119="Financing",G117+G118,G117)</x:f>
        <x:v>27580.741</x:v>
      </x:c>
      <x:c r="H120" s="27" t="n">
        <x:f aca="0">IF(H119="Financing",H117+H118,H117)</x:f>
        <x:v>27572.567</x:v>
      </x:c>
      <x:c r="I120" s="9" t="s">
        <x:v>98</x:v>
      </x:c>
    </x:row>
    <x:row r="121" ht="15" hidden="0">
      <x:c r="A121" t="s">
        <x:v>485</x:v>
      </x:c>
      <x:c r="B121" s="19" t="s">
        <x:v>728</x:v>
      </x:c>
      <x:c r="C121" s="30"/>
      <x:c r="D121" s="26" t="n">
        <x:v>-6470.913</x:v>
      </x:c>
      <x:c r="E121" s="26" t="n">
        <x:v>-24537.83</x:v>
      </x:c>
      <x:c r="F121" s="26" t="n">
        <x:v>-18644.906</x:v>
      </x:c>
      <x:c r="G121" s="26" t="n">
        <x:v>-17709.902</x:v>
      </x:c>
      <x:c r="H121" s="26" t="n">
        <x:v>-7048.725</x:v>
      </x:c>
      <x:c r="I121" s="9" t="s">
        <x:v>98</x:v>
      </x:c>
    </x:row>
    <x:row r="122" ht="15" hidden="0">
      <x:c r="A122" t="s">
        <x:v>487</x:v>
      </x:c>
      <x:c r="B122" s="19" t="s">
        <x:v>729</x:v>
      </x:c>
      <x:c r="C122" s="30"/>
      <x:c r="D122" s="26" t="n">
        <x:v>-5762.325</x:v>
      </x:c>
      <x:c r="E122" s="26" t="n">
        <x:v>-24826.255</x:v>
      </x:c>
      <x:c r="F122" s="26" t="n">
        <x:v>-12978.915</x:v>
      </x:c>
      <x:c r="G122" s="26" t="n">
        <x:v>-2580.021</x:v>
      </x:c>
      <x:c r="H122" s="26" t="n">
        <x:v>11714.661</x:v>
      </x:c>
      <x:c r="I122" s="9" t="s">
        <x:v>98</x:v>
      </x:c>
    </x:row>
    <x:row r="123" ht="15" hidden="0">
      <x:c r="A123" t="s">
        <x:v>489</x:v>
      </x:c>
      <x:c r="B123" s="19" t="s">
        <x:v>730</x:v>
      </x:c>
      <x:c r="C123" s="30"/>
      <x:c r="D123" s="26" t="n">
        <x:v>4022.095</x:v>
      </x:c>
      <x:c r="E123" s="26" t="n">
        <x:v>6158.783</x:v>
      </x:c>
      <x:c r="F123" s="26" t="n">
        <x:v>244.582</x:v>
      </x:c>
      <x:c r="G123" s="26" t="n">
        <x:v>-18620.168</x:v>
      </x:c>
      <x:c r="H123" s="26" t="n">
        <x:v>-7580.984</x:v>
      </x:c>
      <x:c r="I123" s="9" t="s">
        <x:v>98</x:v>
      </x:c>
    </x:row>
    <x:row r="124" ht="15" hidden="0">
      <x:c r="A124" t="s">
        <x:v>491</x:v>
      </x:c>
      <x:c r="B124" s="19" t="s">
        <x:v>731</x:v>
      </x:c>
      <x:c r="C124" s="30"/>
      <x:c r="D124" s="26" t="n">
        <x:v>-19.889</x:v>
      </x:c>
      <x:c r="E124" s="26" t="n">
        <x:v>-2.428</x:v>
      </x:c>
      <x:c r="F124" s="26" t="n">
        <x:v>-0.915</x:v>
      </x:c>
      <x:c r="G124" s="26" t="n">
        <x:v>-5443.084</x:v>
      </x:c>
      <x:c r="H124" s="26" t="n">
        <x:v>-4388.403</x:v>
      </x:c>
      <x:c r="I124" s="9" t="s">
        <x:v>98</x:v>
      </x:c>
    </x:row>
    <x:row r="126" ht="15" hidden="0">
      <x:c r="A126" s="5" t="s">
        <x:v>493</x:v>
      </x:c>
      <x:c r="B126" s="20"/>
      <x:c r="C126" s="20"/>
      <x:c r="D126" s="20"/>
      <x:c r="E126" s="20"/>
      <x:c r="F126" s="20"/>
      <x:c r="G126" s="20"/>
      <x:c r="H126" s="20"/>
      <x:c r="I126" s="20"/>
      <x:c r="J126" s="20"/>
    </x:row>
    <x:row r="127" ht="15" hidden="0">
      <x:c r="A127" t="s">
        <x:v>494</x:v>
      </x:c>
      <x:c r="B127" s="19" t="s">
        <x:v>732</x:v>
      </x:c>
      <x:c r="C127" s="30"/>
      <x:c r="D127" s="34" t="n">
        <x:v>10</x:v>
      </x:c>
      <x:c r="E127" s="34" t="n">
        <x:v>10</x:v>
      </x:c>
      <x:c r="F127" s="34" t="n">
        <x:v>10</x:v>
      </x:c>
      <x:c r="G127" s="34" t="n">
        <x:v>10</x:v>
      </x:c>
      <x:c r="H127" s="34" t="n">
        <x:v>2</x:v>
      </x:c>
      <x:c r="I127" s="9" t="s">
        <x:v>158</x:v>
      </x:c>
    </x:row>
    <x:row r="128" ht="15" hidden="0">
      <x:c r="A128" t="s">
        <x:v>496</x:v>
      </x:c>
      <x:c r="B128" s="19" t="s">
        <x:v>497</x:v>
      </x:c>
      <x:c r="C128" s="30"/>
      <x:c r="D128" s="35" t="n">
        <x:f aca="0">D39/D127-D135</x:f>
        <x:v>323.375</x:v>
      </x:c>
      <x:c r="E128" s="35" t="n">
        <x:f aca="0">E39/E127-E135</x:f>
        <x:v>323.375</x:v>
      </x:c>
      <x:c r="F128" s="35" t="n">
        <x:f aca="0">F39/F127-F135</x:f>
        <x:v>311.8386</x:v>
      </x:c>
      <x:c r="G128" s="35" t="n">
        <x:f aca="0">G39/G127-G135</x:f>
        <x:v>293</x:v>
      </x:c>
      <x:c r="H128" s="35" t="n">
        <x:f aca="0">H39/H127-H135</x:f>
        <x:v>1465</x:v>
      </x:c>
      <x:c r="I128" s="9" t="s">
        <x:v>498</x:v>
      </x:c>
    </x:row>
    <x:row r="129" ht="15" hidden="0">
      <x:c r="A129" t="s">
        <x:v>499</x:v>
      </x:c>
      <x:c r="B129" s="19" t="s">
        <x:v>733</x:v>
      </x:c>
      <x:c r="C129" s="30"/>
      <x:c r="D129" s="36" t="n">
        <x:v>323.375</x:v>
      </x:c>
      <x:c r="E129" s="36" t="n">
        <x:v>323.375</x:v>
      </x:c>
      <x:c r="F129" s="36" t="n">
        <x:v>318.749</x:v>
      </x:c>
      <x:c r="G129" s="36" t="n">
        <x:v>297.296</x:v>
      </x:c>
      <x:c r="H129" s="36" t="n">
        <x:v>1465</x:v>
      </x:c>
      <x:c r="I129" s="9" t="s">
        <x:v>498</x:v>
      </x:c>
    </x:row>
    <x:row r="130" ht="15" hidden="0">
      <x:c r="A130" t="str">
        <x:v>FY-end share price (Rs; last PSX close)</x:v>
      </x:c>
      <x:c r="B130" s="19" t="s">
        <x:v>734</x:v>
      </x:c>
      <x:c r="C130" s="30"/>
      <x:c r="D130" s="34" t="n">
        <x:v>863.44</x:v>
      </x:c>
      <x:c r="E130" s="34" t="n">
        <x:v>459.04</x:v>
      </x:c>
      <x:c r="F130" s="34" t="n">
        <x:v>522.09</x:v>
      </x:c>
      <x:c r="G130" s="34" t="n">
        <x:v>906.73</x:v>
      </x:c>
      <x:c r="H130" s="34" t="n">
        <x:v>355.24</x:v>
      </x:c>
      <x:c r="I130" s="9" t="s">
        <x:v>158</x:v>
      </x:c>
    </x:row>
    <x:row r="131" ht="15" hidden="0">
      <x:c r="A131" t="s">
        <x:v>502</x:v>
      </x:c>
      <x:c r="B131" s="19" t="s">
        <x:v>735</x:v>
      </x:c>
      <x:c r="C131" s="30"/>
      <x:c r="D131" s="34" t="n">
        <x:v>0</x:v>
      </x:c>
      <x:c r="E131" s="34" t="n">
        <x:v>0</x:v>
      </x:c>
      <x:c r="F131" s="34" t="n">
        <x:v>18</x:v>
      </x:c>
      <x:c r="G131" s="34" t="n">
        <x:v>15</x:v>
      </x:c>
      <x:c r="H131" s="34" t="n">
        <x:v>4</x:v>
      </x:c>
      <x:c r="I131" s="9" t="s">
        <x:v>158</x:v>
      </x:c>
    </x:row>
    <x:row r="132" ht="15" hidden="0">
      <x:c r="A132" t="str">
        <x:v>Reported EPS (Rs; own-year report basis)</x:v>
      </x:c>
      <x:c r="B132" s="19" t="s">
        <x:v>736</x:v>
      </x:c>
      <x:c r="C132" s="30"/>
      <x:c r="D132" s="34" t="n">
        <x:v>43.51</x:v>
      </x:c>
      <x:c r="E132" s="34" t="n">
        <x:v>47.31</x:v>
      </x:c>
      <x:c r="F132" s="34" t="n">
        <x:v>43.06</x:v>
      </x:c>
      <x:c r="G132" s="34" t="n">
        <x:v>94.54</x:v>
      </x:c>
      <x:c r="H132" s="34" t="n">
        <x:v>22.59</x:v>
      </x:c>
      <x:c r="I132" s="9" t="s">
        <x:v>158</x:v>
      </x:c>
    </x:row>
    <x:row r="133" ht="15" hidden="0">
      <x:c r="A133" t="s">
        <x:v>505</x:v>
      </x:c>
      <x:c r="B133" s="19" t="s">
        <x:v>506</x:v>
      </x:c>
      <x:c r="C133" s="30"/>
      <x:c r="D133" s="27" t="n">
        <x:f aca="0">D130*D128</x:f>
        <x:v>279214.91000000003</x:v>
      </x:c>
      <x:c r="E133" s="27" t="n">
        <x:f aca="0">E130*E128</x:f>
        <x:v>148442.06</x:v>
      </x:c>
      <x:c r="F133" s="27" t="n">
        <x:f aca="0">F130*F128</x:f>
        <x:v>162807.814674</x:v>
      </x:c>
      <x:c r="G133" s="27" t="n">
        <x:f aca="0">G130*G128</x:f>
        <x:v>265671.89</x:v>
      </x:c>
      <x:c r="H133" s="27" t="n">
        <x:f aca="0">H130*H128</x:f>
        <x:v>520426.60000000003</x:v>
      </x:c>
      <x:c r="I133" s="9" t="s">
        <x:v>98</x:v>
      </x:c>
    </x:row>
    <x:row r="134" ht="15" hidden="0">
      <x:c r="A134" t="str">
        <x:v>Factor to FY2025 annual-report split basis (memo)</x:v>
      </x:c>
      <x:c r="B134" s="19" t="s">
        <x:v>737</x:v>
      </x:c>
      <x:c r="C134" s="30"/>
      <x:c r="D134" s="34" t="n">
        <x:v>5</x:v>
      </x:c>
      <x:c r="E134" s="34" t="n">
        <x:v>5</x:v>
      </x:c>
      <x:c r="F134" s="34" t="n">
        <x:v>5</x:v>
      </x:c>
      <x:c r="G134" s="34" t="n">
        <x:v>5</x:v>
      </x:c>
      <x:c r="H134" s="34" t="n">
        <x:v>1</x:v>
      </x:c>
      <x:c r="I134" s="9" t="s">
        <x:v>508</x:v>
      </x:c>
    </x:row>
    <x:row r="135">
      <x:c r="A135" t="str">
        <x:v>Treasury shares excluded (million)</x:v>
      </x:c>
      <x:c r="B135" s="19"/>
      <x:c r="C135" s="30"/>
      <x:c r="D135" s="34" t="n">
        <x:v>0</x:v>
      </x:c>
      <x:c r="E135" s="34" t="n">
        <x:v>0</x:v>
      </x:c>
      <x:c r="F135" s="34" t="n">
        <x:v>0</x:v>
      </x:c>
      <x:c r="G135" s="34" t="n">
        <x:v>0</x:v>
      </x:c>
      <x:c r="H135" s="34" t="n">
        <x:v>0</x:v>
      </x:c>
    </x:row>
    <x:row r="136" ht="15" hidden="0">
      <x:c r="A136" s="5" t="s">
        <x:v>509</x:v>
      </x:c>
      <x:c r="B136" s="20"/>
      <x:c r="C136" s="20"/>
      <x:c r="D136" s="20"/>
      <x:c r="E136" s="20"/>
      <x:c r="F136" s="20"/>
      <x:c r="G136" s="20"/>
      <x:c r="H136" s="20"/>
      <x:c r="I136" s="20"/>
      <x:c r="J136" s="20"/>
    </x:row>
    <x:row r="137" ht="15" hidden="0">
      <x:c r="A137" s="24" t="s">
        <x:v>510</x:v>
      </x:c>
      <x:c r="B137" s="25"/>
      <x:c r="C137" s="25"/>
      <x:c r="D137" s="25"/>
      <x:c r="E137" s="25"/>
      <x:c r="F137" s="25"/>
      <x:c r="G137" s="25"/>
      <x:c r="H137" s="25"/>
      <x:c r="I137" s="25"/>
      <x:c r="J137" s="25"/>
    </x:row>
    <x:row r="138" ht="15" hidden="0">
      <x:c r="A138" t="s">
        <x:v>87</x:v>
      </x:c>
      <x:c r="B138" s="19" t="s">
        <x:v>88</x:v>
      </x:c>
      <x:c r="C138" s="30"/>
      <x:c r="D138" s="37" t="n">
        <x:f aca="0">D36/D61</x:f>
        <x:v>1.3386079458938223</x:v>
      </x:c>
      <x:c r="E138" s="37" t="n">
        <x:f aca="0">E36/E61</x:f>
        <x:v>1.4760766300374313</x:v>
      </x:c>
      <x:c r="F138" s="37" t="n">
        <x:f aca="0">F36/F61</x:f>
        <x:v>1.290071633326858</x:v>
      </x:c>
      <x:c r="G138" s="37" t="n">
        <x:f aca="0">G36/G61</x:f>
        <x:v>1.2632222354743232</x:v>
      </x:c>
      <x:c r="H138" s="37" t="n">
        <x:f aca="0">H36/H61</x:f>
        <x:v>1.7146143875904156</x:v>
      </x:c>
      <x:c r="I138" s="9" t="s">
        <x:v>89</x:v>
      </x:c>
    </x:row>
    <x:row r="139" ht="15" hidden="0">
      <x:c r="A139" t="s">
        <x:v>92</x:v>
      </x:c>
      <x:c r="B139" s="19" t="s">
        <x:v>93</x:v>
      </x:c>
      <x:c r="C139" s="30"/>
      <x:c r="D139" s="37" t="n">
        <x:f aca="0">(D36-D65)/D61</x:f>
        <x:v>0.890008861006851</x:v>
      </x:c>
      <x:c r="E139" s="37" t="n">
        <x:f aca="0">(E36-E65)/E61</x:f>
        <x:v>0.8707609191920863</x:v>
      </x:c>
      <x:c r="F139" s="37" t="n">
        <x:f aca="0">(F36-F65)/F61</x:f>
        <x:v>0.8541222656242641</x:v>
      </x:c>
      <x:c r="G139" s="37" t="n">
        <x:f aca="0">(G36-G65)/G61</x:f>
        <x:v>0.8369831163170072</x:v>
      </x:c>
      <x:c r="H139" s="37" t="n">
        <x:f aca="0">(H36-H65)/H61</x:f>
        <x:v>1.2939267138361998</x:v>
      </x:c>
      <x:c r="I139" s="9" t="s">
        <x:v>89</x:v>
      </x:c>
    </x:row>
    <x:row r="140" ht="15" hidden="0">
      <x:c r="A140" t="s">
        <x:v>94</x:v>
      </x:c>
      <x:c r="B140" s="19" t="s">
        <x:v>95</x:v>
      </x:c>
      <x:c r="C140" s="30"/>
      <x:c r="D140" s="37" t="n">
        <x:f aca="0">D34/D61</x:f>
        <x:v>0.09298113875159913</x:v>
      </x:c>
      <x:c r="E140" s="37" t="n">
        <x:f aca="0">E34/E61</x:f>
        <x:v>0.12750015990720837</x:v>
      </x:c>
      <x:c r="F140" s="37" t="n">
        <x:f aca="0">F34/F61</x:f>
        <x:v>0.08913171618062964</x:v>
      </x:c>
      <x:c r="G140" s="37" t="n">
        <x:f aca="0">G34/G61</x:f>
        <x:v>0.04737494632853006</x:v>
      </x:c>
      <x:c r="H140" s="37" t="n">
        <x:f aca="0">H34/H61</x:f>
        <x:v>0.04758283071188822</x:v>
      </x:c>
      <x:c r="I140" s="9" t="s">
        <x:v>89</x:v>
      </x:c>
    </x:row>
    <x:row r="141" ht="15" hidden="0">
      <x:c r="A141" t="s">
        <x:v>96</x:v>
      </x:c>
      <x:c r="B141" s="19" t="s">
        <x:v>97</x:v>
      </x:c>
      <x:c r="C141" s="30"/>
      <x:c r="D141" s="38" t="n">
        <x:f aca="0">D36-D61</x:f>
        <x:v>10289.302000000007</x:v>
      </x:c>
      <x:c r="E141" s="38" t="n">
        <x:f aca="0">E36-E61</x:f>
        <x:v>14454.333000000006</x:v>
      </x:c>
      <x:c r="F141" s="38" t="n">
        <x:f aca="0">F36-F61</x:f>
        <x:v>13395.762999999999</x:v>
      </x:c>
      <x:c r="G141" s="38" t="n">
        <x:f aca="0">G36-G61</x:f>
        <x:v>14263.611000000004</x:v>
      </x:c>
      <x:c r="H141" s="38" t="n">
        <x:f aca="0">H36-H61</x:f>
        <x:v>41905.97600000001</x:v>
      </x:c>
      <x:c r="I141" s="9" t="s">
        <x:v>98</x:v>
      </x:c>
    </x:row>
    <x:row r="142" ht="15" hidden="0">
      <x:c r="A142" t="s">
        <x:v>100</x:v>
      </x:c>
      <x:c r="B142" s="19" t="s">
        <x:v>101</x:v>
      </x:c>
      <x:c r="C142" s="30"/>
      <x:c r="D142" s="38" t="n">
        <x:f aca="0">D72-D73</x:f>
        <x:v>-1081.9909999999945</x:v>
      </x:c>
      <x:c r="E142" s="38" t="n">
        <x:f aca="0">E72-E73</x:f>
        <x:v>-494.2159999999931</x:v>
      </x:c>
      <x:c r="F142" s="38" t="n">
        <x:f aca="0">F72-F73</x:f>
        <x:v>-5586.400999999998</x:v>
      </x:c>
      <x:c r="G142" s="38" t="n">
        <x:f aca="0">G72-G73</x:f>
        <x:v>-10154.963000000003</x:v>
      </x:c>
      <x:c r="H142" s="38" t="n">
        <x:f aca="0">H72-H73</x:f>
        <x:v>-13579.952999999994</x:v>
      </x:c>
      <x:c r="I142" s="9" t="s">
        <x:v>98</x:v>
      </x:c>
    </x:row>
    <x:row r="143" ht="15" hidden="0">
      <x:c r="A143" s="24" t="s">
        <x:v>511</x:v>
      </x:c>
      <x:c r="B143" s="25"/>
      <x:c r="C143" s="25"/>
      <x:c r="D143" s="25"/>
      <x:c r="E143" s="25"/>
      <x:c r="F143" s="25"/>
      <x:c r="G143" s="25"/>
      <x:c r="H143" s="25"/>
      <x:c r="I143" s="25"/>
      <x:c r="J143" s="25"/>
    </x:row>
    <x:row r="144" ht="15" hidden="0">
      <x:c r="A144" t="s">
        <x:v>102</x:v>
      </x:c>
      <x:c r="B144" s="19" t="s">
        <x:v>103</x:v>
      </x:c>
      <x:c r="C144" s="30"/>
      <x:c r="D144" s="37" t="n">
        <x:f aca="0">-D85/((C65+D65)/2)</x:f>
        <x:v>3.813607312713928</x:v>
      </x:c>
      <x:c r="E144" s="37" t="n">
        <x:f aca="0">-E85/((D65+E65)/2)</x:f>
        <x:v>3.657733126059421</x:v>
      </x:c>
      <x:c r="F144" s="37" t="n">
        <x:f aca="0">-F85/((E65+F65)/2)</x:f>
        <x:v>3.6234818387767853</x:v>
      </x:c>
      <x:c r="G144" s="37" t="n">
        <x:f aca="0">-G85/((F65+G65)/2)</x:f>
        <x:v>3.5401699550948362</x:v>
      </x:c>
      <x:c r="H144" s="37" t="n">
        <x:f aca="0">-H85/((G65+H65)/2)</x:f>
        <x:v>3.426094952590027</x:v>
      </x:c>
      <x:c r="I144" s="9" t="s">
        <x:v>89</x:v>
      </x:c>
    </x:row>
    <x:row r="145" ht="15" hidden="0">
      <x:c r="A145" t="s">
        <x:v>105</x:v>
      </x:c>
      <x:c r="B145" s="19" t="s">
        <x:v>106</x:v>
      </x:c>
      <x:c r="C145" s="30"/>
      <x:c r="D145" s="37" t="n">
        <x:f aca="0">D84/((C32+D32)/2)</x:f>
        <x:v>20.525799758937445</x:v>
      </x:c>
      <x:c r="E145" s="37" t="n">
        <x:f aca="0">E84/((D32+E32)/2)</x:f>
        <x:v>26.020654219821807</x:v>
      </x:c>
      <x:c r="F145" s="37" t="n">
        <x:f aca="0">F84/((E32+F32)/2)</x:f>
        <x:v>22.253946370189343</x:v>
      </x:c>
      <x:c r="G145" s="37" t="n">
        <x:f aca="0">G84/((F32+G32)/2)</x:f>
        <x:v>19.185416979630755</x:v>
      </x:c>
      <x:c r="H145" s="37" t="n">
        <x:f aca="0">H84/((G32+H32)/2)</x:f>
        <x:v>18.743761644592638</x:v>
      </x:c>
      <x:c r="I145" s="9" t="s">
        <x:v>89</x:v>
      </x:c>
    </x:row>
    <x:row r="146" ht="15" hidden="0">
      <x:c r="A146" t="s">
        <x:v>107</x:v>
      </x:c>
      <x:c r="B146" s="19" t="s">
        <x:v>108</x:v>
      </x:c>
      <x:c r="C146" s="30"/>
      <x:c r="D146" s="37" t="n">
        <x:f aca="0">-D85/((C51+D51)/2)</x:f>
        <x:v>16.04782473542995</x:v>
      </x:c>
      <x:c r="E146" s="37" t="n">
        <x:f aca="0">-E85/((D51+E51)/2)</x:f>
        <x:v>18.777106060975406</x:v>
      </x:c>
      <x:c r="F146" s="37" t="n">
        <x:f aca="0">-F85/((E51+F51)/2)</x:f>
        <x:v>16.644862602259856</x:v>
      </x:c>
      <x:c r="G146" s="37" t="n">
        <x:f aca="0">-G85/((F51+G51)/2)</x:f>
        <x:v>12.541557640159668</x:v>
      </x:c>
      <x:c r="H146" s="37" t="n">
        <x:f aca="0">-H85/((G51+H51)/2)</x:f>
        <x:v>12.034170742972393</x:v>
      </x:c>
      <x:c r="I146" s="9" t="s">
        <x:v>89</x:v>
      </x:c>
    </x:row>
    <x:row r="147" ht="15" hidden="0">
      <x:c r="A147" t="s">
        <x:v>109</x:v>
      </x:c>
      <x:c r="B147" s="19" t="s">
        <x:v>110</x:v>
      </x:c>
      <x:c r="C147" s="30"/>
      <x:c r="D147" s="39" t="n">
        <x:f aca="0">365/D144</x:f>
        <x:v>95.70990667632485</x:v>
      </x:c>
      <x:c r="E147" s="39" t="n">
        <x:f aca="0">365/E144</x:f>
        <x:v>99.78858145761573</x:v>
      </x:c>
      <x:c r="F147" s="39" t="n">
        <x:f aca="0">365/F144</x:f>
        <x:v>100.73184197970664</x:v>
      </x:c>
      <x:c r="G147" s="39" t="n">
        <x:f aca="0">365/G144</x:f>
        <x:v>103.10239469568691</x:v>
      </x:c>
      <x:c r="H147" s="39" t="n">
        <x:f aca="0">365/H144</x:f>
        <x:v>106.53528435458881</x:v>
      </x:c>
      <x:c r="I147" s="9" t="s">
        <x:v>111</x:v>
      </x:c>
    </x:row>
    <x:row r="148" ht="15" hidden="0">
      <x:c r="A148" t="s">
        <x:v>113</x:v>
      </x:c>
      <x:c r="B148" s="19" t="s">
        <x:v>114</x:v>
      </x:c>
      <x:c r="C148" s="30"/>
      <x:c r="D148" s="39" t="n">
        <x:f aca="0">365/D145</x:f>
        <x:v>17.782498333156052</x:v>
      </x:c>
      <x:c r="E148" s="39" t="n">
        <x:f aca="0">365/E145</x:f>
        <x:v>14.027318333985361</x:v>
      </x:c>
      <x:c r="F148" s="39" t="n">
        <x:f aca="0">365/F145</x:f>
        <x:v>16.40158531562483</x:v>
      </x:c>
      <x:c r="G148" s="39" t="n">
        <x:f aca="0">365/G145</x:f>
        <x:v>19.024866667611246</x:v>
      </x:c>
      <x:c r="H148" s="39" t="n">
        <x:f aca="0">365/H145</x:f>
        <x:v>19.473145621508603</x:v>
      </x:c>
      <x:c r="I148" s="9" t="s">
        <x:v>111</x:v>
      </x:c>
    </x:row>
    <x:row r="149" ht="15" hidden="0">
      <x:c r="A149" t="s">
        <x:v>115</x:v>
      </x:c>
      <x:c r="B149" s="19" t="s">
        <x:v>116</x:v>
      </x:c>
      <x:c r="C149" s="30"/>
      <x:c r="D149" s="39" t="n">
        <x:f aca="0">365/D146</x:f>
        <x:v>22.744515597441875</x:v>
      </x:c>
      <x:c r="E149" s="39" t="n">
        <x:f aca="0">365/E146</x:f>
        <x:v>19.438565176908817</x:v>
      </x:c>
      <x:c r="F149" s="39" t="n">
        <x:f aca="0">365/F146</x:f>
        <x:v>21.928688071624233</x:v>
      </x:c>
      <x:c r="G149" s="39" t="n">
        <x:f aca="0">365/G146</x:f>
        <x:v>29.103243031888113</x:v>
      </x:c>
      <x:c r="H149" s="39" t="n">
        <x:f aca="0">365/H146</x:f>
        <x:v>30.3302992616379</x:v>
      </x:c>
      <x:c r="I149" s="9" t="s">
        <x:v>111</x:v>
      </x:c>
    </x:row>
    <x:row r="150" ht="15" hidden="0">
      <x:c r="A150" t="s">
        <x:v>117</x:v>
      </x:c>
      <x:c r="B150" s="19" t="s">
        <x:v>118</x:v>
      </x:c>
      <x:c r="C150" s="30"/>
      <x:c r="D150" s="39" t="n">
        <x:f aca="0">D147+D148</x:f>
        <x:v>113.4924050094809</x:v>
      </x:c>
      <x:c r="E150" s="39" t="n">
        <x:f aca="0">E147+E148</x:f>
        <x:v>113.8158997916011</x:v>
      </x:c>
      <x:c r="F150" s="39" t="n">
        <x:f aca="0">F147+F148</x:f>
        <x:v>117.13342729533147</x:v>
      </x:c>
      <x:c r="G150" s="39" t="n">
        <x:f aca="0">G147+G148</x:f>
        <x:v>122.12726136329816</x:v>
      </x:c>
      <x:c r="H150" s="39" t="n">
        <x:f aca="0">H147+H148</x:f>
        <x:v>126.00842997609742</x:v>
      </x:c>
      <x:c r="I150" s="9" t="s">
        <x:v>111</x:v>
      </x:c>
    </x:row>
    <x:row r="151" ht="15" hidden="0">
      <x:c r="A151" t="s">
        <x:v>119</x:v>
      </x:c>
      <x:c r="B151" s="19" t="s">
        <x:v>120</x:v>
      </x:c>
      <x:c r="C151" s="30"/>
      <x:c r="D151" s="39" t="n">
        <x:f aca="0">D147+D148-D149</x:f>
        <x:v>90.74788941203903</x:v>
      </x:c>
      <x:c r="E151" s="39" t="n">
        <x:f aca="0">E147+E148-E149</x:f>
        <x:v>94.37733461469227</x:v>
      </x:c>
      <x:c r="F151" s="39" t="n">
        <x:f aca="0">F147+F148-F149</x:f>
        <x:v>95.20473922370724</x:v>
      </x:c>
      <x:c r="G151" s="39" t="n">
        <x:f aca="0">G147+G148-G149</x:f>
        <x:v>93.02401833141005</x:v>
      </x:c>
      <x:c r="H151" s="39" t="n">
        <x:f aca="0">H147+H148-H149</x:f>
        <x:v>95.67813071445951</x:v>
      </x:c>
      <x:c r="I151" s="9" t="s">
        <x:v>111</x:v>
      </x:c>
    </x:row>
    <x:row r="152" ht="15" hidden="0">
      <x:c r="A152" t="s">
        <x:v>121</x:v>
      </x:c>
      <x:c r="B152" s="19" t="s">
        <x:v>122</x:v>
      </x:c>
      <x:c r="C152" s="30"/>
      <x:c r="D152" s="37" t="n">
        <x:f aca="0">D84/((C37+D37)/2)</x:f>
        <x:v>0.43075247100519976</x:v>
      </x:c>
      <x:c r="E152" s="37" t="n">
        <x:f aca="0">E84/((D37+E37)/2)</x:f>
        <x:v>0.4751614147030488</x:v>
      </x:c>
      <x:c r="F152" s="37" t="n">
        <x:f aca="0">F84/((E37+F37)/2)</x:f>
        <x:v>0.4815184479475107</x:v>
      </x:c>
      <x:c r="G152" s="37" t="n">
        <x:f aca="0">G84/((F37+G37)/2)</x:f>
        <x:v>0.5158831372305058</x:v>
      </x:c>
      <x:c r="H152" s="37" t="n">
        <x:f aca="0">H84/((G37+H37)/2)</x:f>
        <x:v>0.49728501600707337</x:v>
      </x:c>
      <x:c r="I152" s="9" t="s">
        <x:v>89</x:v>
      </x:c>
    </x:row>
    <x:row r="153" ht="15" hidden="0">
      <x:c r="A153" t="s">
        <x:v>123</x:v>
      </x:c>
      <x:c r="B153" s="19" t="s">
        <x:v>124</x:v>
      </x:c>
      <x:c r="C153" s="30"/>
      <x:c r="D153" s="37" t="n">
        <x:f aca="0">D84/((C22+D22)/2)</x:f>
        <x:v>1.064193408439223</x:v>
      </x:c>
      <x:c r="E153" s="37" t="n">
        <x:f aca="0">E84/((D22+E22)/2)</x:f>
        <x:v>1.3656161868044014</x:v>
      </x:c>
      <x:c r="F153" s="37" t="n">
        <x:f aca="0">F84/((E22+F22)/2)</x:f>
        <x:v>1.2739571002729932</x:v>
      </x:c>
      <x:c r="G153" s="37" t="n">
        <x:f aca="0">G84/((F22+G22)/2)</x:f>
        <x:v>1.242164612598929</x:v>
      </x:c>
      <x:c r="H153" s="37" t="n">
        <x:f aca="0">H84/((G22+H22)/2)</x:f>
        <x:v>1.2601477514941262</x:v>
      </x:c>
      <x:c r="I153" s="9" t="s">
        <x:v>89</x:v>
      </x:c>
    </x:row>
    <x:row r="154" ht="15" hidden="0">
      <x:c r="A154" s="24" t="s">
        <x:v>512</x:v>
      </x:c>
      <x:c r="B154" s="25"/>
      <x:c r="C154" s="25"/>
      <x:c r="D154" s="25"/>
      <x:c r="E154" s="25"/>
      <x:c r="F154" s="25"/>
      <x:c r="G154" s="25"/>
      <x:c r="H154" s="25"/>
      <x:c r="I154" s="25"/>
      <x:c r="J154" s="25"/>
    </x:row>
    <x:row r="155" ht="15" hidden="0">
      <x:c r="A155" t="s">
        <x:v>125</x:v>
      </x:c>
      <x:c r="B155" s="19" t="s">
        <x:v>126</x:v>
      </x:c>
      <x:c r="C155" s="30"/>
      <x:c r="D155" s="40" t="n">
        <x:f aca="0">D62/D37</x:f>
        <x:v>0.27606535150381284</x:v>
      </x:c>
      <x:c r="E155" s="40" t="n">
        <x:f aca="0">E62/E37</x:f>
        <x:v>0.3050460729395506</x:v>
      </x:c>
      <x:c r="F155" s="40" t="n">
        <x:f aca="0">F62/F37</x:f>
        <x:v>0.35532697822447284</x:v>
      </x:c>
      <x:c r="G155" s="40" t="n">
        <x:f aca="0">G62/G37</x:f>
        <x:v>0.3685903641039032</x:v>
      </x:c>
      <x:c r="H155" s="40" t="n">
        <x:f aca="0">H62/H37</x:f>
        <x:v>0.34053721034041</x:v>
      </x:c>
      <x:c r="I155" s="9" t="s">
        <x:v>127</x:v>
      </x:c>
    </x:row>
    <x:row r="156" ht="15" hidden="0">
      <x:c r="A156" t="s">
        <x:v>129</x:v>
      </x:c>
      <x:c r="B156" s="19" t="s">
        <x:v>130</x:v>
      </x:c>
      <x:c r="C156" s="30"/>
      <x:c r="D156" s="37" t="n">
        <x:f aca="0">D62/D41</x:f>
        <x:v>0.3813401556028255</x:v>
      </x:c>
      <x:c r="E156" s="37" t="n">
        <x:f aca="0">E62/E41</x:f>
        <x:v>0.4389443113586675</x:v>
      </x:c>
      <x:c r="F156" s="37" t="n">
        <x:f aca="0">F62/F41</x:f>
        <x:v>0.5511739536514938</x:v>
      </x:c>
      <x:c r="G156" s="37" t="n">
        <x:f aca="0">G62/G41</x:f>
        <x:v>0.5837579016050328</x:v>
      </x:c>
      <x:c r="H156" s="37" t="n">
        <x:f aca="0">H62/H41</x:f>
        <x:v>0.5163857850360184</x:v>
      </x:c>
      <x:c r="I156" s="9" t="s">
        <x:v>89</x:v>
      </x:c>
    </x:row>
    <x:row r="157" ht="15" hidden="0">
      <x:c r="A157" t="s">
        <x:v>131</x:v>
      </x:c>
      <x:c r="B157" s="19" t="s">
        <x:v>132</x:v>
      </x:c>
      <x:c r="C157" s="30"/>
      <x:c r="D157" s="40" t="n">
        <x:f aca="0">D66/(D66+D41)</x:f>
        <x:v>0.08481566313402544</x:v>
      </x:c>
      <x:c r="E157" s="40" t="n">
        <x:f aca="0">E66/(E66+E41)</x:f>
        <x:v>0.10820094237127705</x:v>
      </x:c>
      <x:c r="F157" s="40" t="n">
        <x:f aca="0">F66/(F66+F41)</x:f>
        <x:v>0.13283363678865434</x:v>
      </x:c>
      <x:c r="G157" s="40" t="n">
        <x:f aca="0">G66/(G66+G41)</x:f>
        <x:v>0.12102350075289672</x:v>
      </x:c>
      <x:c r="H157" s="40" t="n">
        <x:f aca="0">H66/(H66+H41)</x:f>
        <x:v>0.0906485859901983</x:v>
      </x:c>
      <x:c r="I157" s="9" t="s">
        <x:v>127</x:v>
      </x:c>
    </x:row>
    <x:row r="158" ht="15" hidden="0">
      <x:c r="A158" t="s">
        <x:v>133</x:v>
      </x:c>
      <x:c r="B158" s="19" t="s">
        <x:v>134</x:v>
      </x:c>
      <x:c r="C158" s="30"/>
      <x:c r="D158" s="40" t="n">
        <x:f aca="0">D67/D37</x:f>
        <x:v>0.018763703805448454</x:v>
      </x:c>
      <x:c r="E158" s="40" t="n">
        <x:f aca="0">E67/E37</x:f>
        <x:v>0.07627738632757988</x:v>
      </x:c>
      <x:c r="F158" s="40" t="n">
        <x:f aca="0">F67/F37</x:f>
        <x:v>0.0683187429199697</x:v>
      </x:c>
      <x:c r="G158" s="40" t="n">
        <x:f aca="0">G67/G37</x:f>
        <x:v>0.054528421285721974</x:v>
      </x:c>
      <x:c r="H158" s="40" t="n">
        <x:f aca="0">H67/H37</x:f>
        <x:v>0.0344314520335914</x:v>
      </x:c>
      <x:c r="I158" s="9" t="s">
        <x:v>127</x:v>
      </x:c>
    </x:row>
    <x:row r="159" ht="15" hidden="0">
      <x:c r="A159" t="s">
        <x:v>135</x:v>
      </x:c>
      <x:c r="B159" s="19" t="s">
        <x:v>136</x:v>
      </x:c>
      <x:c r="C159" s="30"/>
      <x:c r="D159" s="37" t="n">
        <x:f aca="0">IF(D106&lt;=0,"n/m",D108/D106)</x:f>
        <x:v>52.04222826331838</x:v>
      </x:c>
      <x:c r="E159" s="37" t="n">
        <x:f aca="0">IF(E106&lt;=0,"n/m",E108/E106)</x:f>
        <x:v>55.297361076962446</x:v>
      </x:c>
      <x:c r="F159" s="37" t="n">
        <x:f aca="0">IF(F106&lt;=0,"n/m",F108/F106)</x:f>
        <x:v>19.427961435835122</x:v>
      </x:c>
      <x:c r="G159" s="37" t="n">
        <x:f aca="0">IF(G106&lt;=0,"n/m",G108/G106)</x:f>
        <x:v>27.534616013098077</x:v>
      </x:c>
      <x:c r="H159" s="37" t="n">
        <x:f aca="0">IF(H106&lt;=0,"n/m",H108/H106)</x:f>
        <x:v>36.7208914917797</x:v>
      </x:c>
      <x:c r="I159" s="9" t="s">
        <x:v>89</x:v>
      </x:c>
    </x:row>
    <x:row r="160" ht="15" hidden="0">
      <x:c r="A160" t="s">
        <x:v>137</x:v>
      </x:c>
      <x:c r="B160" s="19" t="s">
        <x:v>138</x:v>
      </x:c>
      <x:c r="C160" s="30"/>
      <x:c r="D160" s="37" t="n">
        <x:f aca="0">IF(D109&lt;=0,"n/m",D68/D109)</x:f>
        <x:v>0.35449367592621445</x:v>
      </x:c>
      <x:c r="E160" s="37" t="n">
        <x:f aca="0">IF(E109&lt;=0,"n/m",E68/E109)</x:f>
        <x:v>0.44506483760136756</x:v>
      </x:c>
      <x:c r="F160" s="37" t="n">
        <x:f aca="0">IF(F109&lt;=0,"n/m",F68/F109)</x:f>
        <x:v>0.6082321401838148</x:v>
      </x:c>
      <x:c r="G160" s="37" t="n">
        <x:f aca="0">IF(G109&lt;=0,"n/m",G68/G109)</x:f>
        <x:v>0.3623191660793304</x:v>
      </x:c>
      <x:c r="H160" s="37" t="n">
        <x:f aca="0">IF(H109&lt;=0,"n/m",H68/H109)</x:f>
        <x:v>0.2650534518659979</x:v>
      </x:c>
      <x:c r="I160" s="9" t="s">
        <x:v>89</x:v>
      </x:c>
    </x:row>
    <x:row r="161" ht="15" hidden="0">
      <x:c r="A161" s="24" t="s">
        <x:v>513</x:v>
      </x:c>
      <x:c r="B161" s="25"/>
      <x:c r="C161" s="25"/>
      <x:c r="D161" s="25"/>
      <x:c r="E161" s="25"/>
      <x:c r="F161" s="25"/>
      <x:c r="G161" s="25"/>
      <x:c r="H161" s="25"/>
      <x:c r="I161" s="25"/>
      <x:c r="J161" s="25"/>
    </x:row>
    <x:row r="162" ht="15" hidden="0">
      <x:c r="A162" t="s">
        <x:v>139</x:v>
      </x:c>
      <x:c r="B162" s="19" t="s">
        <x:v>140</x:v>
      </x:c>
      <x:c r="C162" s="30"/>
      <x:c r="D162" s="40" t="n">
        <x:f aca="0">D86/D84</x:f>
        <x:v>0.30117079055471246</x:v>
      </x:c>
      <x:c r="E162" s="40" t="n">
        <x:f aca="0">E86/E84</x:f>
        <x:v>0.278096691443614</x:v>
      </x:c>
      <x:c r="F162" s="40" t="n">
        <x:f aca="0">F86/F84</x:f>
        <x:v>0.2719408759567914</x:v>
      </x:c>
      <x:c r="G162" s="40" t="n">
        <x:f aca="0">G86/G84</x:f>
        <x:v>0.3364803079632158</x:v>
      </x:c>
      <x:c r="H162" s="40" t="n">
        <x:f aca="0">H86/H84</x:f>
        <x:v>0.342816529820673</x:v>
      </x:c>
      <x:c r="I162" s="9" t="s">
        <x:v>127</x:v>
      </x:c>
    </x:row>
    <x:row r="163" ht="15" hidden="0">
      <x:c r="A163" t="s">
        <x:v>142</x:v>
      </x:c>
      <x:c r="B163" s="19" t="s">
        <x:v>143</x:v>
      </x:c>
      <x:c r="C163" s="30"/>
      <x:c r="D163" s="40" t="n">
        <x:f aca="0">D91/D84</x:f>
        <x:v>0.18004359810777762</x:v>
      </x:c>
      <x:c r="E163" s="40" t="n">
        <x:f aca="0">E91/E84</x:f>
        <x:v>0.1779173984606045</x:v>
      </x:c>
      <x:c r="F163" s="40" t="n">
        <x:f aca="0">F91/F84</x:f>
        <x:v>0.17181730260097375</x:v>
      </x:c>
      <x:c r="G163" s="40" t="n">
        <x:f aca="0">G91/G84</x:f>
        <x:v>0.22886089116784467</x:v>
      </x:c>
      <x:c r="H163" s="40" t="n">
        <x:f aca="0">H91/H84</x:f>
        <x:v>0.22670718514712962</x:v>
      </x:c>
      <x:c r="I163" s="9" t="s">
        <x:v>127</x:v>
      </x:c>
    </x:row>
    <x:row r="164" ht="15" hidden="0">
      <x:c r="A164" t="s">
        <x:v>144</x:v>
      </x:c>
      <x:c r="B164" s="19" t="s">
        <x:v>145</x:v>
      </x:c>
      <x:c r="C164" s="30"/>
      <x:c r="D164" s="40" t="n">
        <x:f aca="0">D99/D84</x:f>
        <x:v>0.22354637821997994</x:v>
      </x:c>
      <x:c r="E164" s="40" t="n">
        <x:f aca="0">E99/E84</x:f>
        <x:v>0.18865400166042842</x:v>
      </x:c>
      <x:c r="F164" s="40" t="n">
        <x:f aca="0">F99/F84</x:f>
        <x:v>0.14322765825125466</x:v>
      </x:c>
      <x:c r="G164" s="40" t="n">
        <x:f aca="0">G99/G84</x:f>
        <x:v>0.24371604713228476</x:v>
      </x:c>
      <x:c r="H164" s="40" t="n">
        <x:f aca="0">H99/H84</x:f>
        <x:v>0.26577542757733763</x:v>
      </x:c>
      <x:c r="I164" s="9" t="s">
        <x:v>127</x:v>
      </x:c>
    </x:row>
    <x:row r="165" ht="15" hidden="0">
      <x:c r="A165" t="s">
        <x:v>146</x:v>
      </x:c>
      <x:c r="B165" s="19" t="s">
        <x:v>147</x:v>
      </x:c>
      <x:c r="C165" s="30"/>
      <x:c r="D165" s="40" t="n">
        <x:f aca="0">D99/((C37+D37)/2)</x:f>
        <x:v>0.09629315480251932</x:v>
      </x:c>
      <x:c r="E165" s="40" t="n">
        <x:f aca="0">E99/((D37+E37)/2)</x:f>
        <x:v>0.08964110231836049</x:v>
      </x:c>
      <x:c r="F165" s="40" t="n">
        <x:f aca="0">F99/((E37+F37)/2)</x:f>
        <x:v>0.06896675970430062</x:v>
      </x:c>
      <x:c r="G165" s="40" t="n">
        <x:f aca="0">G99/((F37+G37)/2)</x:f>
        <x:v>0.12572899898802087</x:v>
      </x:c>
      <x:c r="H165" s="40" t="n">
        <x:f aca="0">H99/((G37+H37)/2)</x:f>
        <x:v>0.1321661377570831</x:v>
      </x:c>
      <x:c r="I165" s="9" t="s">
        <x:v>127</x:v>
      </x:c>
    </x:row>
    <x:row r="166" ht="15" hidden="0">
      <x:c r="A166" t="s">
        <x:v>148</x:v>
      </x:c>
      <x:c r="B166" s="19" t="s">
        <x:v>149</x:v>
      </x:c>
      <x:c r="C166" s="30"/>
      <x:c r="D166" s="40" t="n">
        <x:f aca="0">D99/((C41+D41)/2)</x:f>
        <x:v>0.13249756211762712</x:v>
      </x:c>
      <x:c r="E166" s="40" t="n">
        <x:f aca="0">E99/((D41+E41)/2)</x:f>
        <x:v>0.1265705399848834</x:v>
      </x:c>
      <x:c r="F166" s="40" t="n">
        <x:f aca="0">F99/((E41+F41)/2)</x:f>
        <x:v>0.10323783929435384</x:v>
      </x:c>
      <x:c r="G166" s="40" t="n">
        <x:f aca="0">G99/((F41+G41)/2)</x:f>
        <x:v>0.19715059997190104</x:v>
      </x:c>
      <x:c r="H166" s="40" t="n">
        <x:f aca="0">H99/((G41+H41)/2)</x:f>
        <x:v>0.2044798130421526</x:v>
      </x:c>
      <x:c r="I166" s="9" t="s">
        <x:v>127</x:v>
      </x:c>
    </x:row>
    <x:row r="167" ht="15" hidden="0">
      <x:c r="A167" t="s">
        <x:v>150</x:v>
      </x:c>
      <x:c r="B167" s="19" t="s">
        <x:v>151</x:v>
      </x:c>
      <x:c r="C167" s="30"/>
      <x:c r="D167" s="40" t="n">
        <x:f aca="0">D113/((C70+D70)/2)</x:f>
        <x:v>0.12407020191785936</x:v>
      </x:c>
      <x:c r="E167" s="40" t="n">
        <x:f aca="0">E113/((D70+E70)/2)</x:f>
        <x:v>0.11634647447890245</x:v>
      </x:c>
      <x:c r="F167" s="40" t="n">
        <x:f aca="0">F113/((E70+F70)/2)</x:f>
        <x:v>0.09570891419697462</x:v>
      </x:c>
      <x:c r="G167" s="40" t="n">
        <x:f aca="0">G113/((F70+G70)/2)</x:f>
        <x:v>0.1787383675569278</x:v>
      </x:c>
      <x:c r="H167" s="40" t="n">
        <x:f aca="0">H113/((G70+H70)/2)</x:f>
        <x:v>0.18835780074997993</x:v>
      </x:c>
      <x:c r="I167" s="9" t="s">
        <x:v>127</x:v>
      </x:c>
    </x:row>
    <x:row r="168" ht="15" hidden="0">
      <x:c r="A168" t="s">
        <x:v>152</x:v>
      </x:c>
      <x:c r="B168" s="19" t="s">
        <x:v>153</x:v>
      </x:c>
      <x:c r="C168" s="30"/>
      <x:c r="D168" s="40" t="n">
        <x:f aca="0">D108/((C37+D37)/2)</x:f>
        <x:v>0.11856914427701815</x:v>
      </x:c>
      <x:c r="E168" s="40" t="n">
        <x:f aca="0">E108/((D37+E37)/2)</x:f>
        <x:v>0.12782774158166904</x:v>
      </x:c>
      <x:c r="F168" s="40" t="n">
        <x:f aca="0">F108/((E37+F37)/2)</x:f>
        <x:v>0.11311909776428172</x:v>
      </x:c>
      <x:c r="G168" s="40" t="n">
        <x:f aca="0">G108/((F37+G37)/2)</x:f>
        <x:v>0.19221205649491527</x:v>
      </x:c>
      <x:c r="H168" s="40" t="n">
        <x:f aca="0">H108/((G37+H37)/2)</x:f>
        <x:v>0.19447652728583156</x:v>
      </x:c>
      <x:c r="I168" s="9" t="s">
        <x:v>127</x:v>
      </x:c>
    </x:row>
    <x:row r="169" ht="15" hidden="0">
      <x:c r="A169" t="s">
        <x:v>154</x:v>
      </x:c>
      <x:c r="B169" s="19" t="s">
        <x:v>155</x:v>
      </x:c>
      <x:c r="C169" s="30"/>
      <x:c r="D169" s="40" t="n">
        <x:f aca="0">D109/D84</x:f>
        <x:v>0.3435589678269924</x:v>
      </x:c>
      <x:c r="E169" s="40" t="n">
        <x:f aca="0">E109/E84</x:f>
        <x:v>0.32485343311935194</x:v>
      </x:c>
      <x:c r="F169" s="40" t="n">
        <x:f aca="0">F109/F84</x:f>
        <x:v>0.2903807007475268</x:v>
      </x:c>
      <x:c r="G169" s="40" t="n">
        <x:f aca="0">G109/G84</x:f>
        <x:v>0.4254600362166235</x:v>
      </x:c>
      <x:c r="H169" s="40" t="n">
        <x:f aca="0">H109/H84</x:f>
        <x:v>0.4467960869618853</x:v>
      </x:c>
      <x:c r="I169" s="9" t="s">
        <x:v>127</x:v>
      </x:c>
    </x:row>
    <x:row r="170" ht="15" hidden="0">
      <x:c r="A170" s="24" t="s">
        <x:v>514</x:v>
      </x:c>
      <x:c r="B170" s="25"/>
      <x:c r="C170" s="25"/>
      <x:c r="D170" s="25"/>
      <x:c r="E170" s="25"/>
      <x:c r="F170" s="25"/>
      <x:c r="G170" s="25"/>
      <x:c r="H170" s="25"/>
      <x:c r="I170" s="25"/>
      <x:c r="J170" s="25"/>
    </x:row>
    <x:row r="171" ht="15" hidden="0">
      <x:c r="A171" t="s">
        <x:v>156</x:v>
      </x:c>
      <x:c r="B171" s="19" t="s">
        <x:v>157</x:v>
      </x:c>
      <x:c r="C171" s="30"/>
      <x:c r="D171" s="41" t="n">
        <x:f aca="0">D41/D128</x:f>
        <x:v>350.05878005411677</x:v>
      </x:c>
      <x:c r="E171" s="41" t="n">
        <x:f aca="0">E41/E128</x:f>
        <x:v>397.4961700811751</x:v>
      </x:c>
      <x:c r="F171" s="41" t="n">
        <x:f aca="0">F41/F128</x:f>
        <x:v>440.50456229600826</x:v>
      </x:c>
      <x:c r="G171" s="41" t="n">
        <x:f aca="0">G41/G128</x:f>
        <x:v>504.3046996587031</x:v>
      </x:c>
      <x:c r="H171" s="41" t="n">
        <x:f aca="0">H41/H128</x:f>
        <x:v>120.07535836177475</x:v>
      </x:c>
      <x:c r="I171" s="9" t="s">
        <x:v>158</x:v>
      </x:c>
    </x:row>
    <x:row r="172" ht="15" hidden="0">
      <x:c r="A172" t="s">
        <x:v>160</x:v>
      </x:c>
      <x:c r="B172" s="19" t="s">
        <x:v>161</x:v>
      </x:c>
      <x:c r="C172" s="30"/>
      <x:c r="D172" s="37" t="n">
        <x:f aca="0">D130/D171</x:f>
        <x:v>2.4665571875286716</x:v>
      </x:c>
      <x:c r="E172" s="37" t="n">
        <x:f aca="0">E130/E171</x:f>
        <x:v>1.154828736856148</x:v>
      </x:c>
      <x:c r="F172" s="37" t="n">
        <x:f aca="0">F130/F171</x:f>
        <x:v>1.185209064075864</x:v>
      </x:c>
      <x:c r="G172" s="37" t="n">
        <x:f aca="0">G130/G171</x:f>
        <x:v>1.7979804681845026</x:v>
      </x:c>
      <x:c r="H172" s="37" t="n">
        <x:f aca="0">H130/H171</x:f>
        <x:v>2.9584754511387614</x:v>
      </x:c>
      <x:c r="I172" s="9" t="s">
        <x:v>89</x:v>
      </x:c>
    </x:row>
    <x:row r="173" ht="15" hidden="0">
      <x:c r="A173" t="s">
        <x:v>162</x:v>
      </x:c>
      <x:c r="B173" s="19" t="s">
        <x:v>163</x:v>
      </x:c>
      <x:c r="C173" s="30"/>
      <x:c r="D173" s="41" t="n">
        <x:f aca="0">D99/D129</x:f>
        <x:v>43.51044143795904</x:v>
      </x:c>
      <x:c r="E173" s="41" t="n">
        <x:f aca="0">E99/E129</x:f>
        <x:v>47.30921685349824</x:v>
      </x:c>
      <x:c r="F173" s="41" t="n">
        <x:f aca="0">F99/F129</x:f>
        <x:v>43.06151234984266</x:v>
      </x:c>
      <x:c r="G173" s="41" t="n">
        <x:f aca="0">G99/G129</x:f>
        <x:v>94.54058917711643</x:v>
      </x:c>
      <x:c r="H173" s="41" t="n">
        <x:f aca="0">H99/H129</x:f>
        <x:v>22.58850648464164</x:v>
      </x:c>
      <x:c r="I173" s="9" t="s">
        <x:v>158</x:v>
      </x:c>
    </x:row>
    <x:row r="174" ht="15" hidden="0">
      <x:c r="A174" t="s">
        <x:v>164</x:v>
      </x:c>
      <x:c r="B174" s="19" t="s">
        <x:v>165</x:v>
      </x:c>
      <x:c r="C174" s="30"/>
      <x:c r="D174" s="37" t="n">
        <x:f aca="0">IF(D173&lt;=0,"n/m",D130/D173)</x:f>
        <x:v>19.844432082610968</x:v>
      </x:c>
      <x:c r="E174" s="37" t="n">
        <x:f aca="0">IF(E173&lt;=0,"n/m",E130/E173)</x:f>
        <x:v>9.702971863210132</x:v>
      </x:c>
      <x:c r="F174" s="37" t="n">
        <x:f aca="0">IF(F173&lt;=0,"n/m",F130/F173)</x:f>
        <x:v>12.124283879265743</x:v>
      </x:c>
      <x:c r="G174" s="37" t="n">
        <x:f aca="0">IF(G173&lt;=0,"n/m",G130/G173)</x:f>
        <x:v>9.590907015623658</x:v>
      </x:c>
      <x:c r="H174" s="37" t="n">
        <x:f aca="0">IF(H173&lt;=0,"n/m",H130/H173)</x:f>
        <x:v>15.726582022655393</x:v>
      </x:c>
      <x:c r="I174" s="9" t="s">
        <x:v>89</x:v>
      </x:c>
    </x:row>
    <x:row r="175" ht="15" hidden="0">
      <x:c r="A175" t="s">
        <x:v>166</x:v>
      </x:c>
      <x:c r="B175" s="19" t="s">
        <x:v>167</x:v>
      </x:c>
      <x:c r="C175" s="30"/>
      <x:c r="D175" s="40" t="n">
        <x:f aca="0">D131/D130</x:f>
        <x:v>0</x:v>
      </x:c>
      <x:c r="E175" s="40" t="n">
        <x:f aca="0">E131/E130</x:f>
        <x:v>0</x:v>
      </x:c>
      <x:c r="F175" s="40" t="n">
        <x:f aca="0">F131/F130</x:f>
        <x:v>0.034476814342354764</x:v>
      </x:c>
      <x:c r="G175" s="40" t="n">
        <x:f aca="0">G131/G130</x:f>
        <x:v>0.016542962072502287</x:v>
      </x:c>
      <x:c r="H175" s="40" t="n">
        <x:f aca="0">H131/H130</x:f>
        <x:v>0.011259993244004052</x:v>
      </x:c>
      <x:c r="I175" s="9" t="s">
        <x:v>127</x:v>
      </x:c>
    </x:row>
    <x:row r="176" ht="15" hidden="0">
      <x:c r="A176" t="s">
        <x:v>168</x:v>
      </x:c>
      <x:c r="B176" s="19" t="s">
        <x:v>169</x:v>
      </x:c>
      <x:c r="C176" s="30"/>
      <x:c r="D176" s="40" t="n">
        <x:f aca="0">IF(D173&lt;=0,"n/m",D131/D173)</x:f>
        <x:v>0</x:v>
      </x:c>
      <x:c r="E176" s="40" t="n">
        <x:f aca="0">IF(E173&lt;=0,"n/m",E131/E173)</x:f>
        <x:v>0</x:v>
      </x:c>
      <x:c r="F176" s="40" t="n">
        <x:f aca="0">IF(F173&lt;=0,"n/m",F131/F173)</x:f>
        <x:v>0.4180066843394498</x:v>
      </x:c>
      <x:c r="G176" s="40" t="n">
        <x:f aca="0">IF(G173&lt;=0,"n/m",G131/G173)</x:f>
        <x:v>0.1586620110003583</x:v>
      </x:c>
      <x:c r="H176" s="40" t="n">
        <x:f aca="0">IF(H173&lt;=0,"n/m",H131/H173)</x:f>
        <x:v>0.17708120732637533</x:v>
      </x:c>
      <x:c r="I176" s="9" t="s">
        <x:v>127</x:v>
      </x:c>
    </x:row>
    <x:row r="177" ht="15" hidden="0">
      <x:c r="A177" s="24" t="s">
        <x:v>515</x:v>
      </x:c>
      <x:c r="B177" s="25"/>
      <x:c r="C177" s="25"/>
      <x:c r="D177" s="25"/>
      <x:c r="E177" s="25"/>
      <x:c r="F177" s="25"/>
      <x:c r="G177" s="25"/>
      <x:c r="H177" s="25"/>
      <x:c r="I177" s="25"/>
      <x:c r="J177" s="25"/>
    </x:row>
    <x:row r="178" ht="15" hidden="0">
      <x:c r="A178" t="s">
        <x:v>170</x:v>
      </x:c>
      <x:c r="B178" s="19" t="s">
        <x:v>171</x:v>
      </x:c>
      <x:c r="C178" s="30"/>
      <x:c r="D178" s="37" t="n">
        <x:f aca="0">D117/((C61+D61)/2)</x:f>
        <x:v>0.42103545561625083</x:v>
      </x:c>
      <x:c r="E178" s="37" t="n">
        <x:f aca="0">E117/((D61+E61)/2)</x:f>
        <x:v>0.5092954839453943</x:v>
      </x:c>
      <x:c r="F178" s="37" t="n">
        <x:f aca="0">F117/((E61+F61)/2)</x:f>
        <x:v>0.6073220985166661</x:v>
      </x:c>
      <x:c r="G178" s="37" t="n">
        <x:f aca="0">G117/((F61+G61)/2)</x:f>
        <x:v>0.5495849171169304</x:v>
      </x:c>
      <x:c r="H178" s="37" t="n">
        <x:f aca="0">H117/((G61+H61)/2)</x:f>
        <x:v>0.48874593972715874</x:v>
      </x:c>
      <x:c r="I178" s="9" t="s">
        <x:v>89</x:v>
      </x:c>
    </x:row>
    <x:row r="179" ht="15" hidden="0">
      <x:c r="A179" s="24" t="s">
        <x:v>516</x:v>
      </x:c>
      <x:c r="B179" s="25"/>
      <x:c r="C179" s="25"/>
      <x:c r="D179" s="25"/>
      <x:c r="E179" s="25"/>
      <x:c r="F179" s="25"/>
      <x:c r="G179" s="25"/>
      <x:c r="H179" s="25"/>
      <x:c r="I179" s="25"/>
      <x:c r="J179" s="25"/>
    </x:row>
    <x:row r="180" ht="15" hidden="0">
      <x:c r="A180" t="s">
        <x:v>173</x:v>
      </x:c>
      <x:c r="B180" s="19" t="s">
        <x:v>174</x:v>
      </x:c>
      <x:c r="C180" s="30"/>
      <x:c r="D180" s="40" t="n">
        <x:f aca="0">D108/((C71+D71)/2)</x:f>
        <x:v>0.14878106968764235</x:v>
      </x:c>
      <x:c r="E180" s="40" t="n">
        <x:f aca="0">E108/((D71+E71)/2)</x:f>
        <x:v>0.15550355000313162</x:v>
      </x:c>
      <x:c r="F180" s="40" t="n">
        <x:f aca="0">F108/((E71+F71)/2)</x:f>
        <x:v>0.14005038979910608</x:v>
      </x:c>
      <x:c r="G180" s="40" t="n">
        <x:f aca="0">G108/((F71+G71)/2)</x:f>
        <x:v>0.24785281930302647</x:v>
      </x:c>
      <x:c r="H180" s="40" t="n">
        <x:f aca="0">H108/((G71+H71)/2)</x:f>
        <x:v>0.25103932021163144</x:v>
      </x:c>
      <x:c r="I180" s="9" t="s">
        <x:v>127</x:v>
      </x:c>
    </x:row>
    <x:row r="181" ht="15" hidden="0">
      <x:c r="A181" t="s">
        <x:v>176</x:v>
      </x:c>
      <x:c r="B181" s="19" t="s">
        <x:v>177</x:v>
      </x:c>
      <x:c r="C181" s="30"/>
      <x:c r="D181" s="40" t="n">
        <x:f aca="0">D117/D84</x:f>
        <x:v>0.1984822246871485</x:v>
      </x:c>
      <x:c r="E181" s="40" t="n">
        <x:f aca="0">E117/E84</x:f>
        <x:v>0.19076059401783313</x:v>
      </x:c>
      <x:c r="F181" s="40" t="n">
        <x:f aca="0">F117/F84</x:f>
        <x:v>0.2425375693607282</x:v>
      </x:c>
      <x:c r="G181" s="40" t="n">
        <x:f aca="0">G117/G84</x:f>
        <x:v>0.23915677321563278</x:v>
      </x:c>
      <x:c r="H181" s="40" t="n">
        <x:f aca="0">H117/H84</x:f>
        <x:v>0.22144551280239075</x:v>
      </x:c>
      <x:c r="I181" s="9" t="s">
        <x:v>127</x:v>
      </x:c>
    </x:row>
    <x:row r="182" ht="15" hidden="0">
      <x:c r="A182" t="s">
        <x:v>178</x:v>
      </x:c>
      <x:c r="B182" s="19" t="s">
        <x:v>179</x:v>
      </x:c>
      <x:c r="C182" s="30"/>
      <x:c r="D182" s="37" t="n">
        <x:f aca="0">D66/D41</x:f>
        <x:v>0.09267604319417716</x:v>
      </x:c>
      <x:c r="E182" s="37" t="n">
        <x:f aca="0">E66/E41</x:f>
        <x:v>0.12132883685589589</x:v>
      </x:c>
      <x:c r="F182" s="37" t="n">
        <x:f aca="0">F66/F41</x:f>
        <x:v>0.1531812607407146</x:v>
      </x:c>
      <x:c r="G182" s="37" t="n">
        <x:f aca="0">G66/G41</x:f>
        <x:v>0.13768684470695258</x:v>
      </x:c>
      <x:c r="H182" s="37" t="n">
        <x:f aca="0">H66/H41</x:f>
        <x:v>0.09968487934766791</x:v>
      </x:c>
      <x:c r="I182" s="9" t="s">
        <x:v>89</x:v>
      </x:c>
    </x:row>
    <x:row r="183" ht="15" hidden="0">
      <x:c r="A183" s="24" t="s">
        <x:v>517</x:v>
      </x:c>
      <x:c r="B183" s="25"/>
      <x:c r="C183" s="25"/>
      <x:c r="D183" s="25"/>
      <x:c r="E183" s="25"/>
      <x:c r="F183" s="25"/>
      <x:c r="G183" s="25"/>
      <x:c r="H183" s="25"/>
      <x:c r="I183" s="25"/>
      <x:c r="J183" s="25"/>
    </x:row>
    <x:row r="184" ht="15" hidden="0">
      <x:c r="A184" t="s">
        <x:v>518</x:v>
      </x:c>
      <x:c r="B184" s="19" t="s">
        <x:v>519</x:v>
      </x:c>
      <x:c r="C184" s="30"/>
      <x:c r="D184" s="37" t="n">
        <x:f aca="0">(D34+D33)/D61</x:f>
        <x:v>0.6269946233045336</x:v>
      </x:c>
      <x:c r="E184" s="37" t="n">
        <x:f aca="0">(E34+E33)/E61</x:f>
        <x:v>0.5474798920390846</x:v>
      </x:c>
      <x:c r="F184" s="37" t="n">
        <x:f aca="0">(F34+F33)/F61</x:f>
        <x:v>0.5633213910891561</x:v>
      </x:c>
      <x:c r="G184" s="37" t="n">
        <x:f aca="0">(G34+G33)/G61</x:f>
        <x:v>0.5980017927428958</x:v>
      </x:c>
      <x:c r="H184" s="37" t="n">
        <x:f aca="0">(H34+H33)/H61</x:f>
        <x:v>1.0928864859820921</x:v>
      </x:c>
      <x:c r="I184" s="9" t="s">
        <x:v>89</x:v>
      </x:c>
    </x:row>
    <x:row r="185" ht="15" hidden="0">
      <x:c r="A185" t="s">
        <x:v>520</x:v>
      </x:c>
      <x:c r="B185" s="19" t="s">
        <x:v>521</x:v>
      </x:c>
      <x:c r="C185" s="30"/>
      <x:c r="D185" s="37" t="n">
        <x:f aca="0">IF(D109&lt;=0,"n/m",D69/D109)</x:f>
        <x:v>-0.39593152532584575</x:v>
      </x:c>
      <x:c r="E185" s="37" t="n">
        <x:f aca="0">IF(E109&lt;=0,"n/m",E69/E109)</x:f>
        <x:v>-0.03896918064449275</x:v>
      </x:c>
      <x:c r="F185" s="37" t="n">
        <x:f aca="0">IF(F109&lt;=0,"n/m",F69/F109)</x:f>
        <x:v>-0.1786964448436934</x:v>
      </x:c>
      <x:c r="G185" s="37" t="n">
        <x:f aca="0">IF(G109&lt;=0,"n/m",G69/G109)</x:f>
        <x:v>-0.24579101920236088</x:v>
      </x:c>
      <x:c r="H185" s="37" t="n">
        <x:f aca="0">IF(H109&lt;=0,"n/m",H69/H109)</x:f>
        <x:v>-0.8368080161980581</x:v>
      </x:c>
      <x:c r="I185" s="9" t="s">
        <x:v>89</x:v>
      </x:c>
    </x:row>
    <x:row r="186" ht="15" hidden="0">
      <x:c r="A186" t="s">
        <x:v>522</x:v>
      </x:c>
      <x:c r="B186" s="19" t="s">
        <x:v>523</x:v>
      </x:c>
      <x:c r="C186" s="30"/>
      <x:c r="D186" s="39" t="n">
        <x:f aca="0">365/(-D85/((C31+D31)/2))</x:f>
        <x:v>24.980349323732273</x:v>
      </x:c>
      <x:c r="E186" s="39" t="n">
        <x:f aca="0">365/(-E85/((D31+E31)/2))</x:f>
        <x:v>32.03603064271263</x:v>
      </x:c>
      <x:c r="F186" s="39" t="n">
        <x:f aca="0">365/(-F85/((E31+F31)/2))</x:f>
        <x:v>34.57898324456949</x:v>
      </x:c>
      <x:c r="G186" s="39" t="n">
        <x:f aca="0">365/(-G85/((F31+G31)/2))</x:f>
        <x:v>34.710924326424454</x:v>
      </x:c>
      <x:c r="H186" s="39" t="n">
        <x:f aca="0">365/(-H85/((G31+H31)/2))</x:f>
        <x:v>29.618570525447208</x:v>
      </x:c>
      <x:c r="I186" s="9" t="s">
        <x:v>111</x:v>
      </x:c>
    </x:row>
    <x:row r="187" ht="15" hidden="0">
      <x:c r="A187" t="s">
        <x:v>524</x:v>
      </x:c>
      <x:c r="B187" s="19" t="s">
        <x:v>525</x:v>
      </x:c>
      <x:c r="C187" s="30"/>
      <x:c r="D187" s="37" t="n">
        <x:f aca="0">D120/((C61+D61)/2)</x:f>
        <x:v>0.42103545561625083</x:v>
      </x:c>
      <x:c r="E187" s="37" t="n">
        <x:f aca="0">E120/((D61+E61)/2)</x:f>
        <x:v>0.5092954839453943</x:v>
      </x:c>
      <x:c r="F187" s="37" t="n">
        <x:f aca="0">F120/((E61+F61)/2)</x:f>
        <x:v>0.6073220985166661</x:v>
      </x:c>
      <x:c r="G187" s="37" t="n">
        <x:f aca="0">G120/((F61+G61)/2)</x:f>
        <x:v>0.5495849171169304</x:v>
      </x:c>
      <x:c r="H187" s="37" t="n">
        <x:f aca="0">H120/((G61+H61)/2)</x:f>
        <x:v>0.48874593972715874</x:v>
      </x:c>
      <x:c r="I187" s="9" t="s">
        <x:v>89</x:v>
      </x:c>
    </x:row>
    <x:row r="188" ht="15" hidden="0">
      <x:c r="A188" t="str">
        <x:v>M5. EPS on FY2025 annual-report split basis (Rs)</x:v>
      </x:c>
      <x:c r="B188" s="19" t="s">
        <x:v>526</x:v>
      </x:c>
      <x:c r="C188" s="30"/>
      <x:c r="D188" s="41" t="n">
        <x:f aca="0">D173/D134</x:f>
        <x:v>8.702088287591808</x:v>
      </x:c>
      <x:c r="E188" s="41" t="n">
        <x:f aca="0">E173/E134</x:f>
        <x:v>9.461843370699649</x:v>
      </x:c>
      <x:c r="F188" s="41" t="n">
        <x:f aca="0">F173/F134</x:f>
        <x:v>8.612302469968531</x:v>
      </x:c>
      <x:c r="G188" s="41" t="n">
        <x:f aca="0">G173/G134</x:f>
        <x:v>18.908117835423287</x:v>
      </x:c>
      <x:c r="H188" s="41" t="n">
        <x:f aca="0">H173/H134</x:f>
        <x:v>22.58850648464164</x:v>
      </x:c>
      <x:c r="I188" s="9" t="s">
        <x:v>158</x:v>
      </x:c>
    </x:row>
    <x:row r="189" ht="15" hidden="0">
      <x:c r="A189" t="s">
        <x:v>527</x:v>
      </x:c>
      <x:c r="B189" s="19" t="s">
        <x:v>528</x:v>
      </x:c>
      <x:c r="C189" s="30"/>
      <x:c r="D189" s="40" t="n">
        <x:f aca="0">D108/D84</x:f>
        <x:v>0.2752605086636563</x:v>
      </x:c>
      <x:c r="E189" s="40" t="n">
        <x:f aca="0">E108/E84</x:f>
        <x:v>0.2690196165476836</x:v>
      </x:c>
      <x:c r="F189" s="40" t="n">
        <x:f aca="0">F108/F84</x:f>
        <x:v>0.2349216281254765</x:v>
      </x:c>
      <x:c r="G189" s="40" t="n">
        <x:f aca="0">G108/G84</x:f>
        <x:v>0.37258836861153594</x:v>
      </x:c>
      <x:c r="H189" s="40" t="n">
        <x:f aca="0">H108/H84</x:f>
        <x:v>0.3910765879241078</x:v>
      </x:c>
      <x:c r="I189" s="9" t="s">
        <x:v>127</x:v>
      </x:c>
    </x:row>
    <x:row r="191" ht="15" hidden="0">
      <x:c r="A191" s="5" t="s">
        <x:v>529</x:v>
      </x:c>
      <x:c r="B191" s="20"/>
      <x:c r="C191" s="20"/>
      <x:c r="D191" s="20"/>
      <x:c r="E191" s="20"/>
      <x:c r="F191" s="20"/>
      <x:c r="G191" s="20"/>
      <x:c r="H191" s="20"/>
      <x:c r="I191" s="20"/>
      <x:c r="J191" s="20"/>
    </x:row>
    <x:row r="192" ht="15" hidden="0">
      <x:c r="A192" s="24" t="s">
        <x:v>530</x:v>
      </x:c>
      <x:c r="B192" s="25"/>
      <x:c r="C192" s="25"/>
      <x:c r="D192" s="25"/>
      <x:c r="E192" s="25"/>
      <x:c r="F192" s="25"/>
      <x:c r="G192" s="25"/>
      <x:c r="H192" s="25"/>
      <x:c r="I192" s="25"/>
      <x:c r="J192" s="25"/>
    </x:row>
    <x:row r="193" ht="15" hidden="0">
      <x:c r="A193" t="s">
        <x:v>531</x:v>
      </x:c>
      <x:c r="B193" s="19" t="s">
        <x:v>532</x:v>
      </x:c>
      <x:c r="C193" s="42" t="n">
        <x:f aca="0">IF(C37=0,"n/m",C22/C37)</x:f>
        <x:v>0.4409660109967821</x:v>
      </x:c>
      <x:c r="D193" s="42" t="n">
        <x:f aca="0">IF(D37=0,"n/m",D22/D37)</x:f>
        <x:v>0.37331730184134404</x:v>
      </x:c>
      <x:c r="E193" s="42" t="n">
        <x:f aca="0">IF(E37=0,"n/m",E22/E37)</x:f>
        <x:v>0.3264979609257598</x:v>
      </x:c>
      <x:c r="F193" s="42" t="n">
        <x:f aca="0">IF(F37=0,"n/m",F22/F37)</x:f>
        <x:v>0.42265137663663593</x:v>
      </x:c>
      <x:c r="G193" s="42" t="n">
        <x:f aca="0">IF(G37=0,"n/m",G22/G37)</x:f>
        <x:v>0.40862511953669906</x:v>
      </x:c>
      <x:c r="H193" s="42" t="n">
        <x:f aca="0">IF(H37=0,"n/m",H22/H37)</x:f>
        <x:v>0.3823415153244056</x:v>
      </x:c>
      <x:c r="I193" s="11" t="s">
        <x:v>127</x:v>
      </x:c>
    </x:row>
    <x:row r="194" ht="15" hidden="0">
      <x:c r="A194" t="s">
        <x:v>533</x:v>
      </x:c>
      <x:c r="B194" s="19" t="s">
        <x:v>534</x:v>
      </x:c>
      <x:c r="C194" s="42" t="n">
        <x:f aca="0">IF(C37=0,"n/m",C21/C37)</x:f>
        <x:v>0.0024596655144592263</x:v>
      </x:c>
      <x:c r="D194" s="42" t="n">
        <x:f aca="0">IF(D37=0,"n/m",D21/D37)</x:f>
        <x:v>0.025676880231463122</x:v>
      </x:c>
      <x:c r="E194" s="42" t="n">
        <x:f aca="0">IF(E37=0,"n/m",E21/E37)</x:f>
        <x:v>0.11846309190851188</x:v>
      </x:c>
      <x:c r="F194" s="42" t="n">
        <x:f aca="0">IF(F37=0,"n/m",F21/F37)</x:f>
        <x:v>0.02610366695476473</x:v>
      </x:c>
      <x:c r="G194" s="42" t="n">
        <x:f aca="0">IF(G37=0,"n/m",G21/G37)</x:f>
        <x:v>0.04971112703295715</x:v>
      </x:c>
      <x:c r="H194" s="42" t="n">
        <x:f aca="0">IF(H37=0,"n/m",H21/H37)</x:f>
        <x:v>0.02032158213127197</x:v>
      </x:c>
      <x:c r="I194" s="11" t="s">
        <x:v>127</x:v>
      </x:c>
    </x:row>
    <x:row r="195" ht="15" hidden="0">
      <x:c r="A195" t="s">
        <x:v>312</x:v>
      </x:c>
      <x:c r="B195" s="19" t="s">
        <x:v>535</x:v>
      </x:c>
      <x:c r="C195" s="42" t="n">
        <x:f aca="0">IF(C37=0,"n/m",C28/C37)</x:f>
        <x:v>0.7911589630424495</x:v>
      </x:c>
      <x:c r="D195" s="42" t="n">
        <x:f aca="0">IF(D37=0,"n/m",D28/D37)</x:f>
        <x:v>0.7398677998580042</x:v>
      </x:c>
      <x:c r="E195" s="42" t="n">
        <x:f aca="0">IF(E37=0,"n/m",E28/E37)</x:f>
        <x:v>0.757703734632117</x:v>
      </x:c>
      <x:c r="F195" s="42" t="n">
        <x:f aca="0">IF(F37=0,"n/m",F28/F37)</x:f>
        <x:v>0.7204012442949171</x:v>
      </x:c>
      <x:c r="G195" s="42" t="n">
        <x:f aca="0">IF(G37=0,"n/m",G28/G37)</x:f>
        <x:v>0.7074923395879352</x:v>
      </x:c>
      <x:c r="H195" s="42" t="n">
        <x:f aca="0">IF(H37=0,"n/m",H28/H37)</x:f>
        <x:v>0.6230624121197821</x:v>
      </x:c>
      <x:c r="I195" s="11" t="s">
        <x:v>127</x:v>
      </x:c>
    </x:row>
    <x:row r="196" ht="15" hidden="0">
      <x:c r="A196" t="s">
        <x:v>536</x:v>
      </x:c>
      <x:c r="B196" s="19" t="s">
        <x:v>537</x:v>
      </x:c>
      <x:c r="C196" s="42" t="n">
        <x:f aca="0">IF(C37=0,"n/m",C65/C37)</x:f>
        <x:v>0.06944747167764614</x:v>
      </x:c>
      <x:c r="D196" s="42" t="n">
        <x:f aca="0">IF(D37=0,"n/m",D65/D37)</x:f>
        <x:v>0.0871764337656113</x:v>
      </x:c>
      <x:c r="E196" s="42" t="n">
        <x:f aca="0">IF(E37=0,"n/m",E65/E37)</x:f>
        <x:v>0.09936187127535046</x:v>
      </x:c>
      <x:c r="F196" s="42" t="n">
        <x:f aca="0">IF(F37=0,"n/m",F65/F37)</x:f>
        <x:v>0.09448382369723818</x:v>
      </x:c>
      <x:c r="G196" s="42" t="n">
        <x:f aca="0">IF(G37=0,"n/m",G65/G37)</x:f>
        <x:v>0.09869855360327058</x:v>
      </x:c>
      <x:c r="H196" s="42" t="n">
        <x:f aca="0">IF(H37=0,"n/m",H65/H37)</x:f>
        <x:v>0.09248318347468208</x:v>
      </x:c>
      <x:c r="I196" s="11" t="s">
        <x:v>127</x:v>
      </x:c>
    </x:row>
    <x:row r="197" ht="15" hidden="0">
      <x:c r="A197" t="s">
        <x:v>319</x:v>
      </x:c>
      <x:c r="B197" s="19" t="s">
        <x:v>538</x:v>
      </x:c>
      <x:c r="C197" s="42" t="n">
        <x:f aca="0">IF(C37=0,"n/m",C32/C37)</x:f>
        <x:v>0.02519176744415338</x:v>
      </x:c>
      <x:c r="D197" s="42" t="n">
        <x:f aca="0">IF(D37=0,"n/m",D32/D37)</x:f>
        <x:v>0.017331422832368416</x:v>
      </x:c>
      <x:c r="E197" s="42" t="n">
        <x:f aca="0">IF(E37=0,"n/m",E32/E37)</x:f>
        <x:v>0.019046744687005734</x:v>
      </x:c>
      <x:c r="F197" s="42" t="n">
        <x:f aca="0">IF(F37=0,"n/m",F32/F37)</x:f>
        <x:v>0.023886283489311506</x:v>
      </x:c>
      <x:c r="G197" s="42" t="n">
        <x:f aca="0">IF(G37=0,"n/m",G32/G37)</x:f>
        <x:v>0.029623688493483562</x:v>
      </x:c>
      <x:c r="H197" s="42" t="n">
        <x:f aca="0">IF(H37=0,"n/m",H32/H37)</x:f>
        <x:v>0.02381721057133955</x:v>
      </x:c>
      <x:c r="I197" s="11" t="s">
        <x:v>127</x:v>
      </x:c>
    </x:row>
    <x:row r="198" ht="15" hidden="0">
      <x:c r="A198" t="s">
        <x:v>321</x:v>
      </x:c>
      <x:c r="B198" s="19" t="s">
        <x:v>539</x:v>
      </x:c>
      <x:c r="C198" s="42" t="n">
        <x:f aca="0">IF(C37=0,"n/m",C33/C37)</x:f>
        <x:v>0.021866728259566676</x:v>
      </x:c>
      <x:c r="D198" s="42" t="n">
        <x:f aca="0">IF(D37=0,"n/m",D33/D37)</x:f>
        <x:v>0.10377504710648648</x:v>
      </x:c>
      <x:c r="E198" s="42" t="n">
        <x:f aca="0">IF(E37=0,"n/m",E33/E37)</x:f>
        <x:v>0.06893918551042771</x:v>
      </x:c>
      <x:c r="F198" s="42" t="n">
        <x:f aca="0">IF(F37=0,"n/m",F33/F37)</x:f>
        <x:v>0.10277169084844923</x:v>
      </x:c>
      <x:c r="G198" s="42" t="n">
        <x:f aca="0">IF(G37=0,"n/m",G33/G37)</x:f>
        <x:v>0.127501373932246</x:v>
      </x:c>
      <x:c r="H198" s="42" t="n">
        <x:f aca="0">IF(H37=0,"n/m",H33/H37)</x:f>
        <x:v>0.22979758088560204</x:v>
      </x:c>
      <x:c r="I198" s="11" t="s">
        <x:v>127</x:v>
      </x:c>
    </x:row>
    <x:row r="199" ht="15" hidden="0">
      <x:c r="A199" t="s">
        <x:v>540</x:v>
      </x:c>
      <x:c r="B199" s="19" t="s">
        <x:v>541</x:v>
      </x:c>
      <x:c r="C199" s="42" t="n">
        <x:f aca="0">IF(C37=0,"n/m",C34/C37)</x:f>
        <x:v>0.05753068220961988</x:v>
      </x:c>
      <x:c r="D199" s="42" t="n">
        <x:f aca="0">IF(D37=0,"n/m",D34/D37)</x:f>
        <x:v>0.018069060675574528</x:v>
      </x:c>
      <x:c r="E199" s="42" t="n">
        <x:f aca="0">IF(E37=0,"n/m",E34/E37)</x:f>
        <x:v>0.020929003244595137</x:v>
      </x:c>
      <x:c r="F199" s="42" t="n">
        <x:f aca="0">IF(F37=0,"n/m",F34/F37)</x:f>
        <x:v>0.019317622598751097</x:v>
      </x:c>
      <x:c r="G199" s="42" t="n">
        <x:f aca="0">IF(G37=0,"n/m",G34/G37)</x:f>
        <x:v>0.010969989542261456</x:v>
      </x:c>
      <x:c r="H199" s="42" t="n">
        <x:f aca="0">IF(H37=0,"n/m",H34/H37)</x:f>
        <x:v>0.010460519614709056</x:v>
      </x:c>
      <x:c r="I199" s="11" t="s">
        <x:v>127</x:v>
      </x:c>
    </x:row>
    <x:row r="200" ht="15" hidden="0">
      <x:c r="A200" t="s">
        <x:v>327</x:v>
      </x:c>
      <x:c r="B200" s="19" t="s">
        <x:v>542</x:v>
      </x:c>
      <x:c r="C200" s="42" t="n">
        <x:f aca="0">IF(C37=0,"n/m",C36/C37)</x:f>
        <x:v>0.20884103695755057</x:v>
      </x:c>
      <x:c r="D200" s="42" t="n">
        <x:f aca="0">IF(D37=0,"n/m",D36/D37)</x:f>
        <x:v>0.26013220014199573</x:v>
      </x:c>
      <x:c r="E200" s="42" t="n">
        <x:f aca="0">IF(E37=0,"n/m",E36/E37)</x:f>
        <x:v>0.24229626536788285</x:v>
      </x:c>
      <x:c r="F200" s="42" t="n">
        <x:f aca="0">IF(F37=0,"n/m",F36/F37)</x:f>
        <x:v>0.2795987557050829</x:v>
      </x:c>
      <x:c r="G200" s="42" t="n">
        <x:f aca="0">IF(G37=0,"n/m",G36/G37)</x:f>
        <x:v>0.2925076604120647</x:v>
      </x:c>
      <x:c r="H200" s="42" t="n">
        <x:f aca="0">IF(H37=0,"n/m",H36/H37)</x:f>
        <x:v>0.3769375878802179</x:v>
      </x:c>
      <x:c r="I200" s="11" t="s">
        <x:v>127</x:v>
      </x:c>
    </x:row>
    <x:row r="201" ht="15" hidden="0">
      <x:c r="A201" t="s">
        <x:v>336</x:v>
      </x:c>
      <x:c r="B201" s="19" t="s">
        <x:v>543</x:v>
      </x:c>
      <x:c r="C201" s="42" t="n">
        <x:f aca="0">IF(C37=0,"n/m",C41/C37)</x:f>
        <x:v>0.72999907984541</x:v>
      </x:c>
      <x:c r="D201" s="42" t="n">
        <x:f aca="0">IF(D37=0,"n/m",D41/D37)</x:f>
        <x:v>0.7239346484961872</x:v>
      </x:c>
      <x:c r="E201" s="42" t="n">
        <x:f aca="0">IF(E37=0,"n/m",E41/E37)</x:f>
        <x:v>0.6949539270604493</x:v>
      </x:c>
      <x:c r="F201" s="42" t="n">
        <x:f aca="0">IF(F37=0,"n/m",F41/F37)</x:f>
        <x:v>0.6446730217755271</x:v>
      </x:c>
      <x:c r="G201" s="42" t="n">
        <x:f aca="0">IF(G37=0,"n/m",G41/G37)</x:f>
        <x:v>0.6314096358960968</x:v>
      </x:c>
      <x:c r="H201" s="42" t="n">
        <x:f aca="0">IF(H37=0,"n/m",H41/H37)</x:f>
        <x:v>0.6594627896595899</x:v>
      </x:c>
      <x:c r="I201" s="11" t="s">
        <x:v>127</x:v>
      </x:c>
    </x:row>
    <x:row r="202" ht="15" hidden="0">
      <x:c r="A202" t="s">
        <x:v>544</x:v>
      </x:c>
      <x:c r="B202" s="19" t="s">
        <x:v>545</x:v>
      </x:c>
      <x:c r="C202" s="42" t="n">
        <x:f aca="0">IF(C37=0,"n/m",C67/C37)</x:f>
        <x:v>0.0023586119028612923</x:v>
      </x:c>
      <x:c r="D202" s="42" t="n">
        <x:f aca="0">IF(D37=0,"n/m",D67/D37)</x:f>
        <x:v>0.018763703805448454</x:v>
      </x:c>
      <x:c r="E202" s="42" t="n">
        <x:f aca="0">IF(E37=0,"n/m",E67/E37)</x:f>
        <x:v>0.07627738632757988</x:v>
      </x:c>
      <x:c r="F202" s="42" t="n">
        <x:f aca="0">IF(F37=0,"n/m",F67/F37)</x:f>
        <x:v>0.0683187429199697</x:v>
      </x:c>
      <x:c r="G202" s="42" t="n">
        <x:f aca="0">IF(G37=0,"n/m",G67/G37)</x:f>
        <x:v>0.054528421285721974</x:v>
      </x:c>
      <x:c r="H202" s="42" t="n">
        <x:f aca="0">IF(H37=0,"n/m",H67/H37)</x:f>
        <x:v>0.0344314520335914</x:v>
      </x:c>
      <x:c r="I202" s="11" t="s">
        <x:v>127</x:v>
      </x:c>
    </x:row>
    <x:row r="203" ht="15" hidden="0">
      <x:c r="A203" t="s">
        <x:v>349</x:v>
      </x:c>
      <x:c r="B203" s="19" t="s">
        <x:v>546</x:v>
      </x:c>
      <x:c r="C203" s="42" t="n">
        <x:f aca="0">IF(C37=0,"n/m",C48/C37)</x:f>
        <x:v>0.05688781784654475</x:v>
      </x:c>
      <x:c r="D203" s="42" t="n">
        <x:f aca="0">IF(D37=0,"n/m",D48/D37)</x:f>
        <x:v>0.0817349645223588</x:v>
      </x:c>
      <x:c r="E203" s="42" t="n">
        <x:f aca="0">IF(E37=0,"n/m",E48/E37)</x:f>
        <x:v>0.14089723375513877</x:v>
      </x:c>
      <x:c r="F203" s="42" t="n">
        <x:f aca="0">IF(F37=0,"n/m",F48/F37)</x:f>
        <x:v>0.13859579176775724</x:v>
      </x:c>
      <x:c r="G203" s="42" t="n">
        <x:f aca="0">IF(G37=0,"n/m",G48/G37)</x:f>
        <x:v>0.13703359428324538</x:v>
      </x:c>
      <x:c r="H203" s="42" t="n">
        <x:f aca="0">IF(H37=0,"n/m",H48/H37)</x:f>
        <x:v>0.12069909944602028</x:v>
      </x:c>
      <x:c r="I203" s="11" t="s">
        <x:v>127</x:v>
      </x:c>
    </x:row>
    <x:row r="204" ht="15" hidden="0">
      <x:c r="A204" t="s">
        <x:v>352</x:v>
      </x:c>
      <x:c r="B204" s="19" t="s">
        <x:v>547</x:v>
      </x:c>
      <x:c r="C204" s="42" t="n">
        <x:f aca="0">IF(C37=0,"n/m",C50/C37)</x:f>
        <x:v>0.14245242792673157</x:v>
      </x:c>
      <x:c r="D204" s="42" t="n">
        <x:f aca="0">IF(D37=0,"n/m",D50/D37)</x:f>
        <x:v>0.13295400437974347</x:v>
      </x:c>
      <x:c r="E204" s="42" t="n">
        <x:f aca="0">IF(E37=0,"n/m",E50/E37)</x:f>
        <x:v>0.12538487288398037</x:v>
      </x:c>
      <x:c r="F204" s="42" t="n">
        <x:f aca="0">IF(F37=0,"n/m",F50/F37)</x:f>
        <x:v>0.1404112680857571</x:v>
      </x:c>
      <x:c r="G204" s="42" t="n">
        <x:f aca="0">IF(G37=0,"n/m",G50/G37)</x:f>
        <x:v>0.12822352750592914</x:v>
      </x:c>
      <x:c r="H204" s="42" t="n">
        <x:f aca="0">IF(H37=0,"n/m",H50/H37)</x:f>
        <x:v>0.10234721883419345</x:v>
      </x:c>
      <x:c r="I204" s="11" t="s">
        <x:v>127</x:v>
      </x:c>
    </x:row>
    <x:row r="205" ht="15" hidden="0">
      <x:c r="A205" t="s">
        <x:v>548</x:v>
      </x:c>
      <x:c r="B205" s="19" t="s">
        <x:v>549</x:v>
      </x:c>
      <x:c r="C205" s="42" t="n">
        <x:f aca="0">IF(C37=0,"n/m",C66/C37)</x:f>
        <x:v>0.06166722679169858</x:v>
      </x:c>
      <x:c r="D205" s="42" t="n">
        <x:f aca="0">IF(D37=0,"n/m",D66/D37)</x:f>
        <x:v>0.06709139875379411</x:v>
      </x:c>
      <x:c r="E205" s="42" t="n">
        <x:f aca="0">IF(E37=0,"n/m",E66/E37)</x:f>
        <x:v>0.08431795163868143</x:v>
      </x:c>
      <x:c r="F205" s="42" t="n">
        <x:f aca="0">IF(F37=0,"n/m",F66/F37)</x:f>
        <x:v>0.09875182624110138</x:v>
      </x:c>
      <x:c r="G205" s="42" t="n">
        <x:f aca="0">IF(G37=0,"n/m",G66/G37)</x:f>
        <x:v>0.08693680048409934</x:v>
      </x:c>
      <x:c r="H205" s="42" t="n">
        <x:f aca="0">IF(H37=0,"n/m",H66/H37)</x:f>
        <x:v>0.06573846862149271</x:v>
      </x:c>
      <x:c r="I205" s="11" t="s">
        <x:v>127</x:v>
      </x:c>
    </x:row>
    <x:row r="206" ht="15" hidden="0">
      <x:c r="A206" t="s">
        <x:v>374</x:v>
      </x:c>
      <x:c r="B206" s="19" t="s">
        <x:v>550</x:v>
      </x:c>
      <x:c r="C206" s="42" t="n">
        <x:f aca="0">IF(C37=0,"n/m",C61/C37)</x:f>
        <x:v>0.21311310230804537</x:v>
      </x:c>
      <x:c r="D206" s="42" t="n">
        <x:f aca="0">IF(D37=0,"n/m",D61/D37)</x:f>
        <x:v>0.19433038698145402</x:v>
      </x:c>
      <x:c r="E206" s="42" t="n">
        <x:f aca="0">IF(E37=0,"n/m",E61/E37)</x:f>
        <x:v>0.1641488391844118</x:v>
      </x:c>
      <x:c r="F206" s="42" t="n">
        <x:f aca="0">IF(F37=0,"n/m",F61/F37)</x:f>
        <x:v>0.2167311864567156</x:v>
      </x:c>
      <x:c r="G206" s="42" t="n">
        <x:f aca="0">IF(G37=0,"n/m",G61/G37)</x:f>
        <x:v>0.23155676982065787</x:v>
      </x:c>
      <x:c r="H206" s="42" t="n">
        <x:f aca="0">IF(H37=0,"n/m",H61/H37)</x:f>
        <x:v>0.21983811089438973</x:v>
      </x:c>
      <x:c r="I206" s="11" t="s">
        <x:v>127</x:v>
      </x:c>
    </x:row>
    <x:row r="207" ht="15" hidden="0">
      <x:c r="A207" t="s">
        <x:v>377</x:v>
      </x:c>
      <x:c r="B207" s="19" t="s">
        <x:v>551</x:v>
      </x:c>
      <x:c r="C207" s="42" t="n">
        <x:f aca="0">IF(C37=0,"n/m",C62/C37)</x:f>
        <x:v>0.2700009201545901</x:v>
      </x:c>
      <x:c r="D207" s="42" t="n">
        <x:f aca="0">IF(D37=0,"n/m",D62/D37)</x:f>
        <x:v>0.27606535150381284</x:v>
      </x:c>
      <x:c r="E207" s="42" t="n">
        <x:f aca="0">IF(E37=0,"n/m",E62/E37)</x:f>
        <x:v>0.3050460729395506</x:v>
      </x:c>
      <x:c r="F207" s="42" t="n">
        <x:f aca="0">IF(F37=0,"n/m",F62/F37)</x:f>
        <x:v>0.35532697822447284</x:v>
      </x:c>
      <x:c r="G207" s="42" t="n">
        <x:f aca="0">IF(G37=0,"n/m",G62/G37)</x:f>
        <x:v>0.3685903641039032</x:v>
      </x:c>
      <x:c r="H207" s="42" t="n">
        <x:f aca="0">IF(H37=0,"n/m",H62/H37)</x:f>
        <x:v>0.34053721034041</x:v>
      </x:c>
      <x:c r="I207" s="11" t="s">
        <x:v>127</x:v>
      </x:c>
    </x:row>
    <x:row r="208" ht="15" hidden="0">
      <x:c r="A208" s="24" t="s">
        <x:v>552</x:v>
      </x:c>
      <x:c r="B208" s="25"/>
      <x:c r="C208" s="25"/>
      <x:c r="D208" s="25"/>
      <x:c r="E208" s="25"/>
      <x:c r="F208" s="25"/>
      <x:c r="G208" s="25"/>
      <x:c r="H208" s="25"/>
      <x:c r="I208" s="25"/>
      <x:c r="J208" s="25"/>
    </x:row>
    <x:row r="209" ht="15" hidden="0">
      <x:c r="A209" t="s">
        <x:v>416</x:v>
      </x:c>
      <x:c r="B209" s="19" t="s">
        <x:v>553</x:v>
      </x:c>
      <x:c r="C209" s="30"/>
      <x:c r="D209" s="42" t="n">
        <x:f aca="0">IF(D84=0,"n/m",D85/D84)</x:f>
        <x:v>-0.6988292094452875</x:v>
      </x:c>
      <x:c r="E209" s="42" t="n">
        <x:f aca="0">IF(E84=0,"n/m",E85/E84)</x:f>
        <x:v>-0.7219033085563861</x:v>
      </x:c>
      <x:c r="F209" s="42" t="n">
        <x:f aca="0">IF(F84=0,"n/m",F85/F84)</x:f>
        <x:v>-0.7280591240432086</x:v>
      </x:c>
      <x:c r="G209" s="42" t="n">
        <x:f aca="0">IF(G84=0,"n/m",G85/G84)</x:f>
        <x:v>-0.6635196920367842</x:v>
      </x:c>
      <x:c r="H209" s="42" t="n">
        <x:f aca="0">IF(H84=0,"n/m",H85/H84)</x:f>
        <x:v>-0.657183470179327</x:v>
      </x:c>
      <x:c r="I209" s="11" t="s">
        <x:v>127</x:v>
      </x:c>
    </x:row>
    <x:row r="210" ht="15" hidden="0">
      <x:c r="A210" t="s">
        <x:v>418</x:v>
      </x:c>
      <x:c r="B210" s="19" t="s">
        <x:v>554</x:v>
      </x:c>
      <x:c r="C210" s="30"/>
      <x:c r="D210" s="42" t="n">
        <x:f aca="0">IF(D84=0,"n/m",D86/D84)</x:f>
        <x:v>0.30117079055471246</x:v>
      </x:c>
      <x:c r="E210" s="42" t="n">
        <x:f aca="0">IF(E84=0,"n/m",E86/E84)</x:f>
        <x:v>0.278096691443614</x:v>
      </x:c>
      <x:c r="F210" s="42" t="n">
        <x:f aca="0">IF(F84=0,"n/m",F86/F84)</x:f>
        <x:v>0.2719408759567914</x:v>
      </x:c>
      <x:c r="G210" s="42" t="n">
        <x:f aca="0">IF(G84=0,"n/m",G86/G84)</x:f>
        <x:v>0.3364803079632158</x:v>
      </x:c>
      <x:c r="H210" s="42" t="n">
        <x:f aca="0">IF(H84=0,"n/m",H86/H84)</x:f>
        <x:v>0.342816529820673</x:v>
      </x:c>
      <x:c r="I210" s="11" t="s">
        <x:v>127</x:v>
      </x:c>
    </x:row>
    <x:row r="211" ht="15" hidden="0">
      <x:c r="A211" t="s">
        <x:v>555</x:v>
      </x:c>
      <x:c r="B211" s="19" t="s">
        <x:v>556</x:v>
      </x:c>
      <x:c r="C211" s="30"/>
      <x:c r="D211" s="42" t="n">
        <x:f aca="0">IF(D84=0,"n/m",D87/D84)</x:f>
        <x:v>-0.0772010462846797</x:v>
      </x:c>
      <x:c r="E211" s="42" t="n">
        <x:f aca="0">IF(E84=0,"n/m",E87/E84)</x:f>
        <x:v>-0.05875406205365965</x:v>
      </x:c>
      <x:c r="F211" s="42" t="n">
        <x:f aca="0">IF(F84=0,"n/m",F87/F84)</x:f>
        <x:v>-0.055585668971811726</x:v>
      </x:c>
      <x:c r="G211" s="42" t="n">
        <x:f aca="0">IF(G84=0,"n/m",G87/G84)</x:f>
        <x:v>-0.06740853162536167</x:v>
      </x:c>
      <x:c r="H211" s="42" t="n">
        <x:f aca="0">IF(H84=0,"n/m",H87/H84)</x:f>
        <x:v>-0.07206400546441627</x:v>
      </x:c>
      <x:c r="I211" s="11" t="s">
        <x:v>127</x:v>
      </x:c>
    </x:row>
    <x:row r="212" ht="15" hidden="0">
      <x:c r="A212" t="s">
        <x:v>557</x:v>
      </x:c>
      <x:c r="B212" s="19" t="s">
        <x:v>558</x:v>
      </x:c>
      <x:c r="C212" s="30"/>
      <x:c r="D212" s="42" t="n">
        <x:f aca="0">IF(D84=0,"n/m",D88/D84)</x:f>
        <x:v>-0.019972321612346713</x:v>
      </x:c>
      <x:c r="E212" s="42" t="n">
        <x:f aca="0">IF(E84=0,"n/m",E88/E84)</x:f>
        <x:v>-0.018648578909351888</x:v>
      </x:c>
      <x:c r="F212" s="42" t="n">
        <x:f aca="0">IF(F84=0,"n/m",F88/F84)</x:f>
        <x:v>-0.019049745384500254</x:v>
      </x:c>
      <x:c r="G212" s="42" t="n">
        <x:f aca="0">IF(G84=0,"n/m",G88/G84)</x:f>
        <x:v>-0.018735600144502998</x:v>
      </x:c>
      <x:c r="H212" s="42" t="n">
        <x:f aca="0">IF(H84=0,"n/m",H88/H84)</x:f>
        <x:v>-0.019494137034977196</x:v>
      </x:c>
      <x:c r="I212" s="11" t="s">
        <x:v>127</x:v>
      </x:c>
    </x:row>
    <x:row r="213" ht="15" hidden="0">
      <x:c r="A213" t="s">
        <x:v>559</x:v>
      </x:c>
      <x:c r="B213" s="19" t="s">
        <x:v>560</x:v>
      </x:c>
      <x:c r="C213" s="30"/>
      <x:c r="D213" s="42" t="n">
        <x:f aca="0">IF(D84=0,"n/m",(D90+D89)/D84)</x:f>
        <x:v>-0.02395382454990844</x:v>
      </x:c>
      <x:c r="E213" s="42" t="n">
        <x:f aca="0">IF(E84=0,"n/m",(E90+E89)/E84)</x:f>
        <x:v>-0.0227766520199979</x:v>
      </x:c>
      <x:c r="F213" s="42" t="n">
        <x:f aca="0">IF(F84=0,"n/m",(F90+F89)/F84)</x:f>
        <x:v>-0.02548815899950567</x:v>
      </x:c>
      <x:c r="G213" s="42" t="n">
        <x:f aca="0">IF(G84=0,"n/m",(G90+G89)/G84)</x:f>
        <x:v>-0.02147528502550645</x:v>
      </x:c>
      <x:c r="H213" s="42" t="n">
        <x:f aca="0">IF(H84=0,"n/m",(H90+H89)/H84)</x:f>
        <x:v>-0.02455120217414993</x:v>
      </x:c>
      <x:c r="I213" s="11" t="s">
        <x:v>127</x:v>
      </x:c>
    </x:row>
    <x:row r="214" ht="15" hidden="0">
      <x:c r="A214" t="s">
        <x:v>561</x:v>
      </x:c>
      <x:c r="B214" s="19" t="s">
        <x:v>562</x:v>
      </x:c>
      <x:c r="C214" s="30"/>
      <x:c r="D214" s="42" t="n">
        <x:f aca="0">IF(D84=0,"n/m",D91/D84)</x:f>
        <x:v>0.18004359810777762</x:v>
      </x:c>
      <x:c r="E214" s="42" t="n">
        <x:f aca="0">IF(E84=0,"n/m",E91/E84)</x:f>
        <x:v>0.1779173984606045</x:v>
      </x:c>
      <x:c r="F214" s="42" t="n">
        <x:f aca="0">IF(F84=0,"n/m",F91/F84)</x:f>
        <x:v>0.17181730260097375</x:v>
      </x:c>
      <x:c r="G214" s="42" t="n">
        <x:f aca="0">IF(G84=0,"n/m",G91/G84)</x:f>
        <x:v>0.22886089116784467</x:v>
      </x:c>
      <x:c r="H214" s="42" t="n">
        <x:f aca="0">IF(H84=0,"n/m",H91/H84)</x:f>
        <x:v>0.22670718514712962</x:v>
      </x:c>
      <x:c r="I214" s="11" t="s">
        <x:v>127</x:v>
      </x:c>
    </x:row>
    <x:row r="215" ht="15" hidden="0">
      <x:c r="A215" t="s">
        <x:v>430</x:v>
      </x:c>
      <x:c r="B215" s="19" t="s">
        <x:v>563</x:v>
      </x:c>
      <x:c r="C215" s="30"/>
      <x:c r="D215" s="42" t="n">
        <x:f aca="0">IF(D84=0,"n/m",(D92+D93+D94)/D84)</x:f>
        <x:v>0.09521691055587866</x:v>
      </x:c>
      <x:c r="E215" s="42" t="n">
        <x:f aca="0">IF(E84=0,"n/m",(E92+E93+E94)/E84)</x:f>
        <x:v>0.09110221808707909</x:v>
      </x:c>
      <x:c r="F215" s="42" t="n">
        <x:f aca="0">IF(F84=0,"n/m",(F92+F93+F94)/F84)</x:f>
        <x:v>0.06310432552450275</x:v>
      </x:c>
      <x:c r="G215" s="42" t="n">
        <x:f aca="0">IF(G84=0,"n/m",(G92+G93+G94)/G84)</x:f>
        <x:v>0.14372747744369124</x:v>
      </x:c>
      <x:c r="H215" s="42" t="n">
        <x:f aca="0">IF(H84=0,"n/m",(H92+H93+H94)/H84)</x:f>
        <x:v>0.1643694027769782</x:v>
      </x:c>
      <x:c r="I215" s="11" t="s">
        <x:v>127</x:v>
      </x:c>
    </x:row>
    <x:row r="216" ht="15" hidden="0">
      <x:c r="A216" t="s">
        <x:v>436</x:v>
      </x:c>
      <x:c r="B216" s="19" t="s">
        <x:v>564</x:v>
      </x:c>
      <x:c r="C216" s="30"/>
      <x:c r="D216" s="42" t="n">
        <x:f aca="0">IF(D84=0,"n/m",D95/D84)</x:f>
        <x:v>-0.0052891760758382415</x:v>
      </x:c>
      <x:c r="E216" s="42" t="n">
        <x:f aca="0">IF(E84=0,"n/m",E95/E84)</x:f>
        <x:v>-0.004864963016467714</x:v>
      </x:c>
      <x:c r="F216" s="42" t="n">
        <x:f aca="0">IF(F84=0,"n/m",F95/F84)</x:f>
        <x:v>-0.012206446757370468</x:v>
      </x:c>
      <x:c r="G216" s="42" t="n">
        <x:f aca="0">IF(G84=0,"n/m",G95/G84)</x:f>
        <x:v>-0.013710546674283175</x:v>
      </x:c>
      <x:c r="H216" s="42" t="n">
        <x:f aca="0">IF(H84=0,"n/m",H95/H84)</x:f>
        <x:v>-0.011007548010892852</x:v>
      </x:c>
      <x:c r="I216" s="11" t="s">
        <x:v>127</x:v>
      </x:c>
    </x:row>
    <x:row r="217" ht="15" hidden="0">
      <x:c r="A217" t="s">
        <x:v>565</x:v>
      </x:c>
      <x:c r="B217" s="19" t="s">
        <x:v>566</x:v>
      </x:c>
      <x:c r="C217" s="30"/>
      <x:c r="D217" s="42" t="n">
        <x:f aca="0">IF(D84=0,"n/m",D96/D84)</x:f>
        <x:v>0.2699713325878181</x:v>
      </x:c>
      <x:c r="E217" s="42" t="n">
        <x:f aca="0">IF(E84=0,"n/m",E96/E84)</x:f>
        <x:v>0.26415465353121587</x:v>
      </x:c>
      <x:c r="F217" s="42" t="n">
        <x:f aca="0">IF(F84=0,"n/m",F96/F84)</x:f>
        <x:v>0.22271518136810603</x:v>
      </x:c>
      <x:c r="G217" s="42" t="n">
        <x:f aca="0">IF(G84=0,"n/m",G96/G84)</x:f>
        <x:v>0.3588778219372528</x:v>
      </x:c>
      <x:c r="H217" s="42" t="n">
        <x:f aca="0">IF(H84=0,"n/m",H96/H84)</x:f>
        <x:v>0.38006903991321495</x:v>
      </x:c>
      <x:c r="I217" s="11" t="s">
        <x:v>127</x:v>
      </x:c>
    </x:row>
    <x:row r="218" ht="15" hidden="0">
      <x:c r="A218" t="s">
        <x:v>567</x:v>
      </x:c>
      <x:c r="B218" s="19" t="s">
        <x:v>568</x:v>
      </x:c>
      <x:c r="C218" s="30"/>
      <x:c r="D218" s="42" t="n">
        <x:f aca="0">IF(D84=0,"n/m",-D110/D84)</x:f>
        <x:v>-0.04642495436783816</x:v>
      </x:c>
      <x:c r="E218" s="42" t="n">
        <x:f aca="0">IF(E84=0,"n/m",-E110/E84)</x:f>
        <x:v>-0.07550065187078746</x:v>
      </x:c>
      <x:c r="F218" s="42" t="n">
        <x:f aca="0">IF(F84=0,"n/m",-F110/F84)</x:f>
        <x:v>-0.07948752311685138</x:v>
      </x:c>
      <x:c r="G218" s="42" t="n">
        <x:f aca="0">IF(G84=0,"n/m",-G110/G84)</x:f>
        <x:v>-0.11516177480496803</x:v>
      </x:c>
      <x:c r="H218" s="42" t="n">
        <x:f aca="0">IF(H84=0,"n/m",-H110/H84)</x:f>
        <x:v>-0.11429361233587733</x:v>
      </x:c>
      <x:c r="I218" s="11" t="s">
        <x:v>127</x:v>
      </x:c>
    </x:row>
    <x:row r="219" ht="15" hidden="0">
      <x:c r="A219" t="s">
        <x:v>569</x:v>
      </x:c>
      <x:c r="B219" s="19" t="s">
        <x:v>570</x:v>
      </x:c>
      <x:c r="C219" s="30"/>
      <x:c r="D219" s="42" t="n">
        <x:f aca="0">IF(D84=0,"n/m",D99/D84)</x:f>
        <x:v>0.22354637821997994</x:v>
      </x:c>
      <x:c r="E219" s="42" t="n">
        <x:f aca="0">IF(E84=0,"n/m",E99/E84)</x:f>
        <x:v>0.18865400166042842</x:v>
      </x:c>
      <x:c r="F219" s="42" t="n">
        <x:f aca="0">IF(F84=0,"n/m",F99/F84)</x:f>
        <x:v>0.14322765825125466</x:v>
      </x:c>
      <x:c r="G219" s="42" t="n">
        <x:f aca="0">IF(G84=0,"n/m",G99/G84)</x:f>
        <x:v>0.24371604713228476</x:v>
      </x:c>
      <x:c r="H219" s="42" t="n">
        <x:f aca="0">IF(H84=0,"n/m",H99/H84)</x:f>
        <x:v>0.26577542757733763</x:v>
      </x:c>
      <x:c r="I219" s="11" t="s">
        <x:v>127</x:v>
      </x:c>
    </x:row>
    <x:row r="220" ht="15" hidden="0">
      <x:c r="A220" t="s">
        <x:v>571</x:v>
      </x:c>
      <x:c r="B220" s="19" t="s">
        <x:v>572</x:v>
      </x:c>
      <x:c r="C220" s="30"/>
      <x:c r="D220" s="42" t="n">
        <x:f aca="0">IF(D84=0,"n/m",D109/D84)</x:f>
        <x:v>0.3435589678269924</x:v>
      </x:c>
      <x:c r="E220" s="42" t="n">
        <x:f aca="0">IF(E84=0,"n/m",E109/E84)</x:f>
        <x:v>0.32485343311935194</x:v>
      </x:c>
      <x:c r="F220" s="42" t="n">
        <x:f aca="0">IF(F84=0,"n/m",F109/F84)</x:f>
        <x:v>0.2903807007475268</x:v>
      </x:c>
      <x:c r="G220" s="42" t="n">
        <x:f aca="0">IF(G84=0,"n/m",G109/G84)</x:f>
        <x:v>0.4254600362166235</x:v>
      </x:c>
      <x:c r="H220" s="42" t="n">
        <x:f aca="0">IF(H84=0,"n/m",H109/H84)</x:f>
        <x:v>0.4467960869618853</x:v>
      </x:c>
      <x:c r="I220" s="11" t="s">
        <x:v>127</x:v>
      </x:c>
    </x:row>
    <x:row r="222" ht="15" hidden="0">
      <x:c r="A222" s="5" t="s">
        <x:v>573</x:v>
      </x:c>
      <x:c r="B222" s="20"/>
      <x:c r="C222" s="20"/>
      <x:c r="D222" s="20"/>
      <x:c r="E222" s="20"/>
      <x:c r="F222" s="20"/>
      <x:c r="G222" s="20"/>
      <x:c r="H222" s="20"/>
      <x:c r="I222" s="20"/>
      <x:c r="J222" s="20"/>
    </x:row>
    <x:row r="223" ht="15" hidden="0">
      <x:c r="A223" t="s">
        <x:v>574</x:v>
      </x:c>
      <x:c r="B223" s="19" t="s">
        <x:v>575</x:v>
      </x:c>
      <x:c r="C223" s="30"/>
      <x:c r="D223" s="43" t="s">
        <x:v>576</x:v>
      </x:c>
      <x:c r="E223" s="44" t="n">
        <x:f aca="0">E84-D84</x:f>
        <x:v>18152.719999999994</x:v>
      </x:c>
      <x:c r="F223" s="44" t="n">
        <x:f aca="0">F84-E84</x:f>
        <x:v>14738.622000000003</x:v>
      </x:c>
      <x:c r="G223" s="44" t="n">
        <x:f aca="0">G84-F84</x:f>
        <x:v>19492.795</x:v>
      </x:c>
      <x:c r="H223" s="44" t="n">
        <x:f aca="0">H84-G84</x:f>
        <x:v>9186.80200000001</x:v>
      </x:c>
      <x:c r="I223" s="11" t="s">
        <x:v>98</x:v>
      </x:c>
    </x:row>
    <x:row r="224" ht="15" hidden="0">
      <x:c r="A224" t="s">
        <x:v>577</x:v>
      </x:c>
      <x:c r="B224" s="19" t="s">
        <x:v>578</x:v>
      </x:c>
      <x:c r="C224" s="30"/>
      <x:c r="D224" s="43" t="s">
        <x:v>576</x:v>
      </x:c>
      <x:c r="E224" s="42" t="n">
        <x:f aca="0">IF(D84&lt;=0,"n/m",(E84-D84)/D84)</x:f>
        <x:v>0.28840940308914054</x:v>
      </x:c>
      <x:c r="F224" s="42" t="n">
        <x:f aca="0">IF(E84&lt;=0,"n/m",(F84-E84)/E84)</x:f>
        <x:v>0.18174844415753297</x:v>
      </x:c>
      <x:c r="G224" s="42" t="n">
        <x:f aca="0">IF(F84&lt;=0,"n/m",(G84-F84)/F84)</x:f>
        <x:v>0.20340559624527663</x:v>
      </x:c>
      <x:c r="H224" s="42" t="n">
        <x:f aca="0">IF(G84&lt;=0,"n/m",(H84-G84)/G84)</x:f>
        <x:v>0.07966014845253519</x:v>
      </x:c>
      <x:c r="I224" s="11" t="s">
        <x:v>127</x:v>
      </x:c>
    </x:row>
    <x:row r="225" ht="15" hidden="0">
      <x:c r="A225" t="s">
        <x:v>579</x:v>
      </x:c>
      <x:c r="B225" s="19" t="s">
        <x:v>575</x:v>
      </x:c>
      <x:c r="C225" s="30"/>
      <x:c r="D225" s="43" t="s">
        <x:v>576</x:v>
      </x:c>
      <x:c r="E225" s="44" t="n">
        <x:f aca="0">E86-D86</x:f>
        <x:v>3595.9089999999924</x:v>
      </x:c>
      <x:c r="F225" s="44" t="n">
        <x:f aca="0">F86-E86</x:f>
        <x:v>3508.837000000007</x:v>
      </x:c>
      <x:c r="G225" s="44" t="n">
        <x:f aca="0">G86-F86</x:f>
        <x:v>12743.894</x:v>
      </x:c>
      <x:c r="H225" s="44" t="n">
        <x:f aca="0">H86-G86</x:f>
        <x:v>3880.1120000000083</x:v>
      </x:c>
      <x:c r="I225" s="11" t="s">
        <x:v>98</x:v>
      </x:c>
    </x:row>
    <x:row r="226" ht="15" hidden="0">
      <x:c r="A226" t="s">
        <x:v>580</x:v>
      </x:c>
      <x:c r="B226" s="19" t="s">
        <x:v>578</x:v>
      </x:c>
      <x:c r="C226" s="30"/>
      <x:c r="D226" s="43" t="s">
        <x:v>576</x:v>
      </x:c>
      <x:c r="E226" s="42" t="n">
        <x:f aca="0">IF(D86&lt;=0,"n/m",(E86-D86)/D86)</x:f>
        <x:v>0.1896983487807401</x:v>
      </x:c>
      <x:c r="F226" s="42" t="n">
        <x:f aca="0">IF(E86&lt;=0,"n/m",(F86-E86)/E86)</x:f>
        <x:v>0.15558982523865825</x:v>
      </x:c>
      <x:c r="G226" s="42" t="n">
        <x:f aca="0">IF(F86&lt;=0,"n/m",(G86-F86)/F86)</x:f>
        <x:v>0.48900853615550605</x:v>
      </x:c>
      <x:c r="H226" s="42" t="n">
        <x:f aca="0">IF(G86&lt;=0,"n/m",(H86-G86)/G86)</x:f>
        <x:v>0.09999110414102771</x:v>
      </x:c>
      <x:c r="I226" s="11" t="s">
        <x:v>127</x:v>
      </x:c>
    </x:row>
    <x:row r="227" ht="15" hidden="0">
      <x:c r="A227" t="s">
        <x:v>581</x:v>
      </x:c>
      <x:c r="B227" s="19" t="s">
        <x:v>575</x:v>
      </x:c>
      <x:c r="C227" s="30"/>
      <x:c r="D227" s="43" t="s">
        <x:v>576</x:v>
      </x:c>
      <x:c r="E227" s="44" t="n">
        <x:f aca="0">E91-D91</x:f>
        <x:v>3095.8599999999915</x:v>
      </x:c>
      <x:c r="F227" s="44" t="n">
        <x:f aca="0">F91-E91</x:f>
        <x:v>2037.6720000000078</x:v>
      </x:c>
      <x:c r="G227" s="44" t="n">
        <x:f aca="0">G91-F91</x:f>
        <x:v>9927.748</x:v>
      </x:c>
      <x:c r="H227" s="44" t="n">
        <x:f aca="0">H91-G91</x:f>
        <x:v>1834.338000000007</x:v>
      </x:c>
      <x:c r="I227" s="11" t="s">
        <x:v>98</x:v>
      </x:c>
    </x:row>
    <x:row r="228" ht="15" hidden="0">
      <x:c r="A228" t="s">
        <x:v>582</x:v>
      </x:c>
      <x:c r="B228" s="19" t="s">
        <x:v>578</x:v>
      </x:c>
      <x:c r="C228" s="30"/>
      <x:c r="D228" s="43" t="s">
        <x:v>576</x:v>
      </x:c>
      <x:c r="E228" s="42" t="n">
        <x:f aca="0">IF(D91&lt;=0,"n/m",(E91-D91)/D91)</x:f>
        <x:v>0.2731941127536142</x:v>
      </x:c>
      <x:c r="F228" s="42" t="n">
        <x:f aca="0">IF(E91&lt;=0,"n/m",(F91-E91)/E91)</x:f>
        <x:v>0.1412308845838039</x:v>
      </x:c>
      <x:c r="G228" s="42" t="n">
        <x:f aca="0">IF(F91&lt;=0,"n/m",(G91-F91)/F91)</x:f>
        <x:v>0.6029379638945899</x:v>
      </x:c>
      <x:c r="H228" s="42" t="n">
        <x:f aca="0">IF(G91&lt;=0,"n/m",(H91-G91)/G91)</x:f>
        <x:v>0.06949995659894753</x:v>
      </x:c>
      <x:c r="I228" s="11" t="s">
        <x:v>127</x:v>
      </x:c>
    </x:row>
    <x:row r="229" ht="15" hidden="0">
      <x:c r="A229" t="s">
        <x:v>583</x:v>
      </x:c>
      <x:c r="B229" s="19" t="s">
        <x:v>575</x:v>
      </x:c>
      <x:c r="C229" s="30"/>
      <x:c r="D229" s="43" t="s">
        <x:v>576</x:v>
      </x:c>
      <x:c r="E229" s="44" t="n">
        <x:f aca="0">E109-D109</x:f>
        <x:v>4719.6319999999905</x:v>
      </x:c>
      <x:c r="F229" s="44" t="n">
        <x:f aca="0">F109-E109</x:f>
        <x:v>1484.296000000002</x:v>
      </x:c>
      <x:c r="G229" s="44" t="n">
        <x:f aca="0">G109-F109</x:f>
        <x:v>21238.348000000005</x:v>
      </x:c>
      <x:c r="H229" s="44" t="n">
        <x:f aca="0">H109-G109</x:f>
        <x:v>6565.205999999998</x:v>
      </x:c>
      <x:c r="I229" s="11" t="s">
        <x:v>98</x:v>
      </x:c>
    </x:row>
    <x:row r="230" ht="15" hidden="0">
      <x:c r="A230" t="s">
        <x:v>584</x:v>
      </x:c>
      <x:c r="B230" s="19" t="s">
        <x:v>578</x:v>
      </x:c>
      <x:c r="C230" s="30"/>
      <x:c r="D230" s="43" t="s">
        <x:v>576</x:v>
      </x:c>
      <x:c r="E230" s="42" t="n">
        <x:f aca="0">IF(D109&lt;=0,"n/m",(E109-D109)/D109)</x:f>
        <x:v>0.21826020291087425</x:v>
      </x:c>
      <x:c r="F230" s="42" t="n">
        <x:f aca="0">IF(E109&lt;=0,"n/m",(F109-E109)/E109)</x:f>
        <x:v>0.05634389646634038</x:v>
      </x:c>
      <x:c r="G230" s="42" t="n">
        <x:f aca="0">IF(F109&lt;=0,"n/m",(G109-F109)/F109)</x:f>
        <x:v>0.763205981815455</x:v>
      </x:c>
      <x:c r="H230" s="42" t="n">
        <x:f aca="0">IF(G109&lt;=0,"n/m",(H109-G109)/G109)</x:f>
        <x:v>0.1338031507421592</x:v>
      </x:c>
      <x:c r="I230" s="11" t="s">
        <x:v>127</x:v>
      </x:c>
    </x:row>
    <x:row r="231" ht="15" hidden="0">
      <x:c r="A231" t="s">
        <x:v>585</x:v>
      </x:c>
      <x:c r="B231" s="19" t="s">
        <x:v>575</x:v>
      </x:c>
      <x:c r="C231" s="30"/>
      <x:c r="D231" s="43" t="s">
        <x:v>576</x:v>
      </x:c>
      <x:c r="E231" s="44" t="n">
        <x:f aca="0">E99-D99</x:f>
        <x:v>1228.4289999999892</x:v>
      </x:c>
      <x:c r="F231" s="44" t="n">
        <x:f aca="0">F99-E99</x:f>
        <x:v>-1572.8039999999946</x:v>
      </x:c>
      <x:c r="G231" s="44" t="n">
        <x:f aca="0">G99-F99</x:f>
        <x:v>14380.725000000006</x:v>
      </x:c>
      <x:c r="H231" s="44" t="n">
        <x:f aca="0">H99-G99</x:f>
        <x:v>4985.623</x:v>
      </x:c>
      <x:c r="I231" s="11" t="s">
        <x:v>98</x:v>
      </x:c>
    </x:row>
    <x:row r="232" ht="15" hidden="0">
      <x:c r="A232" t="s">
        <x:v>586</x:v>
      </x:c>
      <x:c r="B232" s="19" t="s">
        <x:v>578</x:v>
      </x:c>
      <x:c r="C232" s="30"/>
      <x:c r="D232" s="43" t="s">
        <x:v>576</x:v>
      </x:c>
      <x:c r="E232" s="42" t="n">
        <x:f aca="0">IF(D99&lt;=0,"n/m",(E99-D99)/D99)</x:f>
        <x:v>0.0873072138547669</x:v>
      </x:c>
      <x:c r="F232" s="42" t="n">
        <x:f aca="0">IF(E99&lt;=0,"n/m",(F99-E99)/E99)</x:f>
        <x:v>-0.10280693327985543</x:v>
      </x:c>
      <x:c r="G232" s="42" t="n">
        <x:f aca="0">IF(F99&lt;=0,"n/m",(G99-F99)/F99)</x:f>
        <x:v>1.0477138186485704</x:v>
      </x:c>
      <x:c r="H232" s="42" t="n">
        <x:f aca="0">IF(G99&lt;=0,"n/m",(H99-G99)/G99)</x:f>
        <x:v>0.177383028198527</x:v>
      </x:c>
      <x:c r="I232" s="11" t="s">
        <x:v>127</x:v>
      </x:c>
    </x:row>
    <x:row r="233" ht="15" hidden="0">
      <x:c r="A233" t="s">
        <x:v>587</x:v>
      </x:c>
      <x:c r="B233" s="19" t="s">
        <x:v>575</x:v>
      </x:c>
      <x:c r="C233" s="30"/>
      <x:c r="D233" s="43" t="s">
        <x:v>576</x:v>
      </x:c>
      <x:c r="E233" s="44" t="n">
        <x:f aca="0">E117-D117</x:f>
        <x:v>2976.818000000001</x:v>
      </x:c>
      <x:c r="F233" s="44" t="n">
        <x:f aca="0">F117-E117</x:f>
        <x:v>7773.447</x:v>
      </x:c>
      <x:c r="G233" s="44" t="n">
        <x:f aca="0">G117-F117</x:f>
        <x:v>4337.845000000001</x:v>
      </x:c>
      <x:c r="H233" s="44" t="n">
        <x:f aca="0">H117-G117</x:f>
        <x:v>-8.174000000002707</x:v>
      </x:c>
      <x:c r="I233" s="11" t="s">
        <x:v>98</x:v>
      </x:c>
    </x:row>
    <x:row r="234" ht="15" hidden="0">
      <x:c r="A234" t="s">
        <x:v>588</x:v>
      </x:c>
      <x:c r="B234" s="19" t="s">
        <x:v>578</x:v>
      </x:c>
      <x:c r="C234" s="30"/>
      <x:c r="D234" s="43" t="s">
        <x:v>576</x:v>
      </x:c>
      <x:c r="E234" s="42" t="n">
        <x:f aca="0">IF(D117&lt;=0,"n/m",(E117-D117)/D117)</x:f>
        <x:v>0.23828591431220544</x:v>
      </x:c>
      <x:c r="F234" s="42" t="n">
        <x:f aca="0">IF(E117&lt;=0,"n/m",(F117-E117)/E117)</x:f>
        <x:v>0.5025031596147994</x:v>
      </x:c>
      <x:c r="G234" s="42" t="n">
        <x:f aca="0">IF(F117&lt;=0,"n/m",(G117-F117)/F117)</x:f>
        <x:v>0.18663100329666324</x:v>
      </x:c>
      <x:c r="H234" s="42" t="n">
        <x:f aca="0">IF(G117&lt;=0,"n/m",(H117-G117)/G117)</x:f>
        <x:v>-0.00029636622163279464</x:v>
      </x:c>
      <x:c r="I234" s="11" t="s">
        <x:v>127</x:v>
      </x:c>
    </x:row>
    <x:row r="235" ht="15" hidden="0">
      <x:c r="A235" t="s">
        <x:v>589</x:v>
      </x:c>
      <x:c r="B235" s="19" t="s">
        <x:v>575</x:v>
      </x:c>
      <x:c r="C235" s="30"/>
      <x:c r="D235" s="44" t="n">
        <x:f aca="0">D37-C37</x:f>
        <x:v>20499.588000000018</x:v>
      </x:c>
      <x:c r="E235" s="44" t="n">
        <x:f aca="0">E37-D37</x:f>
        <x:v>28594.30600000001</x:v>
      </x:c>
      <x:c r="F235" s="44" t="n">
        <x:f aca="0">F37-E37</x:f>
        <x:v>28116.698999999993</x:v>
      </x:c>
      <x:c r="G235" s="44" t="n">
        <x:f aca="0">G37-F37</x:f>
        <x:v>20939.022999999986</x:v>
      </x:c>
      <x:c r="H235" s="44" t="n">
        <x:f aca="0">H37-G37</x:f>
        <x:v>32729.94000000003</x:v>
      </x:c>
      <x:c r="I235" s="11" t="s">
        <x:v>98</x:v>
      </x:c>
    </x:row>
    <x:row r="236" ht="15" hidden="0">
      <x:c r="A236" t="s">
        <x:v>590</x:v>
      </x:c>
      <x:c r="B236" s="19" t="s">
        <x:v>578</x:v>
      </x:c>
      <x:c r="C236" s="30"/>
      <x:c r="D236" s="42" t="n">
        <x:f aca="0">IF(C37&lt;=0,"n/m",(D37-C37)/C37)</x:f>
        <x:v>0.15087817943697535</x:v>
      </x:c>
      <x:c r="E236" s="42" t="n">
        <x:f aca="0">IF(D37&lt;=0,"n/m",(E37-D37)/D37)</x:f>
        <x:v>0.18286538589958357</x:v>
      </x:c>
      <x:c r="F236" s="42" t="n">
        <x:f aca="0">IF(E37&lt;=0,"n/m",(F37-E37)/E37)</x:f>
        <x:v>0.1520130786820376</x:v>
      </x:c>
      <x:c r="G236" s="42" t="n">
        <x:f aca="0">IF(F37&lt;=0,"n/m",(G37-F37)/F37)</x:f>
        <x:v>0.09826879427813519</x:v>
      </x:c>
      <x:c r="H236" s="42" t="n">
        <x:f aca="0">IF(G37&lt;=0,"n/m",(H37-G37)/G37)</x:f>
        <x:v>0.13986072615155534</x:v>
      </x:c>
      <x:c r="I236" s="11" t="s">
        <x:v>127</x:v>
      </x:c>
    </x:row>
    <x:row r="237" ht="15" hidden="0">
      <x:c r="A237" t="s">
        <x:v>591</x:v>
      </x:c>
      <x:c r="B237" s="19" t="s">
        <x:v>575</x:v>
      </x:c>
      <x:c r="C237" s="30"/>
      <x:c r="D237" s="44" t="n">
        <x:f aca="0">D41-C41</x:f>
        <x:v>14016.396999999997</x:v>
      </x:c>
      <x:c r="E237" s="44" t="n">
        <x:f aca="0">E41-D41</x:f>
        <x:v>15340.065999999992</x:v>
      </x:c>
      <x:c r="F237" s="44" t="n">
        <x:f aca="0">F41-E41</x:f>
        <x:v>8826.002000000008</x:v>
      </x:c>
      <x:c r="G237" s="44" t="n">
        <x:f aca="0">G41-F41</x:f>
        <x:v>10394.951000000001</x:v>
      </x:c>
      <x:c r="H237" s="44" t="n">
        <x:f aca="0">H41-G41</x:f>
        <x:v>28149.122999999992</x:v>
      </x:c>
      <x:c r="I237" s="11" t="s">
        <x:v>98</x:v>
      </x:c>
    </x:row>
    <x:row r="238" ht="15" hidden="0">
      <x:c r="A238" t="s">
        <x:v>592</x:v>
      </x:c>
      <x:c r="B238" s="19" t="s">
        <x:v>578</x:v>
      </x:c>
      <x:c r="C238" s="30"/>
      <x:c r="D238" s="42" t="n">
        <x:f aca="0">IF(C41&lt;=0,"n/m",(D41-C41)/C41)</x:f>
        <x:v>0.14131731572740444</x:v>
      </x:c>
      <x:c r="E238" s="42" t="n">
        <x:f aca="0">IF(D41&lt;=0,"n/m",(E41-D41)/D41)</x:f>
        <x:v>0.1355126416761346</x:v>
      </x:c>
      <x:c r="F238" s="42" t="n">
        <x:f aca="0">IF(E41&lt;=0,"n/m",(F41-E41)/E41)</x:f>
        <x:v>0.06866329355136842</x:v>
      </x:c>
      <x:c r="G238" s="42" t="n">
        <x:f aca="0">IF(F41&lt;=0,"n/m",(G41-F41)/F41)</x:f>
        <x:v>0.07567321120607098</x:v>
      </x:c>
      <x:c r="H238" s="42" t="n">
        <x:f aca="0">IF(G41&lt;=0,"n/m",(H41-G41)/G41)</x:f>
        <x:v>0.19050405878666027</x:v>
      </x:c>
      <x:c r="I238" s="11" t="s">
        <x:v>127</x:v>
      </x:c>
    </x:row>
    <x:row r="239" ht="15" hidden="0">
      <x:c r="A239" t="s">
        <x:v>593</x:v>
      </x:c>
      <x:c r="B239" s="19" t="s">
        <x:v>575</x:v>
      </x:c>
      <x:c r="C239" s="30"/>
      <x:c r="D239" s="44" t="n">
        <x:f aca="0">D66-C66</x:f>
        <x:v>2112.319999999998</x:v>
      </x:c>
      <x:c r="E239" s="44" t="n">
        <x:f aca="0">E66-D66</x:f>
        <x:v>5104.696</x:v>
      </x:c>
      <x:c r="F239" s="44" t="n">
        <x:f aca="0">F66-E66</x:f>
        <x:v>5446.299000000001</x:v>
      </x:c>
      <x:c r="G239" s="44" t="n">
        <x:f aca="0">G66-F66</x:f>
        <x:v>-697.1629999999968</x:v>
      </x:c>
      <x:c r="H239" s="44" t="n">
        <x:f aca="0">H66-G66</x:f>
        <x:v>-2809.1770000000033</x:v>
      </x:c>
      <x:c r="I239" s="11" t="s">
        <x:v>98</x:v>
      </x:c>
    </x:row>
    <x:row r="240" ht="15" hidden="0">
      <x:c r="A240" t="s">
        <x:v>594</x:v>
      </x:c>
      <x:c r="B240" s="19" t="s">
        <x:v>578</x:v>
      </x:c>
      <x:c r="C240" s="30"/>
      <x:c r="D240" s="42" t="n">
        <x:f aca="0">IF(C66&lt;=0,"n/m",(D66-C66)/C66)</x:f>
        <x:v>0.25210798135065454</x:v>
      </x:c>
      <x:c r="E240" s="42" t="n">
        <x:f aca="0">IF(D66&lt;=0,"n/m",(E66-D66)/D66)</x:f>
        <x:v>0.48658081745107595</x:v>
      </x:c>
      <x:c r="F240" s="42" t="n">
        <x:f aca="0">IF(E66&lt;=0,"n/m",(F66-E66)/E66)</x:f>
        <x:v>0.34921915395884806</x:v>
      </x:c>
      <x:c r="G240" s="42" t="n">
        <x:f aca="0">IF(F66&lt;=0,"n/m",(G66-F66)/F66)</x:f>
        <x:v>-0.03313205759904237</x:v>
      </x:c>
      <x:c r="H240" s="42" t="n">
        <x:f aca="0">IF(G66&lt;=0,"n/m",(H66-G66)/G66)</x:f>
        <x:v>-0.13807848734103065</x:v>
      </x:c>
      <x:c r="I240" s="11" t="s">
        <x:v>127</x:v>
      </x:c>
    </x:row>
    <x:row r="241" ht="15" hidden="0">
      <x:c r="A241" t="s">
        <x:v>595</x:v>
      </x:c>
      <x:c r="B241" s="19" t="s">
        <x:v>575</x:v>
      </x:c>
      <x:c r="C241" s="30"/>
      <x:c r="D241" s="44" t="n">
        <x:f aca="0">D65-C65</x:f>
        <x:v>4195.888000000001</x:v>
      </x:c>
      <x:c r="E241" s="44" t="n">
        <x:f aca="0">E65-D65</x:f>
        <x:v>4746.597000000002</x:v>
      </x:c>
      <x:c r="F241" s="44" t="n">
        <x:f aca="0">F65-E65</x:f>
        <x:v>1754.3179999999993</x:v>
      </x:c>
      <x:c r="G241" s="44" t="n">
        <x:f aca="0">G65-F65</x:f>
        <x:v>2964.721999999998</x:v>
      </x:c>
      <x:c r="H241" s="44" t="n">
        <x:f aca="0">H65-G65</x:f>
        <x:v>1572.4600000000028</x:v>
      </x:c>
      <x:c r="I241" s="11" t="s">
        <x:v>98</x:v>
      </x:c>
    </x:row>
    <x:row r="242" ht="15" hidden="0">
      <x:c r="A242" t="s">
        <x:v>596</x:v>
      </x:c>
      <x:c r="B242" s="19" t="s">
        <x:v>578</x:v>
      </x:c>
      <x:c r="C242" s="30"/>
      <x:c r="D242" s="42" t="n">
        <x:f aca="0">IF(C65&lt;=0,"n/m",(D65-C65)/C65)</x:f>
        <x:v>0.4446811807299962</x:v>
      </x:c>
      <x:c r="E242" s="42" t="n">
        <x:f aca="0">IF(D65&lt;=0,"n/m",(E65-D65)/D65)</x:f>
        <x:v>0.34820516432028215</x:v>
      </x:c>
      <x:c r="F242" s="42" t="n">
        <x:f aca="0">IF(E65&lt;=0,"n/m",(F65-E65)/E65)</x:f>
        <x:v>0.09545642836648859</x:v>
      </x:c>
      <x:c r="G242" s="42" t="n">
        <x:f aca="0">IF(F65&lt;=0,"n/m",(G65-F65)/F65)</x:f>
        <x:v>0.14726031632892533</x:v>
      </x:c>
      <x:c r="H242" s="42" t="n">
        <x:f aca="0">IF(G65&lt;=0,"n/m",(H65-G65)/G65)</x:f>
        <x:v>0.06807997507235398</x:v>
      </x:c>
      <x:c r="I242" s="11" t="s">
        <x:v>127</x:v>
      </x:c>
    </x:row>
    <x:row r="243" ht="15" hidden="0">
      <x:c r="A243" t="s">
        <x:v>597</x:v>
      </x:c>
      <x:c r="B243" s="19" t="s">
        <x:v>575</x:v>
      </x:c>
      <x:c r="C243" s="30"/>
      <x:c r="D243" s="44" t="n">
        <x:f aca="0">D32-C32</x:f>
        <x:v>-712.6859999999997</x:v>
      </x:c>
      <x:c r="E243" s="44" t="n">
        <x:f aca="0">E32-D32</x:f>
        <x:v>812.8499999999999</x:v>
      </x:c>
      <x:c r="F243" s="44" t="n">
        <x:f aca="0">F32-E32</x:f>
        <x:v>1566.7360000000003</x:v>
      </x:c>
      <x:c r="G243" s="44" t="n">
        <x:f aca="0">G32-F32</x:f>
        <x:v>1842.812</x:v>
      </x:c>
      <x:c r="H243" s="44" t="n">
        <x:f aca="0">H32-G32</x:f>
        <x:v>-579.2849999999999</x:v>
      </x:c>
      <x:c r="I243" s="11" t="s">
        <x:v>98</x:v>
      </x:c>
    </x:row>
    <x:row r="244" ht="15" hidden="0">
      <x:c r="A244" t="s">
        <x:v>598</x:v>
      </x:c>
      <x:c r="B244" s="19" t="s">
        <x:v>578</x:v>
      </x:c>
      <x:c r="C244" s="30"/>
      <x:c r="D244" s="42" t="n">
        <x:f aca="0">IF(C32&lt;=0,"n/m",(D32-C32)/C32)</x:f>
        <x:v>-0.20821925652549522</x:v>
      </x:c>
      <x:c r="E244" s="42" t="n">
        <x:f aca="0">IF(D32&lt;=0,"n/m",(E32-D32)/D32)</x:f>
        <x:v>0.29993568457916936</x:v>
      </x:c>
      <x:c r="F244" s="42" t="n">
        <x:f aca="0">IF(E32&lt;=0,"n/m",(F32-E32)/E32)</x:f>
        <x:v>0.4447251450567724</x:v>
      </x:c>
      <x:c r="G244" s="42" t="n">
        <x:f aca="0">IF(F32&lt;=0,"n/m",(G32-F32)/F32)</x:f>
        <x:v>0.3620692670070556</x:v>
      </x:c>
      <x:c r="H244" s="42" t="n">
        <x:f aca="0">IF(G32&lt;=0,"n/m",(H32-G32)/G32)</x:f>
        <x:v>-0.08356101763885615</x:v>
      </x:c>
      <x:c r="I244" s="11" t="s">
        <x:v>127</x:v>
      </x:c>
    </x:row>
    <x:row r="245" ht="15" hidden="0">
      <x:c r="A245" t="s">
        <x:v>599</x:v>
      </x:c>
      <x:c r="B245" s="19" t="s">
        <x:v>575</x:v>
      </x:c>
      <x:c r="C245" s="30"/>
      <x:c r="D245" s="44" t="n">
        <x:f aca="0">D34-C34</x:f>
        <x:v>-4991.182</x:v>
      </x:c>
      <x:c r="E245" s="44" t="n">
        <x:f aca="0">E34-D34</x:f>
        <x:v>1045.654</x:v>
      </x:c>
      <x:c r="F245" s="44" t="n">
        <x:f aca="0">F34-E34</x:f>
        <x:v>245.1029999999996</x:v>
      </x:c>
      <x:c r="G245" s="44" t="n">
        <x:f aca="0">G34-F34</x:f>
        <x:v>-1549.0049999999997</x:v>
      </x:c>
      <x:c r="H245" s="44" t="n">
        <x:f aca="0">H34-G34</x:f>
        <x:v>223.14699999999993</x:v>
      </x:c>
      <x:c r="I245" s="11" t="s">
        <x:v>98</x:v>
      </x:c>
    </x:row>
    <x:row r="246" ht="15" hidden="0">
      <x:c r="A246" t="s">
        <x:v>600</x:v>
      </x:c>
      <x:c r="B246" s="19" t="s">
        <x:v>578</x:v>
      </x:c>
      <x:c r="C246" s="30"/>
      <x:c r="D246" s="42" t="n">
        <x:f aca="0">IF(C34&lt;=0,"n/m",(D34-C34)/C34)</x:f>
        <x:v>-0.6385357020681355</x:v>
      </x:c>
      <x:c r="E246" s="42" t="n">
        <x:f aca="0">IF(D34&lt;=0,"n/m",(E34-D34)/D34)</x:f>
        <x:v>0.37008746297900774</x:v>
      </x:c>
      <x:c r="F246" s="42" t="n">
        <x:f aca="0">IF(E34&lt;=0,"n/m",(F34-E34)/E34)</x:f>
        <x:v>0.06331647153583565</x:v>
      </x:c>
      <x:c r="G246" s="42" t="n">
        <x:f aca="0">IF(F34&lt;=0,"n/m",(G34-F34)/F34)</x:f>
        <x:v>-0.3763209149451882</x:v>
      </x:c>
      <x:c r="H246" s="42" t="n">
        <x:f aca="0">IF(G34&lt;=0,"n/m",(H34-G34)/G34)</x:f>
        <x:v>0.08692314044693467</x:v>
      </x:c>
      <x:c r="I246" s="11" t="s">
        <x:v>127</x:v>
      </x:c>
    </x:row>
    <x:row r="248" ht="15" hidden="0">
      <x:c r="A248" s="5" t="s">
        <x:v>601</x:v>
      </x:c>
      <x:c r="B248" s="20"/>
      <x:c r="C248" s="20"/>
      <x:c r="D248" s="20"/>
      <x:c r="E248" s="20"/>
      <x:c r="F248" s="20"/>
      <x:c r="G248" s="20"/>
      <x:c r="H248" s="20"/>
      <x:c r="I248" s="20"/>
      <x:c r="J248" s="20"/>
    </x:row>
    <x:row r="250" ht="15" hidden="0">
      <x:c r="A250" s="5" t="s">
        <x:v>602</x:v>
      </x:c>
      <x:c r="B250" s="20"/>
      <x:c r="C250" s="20"/>
      <x:c r="D250" s="20"/>
      <x:c r="E250" s="20"/>
      <x:c r="F250" s="20"/>
      <x:c r="G250" s="20"/>
      <x:c r="H250" s="20"/>
      <x:c r="I250" s="20"/>
      <x:c r="J250" s="20"/>
    </x:row>
    <x:row r="251" ht="15" hidden="0">
      <x:c r="A251" s="45" t="s">
        <x:v>738</x:v>
      </x:c>
    </x:row>
    <x:row r="252" ht="15" hidden="0">
      <x:c r="A252" s="24" t="s">
        <x:v>82</x:v>
      </x:c>
      <x:c r="B252" s="24" t="s">
        <x:v>604</x:v>
      </x:c>
      <x:c r="C252" s="24"/>
      <x:c r="D252" s="24" t="s">
        <x:v>73</x:v>
      </x:c>
      <x:c r="E252" s="24" t="s">
        <x:v>74</x:v>
      </x:c>
      <x:c r="F252" s="24" t="s">
        <x:v>75</x:v>
      </x:c>
      <x:c r="G252" s="24" t="s">
        <x:v>76</x:v>
      </x:c>
      <x:c r="H252" s="24" t="s">
        <x:v>77</x:v>
      </x:c>
      <x:c r="I252" s="24"/>
      <x:c r="J252" s="24" t="s">
        <x:v>605</x:v>
      </x:c>
    </x:row>
    <x:row r="253" ht="15" hidden="0">
      <x:c r="A253" t="s">
        <x:v>613</x:v>
      </x:c>
      <x:c r="B253" s="9" t="s">
        <x:v>739</x:v>
      </x:c>
      <x:c r="D253" s="46" t="n">
        <x:f aca="0">D144</x:f>
        <x:v>3.813607312713928</x:v>
      </x:c>
      <x:c r="E253" s="46" t="n">
        <x:f aca="0">E144</x:f>
        <x:v>3.657733126059421</x:v>
      </x:c>
      <x:c r="F253" s="46" t="n">
        <x:f aca="0">F144</x:f>
        <x:v>3.6234818387767853</x:v>
      </x:c>
      <x:c r="G253" s="46" t="n">
        <x:f aca="0">G144</x:f>
        <x:v>3.5401699550948362</x:v>
      </x:c>
      <x:c r="H253" s="46" t="n">
        <x:f aca="0">H144</x:f>
        <x:v>3.426094952590027</x:v>
      </x:c>
      <x:c r="J253" s="9"/>
    </x:row>
    <x:row r="254" ht="15" hidden="0">
      <x:c r="A254" t="s">
        <x:v>616</x:v>
      </x:c>
      <x:c r="D254" s="47" t="n">
        <x:v>3.81</x:v>
      </x:c>
      <x:c r="E254" s="47" t="n">
        <x:v>3.66</x:v>
      </x:c>
      <x:c r="F254" s="47" t="n">
        <x:v>3.62</x:v>
      </x:c>
      <x:c r="G254" s="47" t="n">
        <x:v>3.54</x:v>
      </x:c>
      <x:c r="H254" s="47" t="n">
        <x:v>3.43</x:v>
      </x:c>
    </x:row>
    <x:row r="255" ht="15" hidden="0">
      <x:c r="A255" t="s">
        <x:v>609</x:v>
      </x:c>
      <x:c r="D255" s="46" t="n">
        <x:f aca="0">IF(AND(ISNUMBER(D253),ISNUMBER(D254)),D253-D254,"n/a")</x:f>
        <x:v>0.0036073127139277794</x:v>
      </x:c>
      <x:c r="E255" s="46" t="n">
        <x:f aca="0">IF(AND(ISNUMBER(E253),ISNUMBER(E254)),E253-E254,"n/a")</x:f>
        <x:v>-0.002266873940579117</x:v>
      </x:c>
      <x:c r="F255" s="46" t="n">
        <x:f aca="0">IF(AND(ISNUMBER(F253),ISNUMBER(F254)),F253-F254,"n/a")</x:f>
        <x:v>0.0034818387767852066</x:v>
      </x:c>
      <x:c r="G255" s="46" t="n">
        <x:f aca="0">IF(AND(ISNUMBER(G253),ISNUMBER(G254)),G253-G254,"n/a")</x:f>
        <x:v>0.00016995509483619387</x:v>
      </x:c>
      <x:c r="H255" s="46" t="n">
        <x:f aca="0">IF(AND(ISNUMBER(H253),ISNUMBER(H254)),H253-H254,"n/a")</x:f>
        <x:v>-0.003905047409973328</x:v>
      </x:c>
    </x:row>
    <x:row r="256" ht="15" hidden="0">
      <x:c r="A256" t="s">
        <x:v>194</x:v>
      </x:c>
      <x:c r="D256" s="48" t="str">
        <x:f aca="0">IF(NOT(ISNUMBER(D255)),"n/a",IF(ABS(D255)&lt;=MAX(0.01,0.02*ABS(D254)),"Agrees","Differs"))</x:f>
        <x:v>Agrees</x:v>
      </x:c>
      <x:c r="E256" s="48" t="str">
        <x:f aca="0">IF(NOT(ISNUMBER(E255)),"n/a",IF(ABS(E255)&lt;=MAX(0.01,0.02*ABS(E254)),"Agrees","Differs"))</x:f>
        <x:v>Agrees</x:v>
      </x:c>
      <x:c r="F256" s="48" t="str">
        <x:f aca="0">IF(NOT(ISNUMBER(F255)),"n/a",IF(ABS(F255)&lt;=MAX(0.01,0.02*ABS(F254)),"Agrees","Differs"))</x:f>
        <x:v>Agrees</x:v>
      </x:c>
      <x:c r="G256" s="48" t="str">
        <x:f aca="0">IF(NOT(ISNUMBER(G255)),"n/a",IF(ABS(G255)&lt;=MAX(0.01,0.02*ABS(G254)),"Agrees","Differs"))</x:f>
        <x:v>Agrees</x:v>
      </x:c>
      <x:c r="H256" s="48" t="str">
        <x:f aca="0">IF(NOT(ISNUMBER(H255)),"n/a",IF(ABS(H255)&lt;=MAX(0.01,0.02*ABS(H254)),"Agrees","Differs"))</x:f>
        <x:v>Agrees</x:v>
      </x:c>
    </x:row>
    <x:row r="257" ht="15" hidden="0">
      <x:c r="A257" t="s">
        <x:v>740</x:v>
      </x:c>
      <x:c r="B257" s="9" t="s">
        <x:v>741</x:v>
      </x:c>
      <x:c r="D257" s="49" t="n">
        <x:f aca="0">D148</x:f>
        <x:v>17.782498333156052</x:v>
      </x:c>
      <x:c r="E257" s="49" t="n">
        <x:f aca="0">E148</x:f>
        <x:v>14.027318333985361</x:v>
      </x:c>
      <x:c r="F257" s="49" t="n">
        <x:f aca="0">F148</x:f>
        <x:v>16.40158531562483</x:v>
      </x:c>
      <x:c r="G257" s="49" t="n">
        <x:f aca="0">G148</x:f>
        <x:v>19.024866667611246</x:v>
      </x:c>
      <x:c r="H257" s="49" t="n">
        <x:f aca="0">H148</x:f>
        <x:v>19.473145621508603</x:v>
      </x:c>
      <x:c r="J257" s="9"/>
    </x:row>
    <x:row r="258" ht="15" hidden="0">
      <x:c r="A258" t="s">
        <x:v>742</x:v>
      </x:c>
      <x:c r="D258" s="50" t="n">
        <x:v>17.78</x:v>
      </x:c>
      <x:c r="E258" s="50" t="n">
        <x:v>14.03</x:v>
      </x:c>
      <x:c r="F258" s="50" t="n">
        <x:v>16.4</x:v>
      </x:c>
      <x:c r="G258" s="50" t="n">
        <x:v>19.02</x:v>
      </x:c>
      <x:c r="H258" s="50" t="n">
        <x:v>19.48</x:v>
      </x:c>
    </x:row>
    <x:row r="259" ht="15" hidden="0">
      <x:c r="A259" t="s">
        <x:v>609</x:v>
      </x:c>
      <x:c r="D259" s="49" t="n">
        <x:f aca="0">IF(AND(ISNUMBER(D257),ISNUMBER(D258)),D257-D258,"n/a")</x:f>
        <x:v>0.0024983331560513022</x:v>
      </x:c>
      <x:c r="E259" s="49" t="n">
        <x:f aca="0">IF(AND(ISNUMBER(E257),ISNUMBER(E258)),E257-E258,"n/a")</x:f>
        <x:v>-0.00268166601463804</x:v>
      </x:c>
      <x:c r="F259" s="49" t="n">
        <x:f aca="0">IF(AND(ISNUMBER(F257),ISNUMBER(F258)),F257-F258,"n/a")</x:f>
        <x:v>0.001585315624829775</x:v>
      </x:c>
      <x:c r="G259" s="49" t="n">
        <x:f aca="0">IF(AND(ISNUMBER(G257),ISNUMBER(G258)),G257-G258,"n/a")</x:f>
        <x:v>0.0048666676112461005</x:v>
      </x:c>
      <x:c r="H259" s="49" t="n">
        <x:f aca="0">IF(AND(ISNUMBER(H257),ISNUMBER(H258)),H257-H258,"n/a")</x:f>
        <x:v>-0.0068543784913970285</x:v>
      </x:c>
    </x:row>
    <x:row r="260" ht="15" hidden="0">
      <x:c r="A260" t="s">
        <x:v>194</x:v>
      </x:c>
      <x:c r="D260" s="48" t="str">
        <x:f aca="0">IF(NOT(ISNUMBER(D259)),"n/a",IF(ABS(D259)&lt;=MAX(1,0.02*ABS(D258)),"Agrees","Differs"))</x:f>
        <x:v>Agrees</x:v>
      </x:c>
      <x:c r="E260" s="48" t="str">
        <x:f aca="0">IF(NOT(ISNUMBER(E259)),"n/a",IF(ABS(E259)&lt;=MAX(1,0.02*ABS(E258)),"Agrees","Differs"))</x:f>
        <x:v>Agrees</x:v>
      </x:c>
      <x:c r="F260" s="48" t="str">
        <x:f aca="0">IF(NOT(ISNUMBER(F259)),"n/a",IF(ABS(F259)&lt;=MAX(1,0.02*ABS(F258)),"Agrees","Differs"))</x:f>
        <x:v>Agrees</x:v>
      </x:c>
      <x:c r="G260" s="48" t="str">
        <x:f aca="0">IF(NOT(ISNUMBER(G259)),"n/a",IF(ABS(G259)&lt;=MAX(1,0.02*ABS(G258)),"Agrees","Differs"))</x:f>
        <x:v>Agrees</x:v>
      </x:c>
      <x:c r="H260" s="48" t="str">
        <x:f aca="0">IF(NOT(ISNUMBER(H259)),"n/a",IF(ABS(H259)&lt;=MAX(1,0.02*ABS(H258)),"Agrees","Differs"))</x:f>
        <x:v>Agrees</x:v>
      </x:c>
    </x:row>
    <x:row r="261" ht="15" hidden="0">
      <x:c r="A261" t="s">
        <x:v>743</x:v>
      </x:c>
      <x:c r="B261" s="9" t="s">
        <x:v>744</x:v>
      </x:c>
      <x:c r="D261" s="49" t="n">
        <x:f aca="0">D149</x:f>
        <x:v>22.744515597441875</x:v>
      </x:c>
      <x:c r="E261" s="49" t="n">
        <x:f aca="0">E149</x:f>
        <x:v>19.438565176908817</x:v>
      </x:c>
      <x:c r="F261" s="49" t="n">
        <x:f aca="0">F149</x:f>
        <x:v>21.928688071624233</x:v>
      </x:c>
      <x:c r="G261" s="49" t="n">
        <x:f aca="0">G149</x:f>
        <x:v>29.103243031888113</x:v>
      </x:c>
      <x:c r="H261" s="49" t="n">
        <x:f aca="0">H149</x:f>
        <x:v>30.3302992616379</x:v>
      </x:c>
      <x:c r="J261" s="9" t="s">
        <x:v>745</x:v>
      </x:c>
    </x:row>
    <x:row r="262" ht="15" hidden="0">
      <x:c r="A262" t="s">
        <x:v>746</x:v>
      </x:c>
      <x:c r="D262" s="50" t="n">
        <x:v>166.67</x:v>
      </x:c>
      <x:c r="E262" s="50" t="n">
        <x:v>137.22</x:v>
      </x:c>
      <x:c r="F262" s="50" t="n">
        <x:v>138.78</x:v>
      </x:c>
      <x:c r="G262" s="50" t="n">
        <x:v>143.14</x:v>
      </x:c>
      <x:c r="H262" s="50" t="n">
        <x:v>127.62</x:v>
      </x:c>
    </x:row>
    <x:row r="263" ht="15" hidden="0">
      <x:c r="A263" t="s">
        <x:v>609</x:v>
      </x:c>
      <x:c r="D263" s="49" t="n">
        <x:f aca="0">IF(AND(ISNUMBER(D261),ISNUMBER(D262)),D261-D262,"n/a")</x:f>
        <x:v>-143.9254844025581</x:v>
      </x:c>
      <x:c r="E263" s="49" t="n">
        <x:f aca="0">IF(AND(ISNUMBER(E261),ISNUMBER(E262)),E261-E262,"n/a")</x:f>
        <x:v>-117.78143482309119</x:v>
      </x:c>
      <x:c r="F263" s="49" t="n">
        <x:f aca="0">IF(AND(ISNUMBER(F261),ISNUMBER(F262)),F261-F262,"n/a")</x:f>
        <x:v>-116.85131192837576</x:v>
      </x:c>
      <x:c r="G263" s="49" t="n">
        <x:f aca="0">IF(AND(ISNUMBER(G261),ISNUMBER(G262)),G261-G262,"n/a")</x:f>
        <x:v>-114.03675696811187</x:v>
      </x:c>
      <x:c r="H263" s="49" t="n">
        <x:f aca="0">IF(AND(ISNUMBER(H261),ISNUMBER(H262)),H261-H262,"n/a")</x:f>
        <x:v>-97.2897007383621</x:v>
      </x:c>
    </x:row>
    <x:row r="264" ht="15" hidden="0">
      <x:c r="A264" t="s">
        <x:v>194</x:v>
      </x:c>
      <x:c r="D264" s="48" t="str">
        <x:f aca="0">IF(NOT(ISNUMBER(D263)),"n/a",IF(ABS(D263)&lt;=MAX(1,0.02*ABS(D262)),"Agrees","Differs"))</x:f>
        <x:v>Differs</x:v>
      </x:c>
      <x:c r="E264" s="48" t="str">
        <x:f aca="0">IF(NOT(ISNUMBER(E263)),"n/a",IF(ABS(E263)&lt;=MAX(1,0.02*ABS(E262)),"Agrees","Differs"))</x:f>
        <x:v>Differs</x:v>
      </x:c>
      <x:c r="F264" s="48" t="str">
        <x:f aca="0">IF(NOT(ISNUMBER(F263)),"n/a",IF(ABS(F263)&lt;=MAX(1,0.02*ABS(F262)),"Agrees","Differs"))</x:f>
        <x:v>Differs</x:v>
      </x:c>
      <x:c r="G264" s="48" t="str">
        <x:f aca="0">IF(NOT(ISNUMBER(G263)),"n/a",IF(ABS(G263)&lt;=MAX(1,0.02*ABS(G262)),"Agrees","Differs"))</x:f>
        <x:v>Differs</x:v>
      </x:c>
      <x:c r="H264" s="48" t="str">
        <x:f aca="0">IF(NOT(ISNUMBER(H263)),"n/a",IF(ABS(H263)&lt;=MAX(1,0.02*ABS(H262)),"Agrees","Differs"))</x:f>
        <x:v>Differs</x:v>
      </x:c>
    </x:row>
    <x:row r="265" ht="15" hidden="0">
      <x:c r="A265" t="s">
        <x:v>629</x:v>
      </x:c>
      <x:c r="B265" s="9" t="s">
        <x:v>747</x:v>
      </x:c>
      <x:c r="D265" s="46" t="n">
        <x:f aca="0">D152</x:f>
        <x:v>0.43075247100519976</x:v>
      </x:c>
      <x:c r="E265" s="46" t="n">
        <x:f aca="0">E152</x:f>
        <x:v>0.4751614147030488</x:v>
      </x:c>
      <x:c r="F265" s="46" t="n">
        <x:f aca="0">F152</x:f>
        <x:v>0.4815184479475107</x:v>
      </x:c>
      <x:c r="G265" s="46" t="n">
        <x:f aca="0">G152</x:f>
        <x:v>0.5158831372305058</x:v>
      </x:c>
      <x:c r="H265" s="46" t="n">
        <x:f aca="0">H152</x:f>
        <x:v>0.49728501600707337</x:v>
      </x:c>
      <x:c r="J265" s="9"/>
    </x:row>
    <x:row r="266" ht="15" hidden="0">
      <x:c r="A266" t="s">
        <x:v>632</x:v>
      </x:c>
      <x:c r="D266" s="47" t="n">
        <x:v>0.4</x:v>
      </x:c>
      <x:c r="E266" s="47" t="n">
        <x:v>0.44</x:v>
      </x:c>
      <x:c r="F266" s="47" t="n">
        <x:v>0.45</x:v>
      </x:c>
      <x:c r="G266" s="47" t="n">
        <x:v>0.49</x:v>
      </x:c>
      <x:c r="H266" s="47" t="n">
        <x:v>0.47</x:v>
      </x:c>
    </x:row>
    <x:row r="267" ht="15" hidden="0">
      <x:c r="A267" t="s">
        <x:v>609</x:v>
      </x:c>
      <x:c r="D267" s="46" t="n">
        <x:f aca="0">IF(AND(ISNUMBER(D265),ISNUMBER(D266)),D265-D266,"n/a")</x:f>
        <x:v>0.030752471005199733</x:v>
      </x:c>
      <x:c r="E267" s="46" t="n">
        <x:f aca="0">IF(AND(ISNUMBER(E265),ISNUMBER(E266)),E265-E266,"n/a")</x:f>
        <x:v>0.03516141470304879</x:v>
      </x:c>
      <x:c r="F267" s="46" t="n">
        <x:f aca="0">IF(AND(ISNUMBER(F265),ISNUMBER(F266)),F265-F266,"n/a")</x:f>
        <x:v>0.031518447947510686</x:v>
      </x:c>
      <x:c r="G267" s="46" t="n">
        <x:f aca="0">IF(AND(ISNUMBER(G265),ISNUMBER(G266)),G265-G266,"n/a")</x:f>
        <x:v>0.025883137230505837</x:v>
      </x:c>
      <x:c r="H267" s="46" t="n">
        <x:f aca="0">IF(AND(ISNUMBER(H265),ISNUMBER(H266)),H265-H266,"n/a")</x:f>
        <x:v>0.027285016007073393</x:v>
      </x:c>
    </x:row>
    <x:row r="268" ht="15" hidden="0">
      <x:c r="A268" t="s">
        <x:v>194</x:v>
      </x:c>
      <x:c r="D268" s="48" t="str">
        <x:f aca="0">IF(NOT(ISNUMBER(D267)),"n/a",IF(ABS(D267)&lt;=MAX(0.01,0.02*ABS(D266)),"Agrees","Differs"))</x:f>
        <x:v>Differs</x:v>
      </x:c>
      <x:c r="E268" s="48" t="str">
        <x:f aca="0">IF(NOT(ISNUMBER(E267)),"n/a",IF(ABS(E267)&lt;=MAX(0.01,0.02*ABS(E266)),"Agrees","Differs"))</x:f>
        <x:v>Differs</x:v>
      </x:c>
      <x:c r="F268" s="48" t="str">
        <x:f aca="0">IF(NOT(ISNUMBER(F267)),"n/a",IF(ABS(F267)&lt;=MAX(0.01,0.02*ABS(F266)),"Agrees","Differs"))</x:f>
        <x:v>Differs</x:v>
      </x:c>
      <x:c r="G268" s="48" t="str">
        <x:f aca="0">IF(NOT(ISNUMBER(G267)),"n/a",IF(ABS(G267)&lt;=MAX(0.01,0.02*ABS(G266)),"Agrees","Differs"))</x:f>
        <x:v>Differs</x:v>
      </x:c>
      <x:c r="H268" s="48" t="str">
        <x:f aca="0">IF(NOT(ISNUMBER(H267)),"n/a",IF(ABS(H267)&lt;=MAX(0.01,0.02*ABS(H266)),"Agrees","Differs"))</x:f>
        <x:v>Differs</x:v>
      </x:c>
    </x:row>
    <x:row r="269" ht="15" hidden="0">
      <x:c r="A269" t="s">
        <x:v>633</x:v>
      </x:c>
      <x:c r="B269" s="9" t="s">
        <x:v>748</x:v>
      </x:c>
      <x:c r="D269" s="46" t="n">
        <x:f aca="0">D153</x:f>
        <x:v>1.064193408439223</x:v>
      </x:c>
      <x:c r="E269" s="46" t="n">
        <x:f aca="0">E153</x:f>
        <x:v>1.3656161868044014</x:v>
      </x:c>
      <x:c r="F269" s="46" t="n">
        <x:f aca="0">F153</x:f>
        <x:v>1.2739571002729932</x:v>
      </x:c>
      <x:c r="G269" s="46" t="n">
        <x:f aca="0">G153</x:f>
        <x:v>1.242164612598929</x:v>
      </x:c>
      <x:c r="H269" s="46" t="n">
        <x:f aca="0">H153</x:f>
        <x:v>1.2601477514941262</x:v>
      </x:c>
      <x:c r="J269" s="9" t="s">
        <x:v>749</x:v>
      </x:c>
    </x:row>
    <x:row r="270" ht="15" hidden="0">
      <x:c r="A270" t="s">
        <x:v>636</x:v>
      </x:c>
      <x:c r="D270" s="47" t="n">
        <x:v>1.01</x:v>
      </x:c>
      <x:c r="E270" s="47" t="n">
        <x:v>0.98</x:v>
      </x:c>
      <x:c r="F270" s="47" t="n">
        <x:v>1</x:v>
      </x:c>
      <x:c r="G270" s="47" t="n">
        <x:v>1.07</x:v>
      </x:c>
      <x:c r="H270" s="47" t="n">
        <x:v>1.16</x:v>
      </x:c>
    </x:row>
    <x:row r="271" ht="15" hidden="0">
      <x:c r="A271" t="s">
        <x:v>609</x:v>
      </x:c>
      <x:c r="D271" s="46" t="n">
        <x:f aca="0">IF(AND(ISNUMBER(D269),ISNUMBER(D270)),D269-D270,"n/a")</x:f>
        <x:v>0.054193408439223045</x:v>
      </x:c>
      <x:c r="E271" s="46" t="n">
        <x:f aca="0">IF(AND(ISNUMBER(E269),ISNUMBER(E270)),E269-E270,"n/a")</x:f>
        <x:v>0.38561618680440146</x:v>
      </x:c>
      <x:c r="F271" s="46" t="n">
        <x:f aca="0">IF(AND(ISNUMBER(F269),ISNUMBER(F270)),F269-F270,"n/a")</x:f>
        <x:v>0.27395710027299325</x:v>
      </x:c>
      <x:c r="G271" s="46" t="n">
        <x:f aca="0">IF(AND(ISNUMBER(G269),ISNUMBER(G270)),G269-G270,"n/a")</x:f>
        <x:v>0.1721646125989289</x:v>
      </x:c>
      <x:c r="H271" s="46" t="n">
        <x:f aca="0">IF(AND(ISNUMBER(H269),ISNUMBER(H270)),H269-H270,"n/a")</x:f>
        <x:v>0.10014775149412625</x:v>
      </x:c>
    </x:row>
    <x:row r="272" ht="15" hidden="0">
      <x:c r="A272" t="s">
        <x:v>194</x:v>
      </x:c>
      <x:c r="D272" s="48" t="str">
        <x:f aca="0">IF(NOT(ISNUMBER(D271)),"n/a",IF(ABS(D271)&lt;=MAX(0.01,0.02*ABS(D270)),"Agrees","Differs"))</x:f>
        <x:v>Differs</x:v>
      </x:c>
      <x:c r="E272" s="48" t="str">
        <x:f aca="0">IF(NOT(ISNUMBER(E271)),"n/a",IF(ABS(E271)&lt;=MAX(0.01,0.02*ABS(E270)),"Agrees","Differs"))</x:f>
        <x:v>Differs</x:v>
      </x:c>
      <x:c r="F272" s="48" t="str">
        <x:f aca="0">IF(NOT(ISNUMBER(F271)),"n/a",IF(ABS(F271)&lt;=MAX(0.01,0.02*ABS(F270)),"Agrees","Differs"))</x:f>
        <x:v>Differs</x:v>
      </x:c>
      <x:c r="G272" s="48" t="str">
        <x:f aca="0">IF(NOT(ISNUMBER(G271)),"n/a",IF(ABS(G271)&lt;=MAX(0.01,0.02*ABS(G270)),"Agrees","Differs"))</x:f>
        <x:v>Differs</x:v>
      </x:c>
      <x:c r="H272" s="48" t="str">
        <x:f aca="0">IF(NOT(ISNUMBER(H271)),"n/a",IF(ABS(H271)&lt;=MAX(0.01,0.02*ABS(H270)),"Agrees","Differs"))</x:f>
        <x:v>Differs</x:v>
      </x:c>
    </x:row>
    <x:row r="273" ht="15" hidden="0">
      <x:c r="A273" t="s">
        <x:v>637</x:v>
      </x:c>
      <x:c r="B273" s="9" t="s">
        <x:v>750</x:v>
      </x:c>
      <x:c r="D273" s="46" t="n">
        <x:f aca="0">D159</x:f>
        <x:v>52.04222826331838</x:v>
      </x:c>
      <x:c r="E273" s="46" t="n">
        <x:f aca="0">E159</x:f>
        <x:v>55.297361076962446</x:v>
      </x:c>
      <x:c r="F273" s="46" t="n">
        <x:f aca="0">F159</x:f>
        <x:v>19.427961435835122</x:v>
      </x:c>
      <x:c r="G273" s="46" t="n">
        <x:f aca="0">G159</x:f>
        <x:v>27.534616013098077</x:v>
      </x:c>
      <x:c r="H273" s="46" t="n">
        <x:f aca="0">H159</x:f>
        <x:v>36.7208914917797</x:v>
      </x:c>
      <x:c r="J273" s="9" t="s">
        <x:v>751</x:v>
      </x:c>
    </x:row>
    <x:row r="274" ht="15" hidden="0">
      <x:c r="A274" t="s">
        <x:v>640</x:v>
      </x:c>
      <x:c r="D274" s="47" t="n">
        <x:v>38.57</x:v>
      </x:c>
      <x:c r="E274" s="47" t="n">
        <x:v>41.25</x:v>
      </x:c>
      <x:c r="F274" s="47" t="n">
        <x:v>16.16</x:v>
      </x:c>
      <x:c r="G274" s="47" t="n">
        <x:v>18.26</x:v>
      </x:c>
      <x:c r="H274" s="47" t="n">
        <x:v>22.83</x:v>
      </x:c>
    </x:row>
    <x:row r="275" ht="15" hidden="0">
      <x:c r="A275" t="s">
        <x:v>609</x:v>
      </x:c>
      <x:c r="D275" s="46" t="n">
        <x:f aca="0">IF(AND(ISNUMBER(D273),ISNUMBER(D274)),D273-D274,"n/a")</x:f>
        <x:v>13.472228263318378</x:v>
      </x:c>
      <x:c r="E275" s="46" t="n">
        <x:f aca="0">IF(AND(ISNUMBER(E273),ISNUMBER(E274)),E273-E274,"n/a")</x:f>
        <x:v>14.047361076962446</x:v>
      </x:c>
      <x:c r="F275" s="46" t="n">
        <x:f aca="0">IF(AND(ISNUMBER(F273),ISNUMBER(F274)),F273-F274,"n/a")</x:f>
        <x:v>3.2679614358351223</x:v>
      </x:c>
      <x:c r="G275" s="46" t="n">
        <x:f aca="0">IF(AND(ISNUMBER(G273),ISNUMBER(G274)),G273-G274,"n/a")</x:f>
        <x:v>9.274616013098075</x:v>
      </x:c>
      <x:c r="H275" s="46" t="n">
        <x:f aca="0">IF(AND(ISNUMBER(H273),ISNUMBER(H274)),H273-H274,"n/a")</x:f>
        <x:v>13.890891491779705</x:v>
      </x:c>
    </x:row>
    <x:row r="276" ht="15" hidden="0">
      <x:c r="A276" t="s">
        <x:v>194</x:v>
      </x:c>
      <x:c r="D276" s="48" t="str">
        <x:f aca="0">IF(NOT(ISNUMBER(D275)),"n/a",IF(ABS(D275)&lt;=MAX(0.01,0.02*ABS(D274)),"Agrees","Differs"))</x:f>
        <x:v>Differs</x:v>
      </x:c>
      <x:c r="E276" s="48" t="str">
        <x:f aca="0">IF(NOT(ISNUMBER(E275)),"n/a",IF(ABS(E275)&lt;=MAX(0.01,0.02*ABS(E274)),"Agrees","Differs"))</x:f>
        <x:v>Differs</x:v>
      </x:c>
      <x:c r="F276" s="48" t="str">
        <x:f aca="0">IF(NOT(ISNUMBER(F275)),"n/a",IF(ABS(F275)&lt;=MAX(0.01,0.02*ABS(F274)),"Agrees","Differs"))</x:f>
        <x:v>Differs</x:v>
      </x:c>
      <x:c r="G276" s="48" t="str">
        <x:f aca="0">IF(NOT(ISNUMBER(G275)),"n/a",IF(ABS(G275)&lt;=MAX(0.01,0.02*ABS(G274)),"Agrees","Differs"))</x:f>
        <x:v>Differs</x:v>
      </x:c>
      <x:c r="H276" s="48" t="str">
        <x:f aca="0">IF(NOT(ISNUMBER(H275)),"n/a",IF(ABS(H275)&lt;=MAX(0.01,0.02*ABS(H274)),"Agrees","Differs"))</x:f>
        <x:v>Differs</x:v>
      </x:c>
    </x:row>
    <x:row r="277" ht="15" hidden="0">
      <x:c r="A277" t="s">
        <x:v>752</x:v>
      </x:c>
      <x:c r="B277" s="9" t="s">
        <x:v>753</x:v>
      </x:c>
      <x:c r="D277" s="52" t="n">
        <x:f aca="0">D188</x:f>
        <x:v>8.702088287591808</x:v>
      </x:c>
      <x:c r="E277" s="52" t="n">
        <x:f aca="0">E188</x:f>
        <x:v>9.461843370699649</x:v>
      </x:c>
      <x:c r="F277" s="52" t="n">
        <x:f aca="0">F188</x:f>
        <x:v>8.612302469968531</x:v>
      </x:c>
      <x:c r="G277" s="52" t="n">
        <x:f aca="0">G188</x:f>
        <x:v>18.908117835423287</x:v>
      </x:c>
      <x:c r="H277" s="52" t="n">
        <x:f aca="0">H188</x:f>
        <x:v>22.58850648464164</x:v>
      </x:c>
      <x:c r="J277" s="9" t="s">
        <x:v>754</x:v>
      </x:c>
    </x:row>
    <x:row r="278" ht="15" hidden="0">
      <x:c r="A278" t="s">
        <x:v>755</x:v>
      </x:c>
      <x:c r="D278" s="34" t="n">
        <x:v>8.7</x:v>
      </x:c>
      <x:c r="E278" s="34" t="n">
        <x:v>9.46</x:v>
      </x:c>
      <x:c r="F278" s="34" t="n">
        <x:v>8.49</x:v>
      </x:c>
      <x:c r="G278" s="34" t="n">
        <x:v>18.91</x:v>
      </x:c>
      <x:c r="H278" s="34" t="n">
        <x:v>22.59</x:v>
      </x:c>
    </x:row>
    <x:row r="279" ht="15" hidden="0">
      <x:c r="A279" t="s">
        <x:v>609</x:v>
      </x:c>
      <x:c r="D279" s="52" t="n">
        <x:f aca="0">IF(AND(ISNUMBER(D277),ISNUMBER(D278)),D277-D278,"n/a")</x:f>
        <x:v>0.0020882875918086796</x:v>
      </x:c>
      <x:c r="E279" s="52" t="n">
        <x:f aca="0">IF(AND(ISNUMBER(E277),ISNUMBER(E278)),E277-E278,"n/a")</x:f>
        <x:v>0.001843370699647906</x:v>
      </x:c>
      <x:c r="F279" s="52" t="n">
        <x:f aca="0">IF(AND(ISNUMBER(F277),ISNUMBER(F278)),F277-F278,"n/a")</x:f>
        <x:v>0.12230246996853111</x:v>
      </x:c>
      <x:c r="G279" s="52" t="n">
        <x:f aca="0">IF(AND(ISNUMBER(G277),ISNUMBER(G278)),G277-G278,"n/a")</x:f>
        <x:v>-0.0018821645767133077</x:v>
      </x:c>
      <x:c r="H279" s="52" t="n">
        <x:f aca="0">IF(AND(ISNUMBER(H277),ISNUMBER(H278)),H277-H278,"n/a")</x:f>
        <x:v>-0.0014935153583586214</x:v>
      </x:c>
    </x:row>
    <x:row r="280" ht="15" hidden="0">
      <x:c r="A280" t="s">
        <x:v>194</x:v>
      </x:c>
      <x:c r="D280" s="48" t="str">
        <x:f aca="0">IF(NOT(ISNUMBER(D279)),"n/a",IF(ABS(D279)&lt;=MAX(0.01,0.02*ABS(D278)),"Agrees","Differs"))</x:f>
        <x:v>Agrees</x:v>
      </x:c>
      <x:c r="E280" s="48" t="str">
        <x:f aca="0">IF(NOT(ISNUMBER(E279)),"n/a",IF(ABS(E279)&lt;=MAX(0.01,0.02*ABS(E278)),"Agrees","Differs"))</x:f>
        <x:v>Agrees</x:v>
      </x:c>
      <x:c r="F280" s="48" t="str">
        <x:f aca="0">IF(NOT(ISNUMBER(F279)),"n/a",IF(ABS(F279)&lt;=MAX(0.01,0.02*ABS(F278)),"Agrees","Differs"))</x:f>
        <x:v>Agrees</x:v>
      </x:c>
      <x:c r="G280" s="48" t="str">
        <x:f aca="0">IF(NOT(ISNUMBER(G279)),"n/a",IF(ABS(G279)&lt;=MAX(0.01,0.02*ABS(G278)),"Agrees","Differs"))</x:f>
        <x:v>Agrees</x:v>
      </x:c>
      <x:c r="H280" s="48" t="str">
        <x:f aca="0">IF(NOT(ISNUMBER(H279)),"n/a",IF(ABS(H279)&lt;=MAX(0.01,0.02*ABS(H278)),"Agrees","Differs"))</x:f>
        <x:v>Agrees</x:v>
      </x:c>
    </x:row>
  </x:sheetData>
  <x:mergeCells>
    <x:mergeCell ref="B6:J6"/>
    <x:mergeCell ref="B7:J7"/>
    <x:mergeCell ref="B8:J8"/>
    <x:mergeCell ref="B9:J9"/>
    <x:mergeCell ref="B10:J10"/>
    <x:mergeCell ref="B11:J11"/>
    <x:mergeCell ref="B12:J12"/>
    <x:mergeCell ref="B13:J13"/>
    <x:mergeCell ref="B14:J14"/>
    <x:mergeCell ref="B15:J15"/>
  </x:mergeCells>
  <x:pageMargins left="0.7" right="0.7" top="0.75" bottom="0.75" header="0.3" footer="0.3"/>
  <x:drawing xmlns:r="http://schemas.openxmlformats.org/officeDocument/2006/relationships" r:id="R4769aadee2634385"/>
</x:worksheet>
</file>

<file path=xl/worksheets/sheet5.xml><?xml version="1.0" encoding="utf-8"?>
<x:worksheet xmlns:x="http://schemas.openxmlformats.org/spreadsheetml/2006/main">
  <x:sheetPr>
    <x:tabColor rgb="FF8EA9DB"/>
  </x:sheetPr>
  <x:sheetViews>
    <x:sheetView showGridLines="0" workbookViewId="0">
      <x:pane xSplit="2" ySplit="17" topLeftCell="C18" activePane="bottomRight" state="frozen"/>
    </x:sheetView>
  </x:sheetViews>
  <x:sheetFormatPr defaultColWidth="8.6796875" defaultRowHeight="15"/>
  <x:cols>
    <x:col min="1" max="1" width="58" hidden="0" customWidth="1"/>
    <x:col min="2" max="2" width="46" hidden="0" customWidth="1"/>
    <x:col min="3" max="8" width="11" hidden="0" customWidth="1"/>
    <x:col min="9" max="9" width="9" hidden="0" customWidth="1"/>
    <x:col min="10" max="10" width="62" hidden="0" customWidth="1"/>
  </x:cols>
  <x:sheetData>
    <x:row r="1" ht="17.350000381469727" hidden="0">
      <x:c r="A1" s="17" t="s">
        <x:v>756</x:v>
      </x:c>
    </x:row>
    <x:row r="2" ht="15" hidden="0">
      <x:c r="A2" s="18" t="s">
        <x:v>757</x:v>
      </x:c>
    </x:row>
    <x:row r="3" ht="15" hidden="0">
      <x:c r="A3" s="19" t="s">
        <x:v>273</x:v>
      </x:c>
    </x:row>
    <x:row r="5" ht="15" hidden="0">
      <x:c r="A5" s="5" t="s">
        <x:v>274</x:v>
      </x:c>
      <x:c r="B5" s="20"/>
      <x:c r="C5" s="20"/>
      <x:c r="D5" s="20"/>
      <x:c r="E5" s="20"/>
      <x:c r="F5" s="20"/>
      <x:c r="G5" s="20"/>
      <x:c r="H5" s="20"/>
      <x:c r="I5" s="20"/>
      <x:c r="J5" s="20"/>
    </x:row>
    <x:row r="6" ht="15" hidden="0" customHeight="1">
      <x:c r="A6" s="2" t="s">
        <x:v>19</x:v>
      </x:c>
      <x:c r="B6" s="21" t="s">
        <x:v>38</x:v>
      </x:c>
      <x:c r="C6" s="21"/>
      <x:c r="D6" s="21"/>
      <x:c r="E6" s="21"/>
      <x:c r="F6" s="21"/>
      <x:c r="G6" s="21"/>
      <x:c r="H6" s="21"/>
      <x:c r="I6" s="21"/>
      <x:c r="J6" s="21"/>
    </x:row>
    <x:row r="7" ht="15" hidden="0" customHeight="1">
      <x:c r="A7" s="2" t="s">
        <x:v>275</x:v>
      </x:c>
      <x:c r="B7" s="21" t="s">
        <x:v>37</x:v>
      </x:c>
      <x:c r="C7" s="21"/>
      <x:c r="D7" s="21"/>
      <x:c r="E7" s="21"/>
      <x:c r="F7" s="21"/>
      <x:c r="G7" s="21"/>
      <x:c r="H7" s="21"/>
      <x:c r="I7" s="21"/>
      <x:c r="J7" s="21"/>
    </x:row>
    <x:row r="8" ht="15" hidden="0" customHeight="1">
      <x:c r="A8" s="2" t="s">
        <x:v>276</x:v>
      </x:c>
      <x:c r="B8" s="21" t="s">
        <x:v>39</x:v>
      </x:c>
      <x:c r="C8" s="21"/>
      <x:c r="D8" s="21"/>
      <x:c r="E8" s="21"/>
      <x:c r="F8" s="21"/>
      <x:c r="G8" s="21"/>
      <x:c r="H8" s="21"/>
      <x:c r="I8" s="21"/>
      <x:c r="J8" s="21"/>
    </x:row>
    <x:row r="9" ht="15" hidden="0" customHeight="1">
      <x:c r="A9" s="2" t="s">
        <x:v>277</x:v>
      </x:c>
      <x:c r="B9" s="21" t="s">
        <x:v>278</x:v>
      </x:c>
      <x:c r="C9" s="21"/>
      <x:c r="D9" s="21"/>
      <x:c r="E9" s="21"/>
      <x:c r="F9" s="21"/>
      <x:c r="G9" s="21"/>
      <x:c r="H9" s="21"/>
      <x:c r="I9" s="21"/>
      <x:c r="J9" s="21"/>
    </x:row>
    <x:row r="10" ht="15" hidden="0" customHeight="1">
      <x:c r="A10" s="2" t="s">
        <x:v>279</x:v>
      </x:c>
      <x:c r="B10" s="21" t="s">
        <x:v>669</x:v>
      </x:c>
      <x:c r="C10" s="21"/>
      <x:c r="D10" s="21"/>
      <x:c r="E10" s="21"/>
      <x:c r="F10" s="21"/>
      <x:c r="G10" s="21"/>
      <x:c r="H10" s="21"/>
      <x:c r="I10" s="21"/>
      <x:c r="J10" s="21"/>
    </x:row>
    <x:row r="11" ht="15" hidden="0" customHeight="1">
      <x:c r="A11" s="2" t="s">
        <x:v>281</x:v>
      </x:c>
      <x:c r="B11" s="21" t="s">
        <x:v>758</x:v>
      </x:c>
      <x:c r="C11" s="21"/>
      <x:c r="D11" s="21"/>
      <x:c r="E11" s="21"/>
      <x:c r="F11" s="21"/>
      <x:c r="G11" s="21"/>
      <x:c r="H11" s="21"/>
      <x:c r="I11" s="21"/>
      <x:c r="J11" s="21"/>
    </x:row>
    <x:row r="12" ht="27.75" hidden="0" customHeight="1">
      <x:c r="A12" s="2" t="s">
        <x:v>283</x:v>
      </x:c>
      <x:c r="B12" s="21" t="s">
        <x:v>759</x:v>
      </x:c>
      <x:c r="C12" s="21"/>
      <x:c r="D12" s="21"/>
      <x:c r="E12" s="21"/>
      <x:c r="F12" s="21"/>
      <x:c r="G12" s="21"/>
      <x:c r="H12" s="21"/>
      <x:c r="I12" s="21"/>
      <x:c r="J12" s="21"/>
    </x:row>
    <x:row r="13" ht="27.75" hidden="0" customHeight="1">
      <x:c r="A13" s="2" t="s">
        <x:v>285</x:v>
      </x:c>
      <x:c r="B13" s="21" t="s">
        <x:v>286</x:v>
      </x:c>
      <x:c r="C13" s="21"/>
      <x:c r="D13" s="21"/>
      <x:c r="E13" s="21"/>
      <x:c r="F13" s="21"/>
      <x:c r="G13" s="21"/>
      <x:c r="H13" s="21"/>
      <x:c r="I13" s="21"/>
      <x:c r="J13" s="21"/>
    </x:row>
    <x:row r="14" ht="27.75" hidden="0" customHeight="1">
      <x:c r="A14" s="2" t="s">
        <x:v>287</x:v>
      </x:c>
      <x:c r="B14" s="21" t="str">
        <x:v>Actual PSX FY-end close paired with the share basis in force on that date. EPS notes, splits, treasury shares and bonus treatment are documented on Share Basis.</x:v>
      </x:c>
      <x:c r="C14" s="21"/>
      <x:c r="D14" s="21"/>
      <x:c r="E14" s="21"/>
      <x:c r="F14" s="21"/>
      <x:c r="G14" s="21"/>
      <x:c r="H14" s="21"/>
      <x:c r="I14" s="21"/>
      <x:c r="J14" s="21"/>
    </x:row>
    <x:row r="15" ht="27.75" hidden="0" customHeight="1">
      <x:c r="A15" s="2" t="s">
        <x:v>288</x:v>
      </x:c>
      <x:c r="B15" s="21" t="s">
        <x:v>289</x:v>
      </x:c>
      <x:c r="C15" s="21"/>
      <x:c r="D15" s="21"/>
      <x:c r="E15" s="21"/>
      <x:c r="F15" s="21"/>
      <x:c r="G15" s="21"/>
      <x:c r="H15" s="21"/>
      <x:c r="I15" s="21"/>
      <x:c r="J15" s="21"/>
    </x:row>
    <x:row r="17" ht="15" hidden="0">
      <x:c r="A17" s="22" t="s">
        <x:v>290</x:v>
      </x:c>
      <x:c r="B17" s="22" t="s">
        <x:v>291</x:v>
      </x:c>
      <x:c r="C17" s="23" t="s">
        <x:v>292</x:v>
      </x:c>
      <x:c r="D17" s="23" t="s">
        <x:v>73</x:v>
      </x:c>
      <x:c r="E17" s="23" t="s">
        <x:v>74</x:v>
      </x:c>
      <x:c r="F17" s="23" t="s">
        <x:v>75</x:v>
      </x:c>
      <x:c r="G17" s="23" t="s">
        <x:v>76</x:v>
      </x:c>
      <x:c r="H17" s="23" t="s">
        <x:v>77</x:v>
      </x:c>
      <x:c r="I17" s="23" t="s">
        <x:v>84</x:v>
      </x:c>
      <x:c r="J17" s="23" t="s">
        <x:v>293</x:v>
      </x:c>
    </x:row>
    <x:row r="18" ht="15" hidden="0">
      <x:c r="A18" s="5" t="s">
        <x:v>294</x:v>
      </x:c>
      <x:c r="B18" s="20"/>
      <x:c r="C18" s="20"/>
      <x:c r="D18" s="20"/>
      <x:c r="E18" s="20"/>
      <x:c r="F18" s="20"/>
      <x:c r="G18" s="20"/>
      <x:c r="H18" s="20"/>
      <x:c r="I18" s="20"/>
      <x:c r="J18" s="20"/>
    </x:row>
    <x:row r="19" ht="15" hidden="0">
      <x:c r="A19" s="24" t="s">
        <x:v>295</x:v>
      </x:c>
      <x:c r="B19" s="25"/>
      <x:c r="C19" s="25"/>
      <x:c r="D19" s="25"/>
      <x:c r="E19" s="25"/>
      <x:c r="F19" s="25"/>
      <x:c r="G19" s="25"/>
      <x:c r="H19" s="25"/>
      <x:c r="I19" s="25"/>
      <x:c r="J19" s="25"/>
    </x:row>
    <x:row r="20" ht="15" hidden="0">
      <x:c r="A20" t="s">
        <x:v>296</x:v>
      </x:c>
      <x:c r="B20" s="19" t="s">
        <x:v>760</x:v>
      </x:c>
      <x:c r="C20" s="26" t="n">
        <x:v>83537.295</x:v>
      </x:c>
      <x:c r="D20" s="26" t="n">
        <x:v>85020.109</x:v>
      </x:c>
      <x:c r="E20" s="26" t="n">
        <x:v>82803.86</x:v>
      </x:c>
      <x:c r="F20" s="26" t="n">
        <x:v>82245.65</x:v>
      </x:c>
      <x:c r="G20" s="26" t="n">
        <x:v>79877.839</x:v>
      </x:c>
      <x:c r="H20" s="26" t="n">
        <x:v>77252.559</x:v>
      </x:c>
      <x:c r="I20" s="9" t="s">
        <x:v>98</x:v>
      </x:c>
    </x:row>
    <x:row r="21" ht="15" hidden="0">
      <x:c r="A21" t="s">
        <x:v>298</x:v>
      </x:c>
      <x:c r="B21" s="19" t="s">
        <x:v>761</x:v>
      </x:c>
      <x:c r="C21" s="26" t="n">
        <x:v>6358.259</x:v>
      </x:c>
      <x:c r="D21" s="26" t="n">
        <x:v>7726.72</x:v>
      </x:c>
      <x:c r="E21" s="26" t="n">
        <x:v>724.168</x:v>
      </x:c>
      <x:c r="F21" s="26" t="n">
        <x:v>2006.864</x:v>
      </x:c>
      <x:c r="G21" s="26" t="n">
        <x:v>1341.029</x:v>
      </x:c>
      <x:c r="H21" s="26" t="n">
        <x:v>798.312</x:v>
      </x:c>
      <x:c r="I21" s="9" t="s">
        <x:v>98</x:v>
      </x:c>
    </x:row>
    <x:row r="22" ht="15" hidden="0">
      <x:c r="A22" t="s">
        <x:v>300</x:v>
      </x:c>
      <x:c r="B22" s="19" t="s">
        <x:v>301</x:v>
      </x:c>
      <x:c r="C22" s="27" t="n">
        <x:f aca="0">C20-C21</x:f>
        <x:v>77179.036</x:v>
      </x:c>
      <x:c r="D22" s="27" t="n">
        <x:f aca="0">D20-D21</x:f>
        <x:v>77293.389</x:v>
      </x:c>
      <x:c r="E22" s="27" t="n">
        <x:f aca="0">E20-E21</x:f>
        <x:v>82079.692</x:v>
      </x:c>
      <x:c r="F22" s="27" t="n">
        <x:f aca="0">F20-F21</x:f>
        <x:v>80238.786</x:v>
      </x:c>
      <x:c r="G22" s="27" t="n">
        <x:f aca="0">G20-G21</x:f>
        <x:v>78536.81000000001</x:v>
      </x:c>
      <x:c r="H22" s="27" t="n">
        <x:f aca="0">H20-H21</x:f>
        <x:v>76454.24699999999</x:v>
      </x:c>
      <x:c r="I22" s="9" t="s">
        <x:v>98</x:v>
      </x:c>
    </x:row>
    <x:row r="23" ht="15" hidden="0">
      <x:c r="A23" t="s">
        <x:v>302</x:v>
      </x:c>
      <x:c r="B23" s="19" t="s">
        <x:v>762</x:v>
      </x:c>
      <x:c r="C23" s="26" t="n">
        <x:v>0</x:v>
      </x:c>
      <x:c r="D23" s="26" t="n">
        <x:v>0</x:v>
      </x:c>
      <x:c r="E23" s="26" t="n">
        <x:v>0</x:v>
      </x:c>
      <x:c r="F23" s="26" t="n">
        <x:v>0</x:v>
      </x:c>
      <x:c r="G23" s="26" t="n">
        <x:v>0</x:v>
      </x:c>
      <x:c r="H23" s="26" t="n">
        <x:v>0</x:v>
      </x:c>
      <x:c r="I23" s="9" t="s">
        <x:v>98</x:v>
      </x:c>
    </x:row>
    <x:row r="24" ht="15" hidden="0">
      <x:c r="A24" t="s">
        <x:v>304</x:v>
      </x:c>
      <x:c r="B24" s="19" t="s">
        <x:v>763</x:v>
      </x:c>
      <x:c r="C24" s="26" t="n">
        <x:v>0</x:v>
      </x:c>
      <x:c r="D24" s="26" t="n">
        <x:v>0</x:v>
      </x:c>
      <x:c r="E24" s="26" t="n">
        <x:v>17.319</x:v>
      </x:c>
      <x:c r="F24" s="26" t="n">
        <x:v>10.152</x:v>
      </x:c>
      <x:c r="G24" s="26" t="n">
        <x:v>42.762</x:v>
      </x:c>
      <x:c r="H24" s="26" t="n">
        <x:v>13.076</x:v>
      </x:c>
      <x:c r="I24" s="9" t="s">
        <x:v>98</x:v>
      </x:c>
    </x:row>
    <x:row r="25" ht="15" hidden="0">
      <x:c r="A25" t="s">
        <x:v>306</x:v>
      </x:c>
      <x:c r="B25" s="19" t="s">
        <x:v>764</x:v>
      </x:c>
      <x:c r="C25" s="26" t="n">
        <x:v>0</x:v>
      </x:c>
      <x:c r="D25" s="26" t="n">
        <x:v>0</x:v>
      </x:c>
      <x:c r="E25" s="26" t="n">
        <x:v>0</x:v>
      </x:c>
      <x:c r="F25" s="26" t="n">
        <x:v>0</x:v>
      </x:c>
      <x:c r="G25" s="26" t="n">
        <x:v>0</x:v>
      </x:c>
      <x:c r="H25" s="26" t="n">
        <x:v>0</x:v>
      </x:c>
      <x:c r="I25" s="9" t="s">
        <x:v>98</x:v>
      </x:c>
    </x:row>
    <x:row r="26" ht="15" hidden="0">
      <x:c r="A26" t="s">
        <x:v>308</x:v>
      </x:c>
      <x:c r="B26" s="19" t="s">
        <x:v>765</x:v>
      </x:c>
      <x:c r="C26" s="26" t="n">
        <x:v>11849.828</x:v>
      </x:c>
      <x:c r="D26" s="26" t="n">
        <x:v>15965.811</x:v>
      </x:c>
      <x:c r="E26" s="26" t="n">
        <x:v>12866.145</x:v>
      </x:c>
      <x:c r="F26" s="26" t="n">
        <x:v>13366.36</x:v>
      </x:c>
      <x:c r="G26" s="26" t="n">
        <x:v>16633.064</x:v>
      </x:c>
      <x:c r="H26" s="26" t="n">
        <x:v>20689.545</x:v>
      </x:c>
      <x:c r="I26" s="9" t="s">
        <x:v>98</x:v>
      </x:c>
    </x:row>
    <x:row r="27" ht="15" hidden="0">
      <x:c r="A27" t="s">
        <x:v>310</x:v>
      </x:c>
      <x:c r="B27" s="19" t="s">
        <x:v>766</x:v>
      </x:c>
      <x:c r="C27" s="26" t="n">
        <x:v>57.984</x:v>
      </x:c>
      <x:c r="D27" s="26" t="n">
        <x:v>57.513</x:v>
      </x:c>
      <x:c r="E27" s="26" t="n">
        <x:v>61.526</x:v>
      </x:c>
      <x:c r="F27" s="26" t="n">
        <x:v>64.426</x:v>
      </x:c>
      <x:c r="G27" s="26" t="n">
        <x:v>61.568</x:v>
      </x:c>
      <x:c r="H27" s="26" t="n">
        <x:v>61.013</x:v>
      </x:c>
      <x:c r="I27" s="9" t="s">
        <x:v>98</x:v>
      </x:c>
    </x:row>
    <x:row r="28" ht="15" hidden="0">
      <x:c r="A28" s="2" t="s">
        <x:v>312</x:v>
      </x:c>
      <x:c r="B28" s="19" t="s">
        <x:v>313</x:v>
      </x:c>
      <x:c r="C28" s="28" t="n">
        <x:f aca="0">C20+C23+C24+C25+C26+C27</x:f>
        <x:v>95445.10699999999</x:v>
      </x:c>
      <x:c r="D28" s="28" t="n">
        <x:f aca="0">D20+D23+D24+D25+D26+D27</x:f>
        <x:v>101043.433</x:v>
      </x:c>
      <x:c r="E28" s="28" t="n">
        <x:f aca="0">E20+E23+E24+E25+E26+E27</x:f>
        <x:v>95748.85</x:v>
      </x:c>
      <x:c r="F28" s="28" t="n">
        <x:f aca="0">F20+F23+F24+F25+F26+F27</x:f>
        <x:v>95686.588</x:v>
      </x:c>
      <x:c r="G28" s="28" t="n">
        <x:f aca="0">G20+G23+G24+G25+G26+G27</x:f>
        <x:v>96615.23300000001</x:v>
      </x:c>
      <x:c r="H28" s="28" t="n">
        <x:f aca="0">H20+H23+H24+H25+H26+H27</x:f>
        <x:v>98016.193</x:v>
      </x:c>
      <x:c r="I28" s="9" t="s">
        <x:v>98</x:v>
      </x:c>
    </x:row>
    <x:row r="29" ht="15" hidden="0">
      <x:c r="A29" s="24" t="s">
        <x:v>314</x:v>
      </x:c>
      <x:c r="B29" s="25"/>
      <x:c r="C29" s="25"/>
      <x:c r="D29" s="25"/>
      <x:c r="E29" s="25"/>
      <x:c r="F29" s="25"/>
      <x:c r="G29" s="25"/>
      <x:c r="H29" s="25"/>
      <x:c r="I29" s="25"/>
      <x:c r="J29" s="25"/>
    </x:row>
    <x:row r="30" ht="15" hidden="0">
      <x:c r="A30" t="s">
        <x:v>315</x:v>
      </x:c>
      <x:c r="B30" s="19" t="s">
        <x:v>767</x:v>
      </x:c>
      <x:c r="C30" s="26" t="n">
        <x:v>8237.99</x:v>
      </x:c>
      <x:c r="D30" s="26" t="n">
        <x:v>12879.348</x:v>
      </x:c>
      <x:c r="E30" s="26" t="n">
        <x:v>16813.883</x:v>
      </x:c>
      <x:c r="F30" s="26" t="n">
        <x:v>13852.005</x:v>
      </x:c>
      <x:c r="G30" s="26" t="n">
        <x:v>12559.774</x:v>
      </x:c>
      <x:c r="H30" s="26" t="n">
        <x:v>12306.679</x:v>
      </x:c>
      <x:c r="I30" s="9" t="s">
        <x:v>98</x:v>
      </x:c>
    </x:row>
    <x:row r="31" ht="15" hidden="0">
      <x:c r="A31" t="s">
        <x:v>317</x:v>
      </x:c>
      <x:c r="B31" s="19" t="s">
        <x:v>768</x:v>
      </x:c>
      <x:c r="C31" s="26" t="n">
        <x:v>4352.995</x:v>
      </x:c>
      <x:c r="D31" s="26" t="n">
        <x:v>2728.589</x:v>
      </x:c>
      <x:c r="E31" s="26" t="n">
        <x:v>5981.515</x:v>
      </x:c>
      <x:c r="F31" s="26" t="n">
        <x:v>8873.17</x:v>
      </x:c>
      <x:c r="G31" s="26" t="n">
        <x:v>7693.067</x:v>
      </x:c>
      <x:c r="H31" s="26" t="n">
        <x:v>8188.678</x:v>
      </x:c>
      <x:c r="I31" s="9" t="s">
        <x:v>98</x:v>
      </x:c>
    </x:row>
    <x:row r="32" ht="15" hidden="0">
      <x:c r="A32" t="s">
        <x:v>319</x:v>
      </x:c>
      <x:c r="B32" s="19" t="s">
        <x:v>769</x:v>
      </x:c>
      <x:c r="C32" s="26" t="n">
        <x:v>2286.084</x:v>
      </x:c>
      <x:c r="D32" s="26" t="n">
        <x:v>1676.245</x:v>
      </x:c>
      <x:c r="E32" s="26" t="n">
        <x:v>1467.862</x:v>
      </x:c>
      <x:c r="F32" s="26" t="n">
        <x:v>1193.44</x:v>
      </x:c>
      <x:c r="G32" s="26" t="n">
        <x:v>855.742</x:v>
      </x:c>
      <x:c r="H32" s="26" t="n">
        <x:v>1493.08</x:v>
      </x:c>
      <x:c r="I32" s="9" t="s">
        <x:v>98</x:v>
      </x:c>
    </x:row>
    <x:row r="33" ht="15" hidden="0">
      <x:c r="A33" t="s">
        <x:v>321</x:v>
      </x:c>
      <x:c r="B33" s="19" t="s">
        <x:v>770</x:v>
      </x:c>
      <x:c r="C33" s="26" t="n">
        <x:v>13126.388</x:v>
      </x:c>
      <x:c r="D33" s="26" t="n">
        <x:v>12946.786</x:v>
      </x:c>
      <x:c r="E33" s="26" t="n">
        <x:v>9962.421</x:v>
      </x:c>
      <x:c r="F33" s="26" t="n">
        <x:v>9270.898</x:v>
      </x:c>
      <x:c r="G33" s="26" t="n">
        <x:v>18384.882</x:v>
      </x:c>
      <x:c r="H33" s="26" t="n">
        <x:v>24005.1</x:v>
      </x:c>
      <x:c r="I33" s="9" t="s">
        <x:v>98</x:v>
      </x:c>
    </x:row>
    <x:row r="34" ht="15" hidden="0">
      <x:c r="A34" t="s">
        <x:v>323</x:v>
      </x:c>
      <x:c r="B34" s="19" t="s">
        <x:v>771</x:v>
      </x:c>
      <x:c r="C34" s="26" t="n">
        <x:v>347.834</x:v>
      </x:c>
      <x:c r="D34" s="26" t="n">
        <x:v>806.373</x:v>
      </x:c>
      <x:c r="E34" s="26" t="n">
        <x:v>410.803</x:v>
      </x:c>
      <x:c r="F34" s="26" t="n">
        <x:v>674.972</x:v>
      </x:c>
      <x:c r="G34" s="26" t="n">
        <x:v>732.168</x:v>
      </x:c>
      <x:c r="H34" s="26" t="n">
        <x:v>568.832</x:v>
      </x:c>
      <x:c r="I34" s="9" t="s">
        <x:v>98</x:v>
      </x:c>
    </x:row>
    <x:row r="35" ht="15" hidden="0">
      <x:c r="A35" t="s">
        <x:v>325</x:v>
      </x:c>
      <x:c r="B35" s="19" t="s">
        <x:v>772</x:v>
      </x:c>
      <x:c r="C35" s="26" t="n">
        <x:v>5755.136</x:v>
      </x:c>
      <x:c r="D35" s="26" t="n">
        <x:v>5813.923</x:v>
      </x:c>
      <x:c r="E35" s="26" t="n">
        <x:v>6176.679</x:v>
      </x:c>
      <x:c r="F35" s="26" t="n">
        <x:v>5162.181</x:v>
      </x:c>
      <x:c r="G35" s="26" t="n">
        <x:v>1544.888</x:v>
      </x:c>
      <x:c r="H35" s="26" t="n">
        <x:v>1345.673</x:v>
      </x:c>
      <x:c r="I35" s="9" t="s">
        <x:v>98</x:v>
      </x:c>
    </x:row>
    <x:row r="36" ht="15" hidden="0">
      <x:c r="A36" s="2" t="s">
        <x:v>327</x:v>
      </x:c>
      <x:c r="B36" s="19" t="s">
        <x:v>328</x:v>
      </x:c>
      <x:c r="C36" s="28" t="n">
        <x:f aca="0">C30+C31+C32+C33+C34+C35</x:f>
        <x:v>34106.427</x:v>
      </x:c>
      <x:c r="D36" s="28" t="n">
        <x:f aca="0">D30+D31+D32+D33+D34+D35</x:f>
        <x:v>36851.264</x:v>
      </x:c>
      <x:c r="E36" s="28" t="n">
        <x:f aca="0">E30+E31+E32+E33+E34+E35</x:f>
        <x:v>40813.163</x:v>
      </x:c>
      <x:c r="F36" s="28" t="n">
        <x:f aca="0">F30+F31+F32+F33+F34+F35</x:f>
        <x:v>39026.666</x:v>
      </x:c>
      <x:c r="G36" s="28" t="n">
        <x:f aca="0">G30+G31+G32+G33+G34+G35</x:f>
        <x:v>41770.52099999999</x:v>
      </x:c>
      <x:c r="H36" s="28" t="n">
        <x:f aca="0">H30+H31+H32+H33+H34+H35</x:f>
        <x:v>47908.042</x:v>
      </x:c>
      <x:c r="I36" s="9" t="s">
        <x:v>98</x:v>
      </x:c>
    </x:row>
    <x:row r="37" ht="15" hidden="0">
      <x:c r="A37" s="2" t="s">
        <x:v>329</x:v>
      </x:c>
      <x:c r="B37" s="19" t="s">
        <x:v>330</x:v>
      </x:c>
      <x:c r="C37" s="28" t="n">
        <x:f aca="0">C28+C36</x:f>
        <x:v>129551.53399999999</x:v>
      </x:c>
      <x:c r="D37" s="28" t="n">
        <x:f aca="0">D28+D36</x:f>
        <x:v>137894.69700000001</x:v>
      </x:c>
      <x:c r="E37" s="28" t="n">
        <x:f aca="0">E28+E36</x:f>
        <x:v>136562.013</x:v>
      </x:c>
      <x:c r="F37" s="28" t="n">
        <x:f aca="0">F28+F36</x:f>
        <x:v>134713.25400000002</x:v>
      </x:c>
      <x:c r="G37" s="28" t="n">
        <x:f aca="0">G28+G36</x:f>
        <x:v>138385.75400000002</x:v>
      </x:c>
      <x:c r="H37" s="28" t="n">
        <x:f aca="0">H28+H36</x:f>
        <x:v>145924.235</x:v>
      </x:c>
      <x:c r="I37" s="9" t="s">
        <x:v>98</x:v>
      </x:c>
    </x:row>
    <x:row r="38" ht="15" hidden="0">
      <x:c r="A38" s="24" t="s">
        <x:v>331</x:v>
      </x:c>
      <x:c r="B38" s="25"/>
      <x:c r="C38" s="25"/>
      <x:c r="D38" s="25"/>
      <x:c r="E38" s="25"/>
      <x:c r="F38" s="25"/>
      <x:c r="G38" s="25"/>
      <x:c r="H38" s="25"/>
      <x:c r="I38" s="25"/>
      <x:c r="J38" s="25"/>
    </x:row>
    <x:row r="39" ht="15" hidden="0">
      <x:c r="A39" t="s">
        <x:v>332</x:v>
      </x:c>
      <x:c r="B39" s="19" t="s">
        <x:v>773</x:v>
      </x:c>
      <x:c r="C39" s="26" t="n">
        <x:v>4381.191</x:v>
      </x:c>
      <x:c r="D39" s="26" t="n">
        <x:v>4381.191</x:v>
      </x:c>
      <x:c r="E39" s="26" t="n">
        <x:v>4381.191</x:v>
      </x:c>
      <x:c r="F39" s="26" t="n">
        <x:v>4381.191</x:v>
      </x:c>
      <x:c r="G39" s="26" t="n">
        <x:v>4381.191</x:v>
      </x:c>
      <x:c r="H39" s="26" t="n">
        <x:v>4381.191</x:v>
      </x:c>
      <x:c r="I39" s="9" t="s">
        <x:v>98</x:v>
      </x:c>
    </x:row>
    <x:row r="40" ht="15" hidden="0">
      <x:c r="A40" t="s">
        <x:v>334</x:v>
      </x:c>
      <x:c r="B40" s="19" t="s">
        <x:v>774</x:v>
      </x:c>
      <x:c r="C40" s="26" t="n">
        <x:v>62262.966</x:v>
      </x:c>
      <x:c r="D40" s="26" t="n">
        <x:v>69096.682</x:v>
      </x:c>
      <x:c r="E40" s="26" t="n">
        <x:v>65536.911</x:v>
      </x:c>
      <x:c r="F40" s="26" t="n">
        <x:v>59811.086</x:v>
      </x:c>
      <x:c r="G40" s="26" t="n">
        <x:v>71466.347</x:v>
      </x:c>
      <x:c r="H40" s="26" t="n">
        <x:v>90286.287</x:v>
      </x:c>
      <x:c r="I40" s="9" t="s">
        <x:v>98</x:v>
      </x:c>
    </x:row>
    <x:row r="41" ht="15" hidden="0">
      <x:c r="A41" s="2" t="s">
        <x:v>336</x:v>
      </x:c>
      <x:c r="B41" s="19" t="s">
        <x:v>337</x:v>
      </x:c>
      <x:c r="C41" s="28" t="n">
        <x:f aca="0">C39+C40</x:f>
        <x:v>66644.157</x:v>
      </x:c>
      <x:c r="D41" s="28" t="n">
        <x:f aca="0">D39+D40</x:f>
        <x:v>73477.873</x:v>
      </x:c>
      <x:c r="E41" s="28" t="n">
        <x:f aca="0">E39+E40</x:f>
        <x:v>69918.102</x:v>
      </x:c>
      <x:c r="F41" s="28" t="n">
        <x:f aca="0">F39+F40</x:f>
        <x:v>64192.277</x:v>
      </x:c>
      <x:c r="G41" s="28" t="n">
        <x:f aca="0">G39+G40</x:f>
        <x:v>75847.538</x:v>
      </x:c>
      <x:c r="H41" s="28" t="n">
        <x:f aca="0">H39+H40</x:f>
        <x:v>94667.478</x:v>
      </x:c>
      <x:c r="I41" s="9" t="s">
        <x:v>98</x:v>
      </x:c>
    </x:row>
    <x:row r="42" ht="15" hidden="0">
      <x:c r="A42" s="24" t="s">
        <x:v>338</x:v>
      </x:c>
      <x:c r="B42" s="25"/>
      <x:c r="C42" s="25"/>
      <x:c r="D42" s="25"/>
      <x:c r="E42" s="25"/>
      <x:c r="F42" s="25"/>
      <x:c r="G42" s="25"/>
      <x:c r="H42" s="25"/>
      <x:c r="I42" s="25"/>
      <x:c r="J42" s="25"/>
    </x:row>
    <x:row r="43" ht="15" hidden="0">
      <x:c r="A43" t="s">
        <x:v>339</x:v>
      </x:c>
      <x:c r="B43" s="19" t="s">
        <x:v>775</x:v>
      </x:c>
      <x:c r="C43" s="26" t="n">
        <x:v>21972</x:v>
      </x:c>
      <x:c r="D43" s="26" t="n">
        <x:v>19300.064</x:v>
      </x:c>
      <x:c r="E43" s="26" t="n">
        <x:v>14168.229</x:v>
      </x:c>
      <x:c r="F43" s="26" t="n">
        <x:v>9663.619</x:v>
      </x:c>
      <x:c r="G43" s="26" t="n">
        <x:v>15965.116</x:v>
      </x:c>
      <x:c r="H43" s="26" t="n">
        <x:v>10093.829</x:v>
      </x:c>
      <x:c r="I43" s="9" t="s">
        <x:v>98</x:v>
      </x:c>
    </x:row>
    <x:row r="44" ht="15" hidden="0">
      <x:c r="A44" t="s">
        <x:v>341</x:v>
      </x:c>
      <x:c r="B44" s="19" t="s">
        <x:v>776</x:v>
      </x:c>
      <x:c r="C44" s="26" t="n">
        <x:v>0</x:v>
      </x:c>
      <x:c r="D44" s="26" t="n">
        <x:v>0</x:v>
      </x:c>
      <x:c r="E44" s="26" t="n">
        <x:v>0</x:v>
      </x:c>
      <x:c r="F44" s="26" t="n">
        <x:v>0</x:v>
      </x:c>
      <x:c r="G44" s="26" t="n">
        <x:v>0</x:v>
      </x:c>
      <x:c r="H44" s="26" t="n">
        <x:v>0</x:v>
      </x:c>
      <x:c r="I44" s="9" t="s">
        <x:v>98</x:v>
      </x:c>
    </x:row>
    <x:row r="45" ht="15" hidden="0">
      <x:c r="A45" t="s">
        <x:v>343</x:v>
      </x:c>
      <x:c r="B45" s="19" t="s">
        <x:v>777</x:v>
      </x:c>
      <x:c r="C45" s="26" t="n">
        <x:v>0</x:v>
      </x:c>
      <x:c r="D45" s="26" t="n">
        <x:v>664.504</x:v>
      </x:c>
      <x:c r="E45" s="26" t="n">
        <x:v>450.684</x:v>
      </x:c>
      <x:c r="F45" s="26" t="n">
        <x:v>278.753</x:v>
      </x:c>
      <x:c r="G45" s="26" t="n">
        <x:v>154.614</x:v>
      </x:c>
      <x:c r="H45" s="26" t="n">
        <x:v>70.135</x:v>
      </x:c>
      <x:c r="I45" s="9" t="s">
        <x:v>98</x:v>
      </x:c>
    </x:row>
    <x:row r="46" ht="15" hidden="0">
      <x:c r="A46" t="s">
        <x:v>345</x:v>
      </x:c>
      <x:c r="B46" s="19" t="s">
        <x:v>778</x:v>
      </x:c>
      <x:c r="C46" s="26" t="n">
        <x:v>2535.349</x:v>
      </x:c>
      <x:c r="D46" s="26" t="n">
        <x:v>3378.941</x:v>
      </x:c>
      <x:c r="E46" s="26" t="n">
        <x:v>4942.15</x:v>
      </x:c>
      <x:c r="F46" s="26" t="n">
        <x:v>10613.603</x:v>
      </x:c>
      <x:c r="G46" s="26" t="n">
        <x:v>12675.472</x:v>
      </x:c>
      <x:c r="H46" s="26" t="n">
        <x:v>13286.942</x:v>
      </x:c>
      <x:c r="I46" s="9" t="s">
        <x:v>98</x:v>
      </x:c>
    </x:row>
    <x:row r="47" ht="15" hidden="0">
      <x:c r="A47" t="s">
        <x:v>347</x:v>
      </x:c>
      <x:c r="B47" s="19" t="s">
        <x:v>779</x:v>
      </x:c>
      <x:c r="C47" s="26" t="n">
        <x:v>775.771</x:v>
      </x:c>
      <x:c r="D47" s="26" t="n">
        <x:v>777.795</x:v>
      </x:c>
      <x:c r="E47" s="26" t="n">
        <x:v>993.817</x:v>
      </x:c>
      <x:c r="F47" s="26" t="n">
        <x:v>1289.212</x:v>
      </x:c>
      <x:c r="G47" s="26" t="n">
        <x:v>1517.297</x:v>
      </x:c>
      <x:c r="H47" s="26" t="n">
        <x:v>1894.931</x:v>
      </x:c>
      <x:c r="I47" s="9" t="s">
        <x:v>98</x:v>
      </x:c>
    </x:row>
    <x:row r="48" ht="15" hidden="0">
      <x:c r="A48" s="2" t="s">
        <x:v>349</x:v>
      </x:c>
      <x:c r="B48" s="19" t="s">
        <x:v>350</x:v>
      </x:c>
      <x:c r="C48" s="28" t="n">
        <x:f aca="0">C43+C44+C45+C46+C47</x:f>
        <x:v>25283.120000000003</x:v>
      </x:c>
      <x:c r="D48" s="28" t="n">
        <x:f aca="0">D43+D44+D45+D46+D47</x:f>
        <x:v>24121.303999999996</x:v>
      </x:c>
      <x:c r="E48" s="28" t="n">
        <x:f aca="0">E43+E44+E45+E46+E47</x:f>
        <x:v>20554.879999999997</x:v>
      </x:c>
      <x:c r="F48" s="28" t="n">
        <x:f aca="0">F43+F44+F45+F46+F47</x:f>
        <x:v>21845.186999999998</x:v>
      </x:c>
      <x:c r="G48" s="28" t="n">
        <x:f aca="0">G43+G44+G45+G46+G47</x:f>
        <x:v>30312.498999999996</x:v>
      </x:c>
      <x:c r="H48" s="28" t="n">
        <x:f aca="0">H43+H44+H45+H46+H47</x:f>
        <x:v>25345.837</x:v>
      </x:c>
      <x:c r="I48" s="9" t="s">
        <x:v>98</x:v>
      </x:c>
    </x:row>
    <x:row r="49" ht="15" hidden="0">
      <x:c r="A49" s="24" t="s">
        <x:v>351</x:v>
      </x:c>
      <x:c r="B49" s="25"/>
      <x:c r="C49" s="25"/>
      <x:c r="D49" s="25"/>
      <x:c r="E49" s="25"/>
      <x:c r="F49" s="25"/>
      <x:c r="G49" s="25"/>
      <x:c r="H49" s="25"/>
      <x:c r="I49" s="25"/>
      <x:c r="J49" s="25"/>
    </x:row>
    <x:row r="50" ht="15" hidden="0">
      <x:c r="A50" t="s">
        <x:v>352</x:v>
      </x:c>
      <x:c r="B50" s="19" t="s">
        <x:v>780</x:v>
      </x:c>
      <x:c r="C50" s="26" t="n">
        <x:v>11298.187</x:v>
      </x:c>
      <x:c r="D50" s="26" t="n">
        <x:v>14923.151</x:v>
      </x:c>
      <x:c r="E50" s="26" t="n">
        <x:v>12591.709</x:v>
      </x:c>
      <x:c r="F50" s="26" t="n">
        <x:v>13783.299</x:v>
      </x:c>
      <x:c r="G50" s="26" t="n">
        <x:v>12394.455</x:v>
      </x:c>
      <x:c r="H50" s="26" t="n">
        <x:v>13333.448</x:v>
      </x:c>
      <x:c r="I50" s="9" t="s">
        <x:v>98</x:v>
      </x:c>
    </x:row>
    <x:row r="51" ht="15" hidden="0">
      <x:c r="A51" t="s">
        <x:v>354</x:v>
      </x:c>
      <x:c r="B51" s="19" t="s">
        <x:v>781</x:v>
      </x:c>
      <x:c r="C51" s="26" t="n">
        <x:v>4325.32</x:v>
      </x:c>
      <x:c r="D51" s="26" t="n">
        <x:v>7375.63</x:v>
      </x:c>
      <x:c r="E51" s="26" t="n">
        <x:v>3871.207</x:v>
      </x:c>
      <x:c r="F51" s="26" t="n">
        <x:v>6530.049</x:v>
      </x:c>
      <x:c r="G51" s="26" t="n">
        <x:v>5046.744</x:v>
      </x:c>
      <x:c r="H51" s="26" t="n">
        <x:v>3900.142</x:v>
      </x:c>
      <x:c r="I51" s="9" t="s">
        <x:v>98</x:v>
      </x:c>
    </x:row>
    <x:row r="52" ht="15" hidden="0">
      <x:c r="A52" t="s">
        <x:v>356</x:v>
      </x:c>
      <x:c r="B52" s="19" t="s">
        <x:v>782</x:v>
      </x:c>
      <x:c r="C52" s="26" t="n">
        <x:v>0</x:v>
      </x:c>
      <x:c r="D52" s="26" t="n">
        <x:v>0</x:v>
      </x:c>
      <x:c r="E52" s="26" t="n">
        <x:v>0</x:v>
      </x:c>
      <x:c r="F52" s="26" t="n">
        <x:v>0</x:v>
      </x:c>
      <x:c r="G52" s="26" t="n">
        <x:v>0</x:v>
      </x:c>
      <x:c r="H52" s="26" t="n">
        <x:v>0</x:v>
      </x:c>
      <x:c r="I52" s="9" t="s">
        <x:v>98</x:v>
      </x:c>
    </x:row>
    <x:row r="53" ht="15" hidden="0">
      <x:c r="A53" t="s">
        <x:v>358</x:v>
      </x:c>
      <x:c r="B53" s="19" t="s">
        <x:v>783</x:v>
      </x:c>
      <x:c r="C53" s="26" t="n">
        <x:v>712.275</x:v>
      </x:c>
      <x:c r="D53" s="26" t="n">
        <x:v>507.769</x:v>
      </x:c>
      <x:c r="E53" s="26" t="n">
        <x:v>883.229</x:v>
      </x:c>
      <x:c r="F53" s="26" t="n">
        <x:v>1739.547</x:v>
      </x:c>
      <x:c r="G53" s="26" t="n">
        <x:v>1280.446</x:v>
      </x:c>
      <x:c r="H53" s="26" t="n">
        <x:v>229.652</x:v>
      </x:c>
      <x:c r="I53" s="9" t="s">
        <x:v>98</x:v>
      </x:c>
    </x:row>
    <x:row r="54" ht="15" hidden="0">
      <x:c r="A54" t="s">
        <x:v>360</x:v>
      </x:c>
      <x:c r="B54" s="19" t="s">
        <x:v>784</x:v>
      </x:c>
      <x:c r="C54" s="26" t="n">
        <x:v>23495.967</x:v>
      </x:c>
      <x:c r="D54" s="26" t="n">
        <x:v>18362.05</x:v>
      </x:c>
      <x:c r="E54" s="26" t="n">
        <x:v>25210.506</x:v>
      </x:c>
      <x:c r="F54" s="26" t="n">
        <x:v>25494.293</x:v>
      </x:c>
      <x:c r="G54" s="26" t="n">
        <x:v>13064.718</x:v>
      </x:c>
      <x:c r="H54" s="26" t="n">
        <x:v>9878.499</x:v>
      </x:c>
      <x:c r="I54" s="9" t="s">
        <x:v>98</x:v>
      </x:c>
    </x:row>
    <x:row r="55" ht="15" hidden="0">
      <x:c r="A55" t="s">
        <x:v>362</x:v>
      </x:c>
      <x:c r="B55" s="19" t="s">
        <x:v>785</x:v>
      </x:c>
      <x:c r="C55" s="26" t="n">
        <x:v>2010.621</x:v>
      </x:c>
      <x:c r="D55" s="26" t="n">
        <x:v>6130.703</x:v>
      </x:c>
      <x:c r="E55" s="26" t="n">
        <x:v>7097.166</x:v>
      </x:c>
      <x:c r="F55" s="26" t="n">
        <x:v>7370.364</x:v>
      </x:c>
      <x:c r="G55" s="26" t="n">
        <x:v>5291.972</x:v>
      </x:c>
      <x:c r="H55" s="26" t="n">
        <x:v>1934.772</x:v>
      </x:c>
      <x:c r="I55" s="9" t="s">
        <x:v>98</x:v>
      </x:c>
    </x:row>
    <x:row r="56" ht="15" hidden="0">
      <x:c r="A56" t="s">
        <x:v>364</x:v>
      </x:c>
      <x:c r="B56" s="19" t="s">
        <x:v>786</x:v>
      </x:c>
      <x:c r="C56" s="26" t="n">
        <x:v>0</x:v>
      </x:c>
      <x:c r="D56" s="26" t="n">
        <x:v>0</x:v>
      </x:c>
      <x:c r="E56" s="26" t="n">
        <x:v>0</x:v>
      </x:c>
      <x:c r="F56" s="26" t="n">
        <x:v>0</x:v>
      </x:c>
      <x:c r="G56" s="26" t="n">
        <x:v>0</x:v>
      </x:c>
      <x:c r="H56" s="26" t="n">
        <x:v>0</x:v>
      </x:c>
      <x:c r="I56" s="9" t="s">
        <x:v>98</x:v>
      </x:c>
    </x:row>
    <x:row r="57" ht="15" hidden="0">
      <x:c r="A57" t="s">
        <x:v>366</x:v>
      </x:c>
      <x:c r="B57" s="19" t="s">
        <x:v>787</x:v>
      </x:c>
      <x:c r="C57" s="26" t="n">
        <x:v>0</x:v>
      </x:c>
      <x:c r="D57" s="26" t="n">
        <x:v>262.523</x:v>
      </x:c>
      <x:c r="E57" s="26" t="n">
        <x:v>213.883</x:v>
      </x:c>
      <x:c r="F57" s="26" t="n">
        <x:v>171.581</x:v>
      </x:c>
      <x:c r="G57" s="26" t="n">
        <x:v>124.138</x:v>
      </x:c>
      <x:c r="H57" s="26" t="n">
        <x:v>79.465</x:v>
      </x:c>
      <x:c r="I57" s="9" t="s">
        <x:v>98</x:v>
      </x:c>
    </x:row>
    <x:row r="58" ht="15" hidden="0">
      <x:c r="A58" t="s">
        <x:v>368</x:v>
      </x:c>
      <x:c r="B58" s="19" t="s">
        <x:v>788</x:v>
      </x:c>
      <x:c r="C58" s="26" t="n">
        <x:v>33.837</x:v>
      </x:c>
      <x:c r="D58" s="26" t="n">
        <x:v>33.517</x:v>
      </x:c>
      <x:c r="E58" s="26" t="n">
        <x:v>34.512</x:v>
      </x:c>
      <x:c r="F58" s="26" t="n">
        <x:v>34.704</x:v>
      </x:c>
      <x:c r="G58" s="26" t="n">
        <x:v>34.201</x:v>
      </x:c>
      <x:c r="H58" s="26" t="n">
        <x:v>34.154</x:v>
      </x:c>
      <x:c r="I58" s="9" t="s">
        <x:v>98</x:v>
      </x:c>
    </x:row>
    <x:row r="59" ht="15" hidden="0">
      <x:c r="A59" t="s">
        <x:v>370</x:v>
      </x:c>
      <x:c r="B59" s="19" t="s">
        <x:v>789</x:v>
      </x:c>
      <x:c r="C59" s="26" t="n">
        <x:v>35.09</x:v>
      </x:c>
      <x:c r="D59" s="26" t="n">
        <x:v>35.09</x:v>
      </x:c>
      <x:c r="E59" s="26" t="n">
        <x:v>35.09</x:v>
      </x:c>
      <x:c r="F59" s="26" t="n">
        <x:v>35.09</x:v>
      </x:c>
      <x:c r="G59" s="26" t="n">
        <x:v>35.09</x:v>
      </x:c>
      <x:c r="H59" s="26" t="n">
        <x:v>365.924</x:v>
      </x:c>
      <x:c r="I59" s="9" t="s">
        <x:v>98</x:v>
      </x:c>
    </x:row>
    <x:row r="60" ht="15" hidden="0">
      <x:c r="A60" t="s">
        <x:v>372</x:v>
      </x:c>
      <x:c r="B60" s="19" t="s">
        <x:v>790</x:v>
      </x:c>
      <x:c r="C60" s="26" t="n">
        <x:v>38.28</x:v>
      </x:c>
      <x:c r="D60" s="26" t="n">
        <x:v>40.717</x:v>
      </x:c>
      <x:c r="E60" s="26" t="n">
        <x:v>22.936</x:v>
      </x:c>
      <x:c r="F60" s="26" t="n">
        <x:v>46.912</x:v>
      </x:c>
      <x:c r="G60" s="26" t="n">
        <x:v>0.697</x:v>
      </x:c>
      <x:c r="H60" s="26" t="n">
        <x:v>55.006</x:v>
      </x:c>
      <x:c r="I60" s="9" t="s">
        <x:v>98</x:v>
      </x:c>
    </x:row>
    <x:row r="61" ht="15" hidden="0">
      <x:c r="A61" s="2" t="s">
        <x:v>374</x:v>
      </x:c>
      <x:c r="B61" s="19" t="s">
        <x:v>375</x:v>
      </x:c>
      <x:c r="C61" s="28" t="n">
        <x:f aca="0">C50+C52+C53+C54+C55+C56+C57+C58+C59+C60</x:f>
        <x:v>37624.257</x:v>
      </x:c>
      <x:c r="D61" s="28" t="n">
        <x:f aca="0">D50+D52+D53+D54+D55+D56+D57+D58+D59+D60</x:f>
        <x:v>40295.52</x:v>
      </x:c>
      <x:c r="E61" s="28" t="n">
        <x:f aca="0">E50+E52+E53+E54+E55+E56+E57+E58+E59+E60</x:f>
        <x:v>46089.031</x:v>
      </x:c>
      <x:c r="F61" s="28" t="n">
        <x:f aca="0">F50+F52+F53+F54+F55+F56+F57+F58+F59+F60</x:f>
        <x:v>48675.78999999999</x:v>
      </x:c>
      <x:c r="G61" s="28" t="n">
        <x:f aca="0">G50+G52+G53+G54+G55+G56+G57+G58+G59+G60</x:f>
        <x:v>32225.717</x:v>
      </x:c>
      <x:c r="H61" s="28" t="n">
        <x:f aca="0">H50+H52+H53+H54+H55+H56+H57+H58+H59+H60</x:f>
        <x:v>25910.920000000002</x:v>
      </x:c>
      <x:c r="I61" s="9" t="s">
        <x:v>98</x:v>
      </x:c>
      <x:c r="J61" s="9" t="s">
        <x:v>376</x:v>
      </x:c>
    </x:row>
    <x:row r="62" ht="15" hidden="0">
      <x:c r="A62" s="2" t="s">
        <x:v>377</x:v>
      </x:c>
      <x:c r="B62" s="19" t="s">
        <x:v>378</x:v>
      </x:c>
      <x:c r="C62" s="28" t="n">
        <x:f aca="0">C48+C61</x:f>
        <x:v>62907.377</x:v>
      </x:c>
      <x:c r="D62" s="28" t="n">
        <x:f aca="0">D48+D61</x:f>
        <x:v>64416.82399999999</x:v>
      </x:c>
      <x:c r="E62" s="28" t="n">
        <x:f aca="0">E48+E61</x:f>
        <x:v>66643.911</x:v>
      </x:c>
      <x:c r="F62" s="28" t="n">
        <x:f aca="0">F48+F61</x:f>
        <x:v>70520.97699999998</x:v>
      </x:c>
      <x:c r="G62" s="28" t="n">
        <x:f aca="0">G48+G61</x:f>
        <x:v>62538.216</x:v>
      </x:c>
      <x:c r="H62" s="28" t="n">
        <x:f aca="0">H48+H61</x:f>
        <x:v>51256.757</x:v>
      </x:c>
      <x:c r="I62" s="9" t="s">
        <x:v>98</x:v>
      </x:c>
    </x:row>
    <x:row r="63" ht="15" hidden="0">
      <x:c r="A63" s="2" t="s">
        <x:v>379</x:v>
      </x:c>
      <x:c r="B63" s="19" t="s">
        <x:v>380</x:v>
      </x:c>
      <x:c r="C63" s="28" t="n">
        <x:f aca="0">C41+C62</x:f>
        <x:v>129551.53400000001</x:v>
      </x:c>
      <x:c r="D63" s="28" t="n">
        <x:f aca="0">D41+D62</x:f>
        <x:v>137894.697</x:v>
      </x:c>
      <x:c r="E63" s="28" t="n">
        <x:f aca="0">E41+E62</x:f>
        <x:v>136562.01299999998</x:v>
      </x:c>
      <x:c r="F63" s="28" t="n">
        <x:f aca="0">F41+F62</x:f>
        <x:v>134713.254</x:v>
      </x:c>
      <x:c r="G63" s="28" t="n">
        <x:f aca="0">G41+G62</x:f>
        <x:v>138385.75400000002</x:v>
      </x:c>
      <x:c r="H63" s="28" t="n">
        <x:f aca="0">H41+H62</x:f>
        <x:v>145924.235</x:v>
      </x:c>
      <x:c r="I63" s="9" t="s">
        <x:v>98</x:v>
      </x:c>
    </x:row>
    <x:row r="64" ht="15" hidden="0">
      <x:c r="A64" s="24" t="s">
        <x:v>381</x:v>
      </x:c>
      <x:c r="B64" s="25"/>
      <x:c r="C64" s="25"/>
      <x:c r="D64" s="25"/>
      <x:c r="E64" s="25"/>
      <x:c r="F64" s="25"/>
      <x:c r="G64" s="25"/>
      <x:c r="H64" s="25"/>
      <x:c r="I64" s="25"/>
      <x:c r="J64" s="25"/>
    </x:row>
    <x:row r="65" ht="15" hidden="0">
      <x:c r="A65" t="s">
        <x:v>382</x:v>
      </x:c>
      <x:c r="B65" s="19" t="s">
        <x:v>383</x:v>
      </x:c>
      <x:c r="C65" s="27" t="n">
        <x:f aca="0">C30+C31</x:f>
        <x:v>12590.985</x:v>
      </x:c>
      <x:c r="D65" s="27" t="n">
        <x:f aca="0">D30+D31</x:f>
        <x:v>15607.937</x:v>
      </x:c>
      <x:c r="E65" s="27" t="n">
        <x:f aca="0">E30+E31</x:f>
        <x:v>22795.398</x:v>
      </x:c>
      <x:c r="F65" s="27" t="n">
        <x:f aca="0">F30+F31</x:f>
        <x:v>22725.175</x:v>
      </x:c>
      <x:c r="G65" s="27" t="n">
        <x:f aca="0">G30+G31</x:f>
        <x:v>20252.841</x:v>
      </x:c>
      <x:c r="H65" s="27" t="n">
        <x:f aca="0">H30+H31</x:f>
        <x:v>20495.357</x:v>
      </x:c>
      <x:c r="I65" s="9" t="s">
        <x:v>98</x:v>
      </x:c>
    </x:row>
    <x:row r="66" ht="15" hidden="0">
      <x:c r="A66" t="s">
        <x:v>384</x:v>
      </x:c>
      <x:c r="B66" s="19" t="s">
        <x:v>385</x:v>
      </x:c>
      <x:c r="C66" s="27" t="n">
        <x:f aca="0">C43+C44+C54+C55+C56</x:f>
        <x:v>47478.588</x:v>
      </x:c>
      <x:c r="D66" s="27" t="n">
        <x:f aca="0">D43+D44+D54+D55+D56</x:f>
        <x:v>43792.817</x:v>
      </x:c>
      <x:c r="E66" s="27" t="n">
        <x:f aca="0">E43+E44+E54+E55+E56</x:f>
        <x:v>46475.901</x:v>
      </x:c>
      <x:c r="F66" s="27" t="n">
        <x:f aca="0">F43+F44+F54+F55+F56</x:f>
        <x:v>42528.276000000005</x:v>
      </x:c>
      <x:c r="G66" s="27" t="n">
        <x:f aca="0">G43+G44+G54+G55+G56</x:f>
        <x:v>34321.806000000004</x:v>
      </x:c>
      <x:c r="H66" s="27" t="n">
        <x:f aca="0">H43+H44+H54+H55+H56</x:f>
        <x:v>21907.100000000002</x:v>
      </x:c>
      <x:c r="I66" s="9" t="s">
        <x:v>98</x:v>
      </x:c>
    </x:row>
    <x:row r="67" ht="15" hidden="0">
      <x:c r="A67" t="s">
        <x:v>386</x:v>
      </x:c>
      <x:c r="B67" s="19" t="s">
        <x:v>387</x:v>
      </x:c>
      <x:c r="C67" s="27" t="n">
        <x:f aca="0">C43+C44</x:f>
        <x:v>21972</x:v>
      </x:c>
      <x:c r="D67" s="27" t="n">
        <x:f aca="0">D43+D44</x:f>
        <x:v>19300.064</x:v>
      </x:c>
      <x:c r="E67" s="27" t="n">
        <x:f aca="0">E43+E44</x:f>
        <x:v>14168.229</x:v>
      </x:c>
      <x:c r="F67" s="27" t="n">
        <x:f aca="0">F43+F44</x:f>
        <x:v>9663.619</x:v>
      </x:c>
      <x:c r="G67" s="27" t="n">
        <x:f aca="0">G43+G44</x:f>
        <x:v>15965.116</x:v>
      </x:c>
      <x:c r="H67" s="27" t="n">
        <x:f aca="0">H43+H44</x:f>
        <x:v>10093.829</x:v>
      </x:c>
      <x:c r="I67" s="9" t="s">
        <x:v>98</x:v>
      </x:c>
    </x:row>
    <x:row r="68" ht="15" hidden="0">
      <x:c r="A68" t="s">
        <x:v>388</x:v>
      </x:c>
      <x:c r="B68" s="19" t="s">
        <x:v>389</x:v>
      </x:c>
      <x:c r="C68" s="27" t="n">
        <x:f aca="0">C66-C34</x:f>
        <x:v>47130.754</x:v>
      </x:c>
      <x:c r="D68" s="27" t="n">
        <x:f aca="0">D66-D34</x:f>
        <x:v>42986.444</x:v>
      </x:c>
      <x:c r="E68" s="27" t="n">
        <x:f aca="0">E66-E34</x:f>
        <x:v>46065.098</x:v>
      </x:c>
      <x:c r="F68" s="27" t="n">
        <x:f aca="0">F66-F34</x:f>
        <x:v>41853.304000000004</x:v>
      </x:c>
      <x:c r="G68" s="27" t="n">
        <x:f aca="0">G66-G34</x:f>
        <x:v>33589.638000000006</x:v>
      </x:c>
      <x:c r="H68" s="27" t="n">
        <x:f aca="0">H66-H34</x:f>
        <x:v>21338.268000000004</x:v>
      </x:c>
      <x:c r="I68" s="9" t="s">
        <x:v>98</x:v>
      </x:c>
    </x:row>
    <x:row r="69" ht="15" hidden="0">
      <x:c r="A69" t="s">
        <x:v>390</x:v>
      </x:c>
      <x:c r="B69" s="19" t="s">
        <x:v>391</x:v>
      </x:c>
      <x:c r="C69" s="27" t="n">
        <x:f aca="0">C66-C34-C33</x:f>
        <x:v>34004.366</x:v>
      </x:c>
      <x:c r="D69" s="27" t="n">
        <x:f aca="0">D66-D34-D33</x:f>
        <x:v>30039.658000000003</x:v>
      </x:c>
      <x:c r="E69" s="27" t="n">
        <x:f aca="0">E66-E34-E33</x:f>
        <x:v>36102.676999999996</x:v>
      </x:c>
      <x:c r="F69" s="27" t="n">
        <x:f aca="0">F66-F34-F33</x:f>
        <x:v>32582.406000000003</x:v>
      </x:c>
      <x:c r="G69" s="27" t="n">
        <x:f aca="0">G66-G34-G33</x:f>
        <x:v>15204.756000000005</x:v>
      </x:c>
      <x:c r="H69" s="27" t="n">
        <x:f aca="0">H66-H34-H33</x:f>
        <x:v>-2666.831999999995</x:v>
      </x:c>
      <x:c r="I69" s="9" t="s">
        <x:v>98</x:v>
      </x:c>
    </x:row>
    <x:row r="70" ht="15" hidden="0">
      <x:c r="A70" t="s">
        <x:v>392</x:v>
      </x:c>
      <x:c r="B70" s="19" t="s">
        <x:v>393</x:v>
      </x:c>
      <x:c r="C70" s="27" t="n">
        <x:f aca="0">C66+C41</x:f>
        <x:v>114122.74500000001</x:v>
      </x:c>
      <x:c r="D70" s="27" t="n">
        <x:f aca="0">D66+D41</x:f>
        <x:v>117270.69</x:v>
      </x:c>
      <x:c r="E70" s="27" t="n">
        <x:f aca="0">E66+E41</x:f>
        <x:v>116394.003</x:v>
      </x:c>
      <x:c r="F70" s="27" t="n">
        <x:f aca="0">F66+F41</x:f>
        <x:v>106720.55300000001</x:v>
      </x:c>
      <x:c r="G70" s="27" t="n">
        <x:f aca="0">G66+G41</x:f>
        <x:v>110169.34400000001</x:v>
      </x:c>
      <x:c r="H70" s="27" t="n">
        <x:f aca="0">H66+H41</x:f>
        <x:v>116574.57800000001</x:v>
      </x:c>
      <x:c r="I70" s="9" t="s">
        <x:v>98</x:v>
      </x:c>
    </x:row>
    <x:row r="71" ht="15" hidden="0">
      <x:c r="A71" t="s">
        <x:v>394</x:v>
      </x:c>
      <x:c r="B71" s="19" t="s">
        <x:v>395</x:v>
      </x:c>
      <x:c r="C71" s="27" t="n">
        <x:f aca="0">C37-C61</x:f>
        <x:v>91927.27699999999</x:v>
      </x:c>
      <x:c r="D71" s="27" t="n">
        <x:f aca="0">D37-D61</x:f>
        <x:v>97599.17700000003</x:v>
      </x:c>
      <x:c r="E71" s="27" t="n">
        <x:f aca="0">E37-E61</x:f>
        <x:v>90472.982</x:v>
      </x:c>
      <x:c r="F71" s="27" t="n">
        <x:f aca="0">F37-F61</x:f>
        <x:v>86037.46400000002</x:v>
      </x:c>
      <x:c r="G71" s="27" t="n">
        <x:f aca="0">G37-G61</x:f>
        <x:v>106160.03700000001</x:v>
      </x:c>
      <x:c r="H71" s="27" t="n">
        <x:f aca="0">H37-H61</x:f>
        <x:v>120013.31499999999</x:v>
      </x:c>
      <x:c r="I71" s="9" t="s">
        <x:v>98</x:v>
      </x:c>
    </x:row>
    <x:row r="72" ht="15" hidden="0">
      <x:c r="A72" t="s">
        <x:v>396</x:v>
      </x:c>
      <x:c r="B72" s="19" t="s">
        <x:v>397</x:v>
      </x:c>
      <x:c r="C72" s="27" t="n">
        <x:f aca="0">C36-C34-C33</x:f>
        <x:v>20632.205</x:v>
      </x:c>
      <x:c r="D72" s="27" t="n">
        <x:f aca="0">D36-D34-D33</x:f>
        <x:v>23098.105000000003</x:v>
      </x:c>
      <x:c r="E72" s="27" t="n">
        <x:f aca="0">E36-E34-E33</x:f>
        <x:v>30439.939</x:v>
      </x:c>
      <x:c r="F72" s="27" t="n">
        <x:f aca="0">F36-F34-F33</x:f>
        <x:v>29080.795999999995</x:v>
      </x:c>
      <x:c r="G72" s="27" t="n">
        <x:f aca="0">G36-G34-G33</x:f>
        <x:v>22653.470999999994</x:v>
      </x:c>
      <x:c r="H72" s="27" t="n">
        <x:f aca="0">H36-H34-H33</x:f>
        <x:v>23334.11</x:v>
      </x:c>
      <x:c r="I72" s="9" t="s">
        <x:v>98</x:v>
      </x:c>
    </x:row>
    <x:row r="73" ht="15" hidden="0">
      <x:c r="A73" t="s">
        <x:v>398</x:v>
      </x:c>
      <x:c r="B73" s="19" t="s">
        <x:v>399</x:v>
      </x:c>
      <x:c r="C73" s="27" t="n">
        <x:f aca="0">C61-C54-C55-C56-C57-C53-C58</x:f>
        <x:v>11371.556999999999</x:v>
      </x:c>
      <x:c r="D73" s="27" t="n">
        <x:f aca="0">D61-D54-D55-D56-D57-D53-D58</x:f>
        <x:v>14998.957999999997</x:v>
      </x:c>
      <x:c r="E73" s="27" t="n">
        <x:f aca="0">E61-E54-E55-E56-E57-E53-E58</x:f>
        <x:v>12649.735</x:v>
      </x:c>
      <x:c r="F73" s="27" t="n">
        <x:f aca="0">F61-F54-F55-F56-F57-F53-F58</x:f>
        <x:v>13865.300999999992</x:v>
      </x:c>
      <x:c r="G73" s="27" t="n">
        <x:f aca="0">G61-G54-G55-G56-G57-G53-G58</x:f>
        <x:v>12430.242</x:v>
      </x:c>
      <x:c r="H73" s="27" t="n">
        <x:f aca="0">H61-H54-H55-H56-H57-H53-H58</x:f>
        <x:v>13754.378</x:v>
      </x:c>
      <x:c r="I73" s="9" t="s">
        <x:v>98</x:v>
      </x:c>
    </x:row>
    <x:row r="74" ht="15" hidden="0">
      <x:c r="A74" s="24" t="s">
        <x:v>400</x:v>
      </x:c>
      <x:c r="B74" s="25"/>
      <x:c r="C74" s="25"/>
      <x:c r="D74" s="25"/>
      <x:c r="E74" s="25"/>
      <x:c r="F74" s="25"/>
      <x:c r="G74" s="25"/>
      <x:c r="H74" s="25"/>
      <x:c r="I74" s="25"/>
      <x:c r="J74" s="25"/>
    </x:row>
    <x:row r="75" ht="15" hidden="0">
      <x:c r="A75" t="s">
        <x:v>401</x:v>
      </x:c>
      <x:c r="B75" s="19" t="s">
        <x:v>791</x:v>
      </x:c>
      <x:c r="C75" s="26" t="n">
        <x:v>129551.534</x:v>
      </x:c>
      <x:c r="D75" s="26" t="n">
        <x:v>137894.697</x:v>
      </x:c>
      <x:c r="E75" s="26" t="n">
        <x:v>136562.013</x:v>
      </x:c>
      <x:c r="F75" s="26" t="n">
        <x:v>134713.254</x:v>
      </x:c>
      <x:c r="G75" s="26" t="n">
        <x:v>138385.754</x:v>
      </x:c>
      <x:c r="H75" s="26" t="n">
        <x:v>145924.235</x:v>
      </x:c>
      <x:c r="I75" s="9" t="s">
        <x:v>98</x:v>
      </x:c>
    </x:row>
    <x:row r="76" ht="15" hidden="0">
      <x:c r="A76" t="s">
        <x:v>403</x:v>
      </x:c>
      <x:c r="B76" s="19" t="s">
        <x:v>792</x:v>
      </x:c>
      <x:c r="C76" s="26" t="n">
        <x:v>66644.157</x:v>
      </x:c>
      <x:c r="D76" s="26" t="n">
        <x:v>73477.873</x:v>
      </x:c>
      <x:c r="E76" s="26" t="n">
        <x:v>69918.102</x:v>
      </x:c>
      <x:c r="F76" s="26" t="n">
        <x:v>64192.277</x:v>
      </x:c>
      <x:c r="G76" s="26" t="n">
        <x:v>75847.538</x:v>
      </x:c>
      <x:c r="H76" s="26" t="n">
        <x:v>94667.478</x:v>
      </x:c>
      <x:c r="I76" s="9" t="s">
        <x:v>98</x:v>
      </x:c>
    </x:row>
    <x:row r="77" ht="15" hidden="0">
      <x:c r="A77" t="s">
        <x:v>405</x:v>
      </x:c>
      <x:c r="B77" s="19" t="s">
        <x:v>793</x:v>
      </x:c>
      <x:c r="C77" s="26" t="n">
        <x:v>34106.427</x:v>
      </x:c>
      <x:c r="D77" s="26" t="n">
        <x:v>36851.264</x:v>
      </x:c>
      <x:c r="E77" s="26" t="n">
        <x:v>40813.163</x:v>
      </x:c>
      <x:c r="F77" s="26" t="n">
        <x:v>39026.666</x:v>
      </x:c>
      <x:c r="G77" s="26" t="n">
        <x:v>41770.521</x:v>
      </x:c>
      <x:c r="H77" s="26" t="n">
        <x:v>47908.042</x:v>
      </x:c>
      <x:c r="I77" s="9" t="s">
        <x:v>98</x:v>
      </x:c>
    </x:row>
    <x:row r="78" ht="15" hidden="0">
      <x:c r="A78" t="s">
        <x:v>407</x:v>
      </x:c>
      <x:c r="B78" s="19" t="s">
        <x:v>794</x:v>
      </x:c>
      <x:c r="C78" s="26" t="n">
        <x:v>37624.257</x:v>
      </x:c>
      <x:c r="D78" s="26" t="n">
        <x:v>40295.52</x:v>
      </x:c>
      <x:c r="E78" s="26" t="n">
        <x:v>46089.031</x:v>
      </x:c>
      <x:c r="F78" s="26" t="n">
        <x:v>48675.79</x:v>
      </x:c>
      <x:c r="G78" s="26" t="n">
        <x:v>32225.717</x:v>
      </x:c>
      <x:c r="H78" s="26" t="n">
        <x:v>25910.92</x:v>
      </x:c>
      <x:c r="I78" s="9" t="s">
        <x:v>98</x:v>
      </x:c>
    </x:row>
    <x:row r="79" ht="15" hidden="0">
      <x:c r="A79" t="s">
        <x:v>409</x:v>
      </x:c>
      <x:c r="B79" s="19" t="s">
        <x:v>410</x:v>
      </x:c>
      <x:c r="C79" s="29" t="str">
        <x:f aca="0">IF(ABS(C37-C63)&lt;0.005,"PASS","FAIL")</x:f>
        <x:v>PASS</x:v>
      </x:c>
      <x:c r="D79" s="29" t="str">
        <x:f aca="0">IF(ABS(D37-D63)&lt;0.005,"PASS","FAIL")</x:f>
        <x:v>PASS</x:v>
      </x:c>
      <x:c r="E79" s="29" t="str">
        <x:f aca="0">IF(ABS(E37-E63)&lt;0.005,"PASS","FAIL")</x:f>
        <x:v>PASS</x:v>
      </x:c>
      <x:c r="F79" s="29" t="str">
        <x:f aca="0">IF(ABS(F37-F63)&lt;0.005,"PASS","FAIL")</x:f>
        <x:v>PASS</x:v>
      </x:c>
      <x:c r="G79" s="29" t="str">
        <x:f aca="0">IF(ABS(G37-G63)&lt;0.005,"PASS","FAIL")</x:f>
        <x:v>PASS</x:v>
      </x:c>
      <x:c r="H79" s="29" t="str">
        <x:f aca="0">IF(ABS(H37-H63)&lt;0.005,"PASS","FAIL")</x:f>
        <x:v>PASS</x:v>
      </x:c>
      <x:c r="I79" s="9"/>
    </x:row>
    <x:row r="80" ht="15" hidden="0">
      <x:c r="A80" t="s">
        <x:v>411</x:v>
      </x:c>
      <x:c r="B80" s="19" t="s">
        <x:v>410</x:v>
      </x:c>
      <x:c r="C80" s="29" t="str">
        <x:f aca="0">IF(ABS(C37-C75)&lt;0.005,"PASS","FAIL")</x:f>
        <x:v>PASS</x:v>
      </x:c>
      <x:c r="D80" s="29" t="str">
        <x:f aca="0">IF(ABS(D37-D75)&lt;0.005,"PASS","FAIL")</x:f>
        <x:v>PASS</x:v>
      </x:c>
      <x:c r="E80" s="29" t="str">
        <x:f aca="0">IF(ABS(E37-E75)&lt;0.005,"PASS","FAIL")</x:f>
        <x:v>PASS</x:v>
      </x:c>
      <x:c r="F80" s="29" t="str">
        <x:f aca="0">IF(ABS(F37-F75)&lt;0.005,"PASS","FAIL")</x:f>
        <x:v>PASS</x:v>
      </x:c>
      <x:c r="G80" s="29" t="str">
        <x:f aca="0">IF(ABS(G37-G75)&lt;0.005,"PASS","FAIL")</x:f>
        <x:v>PASS</x:v>
      </x:c>
      <x:c r="H80" s="29" t="str">
        <x:f aca="0">IF(ABS(H37-H75)&lt;0.005,"PASS","FAIL")</x:f>
        <x:v>PASS</x:v>
      </x:c>
      <x:c r="I80" s="9"/>
    </x:row>
    <x:row r="81" ht="15" hidden="0">
      <x:c r="A81" t="s">
        <x:v>412</x:v>
      </x:c>
      <x:c r="B81" s="19" t="s">
        <x:v>410</x:v>
      </x:c>
      <x:c r="C81" s="29" t="str">
        <x:f aca="0">IF(AND(ABS(C41-C76)&lt;0.005,ABS(C36-C77)&lt;0.005,ABS(C61-C78)&lt;0.005),"PASS","FAIL")</x:f>
        <x:v>PASS</x:v>
      </x:c>
      <x:c r="D81" s="29" t="str">
        <x:f aca="0">IF(AND(ABS(D41-D76)&lt;0.005,ABS(D36-D77)&lt;0.005,ABS(D61-D78)&lt;0.005),"PASS","FAIL")</x:f>
        <x:v>PASS</x:v>
      </x:c>
      <x:c r="E81" s="29" t="str">
        <x:f aca="0">IF(AND(ABS(E41-E76)&lt;0.005,ABS(E36-E77)&lt;0.005,ABS(E61-E78)&lt;0.005),"PASS","FAIL")</x:f>
        <x:v>PASS</x:v>
      </x:c>
      <x:c r="F81" s="29" t="str">
        <x:f aca="0">IF(AND(ABS(F41-F76)&lt;0.005,ABS(F36-F77)&lt;0.005,ABS(F61-F78)&lt;0.005),"PASS","FAIL")</x:f>
        <x:v>PASS</x:v>
      </x:c>
      <x:c r="G81" s="29" t="str">
        <x:f aca="0">IF(AND(ABS(G41-G76)&lt;0.005,ABS(G36-G77)&lt;0.005,ABS(G61-G78)&lt;0.005),"PASS","FAIL")</x:f>
        <x:v>PASS</x:v>
      </x:c>
      <x:c r="H81" s="29" t="str">
        <x:f aca="0">IF(AND(ABS(H41-H76)&lt;0.005,ABS(H36-H77)&lt;0.005,ABS(H61-H78)&lt;0.005),"PASS","FAIL")</x:f>
        <x:v>PASS</x:v>
      </x:c>
      <x:c r="I81" s="9"/>
    </x:row>
    <x:row r="83" ht="15" hidden="0">
      <x:c r="A83" s="5" t="s">
        <x:v>413</x:v>
      </x:c>
      <x:c r="B83" s="20"/>
      <x:c r="C83" s="20"/>
      <x:c r="D83" s="20"/>
      <x:c r="E83" s="20"/>
      <x:c r="F83" s="20"/>
      <x:c r="G83" s="20"/>
      <x:c r="H83" s="20"/>
      <x:c r="I83" s="20"/>
      <x:c r="J83" s="20"/>
    </x:row>
    <x:row r="84" ht="15" hidden="0">
      <x:c r="A84" t="s">
        <x:v>414</x:v>
      </x:c>
      <x:c r="B84" s="19" t="s">
        <x:v>795</x:v>
      </x:c>
      <x:c r="C84" s="30"/>
      <x:c r="D84" s="26" t="n">
        <x:v>45107.69</x:v>
      </x:c>
      <x:c r="E84" s="26" t="n">
        <x:v>58043.863</x:v>
      </x:c>
      <x:c r="F84" s="26" t="n">
        <x:v>64983.821</x:v>
      </x:c>
      <x:c r="G84" s="26" t="n">
        <x:v>66038.689</x:v>
      </x:c>
      <x:c r="H84" s="26" t="n">
        <x:v>71892.837</x:v>
      </x:c>
      <x:c r="I84" s="9" t="s">
        <x:v>98</x:v>
      </x:c>
    </x:row>
    <x:row r="85" ht="15" hidden="0">
      <x:c r="A85" t="s">
        <x:v>416</x:v>
      </x:c>
      <x:c r="B85" s="19" t="s">
        <x:v>796</x:v>
      </x:c>
      <x:c r="C85" s="30"/>
      <x:c r="D85" s="26" t="n">
        <x:v>-37035.798</x:v>
      </x:c>
      <x:c r="E85" s="26" t="n">
        <x:v>-47615.551</x:v>
      </x:c>
      <x:c r="F85" s="26" t="n">
        <x:v>-55428.046</x:v>
      </x:c>
      <x:c r="G85" s="26" t="n">
        <x:v>-55510.429</x:v>
      </x:c>
      <x:c r="H85" s="26" t="n">
        <x:v>-53387.166</x:v>
      </x:c>
      <x:c r="I85" s="9" t="s">
        <x:v>98</x:v>
      </x:c>
    </x:row>
    <x:row r="86" ht="15" hidden="0">
      <x:c r="A86" s="2" t="s">
        <x:v>418</x:v>
      </x:c>
      <x:c r="B86" s="19" t="s">
        <x:v>419</x:v>
      </x:c>
      <x:c r="C86" s="31"/>
      <x:c r="D86" s="28" t="n">
        <x:f aca="0">D84+D85</x:f>
        <x:v>8071.892</x:v>
      </x:c>
      <x:c r="E86" s="28" t="n">
        <x:f aca="0">E84+E85</x:f>
        <x:v>10428.311999999998</x:v>
      </x:c>
      <x:c r="F86" s="28" t="n">
        <x:f aca="0">F84+F85</x:f>
        <x:v>9555.775000000001</x:v>
      </x:c>
      <x:c r="G86" s="28" t="n">
        <x:f aca="0">G84+G85</x:f>
        <x:v>10528.260000000002</x:v>
      </x:c>
      <x:c r="H86" s="28" t="n">
        <x:f aca="0">H84+H85</x:f>
        <x:v>18505.671000000002</x:v>
      </x:c>
      <x:c r="I86" s="9" t="s">
        <x:v>98</x:v>
      </x:c>
    </x:row>
    <x:row r="87" ht="15" hidden="0">
      <x:c r="A87" t="s">
        <x:v>420</x:v>
      </x:c>
      <x:c r="B87" s="19" t="s">
        <x:v>797</x:v>
      </x:c>
      <x:c r="C87" s="30"/>
      <x:c r="D87" s="26" t="n">
        <x:v>-1950.056</x:v>
      </x:c>
      <x:c r="E87" s="26" t="n">
        <x:v>-1748.859</x:v>
      </x:c>
      <x:c r="F87" s="26" t="n">
        <x:v>-1818.028</x:v>
      </x:c>
      <x:c r="G87" s="26" t="n">
        <x:v>-2608.537</x:v>
      </x:c>
      <x:c r="H87" s="26" t="n">
        <x:v>-3874.688</x:v>
      </x:c>
      <x:c r="I87" s="9" t="s">
        <x:v>98</x:v>
      </x:c>
    </x:row>
    <x:row r="88" ht="15" hidden="0">
      <x:c r="A88" t="s">
        <x:v>422</x:v>
      </x:c>
      <x:c r="B88" s="19" t="s">
        <x:v>798</x:v>
      </x:c>
      <x:c r="C88" s="30"/>
      <x:c r="D88" s="26" t="n">
        <x:v>-646.762</x:v>
      </x:c>
      <x:c r="E88" s="26" t="n">
        <x:v>-751.052</x:v>
      </x:c>
      <x:c r="F88" s="26" t="n">
        <x:v>-879.356</x:v>
      </x:c>
      <x:c r="G88" s="26" t="n">
        <x:v>-1206.105</x:v>
      </x:c>
      <x:c r="H88" s="26" t="n">
        <x:v>-1294.974</x:v>
      </x:c>
      <x:c r="I88" s="9" t="s">
        <x:v>98</x:v>
      </x:c>
    </x:row>
    <x:row r="89" ht="15" hidden="0">
      <x:c r="A89" t="s">
        <x:v>424</x:v>
      </x:c>
      <x:c r="B89" s="19" t="s">
        <x:v>799</x:v>
      </x:c>
      <x:c r="C89" s="30"/>
      <x:c r="D89" s="26" t="n">
        <x:v>104.703</x:v>
      </x:c>
      <x:c r="E89" s="26" t="n">
        <x:v>-8.99</x:v>
      </x:c>
      <x:c r="F89" s="26" t="n">
        <x:v>-104.094</x:v>
      </x:c>
      <x:c r="G89" s="26" t="n">
        <x:v>-103.367</x:v>
      </x:c>
      <x:c r="H89" s="26" t="n">
        <x:v>-6.899</x:v>
      </x:c>
      <x:c r="I89" s="9" t="s">
        <x:v>98</x:v>
      </x:c>
    </x:row>
    <x:row r="90" ht="15" hidden="0">
      <x:c r="A90" t="s">
        <x:v>426</x:v>
      </x:c>
      <x:c r="B90" s="19" t="s">
        <x:v>800</x:v>
      </x:c>
      <x:c r="C90" s="30"/>
      <x:c r="D90" s="26" t="n">
        <x:v>-414.315</x:v>
      </x:c>
      <x:c r="E90" s="26" t="n">
        <x:v>-1042.803</x:v>
      </x:c>
      <x:c r="F90" s="26" t="n">
        <x:v>-96.461</x:v>
      </x:c>
      <x:c r="G90" s="26" t="n">
        <x:v>-5.033</x:v>
      </x:c>
      <x:c r="H90" s="26" t="n">
        <x:v>-725.663</x:v>
      </x:c>
      <x:c r="I90" s="9" t="s">
        <x:v>98</x:v>
      </x:c>
    </x:row>
    <x:row r="91" ht="15" hidden="0">
      <x:c r="A91" t="s">
        <x:v>428</x:v>
      </x:c>
      <x:c r="B91" s="19" t="s">
        <x:v>429</x:v>
      </x:c>
      <x:c r="C91" s="30"/>
      <x:c r="D91" s="27" t="n">
        <x:f aca="0">D86+D87+D88+D89+D90</x:f>
        <x:v>5165.462</x:v>
      </x:c>
      <x:c r="E91" s="27" t="n">
        <x:f aca="0">E86+E87+E88+E89+E90</x:f>
        <x:v>6876.607999999998</x:v>
      </x:c>
      <x:c r="F91" s="27" t="n">
        <x:f aca="0">F86+F87+F88+F89+F90</x:f>
        <x:v>6657.836000000001</x:v>
      </x:c>
      <x:c r="G91" s="27" t="n">
        <x:f aca="0">G86+G87+G88+G89+G90</x:f>
        <x:v>6605.218000000002</x:v>
      </x:c>
      <x:c r="H91" s="27" t="n">
        <x:f aca="0">H86+H87+H88+H89+H90</x:f>
        <x:v>12603.447000000002</x:v>
      </x:c>
      <x:c r="I91" s="9" t="s">
        <x:v>98</x:v>
      </x:c>
    </x:row>
    <x:row r="92" ht="15" hidden="0">
      <x:c r="A92" t="s">
        <x:v>430</x:v>
      </x:c>
      <x:c r="B92" s="19" t="s">
        <x:v>801</x:v>
      </x:c>
      <x:c r="C92" s="30"/>
      <x:c r="D92" s="26" t="n">
        <x:v>2526.818</x:v>
      </x:c>
      <x:c r="E92" s="26" t="n">
        <x:v>2714.34</x:v>
      </x:c>
      <x:c r="F92" s="26" t="n">
        <x:v>3246.999</x:v>
      </x:c>
      <x:c r="G92" s="26" t="n">
        <x:v>4234.797</x:v>
      </x:c>
      <x:c r="H92" s="26" t="n">
        <x:v>4271.57</x:v>
      </x:c>
      <x:c r="I92" s="9" t="s">
        <x:v>98</x:v>
      </x:c>
    </x:row>
    <x:row r="93" ht="15" hidden="0">
      <x:c r="A93" t="s">
        <x:v>432</x:v>
      </x:c>
      <x:c r="B93" s="19" t="s">
        <x:v>802</x:v>
      </x:c>
      <x:c r="C93" s="30"/>
      <x:c r="D93" s="26" t="n">
        <x:v>0</x:v>
      </x:c>
      <x:c r="E93" s="26" t="n">
        <x:v>0</x:v>
      </x:c>
      <x:c r="F93" s="26" t="n">
        <x:v>0</x:v>
      </x:c>
      <x:c r="G93" s="26" t="n">
        <x:v>0</x:v>
      </x:c>
      <x:c r="H93" s="26" t="n">
        <x:v>0</x:v>
      </x:c>
      <x:c r="I93" s="9" t="s">
        <x:v>98</x:v>
      </x:c>
    </x:row>
    <x:row r="94" ht="15" hidden="0">
      <x:c r="A94" t="s">
        <x:v>434</x:v>
      </x:c>
      <x:c r="B94" s="19" t="s">
        <x:v>803</x:v>
      </x:c>
      <x:c r="C94" s="30"/>
      <x:c r="D94" s="26" t="n">
        <x:v>0</x:v>
      </x:c>
      <x:c r="E94" s="26" t="n">
        <x:v>0</x:v>
      </x:c>
      <x:c r="F94" s="26" t="n">
        <x:v>0</x:v>
      </x:c>
      <x:c r="G94" s="26" t="n">
        <x:v>0</x:v>
      </x:c>
      <x:c r="H94" s="26" t="n">
        <x:v>0</x:v>
      </x:c>
      <x:c r="I94" s="9" t="s">
        <x:v>98</x:v>
      </x:c>
    </x:row>
    <x:row r="95" ht="15" hidden="0">
      <x:c r="A95" t="s">
        <x:v>436</x:v>
      </x:c>
      <x:c r="B95" s="19" t="s">
        <x:v>804</x:v>
      </x:c>
      <x:c r="C95" s="30"/>
      <x:c r="D95" s="26" t="n">
        <x:v>-2920.875</x:v>
      </x:c>
      <x:c r="E95" s="26" t="n">
        <x:v>-3571.187</x:v>
      </x:c>
      <x:c r="F95" s="26" t="n">
        <x:v>-6742.292</x:v>
      </x:c>
      <x:c r="G95" s="26" t="n">
        <x:v>-8001.105</x:v>
      </x:c>
      <x:c r="H95" s="26" t="n">
        <x:v>-3870.405</x:v>
      </x:c>
      <x:c r="I95" s="9" t="s">
        <x:v>98</x:v>
      </x:c>
    </x:row>
    <x:row r="96" ht="15" hidden="0">
      <x:c r="A96" s="2" t="s">
        <x:v>438</x:v>
      </x:c>
      <x:c r="B96" s="19" t="s">
        <x:v>439</x:v>
      </x:c>
      <x:c r="C96" s="31"/>
      <x:c r="D96" s="28" t="n">
        <x:f aca="0">D91+D92+D93+D94+D95</x:f>
        <x:v>4771.405000000001</x:v>
      </x:c>
      <x:c r="E96" s="28" t="n">
        <x:f aca="0">E91+E92+E93+E94+E95</x:f>
        <x:v>6019.760999999999</x:v>
      </x:c>
      <x:c r="F96" s="28" t="n">
        <x:f aca="0">F91+F92+F93+F94+F95</x:f>
        <x:v>3162.5430000000006</x:v>
      </x:c>
      <x:c r="G96" s="28" t="n">
        <x:f aca="0">G91+G92+G93+G94+G95</x:f>
        <x:v>2838.9100000000017</x:v>
      </x:c>
      <x:c r="H96" s="28" t="n">
        <x:f aca="0">H91+H92+H93+H94+H95</x:f>
        <x:v>13004.612</x:v>
      </x:c>
      <x:c r="I96" s="9" t="s">
        <x:v>98</x:v>
      </x:c>
    </x:row>
    <x:row r="97" ht="15" hidden="0">
      <x:c r="A97" t="s">
        <x:v>440</x:v>
      </x:c>
      <x:c r="B97" s="19" t="s">
        <x:v>805</x:v>
      </x:c>
      <x:c r="C97" s="30"/>
      <x:c r="D97" s="26" t="n">
        <x:v>0</x:v>
      </x:c>
      <x:c r="E97" s="26" t="n">
        <x:v>0</x:v>
      </x:c>
      <x:c r="F97" s="26" t="n">
        <x:v>-364.054</x:v>
      </x:c>
      <x:c r="G97" s="26" t="n">
        <x:v>-520.848</x:v>
      </x:c>
      <x:c r="H97" s="26" t="n">
        <x:v>-577.125</x:v>
      </x:c>
      <x:c r="I97" s="9" t="s">
        <x:v>98</x:v>
      </x:c>
    </x:row>
    <x:row r="98" ht="15" hidden="0">
      <x:c r="A98" t="s">
        <x:v>442</x:v>
      </x:c>
      <x:c r="B98" s="19" t="s">
        <x:v>806</x:v>
      </x:c>
      <x:c r="C98" s="30"/>
      <x:c r="D98" s="26" t="n">
        <x:v>-1050.132</x:v>
      </x:c>
      <x:c r="E98" s="26" t="n">
        <x:v>-3047.629</x:v>
      </x:c>
      <x:c r="F98" s="26" t="n">
        <x:v>-6434.465</x:v>
      </x:c>
      <x:c r="G98" s="26" t="n">
        <x:v>-1775.666</x:v>
      </x:c>
      <x:c r="H98" s="26" t="n">
        <x:v>-3752.428</x:v>
      </x:c>
      <x:c r="I98" s="9" t="s">
        <x:v>98</x:v>
      </x:c>
    </x:row>
    <x:row r="99" ht="15" hidden="0">
      <x:c r="A99" s="2" t="s">
        <x:v>444</x:v>
      </x:c>
      <x:c r="B99" s="19" t="s">
        <x:v>445</x:v>
      </x:c>
      <x:c r="C99" s="31"/>
      <x:c r="D99" s="28" t="n">
        <x:f aca="0">D96+D97+D98</x:f>
        <x:v>3721.2730000000006</x:v>
      </x:c>
      <x:c r="E99" s="28" t="n">
        <x:f aca="0">E96+E97+E98</x:f>
        <x:v>2972.1319999999987</x:v>
      </x:c>
      <x:c r="F99" s="28" t="n">
        <x:f aca="0">F96+F97+F98</x:f>
        <x:v>-3635.9759999999997</x:v>
      </x:c>
      <x:c r="G99" s="28" t="n">
        <x:f aca="0">G96+G97+G98</x:f>
        <x:v>542.3960000000018</x:v>
      </x:c>
      <x:c r="H99" s="28" t="n">
        <x:f aca="0">H96+H97+H98</x:f>
        <x:v>8675.059</x:v>
      </x:c>
      <x:c r="I99" s="9" t="s">
        <x:v>98</x:v>
      </x:c>
    </x:row>
    <x:row r="100" ht="15" hidden="0">
      <x:c r="A100" t="s">
        <x:v>446</x:v>
      </x:c>
      <x:c r="B100" s="19" t="s">
        <x:v>807</x:v>
      </x:c>
      <x:c r="C100" s="30"/>
      <x:c r="D100" s="26" t="n">
        <x:v>8071.892</x:v>
      </x:c>
      <x:c r="E100" s="26" t="n">
        <x:v>10428.312</x:v>
      </x:c>
      <x:c r="F100" s="26" t="n">
        <x:v>9555.775</x:v>
      </x:c>
      <x:c r="G100" s="26" t="n">
        <x:v>10528.26</x:v>
      </x:c>
      <x:c r="H100" s="26" t="n">
        <x:v>18505.671</x:v>
      </x:c>
      <x:c r="I100" s="9" t="s">
        <x:v>98</x:v>
      </x:c>
    </x:row>
    <x:row r="101" ht="15" hidden="0">
      <x:c r="A101" t="s">
        <x:v>448</x:v>
      </x:c>
      <x:c r="B101" s="19" t="s">
        <x:v>808</x:v>
      </x:c>
      <x:c r="C101" s="30"/>
      <x:c r="D101" s="26" t="n">
        <x:v>4771.405</x:v>
      </x:c>
      <x:c r="E101" s="26" t="n">
        <x:v>6019.761</x:v>
      </x:c>
      <x:c r="F101" s="26" t="n">
        <x:v>3162.543</x:v>
      </x:c>
      <x:c r="G101" s="26" t="n">
        <x:v>2838.91</x:v>
      </x:c>
      <x:c r="H101" s="26" t="n">
        <x:v>13004.612</x:v>
      </x:c>
      <x:c r="I101" s="9" t="s">
        <x:v>98</x:v>
      </x:c>
    </x:row>
    <x:row r="102" ht="15" hidden="0">
      <x:c r="A102" t="s">
        <x:v>450</x:v>
      </x:c>
      <x:c r="B102" s="19" t="s">
        <x:v>809</x:v>
      </x:c>
      <x:c r="C102" s="30"/>
      <x:c r="D102" s="26" t="n">
        <x:v>3721.273</x:v>
      </x:c>
      <x:c r="E102" s="26" t="n">
        <x:v>2972.132</x:v>
      </x:c>
      <x:c r="F102" s="26" t="n">
        <x:v>-3635.976</x:v>
      </x:c>
      <x:c r="G102" s="26" t="n">
        <x:v>542.396</x:v>
      </x:c>
      <x:c r="H102" s="26" t="n">
        <x:v>8675.059</x:v>
      </x:c>
      <x:c r="I102" s="9" t="s">
        <x:v>98</x:v>
      </x:c>
    </x:row>
    <x:row r="103" ht="15" hidden="0">
      <x:c r="A103" t="s">
        <x:v>452</x:v>
      </x:c>
      <x:c r="B103" s="19" t="s">
        <x:v>410</x:v>
      </x:c>
      <x:c r="C103" s="30"/>
      <x:c r="D103" s="29" t="str">
        <x:f aca="0">IF(AND(ABS(D86-D100)&lt;0.005,ABS(D96-D101)&lt;0.005,ABS(D99-D102)&lt;0.005),"PASS","FAIL")</x:f>
        <x:v>PASS</x:v>
      </x:c>
      <x:c r="E103" s="29" t="str">
        <x:f aca="0">IF(AND(ABS(E86-E100)&lt;0.005,ABS(E96-E101)&lt;0.005,ABS(E99-E102)&lt;0.005),"PASS","FAIL")</x:f>
        <x:v>PASS</x:v>
      </x:c>
      <x:c r="F103" s="29" t="str">
        <x:f aca="0">IF(AND(ABS(F86-F100)&lt;0.005,ABS(F96-F101)&lt;0.005,ABS(F99-F102)&lt;0.005),"PASS","FAIL")</x:f>
        <x:v>PASS</x:v>
      </x:c>
      <x:c r="G103" s="29" t="str">
        <x:f aca="0">IF(AND(ABS(G86-G100)&lt;0.005,ABS(G96-G101)&lt;0.005,ABS(G99-G102)&lt;0.005),"PASS","FAIL")</x:f>
        <x:v>PASS</x:v>
      </x:c>
      <x:c r="H103" s="29" t="str">
        <x:f aca="0">IF(AND(ABS(H86-H100)&lt;0.005,ABS(H96-H101)&lt;0.005,ABS(H99-H102)&lt;0.005),"PASS","FAIL")</x:f>
        <x:v>PASS</x:v>
      </x:c>
      <x:c r="I103" s="9"/>
    </x:row>
    <x:row r="104" ht="15" hidden="0">
      <x:c r="A104" s="24" t="s">
        <x:v>453</x:v>
      </x:c>
      <x:c r="B104" s="25"/>
      <x:c r="C104" s="25"/>
      <x:c r="D104" s="25"/>
      <x:c r="E104" s="25"/>
      <x:c r="F104" s="25"/>
      <x:c r="G104" s="25"/>
      <x:c r="H104" s="25"/>
      <x:c r="I104" s="25"/>
      <x:c r="J104" s="25"/>
    </x:row>
    <x:row r="105" ht="15" hidden="0">
      <x:c r="A105" t="s">
        <x:v>454</x:v>
      </x:c>
      <x:c r="B105" s="19" t="s">
        <x:v>810</x:v>
      </x:c>
      <x:c r="C105" s="30"/>
      <x:c r="D105" s="26" t="n">
        <x:v>34.766</x:v>
      </x:c>
      <x:c r="E105" s="26" t="n">
        <x:v>26.53</x:v>
      </x:c>
      <x:c r="F105" s="26" t="n">
        <x:v>38.493</x:v>
      </x:c>
      <x:c r="G105" s="26" t="n">
        <x:v>76.127</x:v>
      </x:c>
      <x:c r="H105" s="26" t="n">
        <x:v>53.669</x:v>
      </x:c>
      <x:c r="I105" s="9" t="s">
        <x:v>98</x:v>
      </x:c>
    </x:row>
    <x:row r="106" ht="15" hidden="0">
      <x:c r="A106" t="s">
        <x:v>456</x:v>
      </x:c>
      <x:c r="B106" s="19" t="s">
        <x:v>457</x:v>
      </x:c>
      <x:c r="C106" s="30"/>
      <x:c r="D106" s="27" t="n">
        <x:f aca="0">-D95-D105</x:f>
        <x:v>2886.109</x:v>
      </x:c>
      <x:c r="E106" s="27" t="n">
        <x:f aca="0">-E95-E105</x:f>
        <x:v>3544.6569999999997</x:v>
      </x:c>
      <x:c r="F106" s="27" t="n">
        <x:f aca="0">-F95-F105</x:f>
        <x:v>6703.799</x:v>
      </x:c>
      <x:c r="G106" s="27" t="n">
        <x:f aca="0">-G95-G105</x:f>
        <x:v>7924.977999999999</x:v>
      </x:c>
      <x:c r="H106" s="27" t="n">
        <x:f aca="0">-H95-H105</x:f>
        <x:v>3816.7360000000003</x:v>
      </x:c>
      <x:c r="I106" s="9" t="s">
        <x:v>98</x:v>
      </x:c>
    </x:row>
    <x:row r="107" ht="15" hidden="0">
      <x:c r="A107" t="s">
        <x:v>458</x:v>
      </x:c>
      <x:c r="B107" s="19" t="s">
        <x:v>811</x:v>
      </x:c>
      <x:c r="C107" s="30"/>
      <x:c r="D107" s="26" t="n">
        <x:v>3580.807</x:v>
      </x:c>
      <x:c r="E107" s="26" t="n">
        <x:v>3913.288</x:v>
      </x:c>
      <x:c r="F107" s="26" t="n">
        <x:v>3944.128</x:v>
      </x:c>
      <x:c r="G107" s="26" t="n">
        <x:v>3853.452</x:v>
      </x:c>
      <x:c r="H107" s="26" t="n">
        <x:v>3832.602</x:v>
      </x:c>
      <x:c r="I107" s="9" t="s">
        <x:v>98</x:v>
      </x:c>
    </x:row>
    <x:row r="108" ht="15" hidden="0">
      <x:c r="A108" s="2" t="s">
        <x:v>460</x:v>
      </x:c>
      <x:c r="B108" s="19" t="s">
        <x:v>461</x:v>
      </x:c>
      <x:c r="C108" s="31"/>
      <x:c r="D108" s="28" t="n">
        <x:f aca="0">D96-D95</x:f>
        <x:v>7692.280000000001</x:v>
      </x:c>
      <x:c r="E108" s="28" t="n">
        <x:f aca="0">E96-E95</x:f>
        <x:v>9590.947999999999</x:v>
      </x:c>
      <x:c r="F108" s="28" t="n">
        <x:f aca="0">F96-F95</x:f>
        <x:v>9904.835000000001</x:v>
      </x:c>
      <x:c r="G108" s="28" t="n">
        <x:f aca="0">G96-G95</x:f>
        <x:v>10840.015000000001</x:v>
      </x:c>
      <x:c r="H108" s="28" t="n">
        <x:f aca="0">H96-H95</x:f>
        <x:v>16875.017</x:v>
      </x:c>
      <x:c r="I108" s="9" t="s">
        <x:v>98</x:v>
      </x:c>
    </x:row>
    <x:row r="109" ht="15" hidden="0">
      <x:c r="A109" s="2" t="s">
        <x:v>462</x:v>
      </x:c>
      <x:c r="B109" s="19" t="s">
        <x:v>463</x:v>
      </x:c>
      <x:c r="C109" s="31"/>
      <x:c r="D109" s="28" t="n">
        <x:f aca="0">D108+D107</x:f>
        <x:v>11273.087</x:v>
      </x:c>
      <x:c r="E109" s="28" t="n">
        <x:f aca="0">E108+E107</x:f>
        <x:v>13504.235999999999</x:v>
      </x:c>
      <x:c r="F109" s="28" t="n">
        <x:f aca="0">F108+F107</x:f>
        <x:v>13848.963000000002</x:v>
      </x:c>
      <x:c r="G109" s="28" t="n">
        <x:f aca="0">G108+G107</x:f>
        <x:v>14693.467</x:v>
      </x:c>
      <x:c r="H109" s="28" t="n">
        <x:f aca="0">H108+H107</x:f>
        <x:v>20707.619</x:v>
      </x:c>
      <x:c r="I109" s="9" t="s">
        <x:v>98</x:v>
      </x:c>
    </x:row>
    <x:row r="110" ht="15" hidden="0">
      <x:c r="A110" t="s">
        <x:v>464</x:v>
      </x:c>
      <x:c r="B110" s="19" t="s">
        <x:v>465</x:v>
      </x:c>
      <x:c r="C110" s="30"/>
      <x:c r="D110" s="27" t="n">
        <x:f aca="0">-(D97+D98)</x:f>
        <x:v>1050.132</x:v>
      </x:c>
      <x:c r="E110" s="27" t="n">
        <x:f aca="0">-(E97+E98)</x:f>
        <x:v>3047.629</x:v>
      </x:c>
      <x:c r="F110" s="27" t="n">
        <x:f aca="0">-(F97+F98)</x:f>
        <x:v>6798.519</x:v>
      </x:c>
      <x:c r="G110" s="27" t="n">
        <x:f aca="0">-(G97+G98)</x:f>
        <x:v>2296.514</x:v>
      </x:c>
      <x:c r="H110" s="27" t="n">
        <x:f aca="0">-(H97+H98)</x:f>
        <x:v>4329.553</x:v>
      </x:c>
      <x:c r="I110" s="9" t="s">
        <x:v>98</x:v>
      </x:c>
    </x:row>
    <x:row r="111" ht="15" hidden="0">
      <x:c r="A111" t="s">
        <x:v>466</x:v>
      </x:c>
      <x:c r="B111" s="19" t="s">
        <x:v>467</x:v>
      </x:c>
      <x:c r="C111" s="30"/>
      <x:c r="D111" s="32" t="n">
        <x:f aca="0">IF(D96&lt;=0,"n/m",D110/D96)</x:f>
        <x:v>0.2200886321743805</x:v>
      </x:c>
      <x:c r="E111" s="32" t="n">
        <x:f aca="0">IF(E96&lt;=0,"n/m",E110/E96)</x:f>
        <x:v>0.5062707639057432</x:v>
      </x:c>
      <x:c r="F111" s="32" t="n">
        <x:f aca="0">IF(F96&lt;=0,"n/m",F110/F96)</x:f>
        <x:v>2.1497000989393658</x:v>
      </x:c>
      <x:c r="G111" s="32" t="n">
        <x:f aca="0">IF(G96&lt;=0,"n/m",G110/G96)</x:f>
        <x:v>0.8089421644222602</x:v>
      </x:c>
      <x:c r="H111" s="32" t="n">
        <x:f aca="0">IF(H96&lt;=0,"n/m",H110/H96)</x:f>
        <x:v>0.3329244271186253</x:v>
      </x:c>
      <x:c r="I111" s="9" t="s">
        <x:v>127</x:v>
      </x:c>
    </x:row>
    <x:row r="112" ht="15" hidden="0">
      <x:c r="A112" t="s">
        <x:v>468</x:v>
      </x:c>
      <x:c r="B112" s="19" t="s">
        <x:v>469</x:v>
      </x:c>
      <x:c r="C112" s="30"/>
      <x:c r="D112" s="32" t="n">
        <x:f aca="0">IF(AND(ISNUMBER(D111),D111&gt;=0,D111&lt;=0.6),D111,'Overview &amp; Methodology'!$C$35)</x:f>
        <x:v>0.2200886321743805</x:v>
      </x:c>
      <x:c r="E112" s="32" t="n">
        <x:f aca="0">IF(AND(ISNUMBER(E111),E111&gt;=0,E111&lt;=0.6),E111,'Overview &amp; Methodology'!$D$35)</x:f>
        <x:v>0.5062707639057432</x:v>
      </x:c>
      <x:c r="F112" s="32" t="n">
        <x:f aca="0">IF(AND(ISNUMBER(F111),F111&gt;=0,F111&lt;=0.6),F111,'Overview &amp; Methodology'!$E$35)</x:f>
        <x:v>0.39</x:v>
      </x:c>
      <x:c r="G112" s="32" t="n">
        <x:f aca="0">IF(AND(ISNUMBER(G111),G111&gt;=0,G111&lt;=0.6),G111,'Overview &amp; Methodology'!$F$35)</x:f>
        <x:v>0.39</x:v>
      </x:c>
      <x:c r="H112" s="32" t="n">
        <x:f aca="0">IF(AND(ISNUMBER(H111),H111&gt;=0,H111&lt;=0.6),H111,'Overview &amp; Methodology'!$G$35)</x:f>
        <x:v>0.3329244271186253</x:v>
      </x:c>
      <x:c r="I112" s="9" t="s">
        <x:v>127</x:v>
      </x:c>
    </x:row>
    <x:row r="113" ht="15" hidden="0">
      <x:c r="A113" t="s">
        <x:v>470</x:v>
      </x:c>
      <x:c r="B113" s="19" t="s">
        <x:v>471</x:v>
      </x:c>
      <x:c r="C113" s="30"/>
      <x:c r="D113" s="27" t="n">
        <x:f aca="0">D108*(1-D112)</x:f>
        <x:v>5999.296616497657</x:v>
      </x:c>
      <x:c r="E113" s="27" t="n">
        <x:f aca="0">E108*(1-E112)</x:f>
        <x:v>4735.331429459739</x:v>
      </x:c>
      <x:c r="F113" s="27" t="n">
        <x:f aca="0">F108*(1-F112)</x:f>
        <x:v>6041.949350000001</x:v>
      </x:c>
      <x:c r="G113" s="27" t="n">
        <x:f aca="0">G108*(1-G112)</x:f>
        <x:v>6612.40915</x:v>
      </x:c>
      <x:c r="H113" s="27" t="n">
        <x:f aca="0">H108*(1-H112)</x:f>
        <x:v>11256.911632657935</x:v>
      </x:c>
      <x:c r="I113" s="9" t="s">
        <x:v>98</x:v>
      </x:c>
    </x:row>
    <x:row r="115" ht="15" hidden="0">
      <x:c r="A115" s="5" t="s">
        <x:v>472</x:v>
      </x:c>
      <x:c r="B115" s="20"/>
      <x:c r="C115" s="20"/>
      <x:c r="D115" s="20"/>
      <x:c r="E115" s="20"/>
      <x:c r="F115" s="20"/>
      <x:c r="G115" s="20"/>
      <x:c r="H115" s="20"/>
      <x:c r="I115" s="20"/>
      <x:c r="J115" s="20"/>
    </x:row>
    <x:row r="116" ht="15" hidden="0">
      <x:c r="A116" t="s">
        <x:v>473</x:v>
      </x:c>
      <x:c r="B116" s="19" t="s">
        <x:v>812</x:v>
      </x:c>
      <x:c r="C116" s="30"/>
      <x:c r="D116" s="26" t="n">
        <x:v>10472.429</x:v>
      </x:c>
      <x:c r="E116" s="26" t="n">
        <x:v>941.866</x:v>
      </x:c>
      <x:c r="F116" s="26" t="n">
        <x:v>13397.298</x:v>
      </x:c>
      <x:c r="G116" s="26" t="n">
        <x:v>13222.675</x:v>
      </x:c>
      <x:c r="H116" s="26" t="n">
        <x:v>15811.428</x:v>
      </x:c>
      <x:c r="I116" s="9" t="s">
        <x:v>98</x:v>
      </x:c>
    </x:row>
    <x:row r="117" ht="15" hidden="0">
      <x:c r="A117" t="s">
        <x:v>475</x:v>
      </x:c>
      <x:c r="B117" s="19" t="s">
        <x:v>813</x:v>
      </x:c>
      <x:c r="C117" s="30"/>
      <x:c r="D117" s="26" t="n">
        <x:v>6161.19</x:v>
      </x:c>
      <x:c r="E117" s="26" t="n">
        <x:v>-3932.479</x:v>
      </x:c>
      <x:c r="F117" s="26" t="n">
        <x:v>6504.234</x:v>
      </x:c>
      <x:c r="G117" s="26" t="n">
        <x:v>6029.545</x:v>
      </x:c>
      <x:c r="H117" s="26" t="n">
        <x:v>10034.132</x:v>
      </x:c>
      <x:c r="I117" s="9" t="s">
        <x:v>98</x:v>
      </x:c>
    </x:row>
    <x:row r="118" ht="15" hidden="0">
      <x:c r="A118" t="s">
        <x:v>477</x:v>
      </x:c>
      <x:c r="B118" s="19" t="s">
        <x:v>814</x:v>
      </x:c>
      <x:c r="C118" s="30"/>
      <x:c r="D118" s="26" t="n">
        <x:v>-3125.381</x:v>
      </x:c>
      <x:c r="E118" s="26" t="n">
        <x:v>-3195.727</x:v>
      </x:c>
      <x:c r="F118" s="26" t="n">
        <x:v>-5998.599</x:v>
      </x:c>
      <x:c r="G118" s="26" t="n">
        <x:v>-8460.206</x:v>
      </x:c>
      <x:c r="H118" s="26" t="n">
        <x:v>-4921.199</x:v>
      </x:c>
      <x:c r="I118" s="9" t="s">
        <x:v>98</x:v>
      </x:c>
    </x:row>
    <x:row r="119" ht="15" hidden="0">
      <x:c r="A119" t="s">
        <x:v>479</x:v>
      </x:c>
      <x:c r="B119" s="19" t="s">
        <x:v>815</x:v>
      </x:c>
      <x:c r="C119" s="30"/>
      <x:c r="D119" s="33" t="s">
        <x:v>481</x:v>
      </x:c>
      <x:c r="E119" s="33" t="s">
        <x:v>481</x:v>
      </x:c>
      <x:c r="F119" s="33" t="s">
        <x:v>481</x:v>
      </x:c>
      <x:c r="G119" s="33" t="s">
        <x:v>481</x:v>
      </x:c>
      <x:c r="H119" s="33" t="s">
        <x:v>481</x:v>
      </x:c>
      <x:c r="I119" s="9" t="s">
        <x:v>482</x:v>
      </x:c>
    </x:row>
    <x:row r="120" ht="15" hidden="0">
      <x:c r="A120" t="s">
        <x:v>483</x:v>
      </x:c>
      <x:c r="B120" s="19" t="s">
        <x:v>484</x:v>
      </x:c>
      <x:c r="C120" s="30"/>
      <x:c r="D120" s="27" t="n">
        <x:f aca="0">IF(D119="Financing",D117+D118,D117)</x:f>
        <x:v>6161.19</x:v>
      </x:c>
      <x:c r="E120" s="27" t="n">
        <x:f aca="0">IF(E119="Financing",E117+E118,E117)</x:f>
        <x:v>-3932.479</x:v>
      </x:c>
      <x:c r="F120" s="27" t="n">
        <x:f aca="0">IF(F119="Financing",F117+F118,F117)</x:f>
        <x:v>6504.234</x:v>
      </x:c>
      <x:c r="G120" s="27" t="n">
        <x:f aca="0">IF(G119="Financing",G117+G118,G117)</x:f>
        <x:v>6029.545</x:v>
      </x:c>
      <x:c r="H120" s="27" t="n">
        <x:f aca="0">IF(H119="Financing",H117+H118,H117)</x:f>
        <x:v>10034.132</x:v>
      </x:c>
      <x:c r="I120" s="9" t="s">
        <x:v>98</x:v>
      </x:c>
    </x:row>
    <x:row r="121" ht="15" hidden="0">
      <x:c r="A121" t="s">
        <x:v>485</x:v>
      </x:c>
      <x:c r="B121" s="19" t="s">
        <x:v>816</x:v>
      </x:c>
      <x:c r="C121" s="30"/>
      <x:c r="D121" s="26" t="n">
        <x:v>-5087.104</x:v>
      </x:c>
      <x:c r="E121" s="26" t="n">
        <x:v>-1739.551</x:v>
      </x:c>
      <x:c r="F121" s="26" t="n">
        <x:v>-3418.069</x:v>
      </x:c>
      <x:c r="G121" s="26" t="n">
        <x:v>-1620.798</x:v>
      </x:c>
      <x:c r="H121" s="26" t="n">
        <x:v>-1211.491</x:v>
      </x:c>
      <x:c r="I121" s="9" t="s">
        <x:v>98</x:v>
      </x:c>
    </x:row>
    <x:row r="122" ht="15" hidden="0">
      <x:c r="A122" t="s">
        <x:v>487</x:v>
      </x:c>
      <x:c r="B122" s="19" t="s">
        <x:v>817</x:v>
      </x:c>
      <x:c r="C122" s="30"/>
      <x:c r="D122" s="26" t="n">
        <x:v>-2962.16</x:v>
      </x:c>
      <x:c r="E122" s="26" t="n">
        <x:v>1461.646</x:v>
      </x:c>
      <x:c r="F122" s="26" t="n">
        <x:v>-1747.152</x:v>
      </x:c>
      <x:c r="G122" s="26" t="n">
        <x:v>2277.223</x:v>
      </x:c>
      <x:c r="H122" s="26" t="n">
        <x:v>3000.535</x:v>
      </x:c>
      <x:c r="I122" s="9" t="s">
        <x:v>98</x:v>
      </x:c>
    </x:row>
    <x:row r="123" ht="15" hidden="0">
      <x:c r="A123" t="s">
        <x:v>489</x:v>
      </x:c>
      <x:c r="B123" s="19" t="s">
        <x:v>818</x:v>
      </x:c>
      <x:c r="C123" s="30"/>
      <x:c r="D123" s="26" t="n">
        <x:v>2374.853</x:v>
      </x:c>
      <x:c r="E123" s="26" t="n">
        <x:v>-4864.956</x:v>
      </x:c>
      <x:c r="F123" s="26" t="n">
        <x:v>-4883.569</x:v>
      </x:c>
      <x:c r="G123" s="26" t="n">
        <x:v>4051.021</x:v>
      </x:c>
      <x:c r="H123" s="26" t="n">
        <x:v>-9357.687</x:v>
      </x:c>
      <x:c r="I123" s="9" t="s">
        <x:v>98</x:v>
      </x:c>
    </x:row>
    <x:row r="124" ht="15" hidden="0">
      <x:c r="A124" t="s">
        <x:v>491</x:v>
      </x:c>
      <x:c r="B124" s="19" t="s">
        <x:v>819</x:v>
      </x:c>
      <x:c r="C124" s="30"/>
      <x:c r="D124" s="26" t="n">
        <x:v>-0.32</x:v>
      </x:c>
      <x:c r="E124" s="26" t="n">
        <x:v>-437.124</x:v>
      </x:c>
      <x:c r="F124" s="26" t="n">
        <x:v>-437.927</x:v>
      </x:c>
      <x:c r="G124" s="26" t="n">
        <x:v>-0.502</x:v>
      </x:c>
      <x:c r="H124" s="26" t="n">
        <x:v>-0.048</x:v>
      </x:c>
      <x:c r="I124" s="9" t="s">
        <x:v>98</x:v>
      </x:c>
    </x:row>
    <x:row r="126" ht="15" hidden="0">
      <x:c r="A126" s="5" t="s">
        <x:v>493</x:v>
      </x:c>
      <x:c r="B126" s="20"/>
      <x:c r="C126" s="20"/>
      <x:c r="D126" s="20"/>
      <x:c r="E126" s="20"/>
      <x:c r="F126" s="20"/>
      <x:c r="G126" s="20"/>
      <x:c r="H126" s="20"/>
      <x:c r="I126" s="20"/>
      <x:c r="J126" s="20"/>
    </x:row>
    <x:row r="127" ht="15" hidden="0">
      <x:c r="A127" t="s">
        <x:v>494</x:v>
      </x:c>
      <x:c r="B127" s="19" t="s">
        <x:v>820</x:v>
      </x:c>
      <x:c r="C127" s="30"/>
      <x:c r="D127" s="34" t="n">
        <x:v>10</x:v>
      </x:c>
      <x:c r="E127" s="34" t="n">
        <x:v>10</x:v>
      </x:c>
      <x:c r="F127" s="34" t="n">
        <x:v>10</x:v>
      </x:c>
      <x:c r="G127" s="34" t="n">
        <x:v>10</x:v>
      </x:c>
      <x:c r="H127" s="34" t="n">
        <x:v>10</x:v>
      </x:c>
      <x:c r="I127" s="9" t="s">
        <x:v>158</x:v>
      </x:c>
    </x:row>
    <x:row r="128" ht="15" hidden="0">
      <x:c r="A128" t="s">
        <x:v>496</x:v>
      </x:c>
      <x:c r="B128" s="19" t="s">
        <x:v>497</x:v>
      </x:c>
      <x:c r="C128" s="30"/>
      <x:c r="D128" s="35" t="n">
        <x:f aca="0">D39/D127-D135</x:f>
        <x:v>438.1191</x:v>
      </x:c>
      <x:c r="E128" s="35" t="n">
        <x:f aca="0">E39/E127-E135</x:f>
        <x:v>438.1191</x:v>
      </x:c>
      <x:c r="F128" s="35" t="n">
        <x:f aca="0">F39/F127-F135</x:f>
        <x:v>438.1191</x:v>
      </x:c>
      <x:c r="G128" s="35" t="n">
        <x:f aca="0">G39/G127-G135</x:f>
        <x:v>438.1191</x:v>
      </x:c>
      <x:c r="H128" s="35" t="n">
        <x:f aca="0">H39/H127-H135</x:f>
        <x:v>438.1191</x:v>
      </x:c>
      <x:c r="I128" s="9" t="s">
        <x:v>498</x:v>
      </x:c>
    </x:row>
    <x:row r="129" ht="15" hidden="0">
      <x:c r="A129" t="s">
        <x:v>499</x:v>
      </x:c>
      <x:c r="B129" s="19" t="s">
        <x:v>821</x:v>
      </x:c>
      <x:c r="C129" s="30"/>
      <x:c r="D129" s="36" t="n">
        <x:v>438.119118</x:v>
      </x:c>
      <x:c r="E129" s="36" t="n">
        <x:v>438.119118</x:v>
      </x:c>
      <x:c r="F129" s="36" t="n">
        <x:v>438.119118</x:v>
      </x:c>
      <x:c r="G129" s="36" t="n">
        <x:v>438.119118</x:v>
      </x:c>
      <x:c r="H129" s="36" t="n">
        <x:v>438.119118</x:v>
      </x:c>
      <x:c r="I129" s="9" t="s">
        <x:v>498</x:v>
      </x:c>
    </x:row>
    <x:row r="130" ht="15" hidden="0">
      <x:c r="A130" t="str">
        <x:v>FY-end share price (Rs; last PSX close)</x:v>
      </x:c>
      <x:c r="B130" s="19" t="s">
        <x:v>822</x:v>
      </x:c>
      <x:c r="C130" s="30"/>
      <x:c r="D130" s="34" t="n">
        <x:v>117.92</x:v>
      </x:c>
      <x:c r="E130" s="34" t="n">
        <x:v>62.5</x:v>
      </x:c>
      <x:c r="F130" s="34" t="n">
        <x:v>51.3</x:v>
      </x:c>
      <x:c r="G130" s="34" t="n">
        <x:v>90.27</x:v>
      </x:c>
      <x:c r="H130" s="34" t="n">
        <x:v>165.56</x:v>
      </x:c>
      <x:c r="I130" s="9" t="s">
        <x:v>158</x:v>
      </x:c>
    </x:row>
    <x:row r="131" ht="15" hidden="0">
      <x:c r="A131" t="s">
        <x:v>502</x:v>
      </x:c>
      <x:c r="B131" s="19" t="s">
        <x:v>823</x:v>
      </x:c>
      <x:c r="C131" s="30"/>
      <x:c r="D131" s="34" t="n">
        <x:v>1</x:v>
      </x:c>
      <x:c r="E131" s="34" t="n">
        <x:v>1</x:v>
      </x:c>
      <x:c r="F131" s="34" t="n">
        <x:v>0</x:v>
      </x:c>
      <x:c r="G131" s="34" t="n">
        <x:v>0</x:v>
      </x:c>
      <x:c r="H131" s="34" t="n">
        <x:v>2</x:v>
      </x:c>
      <x:c r="I131" s="9" t="s">
        <x:v>158</x:v>
      </x:c>
    </x:row>
    <x:row r="132" ht="15" hidden="0">
      <x:c r="A132" t="str">
        <x:v>Reported EPS (Rs; own-year report basis)</x:v>
      </x:c>
      <x:c r="B132" s="19" t="s">
        <x:v>824</x:v>
      </x:c>
      <x:c r="C132" s="30"/>
      <x:c r="D132" s="34" t="n">
        <x:v>8.49</x:v>
      </x:c>
      <x:c r="E132" s="34" t="n">
        <x:v>6.78</x:v>
      </x:c>
      <x:c r="F132" s="34" t="n">
        <x:v>-8.3</x:v>
      </x:c>
      <x:c r="G132" s="34" t="n">
        <x:v>1.24</x:v>
      </x:c>
      <x:c r="H132" s="34" t="n">
        <x:v>19.8</x:v>
      </x:c>
      <x:c r="I132" s="9" t="s">
        <x:v>158</x:v>
      </x:c>
    </x:row>
    <x:row r="133" ht="15" hidden="0">
      <x:c r="A133" t="s">
        <x:v>505</x:v>
      </x:c>
      <x:c r="B133" s="19" t="s">
        <x:v>506</x:v>
      </x:c>
      <x:c r="C133" s="30"/>
      <x:c r="D133" s="27" t="n">
        <x:f aca="0">D130*D128</x:f>
        <x:v>51663.004272</x:v>
      </x:c>
      <x:c r="E133" s="27" t="n">
        <x:f aca="0">E130*E128</x:f>
        <x:v>27382.44375</x:v>
      </x:c>
      <x:c r="F133" s="27" t="n">
        <x:f aca="0">F130*F128</x:f>
        <x:v>22475.50983</x:v>
      </x:c>
      <x:c r="G133" s="27" t="n">
        <x:f aca="0">G130*G128</x:f>
        <x:v>39549.011157</x:v>
      </x:c>
      <x:c r="H133" s="27" t="n">
        <x:f aca="0">H130*H128</x:f>
        <x:v>72534.998196</x:v>
      </x:c>
      <x:c r="I133" s="9" t="s">
        <x:v>98</x:v>
      </x:c>
    </x:row>
    <x:row r="134" ht="15" hidden="0">
      <x:c r="A134" t="str">
        <x:v>Factor to FY2025 annual-report split basis (memo)</x:v>
      </x:c>
      <x:c r="B134" s="19" t="s">
        <x:v>825</x:v>
      </x:c>
      <x:c r="C134" s="30"/>
      <x:c r="D134" s="34" t="n">
        <x:v>1</x:v>
      </x:c>
      <x:c r="E134" s="34" t="n">
        <x:v>1</x:v>
      </x:c>
      <x:c r="F134" s="34" t="n">
        <x:v>1</x:v>
      </x:c>
      <x:c r="G134" s="34" t="n">
        <x:v>1</x:v>
      </x:c>
      <x:c r="H134" s="34" t="n">
        <x:v>1</x:v>
      </x:c>
      <x:c r="I134" s="9" t="s">
        <x:v>508</x:v>
      </x:c>
    </x:row>
    <x:row r="135">
      <x:c r="A135" t="str">
        <x:v>Treasury shares excluded (million)</x:v>
      </x:c>
      <x:c r="B135" s="19"/>
      <x:c r="C135" s="30"/>
      <x:c r="D135" s="34" t="n">
        <x:v>0</x:v>
      </x:c>
      <x:c r="E135" s="34" t="n">
        <x:v>0</x:v>
      </x:c>
      <x:c r="F135" s="34" t="n">
        <x:v>0</x:v>
      </x:c>
      <x:c r="G135" s="34" t="n">
        <x:v>0</x:v>
      </x:c>
      <x:c r="H135" s="34" t="n">
        <x:v>0</x:v>
      </x:c>
    </x:row>
    <x:row r="136" ht="15" hidden="0">
      <x:c r="A136" s="5" t="s">
        <x:v>509</x:v>
      </x:c>
      <x:c r="B136" s="20"/>
      <x:c r="C136" s="20"/>
      <x:c r="D136" s="20"/>
      <x:c r="E136" s="20"/>
      <x:c r="F136" s="20"/>
      <x:c r="G136" s="20"/>
      <x:c r="H136" s="20"/>
      <x:c r="I136" s="20"/>
      <x:c r="J136" s="20"/>
    </x:row>
    <x:row r="137" ht="15" hidden="0">
      <x:c r="A137" s="24" t="s">
        <x:v>510</x:v>
      </x:c>
      <x:c r="B137" s="25"/>
      <x:c r="C137" s="25"/>
      <x:c r="D137" s="25"/>
      <x:c r="E137" s="25"/>
      <x:c r="F137" s="25"/>
      <x:c r="G137" s="25"/>
      <x:c r="H137" s="25"/>
      <x:c r="I137" s="25"/>
      <x:c r="J137" s="25"/>
    </x:row>
    <x:row r="138" ht="15" hidden="0">
      <x:c r="A138" t="s">
        <x:v>87</x:v>
      </x:c>
      <x:c r="B138" s="19" t="s">
        <x:v>88</x:v>
      </x:c>
      <x:c r="C138" s="30"/>
      <x:c r="D138" s="37" t="n">
        <x:f aca="0">D36/D61</x:f>
        <x:v>0.9145250886450902</x:v>
      </x:c>
      <x:c r="E138" s="37" t="n">
        <x:f aca="0">E36/E61</x:f>
        <x:v>0.8855287714771004</x:v>
      </x:c>
      <x:c r="F138" s="37" t="n">
        <x:f aca="0">F36/F61</x:f>
        <x:v>0.8017674905738562</x:v>
      </x:c>
      <x:c r="G138" s="37" t="n">
        <x:f aca="0">G36/G61</x:f>
        <x:v>1.296185931254842</x:v>
      </x:c>
      <x:c r="H138" s="37" t="n">
        <x:f aca="0">H36/H61</x:f>
        <x:v>1.8489517932979607</x:v>
      </x:c>
      <x:c r="I138" s="9" t="s">
        <x:v>89</x:v>
      </x:c>
    </x:row>
    <x:row r="139" ht="15" hidden="0">
      <x:c r="A139" t="s">
        <x:v>92</x:v>
      </x:c>
      <x:c r="B139" s="19" t="s">
        <x:v>93</x:v>
      </x:c>
      <x:c r="C139" s="30"/>
      <x:c r="D139" s="37" t="n">
        <x:f aca="0">(D36-D65)/D61</x:f>
        <x:v>0.527188307782106</x:v>
      </x:c>
      <x:c r="E139" s="37" t="n">
        <x:f aca="0">(E36-E65)/E61</x:f>
        <x:v>0.3909339078966533</x:v>
      </x:c>
      <x:c r="F139" s="37" t="n">
        <x:f aca="0">(F36-F65)/F61</x:f>
        <x:v>0.3348993616744587</x:v>
      </x:c>
      <x:c r="G139" s="37" t="n">
        <x:f aca="0">(G36-G65)/G61</x:f>
        <x:v>0.6677176492302713</x:v>
      </x:c>
      <x:c r="H139" s="37" t="n">
        <x:f aca="0">(H36-H65)/H61</x:f>
        <x:v>1.0579587679634685</x:v>
      </x:c>
      <x:c r="I139" s="9" t="s">
        <x:v>89</x:v>
      </x:c>
    </x:row>
    <x:row r="140" ht="15" hidden="0">
      <x:c r="A140" t="s">
        <x:v>94</x:v>
      </x:c>
      <x:c r="B140" s="19" t="s">
        <x:v>95</x:v>
      </x:c>
      <x:c r="C140" s="30"/>
      <x:c r="D140" s="37" t="n">
        <x:f aca="0">D34/D61</x:f>
        <x:v>0.020011480184397672</x:v>
      </x:c>
      <x:c r="E140" s="37" t="n">
        <x:f aca="0">E34/E61</x:f>
        <x:v>0.008913248794490819</x:v>
      </x:c>
      <x:c r="F140" s="37" t="n">
        <x:f aca="0">F34/F61</x:f>
        <x:v>0.013866688142092815</x:v>
      </x:c>
      <x:c r="G140" s="37" t="n">
        <x:f aca="0">G34/G61</x:f>
        <x:v>0.022719990993528554</x:v>
      </x:c>
      <x:c r="H140" s="37" t="n">
        <x:f aca="0">H34/H61</x:f>
        <x:v>0.02195336946739058</x:v>
      </x:c>
      <x:c r="I140" s="9" t="s">
        <x:v>89</x:v>
      </x:c>
    </x:row>
    <x:row r="141" ht="15" hidden="0">
      <x:c r="A141" t="s">
        <x:v>96</x:v>
      </x:c>
      <x:c r="B141" s="19" t="s">
        <x:v>97</x:v>
      </x:c>
      <x:c r="C141" s="30"/>
      <x:c r="D141" s="38" t="n">
        <x:f aca="0">D36-D61</x:f>
        <x:v>-3444.255999999994</x:v>
      </x:c>
      <x:c r="E141" s="38" t="n">
        <x:f aca="0">E36-E61</x:f>
        <x:v>-5275.868000000002</x:v>
      </x:c>
      <x:c r="F141" s="38" t="n">
        <x:f aca="0">F36-F61</x:f>
        <x:v>-9649.123999999996</x:v>
      </x:c>
      <x:c r="G141" s="38" t="n">
        <x:f aca="0">G36-G61</x:f>
        <x:v>9544.803999999993</x:v>
      </x:c>
      <x:c r="H141" s="38" t="n">
        <x:f aca="0">H36-H61</x:f>
        <x:v>21997.122</x:v>
      </x:c>
      <x:c r="I141" s="9" t="s">
        <x:v>98</x:v>
      </x:c>
    </x:row>
    <x:row r="142" ht="15" hidden="0">
      <x:c r="A142" t="s">
        <x:v>100</x:v>
      </x:c>
      <x:c r="B142" s="19" t="s">
        <x:v>101</x:v>
      </x:c>
      <x:c r="C142" s="30"/>
      <x:c r="D142" s="38" t="n">
        <x:f aca="0">D72-D73</x:f>
        <x:v>8099.147000000006</x:v>
      </x:c>
      <x:c r="E142" s="38" t="n">
        <x:f aca="0">E72-E73</x:f>
        <x:v>17790.203999999998</x:v>
      </x:c>
      <x:c r="F142" s="38" t="n">
        <x:f aca="0">F72-F73</x:f>
        <x:v>15215.495000000003</x:v>
      </x:c>
      <x:c r="G142" s="38" t="n">
        <x:f aca="0">G72-G73</x:f>
        <x:v>10223.228999999994</x:v>
      </x:c>
      <x:c r="H142" s="38" t="n">
        <x:f aca="0">H72-H73</x:f>
        <x:v>9579.732</x:v>
      </x:c>
      <x:c r="I142" s="9" t="s">
        <x:v>98</x:v>
      </x:c>
    </x:row>
    <x:row r="143" ht="15" hidden="0">
      <x:c r="A143" s="24" t="s">
        <x:v>511</x:v>
      </x:c>
      <x:c r="B143" s="25"/>
      <x:c r="C143" s="25"/>
      <x:c r="D143" s="25"/>
      <x:c r="E143" s="25"/>
      <x:c r="F143" s="25"/>
      <x:c r="G143" s="25"/>
      <x:c r="H143" s="25"/>
      <x:c r="I143" s="25"/>
      <x:c r="J143" s="25"/>
    </x:row>
    <x:row r="144" ht="15" hidden="0">
      <x:c r="A144" t="s">
        <x:v>102</x:v>
      </x:c>
      <x:c r="B144" s="19" t="s">
        <x:v>103</x:v>
      </x:c>
      <x:c r="C144" s="30"/>
      <x:c r="D144" s="37" t="n">
        <x:f aca="0">-D85/((C65+D65)/2)</x:f>
        <x:v>2.626752753172622</x:v>
      </x:c>
      <x:c r="E144" s="37" t="n">
        <x:f aca="0">-E85/((D65+E65)/2)</x:f>
        <x:v>2.479761249901864</x:v>
      </x:c>
      <x:c r="F144" s="37" t="n">
        <x:f aca="0">-F85/((E65+F65)/2)</x:f>
        <x:v>2.4352964976956684</x:v>
      </x:c>
      <x:c r="G144" s="37" t="n">
        <x:f aca="0">-G85/((F65+G65)/2)</x:f>
        <x:v>2.583201095183174</x:v>
      </x:c>
      <x:c r="H144" s="37" t="n">
        <x:f aca="0">-H85/((G65+H65)/2)</x:f>
        <x:v>2.6203448800361673</x:v>
      </x:c>
      <x:c r="I144" s="9" t="s">
        <x:v>89</x:v>
      </x:c>
    </x:row>
    <x:row r="145" ht="15" hidden="0">
      <x:c r="A145" t="s">
        <x:v>105</x:v>
      </x:c>
      <x:c r="B145" s="19" t="s">
        <x:v>106</x:v>
      </x:c>
      <x:c r="C145" s="30"/>
      <x:c r="D145" s="37" t="n">
        <x:f aca="0">D84/((C32+D32)/2)</x:f>
        <x:v>22.768270883109405</x:v>
      </x:c>
      <x:c r="E145" s="37" t="n">
        <x:f aca="0">E84/((D32+E32)/2)</x:f>
        <x:v>36.92232039176783</x:v>
      </x:c>
      <x:c r="F145" s="37" t="n">
        <x:f aca="0">F84/((E32+F32)/2)</x:f>
        <x:v>48.836111797909446</x:v>
      </x:c>
      <x:c r="G145" s="37" t="n">
        <x:f aca="0">G84/((F32+G32)/2)</x:f>
        <x:v>64.45370786977438</x:v>
      </x:c>
      <x:c r="H145" s="37" t="n">
        <x:f aca="0">H84/((G32+H32)/2)</x:f>
        <x:v>61.21607937936548</x:v>
      </x:c>
      <x:c r="I145" s="9" t="s">
        <x:v>89</x:v>
      </x:c>
    </x:row>
    <x:row r="146" ht="15" hidden="0">
      <x:c r="A146" t="s">
        <x:v>107</x:v>
      </x:c>
      <x:c r="B146" s="19" t="s">
        <x:v>108</x:v>
      </x:c>
      <x:c r="C146" s="30"/>
      <x:c r="D146" s="37" t="n">
        <x:f aca="0">-D85/((C51+D51)/2)</x:f>
        <x:v>6.330391634867254</x:v>
      </x:c>
      <x:c r="E146" s="37" t="n">
        <x:f aca="0">-E85/((D51+E51)/2)</x:f>
        <x:v>8.467367491855711</x:v>
      </x:c>
      <x:c r="F146" s="37" t="n">
        <x:f aca="0">-F85/((E51+F51)/2)</x:f>
        <x:v>10.657952462664126</x:v>
      </x:c>
      <x:c r="G146" s="37" t="n">
        <x:f aca="0">-G85/((F51+G51)/2)</x:f>
        <x:v>9.58994930634071</x:v>
      </x:c>
      <x:c r="H146" s="37" t="n">
        <x:f aca="0">-H85/((G51+H51)/2)</x:f>
        <x:v>11.93424527818953</x:v>
      </x:c>
      <x:c r="I146" s="9" t="s">
        <x:v>89</x:v>
      </x:c>
    </x:row>
    <x:row r="147" ht="15" hidden="0">
      <x:c r="A147" t="s">
        <x:v>109</x:v>
      </x:c>
      <x:c r="B147" s="19" t="s">
        <x:v>110</x:v>
      </x:c>
      <x:c r="C147" s="30"/>
      <x:c r="D147" s="39" t="n">
        <x:f aca="0">365/D144</x:f>
        <x:v>138.9548367501086</x:v>
      </x:c>
      <x:c r="E147" s="39" t="n">
        <x:f aca="0">365/E144</x:f>
        <x:v>147.19158951872677</x:v>
      </x:c>
      <x:c r="F147" s="39" t="n">
        <x:f aca="0">365/F144</x:f>
        <x:v>149.87908057411946</x:v>
      </x:c>
      <x:c r="G147" s="39" t="n">
        <x:f aca="0">365/G144</x:f>
        <x:v>141.2975554557505</x:v>
      </x:c>
      <x:c r="H147" s="39" t="n">
        <x:f aca="0">365/H144</x:f>
        <x:v>139.29464124392743</x:v>
      </x:c>
      <x:c r="I147" s="9" t="s">
        <x:v>111</x:v>
      </x:c>
    </x:row>
    <x:row r="148" ht="15" hidden="0">
      <x:c r="A148" t="s">
        <x:v>113</x:v>
      </x:c>
      <x:c r="B148" s="19" t="s">
        <x:v>114</x:v>
      </x:c>
      <x:c r="C148" s="30"/>
      <x:c r="D148" s="39" t="n">
        <x:f aca="0">365/D145</x:f>
        <x:v>16.031081230273596</x:v>
      </x:c>
      <x:c r="E148" s="39" t="n">
        <x:f aca="0">365/E145</x:f>
        <x:v>9.88561921697045</x:v>
      </x:c>
      <x:c r="F148" s="39" t="n">
        <x:f aca="0">365/F145</x:f>
        <x:v>7.473977484334139</x:v>
      </x:c>
      <x:c r="G148" s="39" t="n">
        <x:f aca="0">365/G145</x:f>
        <x:v>5.662979090938647</x:v>
      </x:c>
      <x:c r="H148" s="39" t="n">
        <x:f aca="0">365/H145</x:f>
        <x:v>5.962485734149009</x:v>
      </x:c>
      <x:c r="I148" s="9" t="s">
        <x:v>111</x:v>
      </x:c>
    </x:row>
    <x:row r="149" ht="15" hidden="0">
      <x:c r="A149" t="s">
        <x:v>115</x:v>
      </x:c>
      <x:c r="B149" s="19" t="s">
        <x:v>116</x:v>
      </x:c>
      <x:c r="C149" s="30"/>
      <x:c r="D149" s="39" t="n">
        <x:f aca="0">365/D146</x:f>
        <x:v>57.65836002777637</x:v>
      </x:c>
      <x:c r="E149" s="39" t="n">
        <x:f aca="0">365/E146</x:f>
        <x:v>43.10666808203059</x:v>
      </x:c>
      <x:c r="F149" s="39" t="n">
        <x:f aca="0">365/F146</x:f>
        <x:v>34.24672809140701</x:v>
      </x:c>
      <x:c r="G149" s="39" t="n">
        <x:f aca="0">365/G146</x:f>
        <x:v>38.06068085872657</x:v>
      </x:c>
      <x:c r="H149" s="39" t="n">
        <x:f aca="0">365/H146</x:f>
        <x:v>30.584254931231968</x:v>
      </x:c>
      <x:c r="I149" s="9" t="s">
        <x:v>111</x:v>
      </x:c>
    </x:row>
    <x:row r="150" ht="15" hidden="0">
      <x:c r="A150" t="s">
        <x:v>117</x:v>
      </x:c>
      <x:c r="B150" s="19" t="s">
        <x:v>118</x:v>
      </x:c>
      <x:c r="C150" s="30"/>
      <x:c r="D150" s="39" t="n">
        <x:f aca="0">D147+D148</x:f>
        <x:v>154.9859179803822</x:v>
      </x:c>
      <x:c r="E150" s="39" t="n">
        <x:f aca="0">E147+E148</x:f>
        <x:v>157.0772087356972</x:v>
      </x:c>
      <x:c r="F150" s="39" t="n">
        <x:f aca="0">F147+F148</x:f>
        <x:v>157.3530580584536</x:v>
      </x:c>
      <x:c r="G150" s="39" t="n">
        <x:f aca="0">G147+G148</x:f>
        <x:v>146.96053454668916</x:v>
      </x:c>
      <x:c r="H150" s="39" t="n">
        <x:f aca="0">H147+H148</x:f>
        <x:v>145.25712697807643</x:v>
      </x:c>
      <x:c r="I150" s="9" t="s">
        <x:v>111</x:v>
      </x:c>
    </x:row>
    <x:row r="151" ht="15" hidden="0">
      <x:c r="A151" t="s">
        <x:v>119</x:v>
      </x:c>
      <x:c r="B151" s="19" t="s">
        <x:v>120</x:v>
      </x:c>
      <x:c r="C151" s="30"/>
      <x:c r="D151" s="39" t="n">
        <x:f aca="0">D147+D148-D149</x:f>
        <x:v>97.32755795260583</x:v>
      </x:c>
      <x:c r="E151" s="39" t="n">
        <x:f aca="0">E147+E148-E149</x:f>
        <x:v>113.97054065366663</x:v>
      </x:c>
      <x:c r="F151" s="39" t="n">
        <x:f aca="0">F147+F148-F149</x:f>
        <x:v>123.10632996704659</x:v>
      </x:c>
      <x:c r="G151" s="39" t="n">
        <x:f aca="0">G147+G148-G149</x:f>
        <x:v>108.89985368796259</x:v>
      </x:c>
      <x:c r="H151" s="39" t="n">
        <x:f aca="0">H147+H148-H149</x:f>
        <x:v>114.67287204684446</x:v>
      </x:c>
      <x:c r="I151" s="9" t="s">
        <x:v>111</x:v>
      </x:c>
    </x:row>
    <x:row r="152" ht="15" hidden="0">
      <x:c r="A152" t="s">
        <x:v>121</x:v>
      </x:c>
      <x:c r="B152" s="19" t="s">
        <x:v>122</x:v>
      </x:c>
      <x:c r="C152" s="30"/>
      <x:c r="D152" s="37" t="n">
        <x:f aca="0">D84/((C37+D37)/2)</x:f>
        <x:v>0.337321560534536</x:v>
      </x:c>
      <x:c r="E152" s="37" t="n">
        <x:f aca="0">E84/((D37+E37)/2)</x:f>
        <x:v>0.42297281053904634</x:v>
      </x:c>
      <x:c r="F152" s="37" t="n">
        <x:f aca="0">F84/((E37+F37)/2)</x:f>
        <x:v>0.47909875248597583</x:v>
      </x:c>
      <x:c r="G152" s="37" t="n">
        <x:f aca="0">G84/((F37+G37)/2)</x:f>
        <x:v>0.48362452491954855</x:v>
      </x:c>
      <x:c r="H152" s="37" t="n">
        <x:f aca="0">H84/((G37+H37)/2)</x:f>
        <x:v>0.5057355687914292</x:v>
      </x:c>
      <x:c r="I152" s="9" t="s">
        <x:v>89</x:v>
      </x:c>
    </x:row>
    <x:row r="153" ht="15" hidden="0">
      <x:c r="A153" t="s">
        <x:v>123</x:v>
      </x:c>
      <x:c r="B153" s="19" t="s">
        <x:v>124</x:v>
      </x:c>
      <x:c r="C153" s="30"/>
      <x:c r="D153" s="37" t="n">
        <x:f aca="0">D84/((C22+D22)/2)</x:f>
        <x:v>0.5840225528925309</x:v>
      </x:c>
      <x:c r="E153" s="37" t="n">
        <x:f aca="0">E84/((D22+E22)/2)</x:f>
        <x:v>0.7284023454374957</x:v>
      </x:c>
      <x:c r="F153" s="37" t="n">
        <x:f aca="0">F84/((E22+F22)/2)</x:f>
        <x:v>0.8006952973031204</x:v>
      </x:c>
      <x:c r="G153" s="37" t="n">
        <x:f aca="0">G84/((F22+G22)/2)</x:f>
        <x:v>0.8318493605276719</x:v>
      </x:c>
      <x:c r="H153" s="37" t="n">
        <x:f aca="0">H84/((G22+H22)/2)</x:f>
        <x:v>0.9277030351499571</x:v>
      </x:c>
      <x:c r="I153" s="9" t="s">
        <x:v>89</x:v>
      </x:c>
    </x:row>
    <x:row r="154" ht="15" hidden="0">
      <x:c r="A154" s="24" t="s">
        <x:v>512</x:v>
      </x:c>
      <x:c r="B154" s="25"/>
      <x:c r="C154" s="25"/>
      <x:c r="D154" s="25"/>
      <x:c r="E154" s="25"/>
      <x:c r="F154" s="25"/>
      <x:c r="G154" s="25"/>
      <x:c r="H154" s="25"/>
      <x:c r="I154" s="25"/>
      <x:c r="J154" s="25"/>
    </x:row>
    <x:row r="155" ht="15" hidden="0">
      <x:c r="A155" t="s">
        <x:v>125</x:v>
      </x:c>
      <x:c r="B155" s="19" t="s">
        <x:v>126</x:v>
      </x:c>
      <x:c r="C155" s="30"/>
      <x:c r="D155" s="40" t="n">
        <x:f aca="0">D62/D37</x:f>
        <x:v>0.46714504184305206</x:v>
      </x:c>
      <x:c r="E155" s="40" t="n">
        <x:f aca="0">E62/E37</x:f>
        <x:v>0.48801207258126744</x:v>
      </x:c>
      <x:c r="F155" s="40" t="n">
        <x:f aca="0">F62/F37</x:f>
        <x:v>0.5234895224192266</x:v>
      </x:c>
      <x:c r="G155" s="40" t="n">
        <x:f aca="0">G62/G37</x:f>
        <x:v>0.4519122394636083</x:v>
      </x:c>
      <x:c r="H155" s="40" t="n">
        <x:f aca="0">H62/H37</x:f>
        <x:v>0.3512559582717703</x:v>
      </x:c>
      <x:c r="I155" s="9" t="s">
        <x:v>127</x:v>
      </x:c>
    </x:row>
    <x:row r="156" ht="15" hidden="0">
      <x:c r="A156" t="s">
        <x:v>129</x:v>
      </x:c>
      <x:c r="B156" s="19" t="s">
        <x:v>130</x:v>
      </x:c>
      <x:c r="C156" s="30"/>
      <x:c r="D156" s="37" t="n">
        <x:f aca="0">D62/D41</x:f>
        <x:v>0.8766832975690517</x:v>
      </x:c>
      <x:c r="E156" s="37" t="n">
        <x:f aca="0">E62/E41</x:f>
        <x:v>0.9531710543286772</x:v>
      </x:c>
      <x:c r="F156" s="37" t="n">
        <x:f aca="0">F62/F41</x:f>
        <x:v>1.0985897415665749</x:v>
      </x:c>
      <x:c r="G156" s="37" t="n">
        <x:f aca="0">G62/G41</x:f>
        <x:v>0.8245253260560679</x:v>
      </x:c>
      <x:c r="H156" s="37" t="n">
        <x:f aca="0">H62/H41</x:f>
        <x:v>0.5414399758278128</x:v>
      </x:c>
      <x:c r="I156" s="9" t="s">
        <x:v>89</x:v>
      </x:c>
    </x:row>
    <x:row r="157" ht="15" hidden="0">
      <x:c r="A157" t="s">
        <x:v>131</x:v>
      </x:c>
      <x:c r="B157" s="19" t="s">
        <x:v>132</x:v>
      </x:c>
      <x:c r="C157" s="30"/>
      <x:c r="D157" s="40" t="n">
        <x:f aca="0">D66/(D66+D41)</x:f>
        <x:v>0.37343360902882045</x:v>
      </x:c>
      <x:c r="E157" s="40" t="n">
        <x:f aca="0">E66/(E66+E41)</x:f>
        <x:v>0.39929807208366225</x:v>
      </x:c>
      <x:c r="F157" s="40" t="n">
        <x:f aca="0">F66/(F66+F41)</x:f>
        <x:v>0.39850127088453147</x:v>
      </x:c>
      <x:c r="G157" s="40" t="n">
        <x:f aca="0">G66/(G66+G41)</x:f>
        <x:v>0.31153681009483003</x:v>
      </x:c>
      <x:c r="H157" s="40" t="n">
        <x:f aca="0">H66/(H66+H41)</x:f>
        <x:v>0.18792347676351873</x:v>
      </x:c>
      <x:c r="I157" s="9" t="s">
        <x:v>127</x:v>
      </x:c>
    </x:row>
    <x:row r="158" ht="15" hidden="0">
      <x:c r="A158" t="s">
        <x:v>133</x:v>
      </x:c>
      <x:c r="B158" s="19" t="s">
        <x:v>134</x:v>
      </x:c>
      <x:c r="C158" s="30"/>
      <x:c r="D158" s="40" t="n">
        <x:f aca="0">D67/D37</x:f>
        <x:v>0.13996233662270563</x:v>
      </x:c>
      <x:c r="E158" s="40" t="n">
        <x:f aca="0">E67/E37</x:f>
        <x:v>0.10374941529310935</x:v>
      </x:c>
      <x:c r="F158" s="40" t="n">
        <x:f aca="0">F67/F37</x:f>
        <x:v>0.07173473071922083</x:v>
      </x:c>
      <x:c r="G158" s="40" t="n">
        <x:f aca="0">G67/G37</x:f>
        <x:v>0.11536675950040348</x:v>
      </x:c>
      <x:c r="H158" s="40" t="n">
        <x:f aca="0">H67/H37</x:f>
        <x:v>0.06917171092245233</x:v>
      </x:c>
      <x:c r="I158" s="9" t="s">
        <x:v>127</x:v>
      </x:c>
    </x:row>
    <x:row r="159" ht="15" hidden="0">
      <x:c r="A159" t="s">
        <x:v>135</x:v>
      </x:c>
      <x:c r="B159" s="19" t="s">
        <x:v>136</x:v>
      </x:c>
      <x:c r="C159" s="30"/>
      <x:c r="D159" s="37" t="n">
        <x:f aca="0">IF(D106&lt;=0,"n/m",D108/D106)</x:f>
        <x:v>2.665277021761826</x:v>
      </x:c>
      <x:c r="E159" s="37" t="n">
        <x:f aca="0">IF(E106&lt;=0,"n/m",E108/E106)</x:f>
        <x:v>2.7057478339935286</x:v>
      </x:c>
      <x:c r="F159" s="37" t="n">
        <x:f aca="0">IF(F106&lt;=0,"n/m",F108/F106)</x:f>
        <x:v>1.4774958199074884</x:v>
      </x:c>
      <x:c r="G159" s="37" t="n">
        <x:f aca="0">IF(G106&lt;=0,"n/m",G108/G106)</x:f>
        <x:v>1.367829033720977</x:v>
      </x:c>
      <x:c r="H159" s="37" t="n">
        <x:f aca="0">IF(H106&lt;=0,"n/m",H108/H106)</x:f>
        <x:v>4.421321516604763</x:v>
      </x:c>
      <x:c r="I159" s="9" t="s">
        <x:v>89</x:v>
      </x:c>
    </x:row>
    <x:row r="160" ht="15" hidden="0">
      <x:c r="A160" t="s">
        <x:v>137</x:v>
      </x:c>
      <x:c r="B160" s="19" t="s">
        <x:v>138</x:v>
      </x:c>
      <x:c r="C160" s="30"/>
      <x:c r="D160" s="37" t="n">
        <x:f aca="0">IF(D109&lt;=0,"n/m",D68/D109)</x:f>
        <x:v>3.813191896771488</x:v>
      </x:c>
      <x:c r="E160" s="37" t="n">
        <x:f aca="0">IF(E109&lt;=0,"n/m",E68/E109)</x:f>
        <x:v>3.411159135548283</x:v>
      </x:c>
      <x:c r="F160" s="37" t="n">
        <x:f aca="0">IF(F109&lt;=0,"n/m",F68/F109)</x:f>
        <x:v>3.0221254833304125</x:v>
      </x:c>
      <x:c r="G160" s="37" t="n">
        <x:f aca="0">IF(G109&lt;=0,"n/m",G68/G109)</x:f>
        <x:v>2.2860253471832075</x:v>
      </x:c>
      <x:c r="H160" s="37" t="n">
        <x:f aca="0">IF(H109&lt;=0,"n/m",H68/H109)</x:f>
        <x:v>1.0304549257932554</x:v>
      </x:c>
      <x:c r="I160" s="9" t="s">
        <x:v>89</x:v>
      </x:c>
    </x:row>
    <x:row r="161" ht="15" hidden="0">
      <x:c r="A161" s="24" t="s">
        <x:v>513</x:v>
      </x:c>
      <x:c r="B161" s="25"/>
      <x:c r="C161" s="25"/>
      <x:c r="D161" s="25"/>
      <x:c r="E161" s="25"/>
      <x:c r="F161" s="25"/>
      <x:c r="G161" s="25"/>
      <x:c r="H161" s="25"/>
      <x:c r="I161" s="25"/>
      <x:c r="J161" s="25"/>
    </x:row>
    <x:row r="162" ht="15" hidden="0">
      <x:c r="A162" t="s">
        <x:v>139</x:v>
      </x:c>
      <x:c r="B162" s="19" t="s">
        <x:v>140</x:v>
      </x:c>
      <x:c r="C162" s="30"/>
      <x:c r="D162" s="40" t="n">
        <x:f aca="0">D86/D84</x:f>
        <x:v>0.1789471373949763</x:v>
      </x:c>
      <x:c r="E162" s="40" t="n">
        <x:f aca="0">E86/E84</x:f>
        <x:v>0.1796626113599641</x:v>
      </x:c>
      <x:c r="F162" s="40" t="n">
        <x:f aca="0">F86/F84</x:f>
        <x:v>0.147048524585835</x:v>
      </x:c>
      <x:c r="G162" s="40" t="n">
        <x:f aca="0">G86/G84</x:f>
        <x:v>0.1594256360843263</x:v>
      </x:c>
      <x:c r="H162" s="40" t="n">
        <x:f aca="0">H86/H84</x:f>
        <x:v>0.25740632547300923</x:v>
      </x:c>
      <x:c r="I162" s="9" t="s">
        <x:v>127</x:v>
      </x:c>
    </x:row>
    <x:row r="163" ht="15" hidden="0">
      <x:c r="A163" t="s">
        <x:v>142</x:v>
      </x:c>
      <x:c r="B163" s="19" t="s">
        <x:v>143</x:v>
      </x:c>
      <x:c r="C163" s="30"/>
      <x:c r="D163" s="40" t="n">
        <x:f aca="0">D91/D84</x:f>
        <x:v>0.11451399971933833</x:v>
      </x:c>
      <x:c r="E163" s="40" t="n">
        <x:f aca="0">E91/E84</x:f>
        <x:v>0.11847261096319517</x:v>
      </x:c>
      <x:c r="F163" s="40" t="n">
        <x:f aca="0">F91/F84</x:f>
        <x:v>0.10245374767974941</x:v>
      </x:c>
      <x:c r="G163" s="40" t="n">
        <x:f aca="0">G91/G84</x:f>
        <x:v>0.1000204289337119</x:v>
      </x:c>
      <x:c r="H163" s="40" t="n">
        <x:f aca="0">H91/H84</x:f>
        <x:v>0.17530880023555062</x:v>
      </x:c>
      <x:c r="I163" s="9" t="s">
        <x:v>127</x:v>
      </x:c>
    </x:row>
    <x:row r="164" ht="15" hidden="0">
      <x:c r="A164" t="s">
        <x:v>144</x:v>
      </x:c>
      <x:c r="B164" s="19" t="s">
        <x:v>145</x:v>
      </x:c>
      <x:c r="C164" s="30"/>
      <x:c r="D164" s="40" t="n">
        <x:f aca="0">D99/D84</x:f>
        <x:v>0.08249752980035112</x:v>
      </x:c>
      <x:c r="E164" s="40" t="n">
        <x:f aca="0">E99/E84</x:f>
        <x:v>0.05120493100192175</x:v>
      </x:c>
      <x:c r="F164" s="40" t="n">
        <x:f aca="0">F99/F84</x:f>
        <x:v>-0.05595201919567025</x:v>
      </x:c>
      <x:c r="G164" s="40" t="n">
        <x:f aca="0">G99/G84</x:f>
        <x:v>0.008213306596683071</x:v>
      </x:c>
      <x:c r="H164" s="40" t="n">
        <x:f aca="0">H99/H84</x:f>
        <x:v>0.12066652759857006</x:v>
      </x:c>
      <x:c r="I164" s="9" t="s">
        <x:v>127</x:v>
      </x:c>
    </x:row>
    <x:row r="165" ht="15" hidden="0">
      <x:c r="A165" t="s">
        <x:v>146</x:v>
      </x:c>
      <x:c r="B165" s="19" t="s">
        <x:v>147</x:v>
      </x:c>
      <x:c r="C165" s="30"/>
      <x:c r="D165" s="40" t="n">
        <x:f aca="0">D99/((C37+D37)/2)</x:f>
        <x:v>0.02782819549249883</x:v>
      </x:c>
      <x:c r="E165" s="40" t="n">
        <x:f aca="0">E99/((D37+E37)/2)</x:f>
        <x:v>0.02165829357934079</x:v>
      </x:c>
      <x:c r="F165" s="40" t="n">
        <x:f aca="0">F99/((E37+F37)/2)</x:f>
        <x:v>-0.02680654259571699</x:v>
      </x:c>
      <x:c r="G165" s="40" t="n">
        <x:f aca="0">G99/((F37+G37)/2)</x:f>
        <x:v>0.003972156500839445</x:v>
      </x:c>
      <x:c r="H165" s="40" t="n">
        <x:f aca="0">H99/((G37+H37)/2)</x:f>
        <x:v>0.06102535496914953</x:v>
      </x:c>
      <x:c r="I165" s="9" t="s">
        <x:v>127</x:v>
      </x:c>
    </x:row>
    <x:row r="166" ht="15" hidden="0">
      <x:c r="A166" t="s">
        <x:v>148</x:v>
      </x:c>
      <x:c r="B166" s="19" t="s">
        <x:v>149</x:v>
      </x:c>
      <x:c r="C166" s="30"/>
      <x:c r="D166" s="40" t="n">
        <x:f aca="0">D99/((C41+D41)/2)</x:f>
        <x:v>0.05311474576838488</x:v>
      </x:c>
      <x:c r="E166" s="40" t="n">
        <x:f aca="0">E99/((D41+E41)/2)</x:f>
        <x:v>0.041453492679972344</x:v>
      </x:c>
      <x:c r="F166" s="40" t="n">
        <x:f aca="0">F99/((E41+F41)/2)</x:f>
        <x:v>-0.05422363320589824</x:v>
      </x:c>
      <x:c r="G166" s="40" t="n">
        <x:f aca="0">G99/((F41+G41)/2)</x:f>
        <x:v>0.007746311290114197</x:v>
      </x:c>
      <x:c r="H166" s="40" t="n">
        <x:f aca="0">H99/((G41+H41)/2)</x:f>
        <x:v>0.10175126160150023</x:v>
      </x:c>
      <x:c r="I166" s="9" t="s">
        <x:v>127</x:v>
      </x:c>
    </x:row>
    <x:row r="167" ht="15" hidden="0">
      <x:c r="A167" t="s">
        <x:v>150</x:v>
      </x:c>
      <x:c r="B167" s="19" t="s">
        <x:v>151</x:v>
      </x:c>
      <x:c r="C167" s="30"/>
      <x:c r="D167" s="40" t="n">
        <x:f aca="0">D113/((C70+D70)/2)</x:f>
        <x:v>0.05185364586076227</x:v>
      </x:c>
      <x:c r="E167" s="40" t="n">
        <x:f aca="0">E113/((D70+E70)/2)</x:f>
        <x:v>0.0405309965203835</x:v>
      </x:c>
      <x:c r="F167" s="40" t="n">
        <x:f aca="0">F113/((E70+F70)/2)</x:f>
        <x:v>0.05416006430346929</x:v>
      </x:c>
      <x:c r="G167" s="40" t="n">
        <x:f aca="0">G113/((F70+G70)/2)</x:f>
        <x:v>0.06097480096087647</x:v>
      </x:c>
      <x:c r="H167" s="40" t="n">
        <x:f aca="0">H113/((G70+H70)/2)</x:f>
        <x:v>0.09929184900187035</x:v>
      </x:c>
      <x:c r="I167" s="9" t="s">
        <x:v>127</x:v>
      </x:c>
    </x:row>
    <x:row r="168" ht="15" hidden="0">
      <x:c r="A168" t="s">
        <x:v>152</x:v>
      </x:c>
      <x:c r="B168" s="19" t="s">
        <x:v>153</x:v>
      </x:c>
      <x:c r="C168" s="30"/>
      <x:c r="D168" s="40" t="n">
        <x:f aca="0">D108/((C37+D37)/2)</x:f>
        <x:v>0.05752393646556941</x:v>
      </x:c>
      <x:c r="E168" s="40" t="n">
        <x:f aca="0">E108/((D37+E37)/2)</x:f>
        <x:v>0.06989042461377605</x:v>
      </x:c>
      <x:c r="F168" s="40" t="n">
        <x:f aca="0">F108/((E37+F37)/2)</x:f>
        <x:v>0.07302423924994239</x:v>
      </x:c>
      <x:c r="G168" s="40" t="n">
        <x:f aca="0">G108/((F37+G37)/2)</x:f>
        <x:v>0.07938523892404618</x:v>
      </x:c>
      <x:c r="H168" s="40" t="n">
        <x:f aca="0">H108/((G37+H37)/2)</x:f>
        <x:v>0.11870857622241335</x:v>
      </x:c>
      <x:c r="I168" s="9" t="s">
        <x:v>127</x:v>
      </x:c>
    </x:row>
    <x:row r="169" ht="15" hidden="0">
      <x:c r="A169" t="s">
        <x:v>154</x:v>
      </x:c>
      <x:c r="B169" s="19" t="s">
        <x:v>155</x:v>
      </x:c>
      <x:c r="C169" s="30"/>
      <x:c r="D169" s="40" t="n">
        <x:f aca="0">D109/D84</x:f>
        <x:v>0.24991497015253938</x:v>
      </x:c>
      <x:c r="E169" s="40" t="n">
        <x:f aca="0">E109/E84</x:f>
        <x:v>0.23265570728812449</x:v>
      </x:c>
      <x:c r="F169" s="40" t="n">
        <x:f aca="0">F109/F84</x:f>
        <x:v>0.2131140149484285</x:v>
      </x:c>
      <x:c r="G169" s="40" t="n">
        <x:f aca="0">G109/G84</x:f>
        <x:v>0.2224978603073117</x:v>
      </x:c>
      <x:c r="H169" s="40" t="n">
        <x:f aca="0">H109/H84</x:f>
        <x:v>0.2880345228273576</x:v>
      </x:c>
      <x:c r="I169" s="9" t="s">
        <x:v>127</x:v>
      </x:c>
    </x:row>
    <x:row r="170" ht="15" hidden="0">
      <x:c r="A170" s="24" t="s">
        <x:v>514</x:v>
      </x:c>
      <x:c r="B170" s="25"/>
      <x:c r="C170" s="25"/>
      <x:c r="D170" s="25"/>
      <x:c r="E170" s="25"/>
      <x:c r="F170" s="25"/>
      <x:c r="G170" s="25"/>
      <x:c r="H170" s="25"/>
      <x:c r="I170" s="25"/>
      <x:c r="J170" s="25"/>
    </x:row>
    <x:row r="171" ht="15" hidden="0">
      <x:c r="A171" t="s">
        <x:v>156</x:v>
      </x:c>
      <x:c r="B171" s="19" t="s">
        <x:v>157</x:v>
      </x:c>
      <x:c r="C171" s="30"/>
      <x:c r="D171" s="41" t="n">
        <x:f aca="0">D41/D128</x:f>
        <x:v>167.71209700741193</x:v>
      </x:c>
      <x:c r="E171" s="41" t="n">
        <x:f aca="0">E41/E128</x:f>
        <x:v>159.58697532246367</x:v>
      </x:c>
      <x:c r="F171" s="41" t="n">
        <x:f aca="0">F41/F128</x:f>
        <x:v>146.51786922779672</x:v>
      </x:c>
      <x:c r="G171" s="41" t="n">
        <x:f aca="0">G41/G128</x:f>
        <x:v>173.12082034314415</x:v>
      </x:c>
      <x:c r="H171" s="41" t="n">
        <x:f aca="0">H41/H128</x:f>
        <x:v>216.07703932560804</x:v>
      </x:c>
      <x:c r="I171" s="9" t="s">
        <x:v>158</x:v>
      </x:c>
    </x:row>
    <x:row r="172" ht="15" hidden="0">
      <x:c r="A172" t="s">
        <x:v>160</x:v>
      </x:c>
      <x:c r="B172" s="19" t="s">
        <x:v>161</x:v>
      </x:c>
      <x:c r="C172" s="30"/>
      <x:c r="D172" s="37" t="n">
        <x:f aca="0">D130/D171</x:f>
        <x:v>0.7031096868032638</x:v>
      </x:c>
      <x:c r="E172" s="37" t="n">
        <x:f aca="0">E130/E171</x:f>
        <x:v>0.3916359707533251</x:v>
      </x:c>
      <x:c r="F172" s="37" t="n">
        <x:f aca="0">F130/F171</x:f>
        <x:v>0.35012794187063967</x:v>
      </x:c>
      <x:c r="G172" s="37" t="n">
        <x:f aca="0">G130/G171</x:f>
        <x:v>0.5214277509838222</x:v>
      </x:c>
      <x:c r="H172" s="37" t="n">
        <x:f aca="0">H130/H171</x:f>
        <x:v>0.7662082029480072</x:v>
      </x:c>
      <x:c r="I172" s="9" t="s">
        <x:v>89</x:v>
      </x:c>
    </x:row>
    <x:row r="173" ht="15" hidden="0">
      <x:c r="A173" t="s">
        <x:v>162</x:v>
      </x:c>
      <x:c r="B173" s="19" t="s">
        <x:v>163</x:v>
      </x:c>
      <x:c r="C173" s="30"/>
      <x:c r="D173" s="41" t="n">
        <x:f aca="0">D99/D129</x:f>
        <x:v>8.493747127465003</x:v>
      </x:c>
      <x:c r="E173" s="41" t="n">
        <x:f aca="0">E99/E129</x:f>
        <x:v>6.783844570781772</x:v>
      </x:c>
      <x:c r="F173" s="41" t="n">
        <x:f aca="0">F99/F129</x:f>
        <x:v>-8.299058065756444</x:v>
      </x:c>
      <x:c r="G173" s="41" t="n">
        <x:f aca="0">G99/G129</x:f>
        <x:v>1.2380103440270365</x:v>
      </x:c>
      <x:c r="H173" s="41" t="n">
        <x:f aca="0">H99/H129</x:f>
        <x:v>19.800685803443983</x:v>
      </x:c>
      <x:c r="I173" s="9" t="s">
        <x:v>158</x:v>
      </x:c>
    </x:row>
    <x:row r="174" ht="15" hidden="0">
      <x:c r="A174" t="s">
        <x:v>164</x:v>
      </x:c>
      <x:c r="B174" s="19" t="s">
        <x:v>165</x:v>
      </x:c>
      <x:c r="C174" s="30"/>
      <x:c r="D174" s="37" t="n">
        <x:f aca="0">IF(D173&lt;=0,"n/m",D130/D173)</x:f>
        <x:v>13.883154069739035</x:v>
      </x:c>
      <x:c r="E174" s="37" t="n">
        <x:f aca="0">IF(E173&lt;=0,"n/m",E130/E173)</x:f>
        <x:v>9.213064855464028</x:v>
      </x:c>
      <x:c r="F174" s="37" t="str">
        <x:f aca="0">IF(F173&lt;=0,"n/m",F130/F173)</x:f>
        <x:v>n/m</x:v>
      </x:c>
      <x:c r="G174" s="37" t="n">
        <x:f aca="0">IF(G173&lt;=0,"n/m",G130/G173)</x:f>
        <x:v>72.91538429829842</x:v>
      </x:c>
      <x:c r="H174" s="37" t="n">
        <x:f aca="0">IF(H173&lt;=0,"n/m",H130/H173)</x:f>
        <x:v>8.361326554214791</x:v>
      </x:c>
      <x:c r="I174" s="9" t="s">
        <x:v>89</x:v>
      </x:c>
    </x:row>
    <x:row r="175" ht="15" hidden="0">
      <x:c r="A175" t="s">
        <x:v>166</x:v>
      </x:c>
      <x:c r="B175" s="19" t="s">
        <x:v>167</x:v>
      </x:c>
      <x:c r="C175" s="30"/>
      <x:c r="D175" s="40" t="n">
        <x:f aca="0">D131/D130</x:f>
        <x:v>0.008480325644504749</x:v>
      </x:c>
      <x:c r="E175" s="40" t="n">
        <x:f aca="0">E131/E130</x:f>
        <x:v>0.016</x:v>
      </x:c>
      <x:c r="F175" s="40" t="n">
        <x:f aca="0">F131/F130</x:f>
        <x:v>0</x:v>
      </x:c>
      <x:c r="G175" s="40" t="n">
        <x:f aca="0">G131/G130</x:f>
        <x:v>0</x:v>
      </x:c>
      <x:c r="H175" s="40" t="n">
        <x:f aca="0">H131/H130</x:f>
        <x:v>0.012080212611741966</x:v>
      </x:c>
      <x:c r="I175" s="9" t="s">
        <x:v>127</x:v>
      </x:c>
    </x:row>
    <x:row r="176" ht="15" hidden="0">
      <x:c r="A176" t="s">
        <x:v>168</x:v>
      </x:c>
      <x:c r="B176" s="19" t="s">
        <x:v>169</x:v>
      </x:c>
      <x:c r="C176" s="30"/>
      <x:c r="D176" s="40" t="n">
        <x:f aca="0">IF(D173&lt;=0,"n/m",D131/D173)</x:f>
        <x:v>0.11773366748421842</x:v>
      </x:c>
      <x:c r="E176" s="40" t="n">
        <x:f aca="0">IF(E173&lt;=0,"n/m",E131/E173)</x:f>
        <x:v>0.14740903768742444</x:v>
      </x:c>
      <x:c r="F176" s="40" t="str">
        <x:f aca="0">IF(F173&lt;=0,"n/m",F131/F173)</x:f>
        <x:v>n/m</x:v>
      </x:c>
      <x:c r="G176" s="40" t="n">
        <x:f aca="0">IF(G173&lt;=0,"n/m",G131/G173)</x:f>
        <x:v>0</x:v>
      </x:c>
      <x:c r="H176" s="40" t="n">
        <x:f aca="0">IF(H173&lt;=0,"n/m",H131/H173)</x:f>
        <x:v>0.10100660249111851</x:v>
      </x:c>
      <x:c r="I176" s="9" t="s">
        <x:v>127</x:v>
      </x:c>
    </x:row>
    <x:row r="177" ht="15" hidden="0">
      <x:c r="A177" s="24" t="s">
        <x:v>515</x:v>
      </x:c>
      <x:c r="B177" s="25"/>
      <x:c r="C177" s="25"/>
      <x:c r="D177" s="25"/>
      <x:c r="E177" s="25"/>
      <x:c r="F177" s="25"/>
      <x:c r="G177" s="25"/>
      <x:c r="H177" s="25"/>
      <x:c r="I177" s="25"/>
      <x:c r="J177" s="25"/>
    </x:row>
    <x:row r="178" ht="15" hidden="0">
      <x:c r="A178" t="s">
        <x:v>170</x:v>
      </x:c>
      <x:c r="B178" s="19" t="s">
        <x:v>171</x:v>
      </x:c>
      <x:c r="C178" s="30"/>
      <x:c r="D178" s="37" t="n">
        <x:f aca="0">D117/((C61+D61)/2)</x:f>
        <x:v>0.1581418796924945</x:v>
      </x:c>
      <x:c r="E178" s="37" t="n">
        <x:f aca="0">E117/((D61+E61)/2)</x:f>
        <x:v>-0.09104588620249932</x:v>
      </x:c>
      <x:c r="F178" s="37" t="n">
        <x:f aca="0">F117/((E61+F61)/2)</x:f>
        <x:v>0.13727106602143005</x:v>
      </x:c>
      <x:c r="G178" s="37" t="n">
        <x:f aca="0">G117/((F61+G61)/2)</x:f>
        <x:v>0.14905890442807204</x:v>
      </x:c>
      <x:c r="H178" s="37" t="n">
        <x:f aca="0">H117/((G61+H61)/2)</x:f>
        <x:v>0.34519134637939236</x:v>
      </x:c>
      <x:c r="I178" s="9" t="s">
        <x:v>89</x:v>
      </x:c>
    </x:row>
    <x:row r="179" ht="15" hidden="0">
      <x:c r="A179" s="24" t="s">
        <x:v>516</x:v>
      </x:c>
      <x:c r="B179" s="25"/>
      <x:c r="C179" s="25"/>
      <x:c r="D179" s="25"/>
      <x:c r="E179" s="25"/>
      <x:c r="F179" s="25"/>
      <x:c r="G179" s="25"/>
      <x:c r="H179" s="25"/>
      <x:c r="I179" s="25"/>
      <x:c r="J179" s="25"/>
    </x:row>
    <x:row r="180" ht="15" hidden="0">
      <x:c r="A180" t="s">
        <x:v>173</x:v>
      </x:c>
      <x:c r="B180" s="19" t="s">
        <x:v>174</x:v>
      </x:c>
      <x:c r="C180" s="30"/>
      <x:c r="D180" s="40" t="n">
        <x:f aca="0">D108/((C71+D71)/2)</x:f>
        <x:v>0.08117368143235561</x:v>
      </x:c>
      <x:c r="E180" s="40" t="n">
        <x:f aca="0">E108/((D71+E71)/2)</x:f>
        <x:v>0.10199221459461202</x:v>
      </x:c>
      <x:c r="F180" s="40" t="n">
        <x:f aca="0">F108/((E71+F71)/2)</x:f>
        <x:v>0.11222944844862043</x:v>
      </x:c>
      <x:c r="G180" s="40" t="n">
        <x:f aca="0">G108/((F71+G71)/2)</x:f>
        <x:v>0.11280079026625844</x:v>
      </x:c>
      <x:c r="H180" s="40" t="n">
        <x:f aca="0">H108/((G71+H71)/2)</x:f>
        <x:v>0.1492219737716935</x:v>
      </x:c>
      <x:c r="I180" s="9" t="s">
        <x:v>127</x:v>
      </x:c>
    </x:row>
    <x:row r="181" ht="15" hidden="0">
      <x:c r="A181" t="s">
        <x:v>176</x:v>
      </x:c>
      <x:c r="B181" s="19" t="s">
        <x:v>177</x:v>
      </x:c>
      <x:c r="C181" s="30"/>
      <x:c r="D181" s="40" t="n">
        <x:f aca="0">D117/D84</x:f>
        <x:v>0.13658846196734967</x:v>
      </x:c>
      <x:c r="E181" s="40" t="n">
        <x:f aca="0">E117/E84</x:f>
        <x:v>-0.06775012545253922</x:v>
      </x:c>
      <x:c r="F181" s="40" t="n">
        <x:f aca="0">F117/F84</x:f>
        <x:v>0.10009005164531645</x:v>
      </x:c>
      <x:c r="G181" s="40" t="n">
        <x:f aca="0">G117/G84</x:f>
        <x:v>0.0913032207529135</x:v>
      </x:c>
      <x:c r="H181" s="40" t="n">
        <x:f aca="0">H117/H84</x:f>
        <x:v>0.1395706779522416</x:v>
      </x:c>
      <x:c r="I181" s="9" t="s">
        <x:v>127</x:v>
      </x:c>
    </x:row>
    <x:row r="182" ht="15" hidden="0">
      <x:c r="A182" t="s">
        <x:v>178</x:v>
      </x:c>
      <x:c r="B182" s="19" t="s">
        <x:v>179</x:v>
      </x:c>
      <x:c r="C182" s="30"/>
      <x:c r="D182" s="37" t="n">
        <x:f aca="0">D66/D41</x:f>
        <x:v>0.5960000638559584</x:v>
      </x:c>
      <x:c r="E182" s="37" t="n">
        <x:f aca="0">E66/E41</x:f>
        <x:v>0.6647191452651274</x:v>
      </x:c>
      <x:c r="F182" s="37" t="n">
        <x:f aca="0">F66/F41</x:f>
        <x:v>0.6625139033469712</x:v>
      </x:c>
      <x:c r="G182" s="37" t="n">
        <x:f aca="0">G66/G41</x:f>
        <x:v>0.45251048227827784</x:v>
      </x:c>
      <x:c r="H182" s="37" t="n">
        <x:f aca="0">H66/H41</x:f>
        <x:v>0.23141104487858016</x:v>
      </x:c>
      <x:c r="I182" s="9" t="s">
        <x:v>89</x:v>
      </x:c>
    </x:row>
    <x:row r="183" ht="15" hidden="0">
      <x:c r="A183" s="24" t="s">
        <x:v>517</x:v>
      </x:c>
      <x:c r="B183" s="25"/>
      <x:c r="C183" s="25"/>
      <x:c r="D183" s="25"/>
      <x:c r="E183" s="25"/>
      <x:c r="F183" s="25"/>
      <x:c r="G183" s="25"/>
      <x:c r="H183" s="25"/>
      <x:c r="I183" s="25"/>
      <x:c r="J183" s="25"/>
    </x:row>
    <x:row r="184" ht="15" hidden="0">
      <x:c r="A184" t="s">
        <x:v>518</x:v>
      </x:c>
      <x:c r="B184" s="19" t="s">
        <x:v>519</x:v>
      </x:c>
      <x:c r="C184" s="30"/>
      <x:c r="D184" s="37" t="n">
        <x:f aca="0">(D34+D33)/D61</x:f>
        <x:v>0.34130739595865744</x:v>
      </x:c>
      <x:c r="E184" s="37" t="n">
        <x:f aca="0">(E34+E33)/E61</x:f>
        <x:v>0.2250692578023608</x:v>
      </x:c>
      <x:c r="F184" s="37" t="n">
        <x:f aca="0">(F34+F33)/F61</x:f>
        <x:v>0.20432888711205305</x:v>
      </x:c>
      <x:c r="G184" s="37" t="n">
        <x:f aca="0">(G34+G33)/G61</x:f>
        <x:v>0.5932234184269664</x:v>
      </x:c>
      <x:c r="H184" s="37" t="n">
        <x:f aca="0">(H34+H33)/H61</x:f>
        <x:v>0.9484005971227574</x:v>
      </x:c>
      <x:c r="I184" s="9" t="s">
        <x:v>89</x:v>
      </x:c>
    </x:row>
    <x:row r="185" ht="15" hidden="0">
      <x:c r="A185" t="s">
        <x:v>520</x:v>
      </x:c>
      <x:c r="B185" s="19" t="s">
        <x:v>521</x:v>
      </x:c>
      <x:c r="C185" s="30"/>
      <x:c r="D185" s="37" t="n">
        <x:f aca="0">IF(D109&lt;=0,"n/m",D69/D109)</x:f>
        <x:v>2.6647233362077314</x:v>
      </x:c>
      <x:c r="E185" s="37" t="n">
        <x:f aca="0">IF(E109&lt;=0,"n/m",E69/E109)</x:f>
        <x:v>2.6734335063457126</x:v>
      </x:c>
      <x:c r="F185" s="37" t="n">
        <x:f aca="0">IF(F109&lt;=0,"n/m",F69/F109)</x:f>
        <x:v>2.3526964437698332</x:v>
      </x:c>
      <x:c r="G185" s="37" t="n">
        <x:f aca="0">IF(G109&lt;=0,"n/m",G69/G109)</x:f>
        <x:v>1.034797029183106</x:v>
      </x:c>
      <x:c r="H185" s="37" t="n">
        <x:f aca="0">IF(H109&lt;=0,"n/m",H69/H109)</x:f>
        <x:v>-0.1287850621551418</x:v>
      </x:c>
      <x:c r="I185" s="9" t="s">
        <x:v>89</x:v>
      </x:c>
    </x:row>
    <x:row r="186" ht="15" hidden="0">
      <x:c r="A186" t="s">
        <x:v>522</x:v>
      </x:c>
      <x:c r="B186" s="19" t="s">
        <x:v>523</x:v>
      </x:c>
      <x:c r="C186" s="30"/>
      <x:c r="D186" s="39" t="n">
        <x:f aca="0">365/(-D85/((C31+D31)/2))</x:f>
        <x:v>34.89567255982981</x:v>
      </x:c>
      <x:c r="E186" s="39" t="n">
        <x:f aca="0">365/(-E85/((D31+E31)/2))</x:f>
        <x:v>33.38392492822355</x:v>
      </x:c>
      <x:c r="F186" s="39" t="n">
        <x:f aca="0">365/(-F85/((E31+F31)/2))</x:f>
        <x:v>48.909896850774786</x:v>
      </x:c>
      <x:c r="G186" s="39" t="n">
        <x:f aca="0">365/(-G85/((F31+G31)/2))</x:f>
        <x:v>54.46432872100485</x:v>
      </x:c>
      <x:c r="H186" s="39" t="n">
        <x:f aca="0">365/(-H85/((G31+H31)/2))</x:f>
        <x:v>54.29054732929634</x:v>
      </x:c>
      <x:c r="I186" s="9" t="s">
        <x:v>111</x:v>
      </x:c>
    </x:row>
    <x:row r="187" ht="15" hidden="0">
      <x:c r="A187" t="s">
        <x:v>524</x:v>
      </x:c>
      <x:c r="B187" s="19" t="s">
        <x:v>525</x:v>
      </x:c>
      <x:c r="C187" s="30"/>
      <x:c r="D187" s="37" t="n">
        <x:f aca="0">D120/((C61+D61)/2)</x:f>
        <x:v>0.1581418796924945</x:v>
      </x:c>
      <x:c r="E187" s="37" t="n">
        <x:f aca="0">E120/((D61+E61)/2)</x:f>
        <x:v>-0.09104588620249932</x:v>
      </x:c>
      <x:c r="F187" s="37" t="n">
        <x:f aca="0">F120/((E61+F61)/2)</x:f>
        <x:v>0.13727106602143005</x:v>
      </x:c>
      <x:c r="G187" s="37" t="n">
        <x:f aca="0">G120/((F61+G61)/2)</x:f>
        <x:v>0.14905890442807204</x:v>
      </x:c>
      <x:c r="H187" s="37" t="n">
        <x:f aca="0">H120/((G61+H61)/2)</x:f>
        <x:v>0.34519134637939236</x:v>
      </x:c>
      <x:c r="I187" s="9" t="s">
        <x:v>89</x:v>
      </x:c>
    </x:row>
    <x:row r="188" ht="15" hidden="0">
      <x:c r="A188" t="str">
        <x:v>M5. EPS on FY2025 annual-report split basis (Rs)</x:v>
      </x:c>
      <x:c r="B188" s="19" t="s">
        <x:v>526</x:v>
      </x:c>
      <x:c r="C188" s="30"/>
      <x:c r="D188" s="41" t="n">
        <x:f aca="0">D173/D134</x:f>
        <x:v>8.493747127465003</x:v>
      </x:c>
      <x:c r="E188" s="41" t="n">
        <x:f aca="0">E173/E134</x:f>
        <x:v>6.783844570781772</x:v>
      </x:c>
      <x:c r="F188" s="41" t="n">
        <x:f aca="0">F173/F134</x:f>
        <x:v>-8.299058065756444</x:v>
      </x:c>
      <x:c r="G188" s="41" t="n">
        <x:f aca="0">G173/G134</x:f>
        <x:v>1.2380103440270365</x:v>
      </x:c>
      <x:c r="H188" s="41" t="n">
        <x:f aca="0">H173/H134</x:f>
        <x:v>19.800685803443983</x:v>
      </x:c>
      <x:c r="I188" s="9" t="s">
        <x:v>158</x:v>
      </x:c>
    </x:row>
    <x:row r="189" ht="15" hidden="0">
      <x:c r="A189" t="s">
        <x:v>527</x:v>
      </x:c>
      <x:c r="B189" s="19" t="s">
        <x:v>528</x:v>
      </x:c>
      <x:c r="C189" s="30"/>
      <x:c r="D189" s="40" t="n">
        <x:f aca="0">D108/D84</x:f>
        <x:v>0.1705314548361931</x:v>
      </x:c>
      <x:c r="E189" s="40" t="n">
        <x:f aca="0">E108/E84</x:f>
        <x:v>0.16523621110469505</x:v>
      </x:c>
      <x:c r="F189" s="40" t="n">
        <x:f aca="0">F108/F84</x:f>
        <x:v>0.15242001543738096</x:v>
      </x:c>
      <x:c r="G189" s="40" t="n">
        <x:f aca="0">G108/G84</x:f>
        <x:v>0.16414642937566495</x:v>
      </x:c>
      <x:c r="H189" s="40" t="n">
        <x:f aca="0">H108/H84</x:f>
        <x:v>0.23472459432919582</x:v>
      </x:c>
      <x:c r="I189" s="9" t="s">
        <x:v>127</x:v>
      </x:c>
    </x:row>
    <x:row r="191" ht="15" hidden="0">
      <x:c r="A191" s="5" t="s">
        <x:v>529</x:v>
      </x:c>
      <x:c r="B191" s="20"/>
      <x:c r="C191" s="20"/>
      <x:c r="D191" s="20"/>
      <x:c r="E191" s="20"/>
      <x:c r="F191" s="20"/>
      <x:c r="G191" s="20"/>
      <x:c r="H191" s="20"/>
      <x:c r="I191" s="20"/>
      <x:c r="J191" s="20"/>
    </x:row>
    <x:row r="192" ht="15" hidden="0">
      <x:c r="A192" s="24" t="s">
        <x:v>530</x:v>
      </x:c>
      <x:c r="B192" s="25"/>
      <x:c r="C192" s="25"/>
      <x:c r="D192" s="25"/>
      <x:c r="E192" s="25"/>
      <x:c r="F192" s="25"/>
      <x:c r="G192" s="25"/>
      <x:c r="H192" s="25"/>
      <x:c r="I192" s="25"/>
      <x:c r="J192" s="25"/>
    </x:row>
    <x:row r="193" ht="15" hidden="0">
      <x:c r="A193" t="s">
        <x:v>531</x:v>
      </x:c>
      <x:c r="B193" s="19" t="s">
        <x:v>532</x:v>
      </x:c>
      <x:c r="C193" s="42" t="n">
        <x:f aca="0">IF(C37=0,"n/m",C22/C37)</x:f>
        <x:v>0.5957400396355014</x:v>
      </x:c>
      <x:c r="D193" s="42" t="n">
        <x:f aca="0">IF(D37=0,"n/m",D22/D37)</x:f>
        <x:v>0.5605247386706973</x:v>
      </x:c>
      <x:c r="E193" s="42" t="n">
        <x:f aca="0">IF(E37=0,"n/m",E22/E37)</x:f>
        <x:v>0.6010433662837117</x:v>
      </x:c>
      <x:c r="F193" s="42" t="n">
        <x:f aca="0">IF(F37=0,"n/m",F22/F37)</x:f>
        <x:v>0.5956265149678589</x:v>
      </x:c>
      <x:c r="G193" s="42" t="n">
        <x:f aca="0">IF(G37=0,"n/m",G22/G37)</x:f>
        <x:v>0.5675209169290648</x:v>
      </x:c>
      <x:c r="H193" s="42" t="n">
        <x:f aca="0">IF(H37=0,"n/m",H22/H37)</x:f>
        <x:v>0.5239311139784286</x:v>
      </x:c>
      <x:c r="I193" s="11" t="s">
        <x:v>127</x:v>
      </x:c>
    </x:row>
    <x:row r="194" ht="15" hidden="0">
      <x:c r="A194" t="s">
        <x:v>533</x:v>
      </x:c>
      <x:c r="B194" s="19" t="s">
        <x:v>534</x:v>
      </x:c>
      <x:c r="C194" s="42" t="n">
        <x:f aca="0">IF(C37=0,"n/m",C21/C37)</x:f>
        <x:v>0.04907899430970845</x:v>
      </x:c>
      <x:c r="D194" s="42" t="n">
        <x:f aca="0">IF(D37=0,"n/m",D21/D37)</x:f>
        <x:v>0.05603348183868158</x:v>
      </x:c>
      <x:c r="E194" s="42" t="n">
        <x:f aca="0">IF(E37=0,"n/m",E21/E37)</x:f>
        <x:v>0.005302850947283561</x:v>
      </x:c>
      <x:c r="F194" s="42" t="n">
        <x:f aca="0">IF(F37=0,"n/m",F21/F37)</x:f>
        <x:v>0.014897301790364293</x:v>
      </x:c>
      <x:c r="G194" s="42" t="n">
        <x:f aca="0">IF(G37=0,"n/m",G21/G37)</x:f>
        <x:v>0.009690513374664273</x:v>
      </x:c>
      <x:c r="H194" s="42" t="n">
        <x:f aca="0">IF(H37=0,"n/m",H21/H37)</x:f>
        <x:v>0.005470729382271561</x:v>
      </x:c>
      <x:c r="I194" s="11" t="s">
        <x:v>127</x:v>
      </x:c>
    </x:row>
    <x:row r="195" ht="15" hidden="0">
      <x:c r="A195" t="s">
        <x:v>312</x:v>
      </x:c>
      <x:c r="B195" s="19" t="s">
        <x:v>535</x:v>
      </x:c>
      <x:c r="C195" s="42" t="n">
        <x:f aca="0">IF(C37=0,"n/m",C28/C37)</x:f>
        <x:v>0.7367346727056123</x:v>
      </x:c>
      <x:c r="D195" s="42" t="n">
        <x:f aca="0">IF(D37=0,"n/m",D28/D37)</x:f>
        <x:v>0.7327579319457078</x:v>
      </x:c>
      <x:c r="E195" s="42" t="n">
        <x:f aca="0">IF(E37=0,"n/m",E28/E37)</x:f>
        <x:v>0.7011382440591294</x:v>
      </x:c>
      <x:c r="F195" s="42" t="n">
        <x:f aca="0">IF(F37=0,"n/m",F28/F37)</x:f>
        <x:v>0.710298245783596</x:v>
      </x:c>
      <x:c r="G195" s="42" t="n">
        <x:f aca="0">IF(G37=0,"n/m",G28/G37)</x:f>
        <x:v>0.6981588075893996</x:v>
      </x:c>
      <x:c r="H195" s="42" t="n">
        <x:f aca="0">IF(H37=0,"n/m",H28/H37)</x:f>
        <x:v>0.671692354597576</x:v>
      </x:c>
      <x:c r="I195" s="11" t="s">
        <x:v>127</x:v>
      </x:c>
    </x:row>
    <x:row r="196" ht="15" hidden="0">
      <x:c r="A196" t="s">
        <x:v>536</x:v>
      </x:c>
      <x:c r="B196" s="19" t="s">
        <x:v>537</x:v>
      </x:c>
      <x:c r="C196" s="42" t="n">
        <x:f aca="0">IF(C37=0,"n/m",C65/C37)</x:f>
        <x:v>0.09718900742618765</x:v>
      </x:c>
      <x:c r="D196" s="42" t="n">
        <x:f aca="0">IF(D37=0,"n/m",D65/D37)</x:f>
        <x:v>0.11318736209268437</x:v>
      </x:c>
      <x:c r="E196" s="42" t="n">
        <x:f aca="0">IF(E37=0,"n/m",E65/E37)</x:f>
        <x:v>0.16692341815435893</x:v>
      </x:c>
      <x:c r="F196" s="42" t="n">
        <x:f aca="0">IF(F37=0,"n/m",F65/F37)</x:f>
        <x:v>0.16869294093363668</x:v>
      </x:c>
      <x:c r="G196" s="42" t="n">
        <x:f aca="0">IF(G37=0,"n/m",G65/G37)</x:f>
        <x:v>0.14635062074380864</x:v>
      </x:c>
      <x:c r="H196" s="42" t="n">
        <x:f aca="0">IF(H37=0,"n/m",H65/H37)</x:f>
        <x:v>0.14045204348681356</x:v>
      </x:c>
      <x:c r="I196" s="11" t="s">
        <x:v>127</x:v>
      </x:c>
    </x:row>
    <x:row r="197" ht="15" hidden="0">
      <x:c r="A197" t="s">
        <x:v>319</x:v>
      </x:c>
      <x:c r="B197" s="19" t="s">
        <x:v>538</x:v>
      </x:c>
      <x:c r="C197" s="42" t="n">
        <x:f aca="0">IF(C37=0,"n/m",C32/C37)</x:f>
        <x:v>0.017646136092838546</x:v>
      </x:c>
      <x:c r="D197" s="42" t="n">
        <x:f aca="0">IF(D37=0,"n/m",D32/D37)</x:f>
        <x:v>0.012155978703082394</x:v>
      </x:c>
      <x:c r="E197" s="42" t="n">
        <x:f aca="0">IF(E37=0,"n/m",E32/E37)</x:f>
        <x:v>0.010748684555492017</x:v>
      </x:c>
      <x:c r="F197" s="42" t="n">
        <x:f aca="0">IF(F37=0,"n/m",F32/F37)</x:f>
        <x:v>0.008859113446996091</x:v>
      </x:c>
      <x:c r="G197" s="42" t="n">
        <x:f aca="0">IF(G37=0,"n/m",G32/G37)</x:f>
        <x:v>0.00618374345093354</x:v>
      </x:c>
      <x:c r="H197" s="42" t="n">
        <x:f aca="0">IF(H37=0,"n/m",H32/H37)</x:f>
        <x:v>0.010231885060079294</x:v>
      </x:c>
      <x:c r="I197" s="11" t="s">
        <x:v>127</x:v>
      </x:c>
    </x:row>
    <x:row r="198" ht="15" hidden="0">
      <x:c r="A198" t="s">
        <x:v>321</x:v>
      </x:c>
      <x:c r="B198" s="19" t="s">
        <x:v>539</x:v>
      </x:c>
      <x:c r="C198" s="42" t="n">
        <x:f aca="0">IF(C37=0,"n/m",C33/C37)</x:f>
        <x:v>0.10132174891885111</x:v>
      </x:c>
      <x:c r="D198" s="42" t="n">
        <x:f aca="0">IF(D37=0,"n/m",D33/D37)</x:f>
        <x:v>0.09388893323432154</x:v>
      </x:c>
      <x:c r="E198" s="42" t="n">
        <x:f aca="0">IF(E37=0,"n/m",E33/E37)</x:f>
        <x:v>0.07295162674557236</x:v>
      </x:c>
      <x:c r="F198" s="42" t="n">
        <x:f aca="0">IF(F37=0,"n/m",F33/F37)</x:f>
        <x:v>0.06881949418280697</x:v>
      </x:c>
      <x:c r="G198" s="42" t="n">
        <x:f aca="0">IF(G37=0,"n/m",G33/G37)</x:f>
        <x:v>0.13285241774236387</x:v>
      </x:c>
      <x:c r="H198" s="42" t="n">
        <x:f aca="0">IF(H37=0,"n/m",H33/H37)</x:f>
        <x:v>0.16450386051364257</x:v>
      </x:c>
      <x:c r="I198" s="11" t="s">
        <x:v>127</x:v>
      </x:c>
    </x:row>
    <x:row r="199" ht="15" hidden="0">
      <x:c r="A199" t="s">
        <x:v>540</x:v>
      </x:c>
      <x:c r="B199" s="19" t="s">
        <x:v>541</x:v>
      </x:c>
      <x:c r="C199" s="42" t="n">
        <x:f aca="0">IF(C37=0,"n/m",C34/C37)</x:f>
        <x:v>0.002684908385569561</x:v>
      </x:c>
      <x:c r="D199" s="42" t="n">
        <x:f aca="0">IF(D37=0,"n/m",D34/D37)</x:f>
        <x:v>0.005847744819367492</x:v>
      </x:c>
      <x:c r="E199" s="42" t="n">
        <x:f aca="0">IF(E37=0,"n/m",E34/E37)</x:f>
        <x:v>0.0030081791486187303</x:v>
      </x:c>
      <x:c r="F199" s="42" t="n">
        <x:f aca="0">IF(F37=0,"n/m",F34/F37)</x:f>
        <x:v>0.005010434979174357</x:v>
      </x:c>
      <x:c r="G199" s="42" t="n">
        <x:f aca="0">IF(G37=0,"n/m",G34/G37)</x:f>
        <x:v>0.0052907758120825064</x:v>
      </x:c>
      <x:c r="H199" s="42" t="n">
        <x:f aca="0">IF(H37=0,"n/m",H34/H37)</x:f>
        <x:v>0.00389813247950212</x:v>
      </x:c>
      <x:c r="I199" s="11" t="s">
        <x:v>127</x:v>
      </x:c>
    </x:row>
    <x:row r="200" ht="15" hidden="0">
      <x:c r="A200" t="s">
        <x:v>327</x:v>
      </x:c>
      <x:c r="B200" s="19" t="s">
        <x:v>542</x:v>
      </x:c>
      <x:c r="C200" s="42" t="n">
        <x:f aca="0">IF(C37=0,"n/m",C36/C37)</x:f>
        <x:v>0.2632653272943878</x:v>
      </x:c>
      <x:c r="D200" s="42" t="n">
        <x:f aca="0">IF(D37=0,"n/m",D36/D37)</x:f>
        <x:v>0.2672420680542922</x:v>
      </x:c>
      <x:c r="E200" s="42" t="n">
        <x:f aca="0">IF(E37=0,"n/m",E36/E37)</x:f>
        <x:v>0.2988617559408706</x:v>
      </x:c>
      <x:c r="F200" s="42" t="n">
        <x:f aca="0">IF(F37=0,"n/m",F36/F37)</x:f>
        <x:v>0.28970175421640393</x:v>
      </x:c>
      <x:c r="G200" s="42" t="n">
        <x:f aca="0">IF(G37=0,"n/m",G36/G37)</x:f>
        <x:v>0.3018411924106002</x:v>
      </x:c>
      <x:c r="H200" s="42" t="n">
        <x:f aca="0">IF(H37=0,"n/m",H36/H37)</x:f>
        <x:v>0.32830764540242413</x:v>
      </x:c>
      <x:c r="I200" s="11" t="s">
        <x:v>127</x:v>
      </x:c>
    </x:row>
    <x:row r="201" ht="15" hidden="0">
      <x:c r="A201" t="s">
        <x:v>336</x:v>
      </x:c>
      <x:c r="B201" s="19" t="s">
        <x:v>543</x:v>
      </x:c>
      <x:c r="C201" s="42" t="n">
        <x:f aca="0">IF(C37=0,"n/m",C41/C37)</x:f>
        <x:v>0.5144219828381192</x:v>
      </x:c>
      <x:c r="D201" s="42" t="n">
        <x:f aca="0">IF(D37=0,"n/m",D41/D37)</x:f>
        <x:v>0.5328549581569478</x:v>
      </x:c>
      <x:c r="E201" s="42" t="n">
        <x:f aca="0">IF(E37=0,"n/m",E41/E37)</x:f>
        <x:v>0.5119879274187324</x:v>
      </x:c>
      <x:c r="F201" s="42" t="n">
        <x:f aca="0">IF(F37=0,"n/m",F41/F37)</x:f>
        <x:v>0.47651047758077314</x:v>
      </x:c>
      <x:c r="G201" s="42" t="n">
        <x:f aca="0">IF(G37=0,"n/m",G41/G37)</x:f>
        <x:v>0.5480877605363915</x:v>
      </x:c>
      <x:c r="H201" s="42" t="n">
        <x:f aca="0">IF(H37=0,"n/m",H41/H37)</x:f>
        <x:v>0.6487440417282297</x:v>
      </x:c>
      <x:c r="I201" s="11" t="s">
        <x:v>127</x:v>
      </x:c>
    </x:row>
    <x:row r="202" ht="15" hidden="0">
      <x:c r="A202" t="s">
        <x:v>544</x:v>
      </x:c>
      <x:c r="B202" s="19" t="s">
        <x:v>545</x:v>
      </x:c>
      <x:c r="C202" s="42" t="n">
        <x:f aca="0">IF(C37=0,"n/m",C67/C37)</x:f>
        <x:v>0.16960046185172922</x:v>
      </x:c>
      <x:c r="D202" s="42" t="n">
        <x:f aca="0">IF(D37=0,"n/m",D67/D37)</x:f>
        <x:v>0.13996233662270563</x:v>
      </x:c>
      <x:c r="E202" s="42" t="n">
        <x:f aca="0">IF(E37=0,"n/m",E67/E37)</x:f>
        <x:v>0.10374941529310935</x:v>
      </x:c>
      <x:c r="F202" s="42" t="n">
        <x:f aca="0">IF(F37=0,"n/m",F67/F37)</x:f>
        <x:v>0.07173473071922083</x:v>
      </x:c>
      <x:c r="G202" s="42" t="n">
        <x:f aca="0">IF(G37=0,"n/m",G67/G37)</x:f>
        <x:v>0.11536675950040348</x:v>
      </x:c>
      <x:c r="H202" s="42" t="n">
        <x:f aca="0">IF(H37=0,"n/m",H67/H37)</x:f>
        <x:v>0.06917171092245233</x:v>
      </x:c>
      <x:c r="I202" s="11" t="s">
        <x:v>127</x:v>
      </x:c>
    </x:row>
    <x:row r="203" ht="15" hidden="0">
      <x:c r="A203" t="s">
        <x:v>349</x:v>
      </x:c>
      <x:c r="B203" s="19" t="s">
        <x:v>546</x:v>
      </x:c>
      <x:c r="C203" s="42" t="n">
        <x:f aca="0">IF(C37=0,"n/m",C48/C37)</x:f>
        <x:v>0.19515878522905028</x:v>
      </x:c>
      <x:c r="D203" s="42" t="n">
        <x:f aca="0">IF(D37=0,"n/m",D48/D37)</x:f>
        <x:v>0.1749255375643633</x:v>
      </x:c>
      <x:c r="E203" s="42" t="n">
        <x:f aca="0">IF(E37=0,"n/m",E48/E37)</x:f>
        <x:v>0.1505168205158194</x:v>
      </x:c>
      <x:c r="F203" s="42" t="n">
        <x:f aca="0">IF(F37=0,"n/m",F48/F37)</x:f>
        <x:v>0.16216063639885053</x:v>
      </x:c>
      <x:c r="G203" s="42" t="n">
        <x:f aca="0">IF(G37=0,"n/m",G48/G37)</x:f>
        <x:v>0.21904349345092264</x:v>
      </x:c>
      <x:c r="H203" s="42" t="n">
        <x:f aca="0">IF(H37=0,"n/m",H48/H37)</x:f>
        <x:v>0.17369175860336017</x:v>
      </x:c>
      <x:c r="I203" s="11" t="s">
        <x:v>127</x:v>
      </x:c>
    </x:row>
    <x:row r="204" ht="15" hidden="0">
      <x:c r="A204" t="s">
        <x:v>352</x:v>
      </x:c>
      <x:c r="B204" s="19" t="s">
        <x:v>547</x:v>
      </x:c>
      <x:c r="C204" s="42" t="n">
        <x:f aca="0">IF(C37=0,"n/m",C50/C37)</x:f>
        <x:v>0.08720998239974527</x:v>
      </x:c>
      <x:c r="D204" s="42" t="n">
        <x:f aca="0">IF(D37=0,"n/m",D50/D37)</x:f>
        <x:v>0.10822135531433814</x:v>
      </x:c>
      <x:c r="E204" s="42" t="n">
        <x:f aca="0">IF(E37=0,"n/m",E50/E37)</x:f>
        <x:v>0.09220506291160192</x:v>
      </x:c>
      <x:c r="F204" s="42" t="n">
        <x:f aca="0">IF(F37=0,"n/m",F50/F37)</x:f>
        <x:v>0.10231583449094028</x:v>
      </x:c>
      <x:c r="G204" s="42" t="n">
        <x:f aca="0">IF(G37=0,"n/m",G50/G37)</x:f>
        <x:v>0.0895645298865084</x:v>
      </x:c>
      <x:c r="H204" s="42" t="n">
        <x:f aca="0">IF(H37=0,"n/m",H50/H37)</x:f>
        <x:v>0.09137240294595343</x:v>
      </x:c>
      <x:c r="I204" s="11" t="s">
        <x:v>127</x:v>
      </x:c>
    </x:row>
    <x:row r="205" ht="15" hidden="0">
      <x:c r="A205" t="s">
        <x:v>548</x:v>
      </x:c>
      <x:c r="B205" s="19" t="s">
        <x:v>549</x:v>
      </x:c>
      <x:c r="C205" s="42" t="n">
        <x:f aca="0">IF(C37=0,"n/m",C66/C37)</x:f>
        <x:v>0.366484182271435</x:v>
      </x:c>
      <x:c r="D205" s="42" t="n">
        <x:f aca="0">IF(D37=0,"n/m",D66/D37)</x:f>
        <x:v>0.31758158908750495</x:v>
      </x:c>
      <x:c r="E205" s="42" t="n">
        <x:f aca="0">IF(E37=0,"n/m",E66/E37)</x:f>
        <x:v>0.34032817749984395</x:v>
      </x:c>
      <x:c r="F205" s="42" t="n">
        <x:f aca="0">IF(F37=0,"n/m",F66/F37)</x:f>
        <x:v>0.3156948164877674</x:v>
      </x:c>
      <x:c r="G205" s="42" t="n">
        <x:f aca="0">IF(G37=0,"n/m",G66/G37)</x:f>
        <x:v>0.2480154568511438</x:v>
      </x:c>
      <x:c r="H205" s="42" t="n">
        <x:f aca="0">IF(H37=0,"n/m",H66/H37)</x:f>
        <x:v>0.15012653655508287</x:v>
      </x:c>
      <x:c r="I205" s="11" t="s">
        <x:v>127</x:v>
      </x:c>
    </x:row>
    <x:row r="206" ht="15" hidden="0">
      <x:c r="A206" t="s">
        <x:v>374</x:v>
      </x:c>
      <x:c r="B206" s="19" t="s">
        <x:v>550</x:v>
      </x:c>
      <x:c r="C206" s="42" t="n">
        <x:f aca="0">IF(C37=0,"n/m",C61/C37)</x:f>
        <x:v>0.2904192319328307</x:v>
      </x:c>
      <x:c r="D206" s="42" t="n">
        <x:f aca="0">IF(D37=0,"n/m",D61/D37)</x:f>
        <x:v>0.29221950427868876</x:v>
      </x:c>
      <x:c r="E206" s="42" t="n">
        <x:f aca="0">IF(E37=0,"n/m",E61/E37)</x:f>
        <x:v>0.3374952520654481</x:v>
      </x:c>
      <x:c r="F206" s="42" t="n">
        <x:f aca="0">IF(F37=0,"n/m",F61/F37)</x:f>
        <x:v>0.3613288860203762</x:v>
      </x:c>
      <x:c r="G206" s="42" t="n">
        <x:f aca="0">IF(G37=0,"n/m",G61/G37)</x:f>
        <x:v>0.23286874601268565</x:v>
      </x:c>
      <x:c r="H206" s="42" t="n">
        <x:f aca="0">IF(H37=0,"n/m",H61/H37)</x:f>
        <x:v>0.17756419966841014</x:v>
      </x:c>
      <x:c r="I206" s="11" t="s">
        <x:v>127</x:v>
      </x:c>
    </x:row>
    <x:row r="207" ht="15" hidden="0">
      <x:c r="A207" t="s">
        <x:v>377</x:v>
      </x:c>
      <x:c r="B207" s="19" t="s">
        <x:v>551</x:v>
      </x:c>
      <x:c r="C207" s="42" t="n">
        <x:f aca="0">IF(C37=0,"n/m",C62/C37)</x:f>
        <x:v>0.485578017161881</x:v>
      </x:c>
      <x:c r="D207" s="42" t="n">
        <x:f aca="0">IF(D37=0,"n/m",D62/D37)</x:f>
        <x:v>0.46714504184305206</x:v>
      </x:c>
      <x:c r="E207" s="42" t="n">
        <x:f aca="0">IF(E37=0,"n/m",E62/E37)</x:f>
        <x:v>0.48801207258126744</x:v>
      </x:c>
      <x:c r="F207" s="42" t="n">
        <x:f aca="0">IF(F37=0,"n/m",F62/F37)</x:f>
        <x:v>0.5234895224192266</x:v>
      </x:c>
      <x:c r="G207" s="42" t="n">
        <x:f aca="0">IF(G37=0,"n/m",G62/G37)</x:f>
        <x:v>0.4519122394636083</x:v>
      </x:c>
      <x:c r="H207" s="42" t="n">
        <x:f aca="0">IF(H37=0,"n/m",H62/H37)</x:f>
        <x:v>0.3512559582717703</x:v>
      </x:c>
      <x:c r="I207" s="11" t="s">
        <x:v>127</x:v>
      </x:c>
    </x:row>
    <x:row r="208" ht="15" hidden="0">
      <x:c r="A208" s="24" t="s">
        <x:v>552</x:v>
      </x:c>
      <x:c r="B208" s="25"/>
      <x:c r="C208" s="25"/>
      <x:c r="D208" s="25"/>
      <x:c r="E208" s="25"/>
      <x:c r="F208" s="25"/>
      <x:c r="G208" s="25"/>
      <x:c r="H208" s="25"/>
      <x:c r="I208" s="25"/>
      <x:c r="J208" s="25"/>
    </x:row>
    <x:row r="209" ht="15" hidden="0">
      <x:c r="A209" t="s">
        <x:v>416</x:v>
      </x:c>
      <x:c r="B209" s="19" t="s">
        <x:v>553</x:v>
      </x:c>
      <x:c r="C209" s="30"/>
      <x:c r="D209" s="42" t="n">
        <x:f aca="0">IF(D84=0,"n/m",D85/D84)</x:f>
        <x:v>-0.8210528626050236</x:v>
      </x:c>
      <x:c r="E209" s="42" t="n">
        <x:f aca="0">IF(E84=0,"n/m",E85/E84)</x:f>
        <x:v>-0.8203373886400359</x:v>
      </x:c>
      <x:c r="F209" s="42" t="n">
        <x:f aca="0">IF(F84=0,"n/m",F85/F84)</x:f>
        <x:v>-0.852951475414165</x:v>
      </x:c>
      <x:c r="G209" s="42" t="n">
        <x:f aca="0">IF(G84=0,"n/m",G85/G84)</x:f>
        <x:v>-0.8405743639156738</x:v>
      </x:c>
      <x:c r="H209" s="42" t="n">
        <x:f aca="0">IF(H84=0,"n/m",H85/H84)</x:f>
        <x:v>-0.7425936745269908</x:v>
      </x:c>
      <x:c r="I209" s="11" t="s">
        <x:v>127</x:v>
      </x:c>
    </x:row>
    <x:row r="210" ht="15" hidden="0">
      <x:c r="A210" t="s">
        <x:v>418</x:v>
      </x:c>
      <x:c r="B210" s="19" t="s">
        <x:v>554</x:v>
      </x:c>
      <x:c r="C210" s="30"/>
      <x:c r="D210" s="42" t="n">
        <x:f aca="0">IF(D84=0,"n/m",D86/D84)</x:f>
        <x:v>0.1789471373949763</x:v>
      </x:c>
      <x:c r="E210" s="42" t="n">
        <x:f aca="0">IF(E84=0,"n/m",E86/E84)</x:f>
        <x:v>0.1796626113599641</x:v>
      </x:c>
      <x:c r="F210" s="42" t="n">
        <x:f aca="0">IF(F84=0,"n/m",F86/F84)</x:f>
        <x:v>0.147048524585835</x:v>
      </x:c>
      <x:c r="G210" s="42" t="n">
        <x:f aca="0">IF(G84=0,"n/m",G86/G84)</x:f>
        <x:v>0.1594256360843263</x:v>
      </x:c>
      <x:c r="H210" s="42" t="n">
        <x:f aca="0">IF(H84=0,"n/m",H86/H84)</x:f>
        <x:v>0.25740632547300923</x:v>
      </x:c>
      <x:c r="I210" s="11" t="s">
        <x:v>127</x:v>
      </x:c>
    </x:row>
    <x:row r="211" ht="15" hidden="0">
      <x:c r="A211" t="s">
        <x:v>555</x:v>
      </x:c>
      <x:c r="B211" s="19" t="s">
        <x:v>556</x:v>
      </x:c>
      <x:c r="C211" s="30"/>
      <x:c r="D211" s="42" t="n">
        <x:f aca="0">IF(D84=0,"n/m",D87/D84)</x:f>
        <x:v>-0.04323112090200141</x:v>
      </x:c>
      <x:c r="E211" s="42" t="n">
        <x:f aca="0">IF(E84=0,"n/m",E87/E84)</x:f>
        <x:v>-0.030129955340842837</x:v>
      </x:c>
      <x:c r="F211" s="42" t="n">
        <x:f aca="0">IF(F84=0,"n/m",F87/F84)</x:f>
        <x:v>-0.02797662513566261</x:v>
      </x:c>
      <x:c r="G211" s="42" t="n">
        <x:f aca="0">IF(G84=0,"n/m",G87/G84)</x:f>
        <x:v>-0.03950013302050863</x:v>
      </x:c>
      <x:c r="H211" s="42" t="n">
        <x:f aca="0">IF(H84=0,"n/m",H87/H84)</x:f>
        <x:v>-0.053895327569282045</x:v>
      </x:c>
      <x:c r="I211" s="11" t="s">
        <x:v>127</x:v>
      </x:c>
    </x:row>
    <x:row r="212" ht="15" hidden="0">
      <x:c r="A212" t="s">
        <x:v>557</x:v>
      </x:c>
      <x:c r="B212" s="19" t="s">
        <x:v>558</x:v>
      </x:c>
      <x:c r="C212" s="30"/>
      <x:c r="D212" s="42" t="n">
        <x:f aca="0">IF(D84=0,"n/m",D88/D84)</x:f>
        <x:v>-0.014338176040493315</x:v>
      </x:c>
      <x:c r="E212" s="42" t="n">
        <x:f aca="0">IF(E84=0,"n/m",E88/E84)</x:f>
        <x:v>-0.012939386890910414</x:v>
      </x:c>
      <x:c r="F212" s="42" t="n">
        <x:f aca="0">IF(F84=0,"n/m",F88/F84)</x:f>
        <x:v>-0.013531922045642714</x:v>
      </x:c>
      <x:c r="G212" s="42" t="n">
        <x:f aca="0">IF(G84=0,"n/m",G88/G84)</x:f>
        <x:v>-0.018263612107744902</x:v>
      </x:c>
      <x:c r="H212" s="42" t="n">
        <x:f aca="0">IF(H84=0,"n/m",H88/H84)</x:f>
        <x:v>-0.018012559443161213</x:v>
      </x:c>
      <x:c r="I212" s="11" t="s">
        <x:v>127</x:v>
      </x:c>
    </x:row>
    <x:row r="213" ht="15" hidden="0">
      <x:c r="A213" t="s">
        <x:v>559</x:v>
      </x:c>
      <x:c r="B213" s="19" t="s">
        <x:v>560</x:v>
      </x:c>
      <x:c r="C213" s="30"/>
      <x:c r="D213" s="42" t="n">
        <x:f aca="0">IF(D84=0,"n/m",(D90+D89)/D84)</x:f>
        <x:v>-0.0068638407331432835</x:v>
      </x:c>
      <x:c r="E213" s="42" t="n">
        <x:f aca="0">IF(E84=0,"n/m",(E90+E89)/E84)</x:f>
        <x:v>-0.018120658165015655</x:v>
      </x:c>
      <x:c r="F213" s="42" t="n">
        <x:f aca="0">IF(F84=0,"n/m",(F90+F89)/F84)</x:f>
        <x:v>-0.0030862297247802647</x:v>
      </x:c>
      <x:c r="G213" s="42" t="n">
        <x:f aca="0">IF(G84=0,"n/m",(G90+G89)/G84)</x:f>
        <x:v>-0.0016414620223608619</x:v>
      </x:c>
      <x:c r="H213" s="42" t="n">
        <x:f aca="0">IF(H84=0,"n/m",(H90+H89)/H84)</x:f>
        <x:v>-0.01018963822501538</x:v>
      </x:c>
      <x:c r="I213" s="11" t="s">
        <x:v>127</x:v>
      </x:c>
    </x:row>
    <x:row r="214" ht="15" hidden="0">
      <x:c r="A214" t="s">
        <x:v>561</x:v>
      </x:c>
      <x:c r="B214" s="19" t="s">
        <x:v>562</x:v>
      </x:c>
      <x:c r="C214" s="30"/>
      <x:c r="D214" s="42" t="n">
        <x:f aca="0">IF(D84=0,"n/m",D91/D84)</x:f>
        <x:v>0.11451399971933833</x:v>
      </x:c>
      <x:c r="E214" s="42" t="n">
        <x:f aca="0">IF(E84=0,"n/m",E91/E84)</x:f>
        <x:v>0.11847261096319517</x:v>
      </x:c>
      <x:c r="F214" s="42" t="n">
        <x:f aca="0">IF(F84=0,"n/m",F91/F84)</x:f>
        <x:v>0.10245374767974941</x:v>
      </x:c>
      <x:c r="G214" s="42" t="n">
        <x:f aca="0">IF(G84=0,"n/m",G91/G84)</x:f>
        <x:v>0.1000204289337119</x:v>
      </x:c>
      <x:c r="H214" s="42" t="n">
        <x:f aca="0">IF(H84=0,"n/m",H91/H84)</x:f>
        <x:v>0.17530880023555062</x:v>
      </x:c>
      <x:c r="I214" s="11" t="s">
        <x:v>127</x:v>
      </x:c>
    </x:row>
    <x:row r="215" ht="15" hidden="0">
      <x:c r="A215" t="s">
        <x:v>430</x:v>
      </x:c>
      <x:c r="B215" s="19" t="s">
        <x:v>563</x:v>
      </x:c>
      <x:c r="C215" s="30"/>
      <x:c r="D215" s="42" t="n">
        <x:f aca="0">IF(D84=0,"n/m",(D92+D93+D94)/D84)</x:f>
        <x:v>0.0560174551168548</x:v>
      </x:c>
      <x:c r="E215" s="42" t="n">
        <x:f aca="0">IF(E84=0,"n/m",(E92+E93+E94)/E84)</x:f>
        <x:v>0.04676360014149989</x:v>
      </x:c>
      <x:c r="F215" s="42" t="n">
        <x:f aca="0">IF(F84=0,"n/m",(F92+F93+F94)/F84)</x:f>
        <x:v>0.04996626775763154</x:v>
      </x:c>
      <x:c r="G215" s="42" t="n">
        <x:f aca="0">IF(G84=0,"n/m",(G92+G93+G94)/G84)</x:f>
        <x:v>0.06412600044195305</x:v>
      </x:c>
      <x:c r="H215" s="42" t="n">
        <x:f aca="0">IF(H84=0,"n/m",(H92+H93+H94)/H84)</x:f>
        <x:v>0.05941579409364524</x:v>
      </x:c>
      <x:c r="I215" s="11" t="s">
        <x:v>127</x:v>
      </x:c>
    </x:row>
    <x:row r="216" ht="15" hidden="0">
      <x:c r="A216" t="s">
        <x:v>436</x:v>
      </x:c>
      <x:c r="B216" s="19" t="s">
        <x:v>564</x:v>
      </x:c>
      <x:c r="C216" s="30"/>
      <x:c r="D216" s="42" t="n">
        <x:f aca="0">IF(D84=0,"n/m",D95/D84)</x:f>
        <x:v>-0.06475337132094328</x:v>
      </x:c>
      <x:c r="E216" s="42" t="n">
        <x:f aca="0">IF(E84=0,"n/m",E95/E84)</x:f>
        <x:v>-0.06152566034414353</x:v>
      </x:c>
      <x:c r="F216" s="42" t="n">
        <x:f aca="0">IF(F84=0,"n/m",F95/F84)</x:f>
        <x:v>-0.10375339424870077</x:v>
      </x:c>
      <x:c r="G216" s="42" t="n">
        <x:f aca="0">IF(G84=0,"n/m",G95/G84)</x:f>
        <x:v>-0.12115784127695206</x:v>
      </x:c>
      <x:c r="H216" s="42" t="n">
        <x:f aca="0">IF(H84=0,"n/m",H95/H84)</x:f>
        <x:v>-0.05383575278855667</x:v>
      </x:c>
      <x:c r="I216" s="11" t="s">
        <x:v>127</x:v>
      </x:c>
    </x:row>
    <x:row r="217" ht="15" hidden="0">
      <x:c r="A217" t="s">
        <x:v>565</x:v>
      </x:c>
      <x:c r="B217" s="19" t="s">
        <x:v>566</x:v>
      </x:c>
      <x:c r="C217" s="30"/>
      <x:c r="D217" s="42" t="n">
        <x:f aca="0">IF(D84=0,"n/m",D96/D84)</x:f>
        <x:v>0.10577808351524985</x:v>
      </x:c>
      <x:c r="E217" s="42" t="n">
        <x:f aca="0">IF(E84=0,"n/m",E96/E84)</x:f>
        <x:v>0.10371055076055154</x:v>
      </x:c>
      <x:c r="F217" s="42" t="n">
        <x:f aca="0">IF(F84=0,"n/m",F96/F84)</x:f>
        <x:v>0.04866662118868018</x:v>
      </x:c>
      <x:c r="G217" s="42" t="n">
        <x:f aca="0">IF(G84=0,"n/m",G96/G84)</x:f>
        <x:v>0.042988588098712886</x:v>
      </x:c>
      <x:c r="H217" s="42" t="n">
        <x:f aca="0">IF(H84=0,"n/m",H96/H84)</x:f>
        <x:v>0.18088884154063914</x:v>
      </x:c>
      <x:c r="I217" s="11" t="s">
        <x:v>127</x:v>
      </x:c>
    </x:row>
    <x:row r="218" ht="15" hidden="0">
      <x:c r="A218" t="s">
        <x:v>567</x:v>
      </x:c>
      <x:c r="B218" s="19" t="s">
        <x:v>568</x:v>
      </x:c>
      <x:c r="C218" s="30"/>
      <x:c r="D218" s="42" t="n">
        <x:f aca="0">IF(D84=0,"n/m",-D110/D84)</x:f>
        <x:v>-0.023280553714898723</x:v>
      </x:c>
      <x:c r="E218" s="42" t="n">
        <x:f aca="0">IF(E84=0,"n/m",-E110/E84)</x:f>
        <x:v>-0.05250561975862978</x:v>
      </x:c>
      <x:c r="F218" s="42" t="n">
        <x:f aca="0">IF(F84=0,"n/m",-F110/F84)</x:f>
        <x:v>-0.10461864038435044</x:v>
      </x:c>
      <x:c r="G218" s="42" t="n">
        <x:f aca="0">IF(G84=0,"n/m",-G110/G84)</x:f>
        <x:v>-0.03477528150202982</x:v>
      </x:c>
      <x:c r="H218" s="42" t="n">
        <x:f aca="0">IF(H84=0,"n/m",-H110/H84)</x:f>
        <x:v>-0.06022231394206908</x:v>
      </x:c>
      <x:c r="I218" s="11" t="s">
        <x:v>127</x:v>
      </x:c>
    </x:row>
    <x:row r="219" ht="15" hidden="0">
      <x:c r="A219" t="s">
        <x:v>569</x:v>
      </x:c>
      <x:c r="B219" s="19" t="s">
        <x:v>570</x:v>
      </x:c>
      <x:c r="C219" s="30"/>
      <x:c r="D219" s="42" t="n">
        <x:f aca="0">IF(D84=0,"n/m",D99/D84)</x:f>
        <x:v>0.08249752980035112</x:v>
      </x:c>
      <x:c r="E219" s="42" t="n">
        <x:f aca="0">IF(E84=0,"n/m",E99/E84)</x:f>
        <x:v>0.05120493100192175</x:v>
      </x:c>
      <x:c r="F219" s="42" t="n">
        <x:f aca="0">IF(F84=0,"n/m",F99/F84)</x:f>
        <x:v>-0.05595201919567025</x:v>
      </x:c>
      <x:c r="G219" s="42" t="n">
        <x:f aca="0">IF(G84=0,"n/m",G99/G84)</x:f>
        <x:v>0.008213306596683071</x:v>
      </x:c>
      <x:c r="H219" s="42" t="n">
        <x:f aca="0">IF(H84=0,"n/m",H99/H84)</x:f>
        <x:v>0.12066652759857006</x:v>
      </x:c>
      <x:c r="I219" s="11" t="s">
        <x:v>127</x:v>
      </x:c>
    </x:row>
    <x:row r="220" ht="15" hidden="0">
      <x:c r="A220" t="s">
        <x:v>571</x:v>
      </x:c>
      <x:c r="B220" s="19" t="s">
        <x:v>572</x:v>
      </x:c>
      <x:c r="C220" s="30"/>
      <x:c r="D220" s="42" t="n">
        <x:f aca="0">IF(D84=0,"n/m",D109/D84)</x:f>
        <x:v>0.24991497015253938</x:v>
      </x:c>
      <x:c r="E220" s="42" t="n">
        <x:f aca="0">IF(E84=0,"n/m",E109/E84)</x:f>
        <x:v>0.23265570728812449</x:v>
      </x:c>
      <x:c r="F220" s="42" t="n">
        <x:f aca="0">IF(F84=0,"n/m",F109/F84)</x:f>
        <x:v>0.2131140149484285</x:v>
      </x:c>
      <x:c r="G220" s="42" t="n">
        <x:f aca="0">IF(G84=0,"n/m",G109/G84)</x:f>
        <x:v>0.2224978603073117</x:v>
      </x:c>
      <x:c r="H220" s="42" t="n">
        <x:f aca="0">IF(H84=0,"n/m",H109/H84)</x:f>
        <x:v>0.2880345228273576</x:v>
      </x:c>
      <x:c r="I220" s="11" t="s">
        <x:v>127</x:v>
      </x:c>
    </x:row>
    <x:row r="222" ht="15" hidden="0">
      <x:c r="A222" s="5" t="s">
        <x:v>573</x:v>
      </x:c>
      <x:c r="B222" s="20"/>
      <x:c r="C222" s="20"/>
      <x:c r="D222" s="20"/>
      <x:c r="E222" s="20"/>
      <x:c r="F222" s="20"/>
      <x:c r="G222" s="20"/>
      <x:c r="H222" s="20"/>
      <x:c r="I222" s="20"/>
      <x:c r="J222" s="20"/>
    </x:row>
    <x:row r="223" ht="15" hidden="0">
      <x:c r="A223" t="s">
        <x:v>574</x:v>
      </x:c>
      <x:c r="B223" s="19" t="s">
        <x:v>575</x:v>
      </x:c>
      <x:c r="C223" s="30"/>
      <x:c r="D223" s="43" t="s">
        <x:v>576</x:v>
      </x:c>
      <x:c r="E223" s="44" t="n">
        <x:f aca="0">E84-D84</x:f>
        <x:v>12936.172999999995</x:v>
      </x:c>
      <x:c r="F223" s="44" t="n">
        <x:f aca="0">F84-E84</x:f>
        <x:v>6939.958000000006</x:v>
      </x:c>
      <x:c r="G223" s="44" t="n">
        <x:f aca="0">G84-F84</x:f>
        <x:v>1054.867999999995</x:v>
      </x:c>
      <x:c r="H223" s="44" t="n">
        <x:f aca="0">H84-G84</x:f>
        <x:v>5854.148000000001</x:v>
      </x:c>
      <x:c r="I223" s="11" t="s">
        <x:v>98</x:v>
      </x:c>
    </x:row>
    <x:row r="224" ht="15" hidden="0">
      <x:c r="A224" t="s">
        <x:v>577</x:v>
      </x:c>
      <x:c r="B224" s="19" t="s">
        <x:v>578</x:v>
      </x:c>
      <x:c r="C224" s="30"/>
      <x:c r="D224" s="43" t="s">
        <x:v>576</x:v>
      </x:c>
      <x:c r="E224" s="42" t="n">
        <x:f aca="0">IF(D84&lt;=0,"n/m",(E84-D84)/D84)</x:f>
        <x:v>0.2867842046444851</x:v>
      </x:c>
      <x:c r="F224" s="42" t="n">
        <x:f aca="0">IF(E84&lt;=0,"n/m",(F84-E84)/E84)</x:f>
        <x:v>0.11956402694975705</x:v>
      </x:c>
      <x:c r="G224" s="42" t="n">
        <x:f aca="0">IF(F84&lt;=0,"n/m",(G84-F84)/F84)</x:f>
        <x:v>0.016232778925080366</x:v>
      </x:c>
      <x:c r="H224" s="42" t="n">
        <x:f aca="0">IF(G84&lt;=0,"n/m",(H84-G84)/G84)</x:f>
        <x:v>0.08864724737342985</x:v>
      </x:c>
      <x:c r="I224" s="11" t="s">
        <x:v>127</x:v>
      </x:c>
    </x:row>
    <x:row r="225" ht="15" hidden="0">
      <x:c r="A225" t="s">
        <x:v>579</x:v>
      </x:c>
      <x:c r="B225" s="19" t="s">
        <x:v>575</x:v>
      </x:c>
      <x:c r="C225" s="30"/>
      <x:c r="D225" s="43" t="s">
        <x:v>576</x:v>
      </x:c>
      <x:c r="E225" s="44" t="n">
        <x:f aca="0">E86-D86</x:f>
        <x:v>2356.4199999999983</x:v>
      </x:c>
      <x:c r="F225" s="44" t="n">
        <x:f aca="0">F86-E86</x:f>
        <x:v>-872.5369999999966</x:v>
      </x:c>
      <x:c r="G225" s="44" t="n">
        <x:f aca="0">G86-F86</x:f>
        <x:v>972.4850000000006</x:v>
      </x:c>
      <x:c r="H225" s="44" t="n">
        <x:f aca="0">H86-G86</x:f>
        <x:v>7977.411</x:v>
      </x:c>
      <x:c r="I225" s="11" t="s">
        <x:v>98</x:v>
      </x:c>
    </x:row>
    <x:row r="226" ht="15" hidden="0">
      <x:c r="A226" t="s">
        <x:v>580</x:v>
      </x:c>
      <x:c r="B226" s="19" t="s">
        <x:v>578</x:v>
      </x:c>
      <x:c r="C226" s="30"/>
      <x:c r="D226" s="43" t="s">
        <x:v>576</x:v>
      </x:c>
      <x:c r="E226" s="42" t="n">
        <x:f aca="0">IF(D86&lt;=0,"n/m",(E86-D86)/D86)</x:f>
        <x:v>0.29192907932861323</x:v>
      </x:c>
      <x:c r="F226" s="42" t="n">
        <x:f aca="0">IF(E86&lt;=0,"n/m",(F86-E86)/E86)</x:f>
        <x:v>-0.0836700129416915</x:v>
      </x:c>
      <x:c r="G226" s="42" t="n">
        <x:f aca="0">IF(F86&lt;=0,"n/m",(G86-F86)/F86)</x:f>
        <x:v>0.1017693489015805</x:v>
      </x:c>
      <x:c r="H226" s="42" t="n">
        <x:f aca="0">IF(G86&lt;=0,"n/m",(H86-G86)/G86)</x:f>
        <x:v>0.7577140952066151</x:v>
      </x:c>
      <x:c r="I226" s="11" t="s">
        <x:v>127</x:v>
      </x:c>
    </x:row>
    <x:row r="227" ht="15" hidden="0">
      <x:c r="A227" t="s">
        <x:v>581</x:v>
      </x:c>
      <x:c r="B227" s="19" t="s">
        <x:v>575</x:v>
      </x:c>
      <x:c r="C227" s="30"/>
      <x:c r="D227" s="43" t="s">
        <x:v>576</x:v>
      </x:c>
      <x:c r="E227" s="44" t="n">
        <x:f aca="0">E91-D91</x:f>
        <x:v>1711.145999999998</x:v>
      </x:c>
      <x:c r="F227" s="44" t="n">
        <x:f aca="0">F91-E91</x:f>
        <x:v>-218.7719999999972</x:v>
      </x:c>
      <x:c r="G227" s="44" t="n">
        <x:f aca="0">G91-F91</x:f>
        <x:v>-52.61799999999948</x:v>
      </x:c>
      <x:c r="H227" s="44" t="n">
        <x:f aca="0">H91-G91</x:f>
        <x:v>5998.229</x:v>
      </x:c>
      <x:c r="I227" s="11" t="s">
        <x:v>98</x:v>
      </x:c>
    </x:row>
    <x:row r="228" ht="15" hidden="0">
      <x:c r="A228" t="s">
        <x:v>582</x:v>
      </x:c>
      <x:c r="B228" s="19" t="s">
        <x:v>578</x:v>
      </x:c>
      <x:c r="C228" s="30"/>
      <x:c r="D228" s="43" t="s">
        <x:v>576</x:v>
      </x:c>
      <x:c r="E228" s="42" t="n">
        <x:f aca="0">IF(D91&lt;=0,"n/m",(E91-D91)/D91)</x:f>
        <x:v>0.3312667869785893</x:v>
      </x:c>
      <x:c r="F228" s="42" t="n">
        <x:f aca="0">IF(E91&lt;=0,"n/m",(F91-E91)/E91)</x:f>
        <x:v>-0.031813940826639714</x:v>
      </x:c>
      <x:c r="G228" s="42" t="n">
        <x:f aca="0">IF(F91&lt;=0,"n/m",(G91-F91)/F91)</x:f>
        <x:v>-0.00790316853704409</x:v>
      </x:c>
      <x:c r="H228" s="42" t="n">
        <x:f aca="0">IF(G91&lt;=0,"n/m",(H91-G91)/G91)</x:f>
        <x:v>0.9081046227391736</x:v>
      </x:c>
      <x:c r="I228" s="11" t="s">
        <x:v>127</x:v>
      </x:c>
    </x:row>
    <x:row r="229" ht="15" hidden="0">
      <x:c r="A229" t="s">
        <x:v>583</x:v>
      </x:c>
      <x:c r="B229" s="19" t="s">
        <x:v>575</x:v>
      </x:c>
      <x:c r="C229" s="30"/>
      <x:c r="D229" s="43" t="s">
        <x:v>576</x:v>
      </x:c>
      <x:c r="E229" s="44" t="n">
        <x:f aca="0">E109-D109</x:f>
        <x:v>2231.1489999999994</x:v>
      </x:c>
      <x:c r="F229" s="44" t="n">
        <x:f aca="0">F109-E109</x:f>
        <x:v>344.7270000000026</x:v>
      </x:c>
      <x:c r="G229" s="44" t="n">
        <x:f aca="0">G109-F109</x:f>
        <x:v>844.503999999999</x:v>
      </x:c>
      <x:c r="H229" s="44" t="n">
        <x:f aca="0">H109-G109</x:f>
        <x:v>6014.151999999998</x:v>
      </x:c>
      <x:c r="I229" s="11" t="s">
        <x:v>98</x:v>
      </x:c>
    </x:row>
    <x:row r="230" ht="15" hidden="0">
      <x:c r="A230" t="s">
        <x:v>584</x:v>
      </x:c>
      <x:c r="B230" s="19" t="s">
        <x:v>578</x:v>
      </x:c>
      <x:c r="C230" s="30"/>
      <x:c r="D230" s="43" t="s">
        <x:v>576</x:v>
      </x:c>
      <x:c r="E230" s="42" t="n">
        <x:f aca="0">IF(D109&lt;=0,"n/m",(E109-D109)/D109)</x:f>
        <x:v>0.1979181922396234</x:v>
      </x:c>
      <x:c r="F230" s="42" t="n">
        <x:f aca="0">IF(E109&lt;=0,"n/m",(F109-E109)/E109)</x:f>
        <x:v>0.02552732342651614</x:v>
      </x:c>
      <x:c r="G230" s="42" t="n">
        <x:f aca="0">IF(F109&lt;=0,"n/m",(G109-F109)/F109)</x:f>
        <x:v>0.060979583814325944</x:v>
      </x:c>
      <x:c r="H230" s="42" t="n">
        <x:f aca="0">IF(G109&lt;=0,"n/m",(H109-G109)/G109)</x:f>
        <x:v>0.40930789173174703</x:v>
      </x:c>
      <x:c r="I230" s="11" t="s">
        <x:v>127</x:v>
      </x:c>
    </x:row>
    <x:row r="231" ht="15" hidden="0">
      <x:c r="A231" t="s">
        <x:v>585</x:v>
      </x:c>
      <x:c r="B231" s="19" t="s">
        <x:v>575</x:v>
      </x:c>
      <x:c r="C231" s="30"/>
      <x:c r="D231" s="43" t="s">
        <x:v>576</x:v>
      </x:c>
      <x:c r="E231" s="44" t="n">
        <x:f aca="0">E99-D99</x:f>
        <x:v>-749.1410000000019</x:v>
      </x:c>
      <x:c r="F231" s="44" t="n">
        <x:f aca="0">F99-E99</x:f>
        <x:v>-6608.107999999998</x:v>
      </x:c>
      <x:c r="G231" s="44" t="n">
        <x:f aca="0">G99-F99</x:f>
        <x:v>4178.372000000001</x:v>
      </x:c>
      <x:c r="H231" s="44" t="n">
        <x:f aca="0">H99-G99</x:f>
        <x:v>8132.662999999998</x:v>
      </x:c>
      <x:c r="I231" s="11" t="s">
        <x:v>98</x:v>
      </x:c>
    </x:row>
    <x:row r="232" ht="15" hidden="0">
      <x:c r="A232" t="s">
        <x:v>586</x:v>
      </x:c>
      <x:c r="B232" s="19" t="s">
        <x:v>578</x:v>
      </x:c>
      <x:c r="C232" s="30"/>
      <x:c r="D232" s="43" t="s">
        <x:v>576</x:v>
      </x:c>
      <x:c r="E232" s="42" t="n">
        <x:f aca="0">IF(D99&lt;=0,"n/m",(E99-D99)/D99)</x:f>
        <x:v>-0.2013130990389584</x:v>
      </x:c>
      <x:c r="F232" s="42" t="n">
        <x:f aca="0">IF(E99&lt;=0,"n/m",(F99-E99)/E99)</x:f>
        <x:v>-2.2233561631852155</x:v>
      </x:c>
      <x:c r="G232" s="42" t="str">
        <x:f aca="0">IF(F99&lt;=0,"n/m",(G99-F99)/F99)</x:f>
        <x:v>n/m</x:v>
      </x:c>
      <x:c r="H232" s="42" t="n">
        <x:f aca="0">IF(G99&lt;=0,"n/m",(H99-G99)/G99)</x:f>
        <x:v>14.993958288777888</x:v>
      </x:c>
      <x:c r="I232" s="11" t="s">
        <x:v>127</x:v>
      </x:c>
    </x:row>
    <x:row r="233" ht="15" hidden="0">
      <x:c r="A233" t="s">
        <x:v>587</x:v>
      </x:c>
      <x:c r="B233" s="19" t="s">
        <x:v>575</x:v>
      </x:c>
      <x:c r="C233" s="30"/>
      <x:c r="D233" s="43" t="s">
        <x:v>576</x:v>
      </x:c>
      <x:c r="E233" s="44" t="n">
        <x:f aca="0">E117-D117</x:f>
        <x:v>-10093.669</x:v>
      </x:c>
      <x:c r="F233" s="44" t="n">
        <x:f aca="0">F117-E117</x:f>
        <x:v>10436.713</x:v>
      </x:c>
      <x:c r="G233" s="44" t="n">
        <x:f aca="0">G117-F117</x:f>
        <x:v>-474.6890000000003</x:v>
      </x:c>
      <x:c r="H233" s="44" t="n">
        <x:f aca="0">H117-G117</x:f>
        <x:v>4004.5869999999995</x:v>
      </x:c>
      <x:c r="I233" s="11" t="s">
        <x:v>98</x:v>
      </x:c>
    </x:row>
    <x:row r="234" ht="15" hidden="0">
      <x:c r="A234" t="s">
        <x:v>588</x:v>
      </x:c>
      <x:c r="B234" s="19" t="s">
        <x:v>578</x:v>
      </x:c>
      <x:c r="C234" s="30"/>
      <x:c r="D234" s="43" t="s">
        <x:v>576</x:v>
      </x:c>
      <x:c r="E234" s="42" t="n">
        <x:f aca="0">IF(D117&lt;=0,"n/m",(E117-D117)/D117)</x:f>
        <x:v>-1.6382661466372568</x:v>
      </x:c>
      <x:c r="F234" s="42" t="str">
        <x:f aca="0">IF(E117&lt;=0,"n/m",(F117-E117)/E117)</x:f>
        <x:v>n/m</x:v>
      </x:c>
      <x:c r="G234" s="42" t="n">
        <x:f aca="0">IF(F117&lt;=0,"n/m",(G117-F117)/F117)</x:f>
        <x:v>-0.07298153787209997</x:v>
      </x:c>
      <x:c r="H234" s="42" t="n">
        <x:f aca="0">IF(G117&lt;=0,"n/m",(H117-G117)/G117)</x:f>
        <x:v>0.6641607285458521</x:v>
      </x:c>
      <x:c r="I234" s="11" t="s">
        <x:v>127</x:v>
      </x:c>
    </x:row>
    <x:row r="235" ht="15" hidden="0">
      <x:c r="A235" t="s">
        <x:v>589</x:v>
      </x:c>
      <x:c r="B235" s="19" t="s">
        <x:v>575</x:v>
      </x:c>
      <x:c r="C235" s="30"/>
      <x:c r="D235" s="44" t="n">
        <x:f aca="0">D37-C37</x:f>
        <x:v>8343.16300000003</x:v>
      </x:c>
      <x:c r="E235" s="44" t="n">
        <x:f aca="0">E37-D37</x:f>
        <x:v>-1332.6840000000084</x:v>
      </x:c>
      <x:c r="F235" s="44" t="n">
        <x:f aca="0">F37-E37</x:f>
        <x:v>-1848.758999999991</x:v>
      </x:c>
      <x:c r="G235" s="44" t="n">
        <x:f aca="0">G37-F37</x:f>
        <x:v>3672.5</x:v>
      </x:c>
      <x:c r="H235" s="44" t="n">
        <x:f aca="0">H37-G37</x:f>
        <x:v>7538.480999999971</x:v>
      </x:c>
      <x:c r="I235" s="11" t="s">
        <x:v>98</x:v>
      </x:c>
    </x:row>
    <x:row r="236" ht="15" hidden="0">
      <x:c r="A236" t="s">
        <x:v>590</x:v>
      </x:c>
      <x:c r="B236" s="19" t="s">
        <x:v>578</x:v>
      </x:c>
      <x:c r="C236" s="30"/>
      <x:c r="D236" s="42" t="n">
        <x:f aca="0">IF(C37&lt;=0,"n/m",(D37-C37)/C37)</x:f>
        <x:v>0.06440034125724849</x:v>
      </x:c>
      <x:c r="E236" s="42" t="n">
        <x:f aca="0">IF(D37&lt;=0,"n/m",(E37-D37)/D37)</x:f>
        <x:v>-0.00966450508245439</x:v>
      </x:c>
      <x:c r="F236" s="42" t="n">
        <x:f aca="0">IF(E37&lt;=0,"n/m",(F37-E37)/E37)</x:f>
        <x:v>-0.013537871618808012</x:v>
      </x:c>
      <x:c r="G236" s="42" t="n">
        <x:f aca="0">IF(F37&lt;=0,"n/m",(G37-F37)/F37)</x:f>
        <x:v>0.027261608571937542</x:v>
      </x:c>
      <x:c r="H236" s="42" t="n">
        <x:f aca="0">IF(G37&lt;=0,"n/m",(H37-G37)/G37)</x:f>
        <x:v>0.05447440059473152</x:v>
      </x:c>
      <x:c r="I236" s="11" t="s">
        <x:v>127</x:v>
      </x:c>
    </x:row>
    <x:row r="237" ht="15" hidden="0">
      <x:c r="A237" t="s">
        <x:v>591</x:v>
      </x:c>
      <x:c r="B237" s="19" t="s">
        <x:v>575</x:v>
      </x:c>
      <x:c r="C237" s="30"/>
      <x:c r="D237" s="44" t="n">
        <x:f aca="0">D41-C41</x:f>
        <x:v>6833.716</x:v>
      </x:c>
      <x:c r="E237" s="44" t="n">
        <x:f aca="0">E41-D41</x:f>
        <x:v>-3559.771000000008</x:v>
      </x:c>
      <x:c r="F237" s="44" t="n">
        <x:f aca="0">F41-E41</x:f>
        <x:v>-5725.824999999997</x:v>
      </x:c>
      <x:c r="G237" s="44" t="n">
        <x:f aca="0">G41-F41</x:f>
        <x:v>11655.260999999999</x:v>
      </x:c>
      <x:c r="H237" s="44" t="n">
        <x:f aca="0">H41-G41</x:f>
        <x:v>18819.940000000002</x:v>
      </x:c>
      <x:c r="I237" s="11" t="s">
        <x:v>98</x:v>
      </x:c>
    </x:row>
    <x:row r="238" ht="15" hidden="0">
      <x:c r="A238" t="s">
        <x:v>592</x:v>
      </x:c>
      <x:c r="B238" s="19" t="s">
        <x:v>578</x:v>
      </x:c>
      <x:c r="C238" s="30"/>
      <x:c r="D238" s="42" t="n">
        <x:f aca="0">IF(C41&lt;=0,"n/m",(D41-C41)/C41)</x:f>
        <x:v>0.10254036224060872</x:v>
      </x:c>
      <x:c r="E238" s="42" t="n">
        <x:f aca="0">IF(D41&lt;=0,"n/m",(E41-D41)/D41)</x:f>
        <x:v>-0.04844684331023038</x:v>
      </x:c>
      <x:c r="F238" s="42" t="n">
        <x:f aca="0">IF(E41&lt;=0,"n/m",(F41-E41)/E41)</x:f>
        <x:v>-0.08189331283620939</x:v>
      </x:c>
      <x:c r="G238" s="42" t="n">
        <x:f aca="0">IF(F41&lt;=0,"n/m",(G41-F41)/F41)</x:f>
        <x:v>0.18156796338600045</x:v>
      </x:c>
      <x:c r="H238" s="42" t="n">
        <x:f aca="0">IF(G41&lt;=0,"n/m",(H41-G41)/G41)</x:f>
        <x:v>0.24812855494399835</x:v>
      </x:c>
      <x:c r="I238" s="11" t="s">
        <x:v>127</x:v>
      </x:c>
    </x:row>
    <x:row r="239" ht="15" hidden="0">
      <x:c r="A239" t="s">
        <x:v>593</x:v>
      </x:c>
      <x:c r="B239" s="19" t="s">
        <x:v>575</x:v>
      </x:c>
      <x:c r="C239" s="30"/>
      <x:c r="D239" s="44" t="n">
        <x:f aca="0">D66-C66</x:f>
        <x:v>-3685.7710000000006</x:v>
      </x:c>
      <x:c r="E239" s="44" t="n">
        <x:f aca="0">E66-D66</x:f>
        <x:v>2683.0839999999953</x:v>
      </x:c>
      <x:c r="F239" s="44" t="n">
        <x:f aca="0">F66-E66</x:f>
        <x:v>-3947.6249999999927</x:v>
      </x:c>
      <x:c r="G239" s="44" t="n">
        <x:f aca="0">G66-F66</x:f>
        <x:v>-8206.470000000001</x:v>
      </x:c>
      <x:c r="H239" s="44" t="n">
        <x:f aca="0">H66-G66</x:f>
        <x:v>-12414.706000000002</x:v>
      </x:c>
      <x:c r="I239" s="11" t="s">
        <x:v>98</x:v>
      </x:c>
    </x:row>
    <x:row r="240" ht="15" hidden="0">
      <x:c r="A240" t="s">
        <x:v>594</x:v>
      </x:c>
      <x:c r="B240" s="19" t="s">
        <x:v>578</x:v>
      </x:c>
      <x:c r="C240" s="30"/>
      <x:c r="D240" s="42" t="n">
        <x:f aca="0">IF(C66&lt;=0,"n/m",(D66-C66)/C66)</x:f>
        <x:v>-0.07763017299503516</x:v>
      </x:c>
      <x:c r="E240" s="42" t="n">
        <x:f aca="0">IF(D66&lt;=0,"n/m",(E66-D66)/D66)</x:f>
        <x:v>0.06126767318941814</x:v>
      </x:c>
      <x:c r="F240" s="42" t="n">
        <x:f aca="0">IF(E66&lt;=0,"n/m",(F66-E66)/E66)</x:f>
        <x:v>-0.08493918170623509</x:v>
      </x:c>
      <x:c r="G240" s="42" t="n">
        <x:f aca="0">IF(F66&lt;=0,"n/m",(G66-F66)/F66)</x:f>
        <x:v>-0.19296502872582938</x:v>
      </x:c>
      <x:c r="H240" s="42" t="n">
        <x:f aca="0">IF(G66&lt;=0,"n/m",(H66-G66)/G66)</x:f>
        <x:v>-0.3617148235148232</x:v>
      </x:c>
      <x:c r="I240" s="11" t="s">
        <x:v>127</x:v>
      </x:c>
    </x:row>
    <x:row r="241" ht="15" hidden="0">
      <x:c r="A241" t="s">
        <x:v>595</x:v>
      </x:c>
      <x:c r="B241" s="19" t="s">
        <x:v>575</x:v>
      </x:c>
      <x:c r="C241" s="30"/>
      <x:c r="D241" s="44" t="n">
        <x:f aca="0">D65-C65</x:f>
        <x:v>3016.9519999999993</x:v>
      </x:c>
      <x:c r="E241" s="44" t="n">
        <x:f aca="0">E65-D65</x:f>
        <x:v>7187.461000000001</x:v>
      </x:c>
      <x:c r="F241" s="44" t="n">
        <x:f aca="0">F65-E65</x:f>
        <x:v>-70.22300000000178</x:v>
      </x:c>
      <x:c r="G241" s="44" t="n">
        <x:f aca="0">G65-F65</x:f>
        <x:v>-2472.333999999999</x:v>
      </x:c>
      <x:c r="H241" s="44" t="n">
        <x:f aca="0">H65-G65</x:f>
        <x:v>242.51599999999962</x:v>
      </x:c>
      <x:c r="I241" s="11" t="s">
        <x:v>98</x:v>
      </x:c>
    </x:row>
    <x:row r="242" ht="15" hidden="0">
      <x:c r="A242" t="s">
        <x:v>596</x:v>
      </x:c>
      <x:c r="B242" s="19" t="s">
        <x:v>578</x:v>
      </x:c>
      <x:c r="C242" s="30"/>
      <x:c r="D242" s="42" t="n">
        <x:f aca="0">IF(C65&lt;=0,"n/m",(D65-C65)/C65)</x:f>
        <x:v>0.23961207165285314</x:v>
      </x:c>
      <x:c r="E242" s="42" t="n">
        <x:f aca="0">IF(D65&lt;=0,"n/m",(E65-D65)/D65)</x:f>
        <x:v>0.4605003851566034</x:v>
      </x:c>
      <x:c r="F242" s="42" t="n">
        <x:f aca="0">IF(E65&lt;=0,"n/m",(F65-E65)/E65)</x:f>
        <x:v>-0.0030805779306859117</x:v>
      </x:c>
      <x:c r="G242" s="42" t="n">
        <x:f aca="0">IF(F65&lt;=0,"n/m",(G65-F65)/F65)</x:f>
        <x:v>-0.10879273756967764</x:v>
      </x:c>
      <x:c r="H242" s="42" t="n">
        <x:f aca="0">IF(G65&lt;=0,"n/m",(H65-G65)/G65)</x:f>
        <x:v>0.011974418798824304</x:v>
      </x:c>
      <x:c r="I242" s="11" t="s">
        <x:v>127</x:v>
      </x:c>
    </x:row>
    <x:row r="243" ht="15" hidden="0">
      <x:c r="A243" t="s">
        <x:v>597</x:v>
      </x:c>
      <x:c r="B243" s="19" t="s">
        <x:v>575</x:v>
      </x:c>
      <x:c r="C243" s="30"/>
      <x:c r="D243" s="44" t="n">
        <x:f aca="0">D32-C32</x:f>
        <x:v>-609.8389999999999</x:v>
      </x:c>
      <x:c r="E243" s="44" t="n">
        <x:f aca="0">E32-D32</x:f>
        <x:v>-208.3829999999998</x:v>
      </x:c>
      <x:c r="F243" s="44" t="n">
        <x:f aca="0">F32-E32</x:f>
        <x:v>-274.422</x:v>
      </x:c>
      <x:c r="G243" s="44" t="n">
        <x:f aca="0">G32-F32</x:f>
        <x:v>-337.6980000000001</x:v>
      </x:c>
      <x:c r="H243" s="44" t="n">
        <x:f aca="0">H32-G32</x:f>
        <x:v>637.338</x:v>
      </x:c>
      <x:c r="I243" s="11" t="s">
        <x:v>98</x:v>
      </x:c>
    </x:row>
    <x:row r="244" ht="15" hidden="0">
      <x:c r="A244" t="s">
        <x:v>598</x:v>
      </x:c>
      <x:c r="B244" s="19" t="s">
        <x:v>578</x:v>
      </x:c>
      <x:c r="C244" s="30"/>
      <x:c r="D244" s="42" t="n">
        <x:f aca="0">IF(C32&lt;=0,"n/m",(D32-C32)/C32)</x:f>
        <x:v>-0.26676141384131113</x:v>
      </x:c>
      <x:c r="E244" s="42" t="n">
        <x:f aca="0">IF(D32&lt;=0,"n/m",(E32-D32)/D32)</x:f>
        <x:v>-0.12431535962821653</x:v>
      </x:c>
      <x:c r="F244" s="42" t="n">
        <x:f aca="0">IF(E32&lt;=0,"n/m",(F32-E32)/E32)</x:f>
        <x:v>-0.1869535419542164</x:v>
      </x:c>
      <x:c r="G244" s="42" t="n">
        <x:f aca="0">IF(F32&lt;=0,"n/m",(G32-F32)/F32)</x:f>
        <x:v>-0.28296185815793007</x:v>
      </x:c>
      <x:c r="H244" s="42" t="n">
        <x:f aca="0">IF(G32&lt;=0,"n/m",(H32-G32)/G32)</x:f>
        <x:v>0.7447782158641273</x:v>
      </x:c>
      <x:c r="I244" s="11" t="s">
        <x:v>127</x:v>
      </x:c>
    </x:row>
    <x:row r="245" ht="15" hidden="0">
      <x:c r="A245" t="s">
        <x:v>599</x:v>
      </x:c>
      <x:c r="B245" s="19" t="s">
        <x:v>575</x:v>
      </x:c>
      <x:c r="C245" s="30"/>
      <x:c r="D245" s="44" t="n">
        <x:f aca="0">D34-C34</x:f>
        <x:v>458.53900000000004</x:v>
      </x:c>
      <x:c r="E245" s="44" t="n">
        <x:f aca="0">E34-D34</x:f>
        <x:v>-395.57000000000005</x:v>
      </x:c>
      <x:c r="F245" s="44" t="n">
        <x:f aca="0">F34-E34</x:f>
        <x:v>264.169</x:v>
      </x:c>
      <x:c r="G245" s="44" t="n">
        <x:f aca="0">G34-F34</x:f>
        <x:v>57.196000000000026</x:v>
      </x:c>
      <x:c r="H245" s="44" t="n">
        <x:f aca="0">H34-G34</x:f>
        <x:v>-163.336</x:v>
      </x:c>
      <x:c r="I245" s="11" t="s">
        <x:v>98</x:v>
      </x:c>
    </x:row>
    <x:row r="246" ht="15" hidden="0">
      <x:c r="A246" t="s">
        <x:v>600</x:v>
      </x:c>
      <x:c r="B246" s="19" t="s">
        <x:v>578</x:v>
      </x:c>
      <x:c r="C246" s="30"/>
      <x:c r="D246" s="42" t="n">
        <x:f aca="0">IF(C34&lt;=0,"n/m",(D34-C34)/C34)</x:f>
        <x:v>1.3182696343658182</x:v>
      </x:c>
      <x:c r="E246" s="42" t="n">
        <x:f aca="0">IF(D34&lt;=0,"n/m",(E34-D34)/D34)</x:f>
        <x:v>-0.4905546192642859</x:v>
      </x:c>
      <x:c r="F246" s="42" t="n">
        <x:f aca="0">IF(E34&lt;=0,"n/m",(F34-E34)/E34)</x:f>
        <x:v>0.6430551870361219</x:v>
      </x:c>
      <x:c r="G246" s="42" t="n">
        <x:f aca="0">IF(F34&lt;=0,"n/m",(G34-F34)/F34)</x:f>
        <x:v>0.0847383298862768</x:v>
      </x:c>
      <x:c r="H246" s="42" t="n">
        <x:f aca="0">IF(G34&lt;=0,"n/m",(H34-G34)/G34)</x:f>
        <x:v>-0.22308541209121405</x:v>
      </x:c>
      <x:c r="I246" s="11" t="s">
        <x:v>127</x:v>
      </x:c>
    </x:row>
    <x:row r="248" ht="15" hidden="0">
      <x:c r="A248" s="5" t="s">
        <x:v>601</x:v>
      </x:c>
      <x:c r="B248" s="20"/>
      <x:c r="C248" s="20"/>
      <x:c r="D248" s="20"/>
      <x:c r="E248" s="20"/>
      <x:c r="F248" s="20"/>
      <x:c r="G248" s="20"/>
      <x:c r="H248" s="20"/>
      <x:c r="I248" s="20"/>
      <x:c r="J248" s="20"/>
    </x:row>
    <x:row r="250" ht="15" hidden="0">
      <x:c r="A250" s="5" t="s">
        <x:v>602</x:v>
      </x:c>
      <x:c r="B250" s="20"/>
      <x:c r="C250" s="20"/>
      <x:c r="D250" s="20"/>
      <x:c r="E250" s="20"/>
      <x:c r="F250" s="20"/>
      <x:c r="G250" s="20"/>
      <x:c r="H250" s="20"/>
      <x:c r="I250" s="20"/>
      <x:c r="J250" s="20"/>
    </x:row>
    <x:row r="251" ht="15" hidden="0">
      <x:c r="A251" s="45" t="s">
        <x:v>826</x:v>
      </x:c>
    </x:row>
    <x:row r="252" ht="15" hidden="0">
      <x:c r="A252" s="24" t="s">
        <x:v>82</x:v>
      </x:c>
      <x:c r="B252" s="24" t="s">
        <x:v>604</x:v>
      </x:c>
      <x:c r="C252" s="24"/>
      <x:c r="D252" s="24" t="s">
        <x:v>73</x:v>
      </x:c>
      <x:c r="E252" s="24" t="s">
        <x:v>74</x:v>
      </x:c>
      <x:c r="F252" s="24" t="s">
        <x:v>75</x:v>
      </x:c>
      <x:c r="G252" s="24" t="s">
        <x:v>76</x:v>
      </x:c>
      <x:c r="H252" s="24" t="s">
        <x:v>77</x:v>
      </x:c>
      <x:c r="I252" s="24"/>
      <x:c r="J252" s="24" t="s">
        <x:v>605</x:v>
      </x:c>
    </x:row>
    <x:row r="253" ht="15" hidden="0">
      <x:c r="A253" t="s">
        <x:v>606</x:v>
      </x:c>
      <x:c r="B253" s="9" t="s">
        <x:v>57</x:v>
      </x:c>
      <x:c r="D253" s="46" t="n">
        <x:f aca="0">D138</x:f>
        <x:v>0.9145250886450902</x:v>
      </x:c>
      <x:c r="E253" s="46" t="n">
        <x:f aca="0">E138</x:f>
        <x:v>0.8855287714771004</x:v>
      </x:c>
      <x:c r="F253" s="46" t="n">
        <x:f aca="0">F138</x:f>
        <x:v>0.8017674905738562</x:v>
      </x:c>
      <x:c r="G253" s="46" t="n">
        <x:f aca="0">G138</x:f>
        <x:v>1.296185931254842</x:v>
      </x:c>
      <x:c r="H253" s="46" t="n">
        <x:f aca="0">H138</x:f>
        <x:v>1.8489517932979607</x:v>
      </x:c>
      <x:c r="J253" s="9"/>
    </x:row>
    <x:row r="254" ht="15" hidden="0">
      <x:c r="A254" t="s">
        <x:v>608</x:v>
      </x:c>
      <x:c r="D254" s="47" t="n">
        <x:v>0.91</x:v>
      </x:c>
      <x:c r="E254" s="47" t="n">
        <x:v>0.89</x:v>
      </x:c>
      <x:c r="F254" s="47" t="n">
        <x:v>0.8</x:v>
      </x:c>
      <x:c r="G254" s="47" t="n">
        <x:v>1.3</x:v>
      </x:c>
      <x:c r="H254" s="47" t="n">
        <x:v>1.85</x:v>
      </x:c>
    </x:row>
    <x:row r="255" ht="15" hidden="0">
      <x:c r="A255" t="s">
        <x:v>609</x:v>
      </x:c>
      <x:c r="D255" s="46" t="n">
        <x:f aca="0">IF(AND(ISNUMBER(D253),ISNUMBER(D254)),D253-D254,"n/a")</x:f>
        <x:v>0.004525088645090158</x:v>
      </x:c>
      <x:c r="E255" s="46" t="n">
        <x:f aca="0">IF(AND(ISNUMBER(E253),ISNUMBER(E254)),E253-E254,"n/a")</x:f>
        <x:v>-0.004471228522899606</x:v>
      </x:c>
      <x:c r="F255" s="46" t="n">
        <x:f aca="0">IF(AND(ISNUMBER(F253),ISNUMBER(F254)),F253-F254,"n/a")</x:f>
        <x:v>0.0017674905738561675</x:v>
      </x:c>
      <x:c r="G255" s="46" t="n">
        <x:f aca="0">IF(AND(ISNUMBER(G253),ISNUMBER(G254)),G253-G254,"n/a")</x:f>
        <x:v>-0.0038140687451579947</x:v>
      </x:c>
      <x:c r="H255" s="46" t="n">
        <x:f aca="0">IF(AND(ISNUMBER(H253),ISNUMBER(H254)),H253-H254,"n/a")</x:f>
        <x:v>-0.0010482067020394226</x:v>
      </x:c>
    </x:row>
    <x:row r="256" ht="15" hidden="0">
      <x:c r="A256" t="s">
        <x:v>194</x:v>
      </x:c>
      <x:c r="D256" s="48" t="str">
        <x:f aca="0">IF(NOT(ISNUMBER(D255)),"n/a",IF(ABS(D255)&lt;=MAX(0.01,0.02*ABS(D254)),"Agrees","Differs"))</x:f>
        <x:v>Agrees</x:v>
      </x:c>
      <x:c r="E256" s="48" t="str">
        <x:f aca="0">IF(NOT(ISNUMBER(E255)),"n/a",IF(ABS(E255)&lt;=MAX(0.01,0.02*ABS(E254)),"Agrees","Differs"))</x:f>
        <x:v>Agrees</x:v>
      </x:c>
      <x:c r="F256" s="48" t="str">
        <x:f aca="0">IF(NOT(ISNUMBER(F255)),"n/a",IF(ABS(F255)&lt;=MAX(0.01,0.02*ABS(F254)),"Agrees","Differs"))</x:f>
        <x:v>Agrees</x:v>
      </x:c>
      <x:c r="G256" s="48" t="str">
        <x:f aca="0">IF(NOT(ISNUMBER(G255)),"n/a",IF(ABS(G255)&lt;=MAX(0.01,0.02*ABS(G254)),"Agrees","Differs"))</x:f>
        <x:v>Agrees</x:v>
      </x:c>
      <x:c r="H256" s="48" t="str">
        <x:f aca="0">IF(NOT(ISNUMBER(H255)),"n/a",IF(ABS(H255)&lt;=MAX(0.01,0.02*ABS(H254)),"Agrees","Differs"))</x:f>
        <x:v>Agrees</x:v>
      </x:c>
    </x:row>
    <x:row r="257" ht="15" hidden="0">
      <x:c r="A257" t="s">
        <x:v>827</x:v>
      </x:c>
      <x:c r="B257" s="9" t="s">
        <x:v>828</x:v>
      </x:c>
      <x:c r="D257" s="46" t="n">
        <x:f aca="0">D139</x:f>
        <x:v>0.527188307782106</x:v>
      </x:c>
      <x:c r="E257" s="46" t="n">
        <x:f aca="0">E139</x:f>
        <x:v>0.3909339078966533</x:v>
      </x:c>
      <x:c r="F257" s="46" t="n">
        <x:f aca="0">F139</x:f>
        <x:v>0.3348993616744587</x:v>
      </x:c>
      <x:c r="G257" s="46" t="n">
        <x:f aca="0">G139</x:f>
        <x:v>0.6677176492302713</x:v>
      </x:c>
      <x:c r="H257" s="46" t="n">
        <x:f aca="0">H139</x:f>
        <x:v>1.0579587679634685</x:v>
      </x:c>
      <x:c r="J257" s="9"/>
    </x:row>
    <x:row r="258" ht="15" hidden="0">
      <x:c r="A258" t="s">
        <x:v>829</x:v>
      </x:c>
      <x:c r="D258" s="47" t="n">
        <x:v>0.52</x:v>
      </x:c>
      <x:c r="E258" s="47" t="n">
        <x:v>0.36</x:v>
      </x:c>
      <x:c r="F258" s="47" t="n">
        <x:v>0.32</x:v>
      </x:c>
      <x:c r="G258" s="47" t="n">
        <x:v>0.66</x:v>
      </x:c>
      <x:c r="H258" s="47" t="n">
        <x:v>1.01</x:v>
      </x:c>
    </x:row>
    <x:row r="259" ht="15" hidden="0">
      <x:c r="A259" t="s">
        <x:v>609</x:v>
      </x:c>
      <x:c r="D259" s="46" t="n">
        <x:f aca="0">IF(AND(ISNUMBER(D257),ISNUMBER(D258)),D257-D258,"n/a")</x:f>
        <x:v>0.007188307782105996</x:v>
      </x:c>
      <x:c r="E259" s="46" t="n">
        <x:f aca="0">IF(AND(ISNUMBER(E257),ISNUMBER(E258)),E257-E258,"n/a")</x:f>
        <x:v>0.03093390789665329</x:v>
      </x:c>
      <x:c r="F259" s="46" t="n">
        <x:f aca="0">IF(AND(ISNUMBER(F257),ISNUMBER(F258)),F257-F258,"n/a")</x:f>
        <x:v>0.014899361674458711</x:v>
      </x:c>
      <x:c r="G259" s="46" t="n">
        <x:f aca="0">IF(AND(ISNUMBER(G257),ISNUMBER(G258)),G257-G258,"n/a")</x:f>
        <x:v>0.007717649230271295</x:v>
      </x:c>
      <x:c r="H259" s="46" t="n">
        <x:f aca="0">IF(AND(ISNUMBER(H257),ISNUMBER(H258)),H257-H258,"n/a")</x:f>
        <x:v>0.04795876796346854</x:v>
      </x:c>
    </x:row>
    <x:row r="260" ht="15" hidden="0">
      <x:c r="A260" t="s">
        <x:v>194</x:v>
      </x:c>
      <x:c r="D260" s="48" t="str">
        <x:f aca="0">IF(NOT(ISNUMBER(D259)),"n/a",IF(ABS(D259)&lt;=MAX(0.01,0.02*ABS(D258)),"Agrees","Differs"))</x:f>
        <x:v>Agrees</x:v>
      </x:c>
      <x:c r="E260" s="48" t="str">
        <x:f aca="0">IF(NOT(ISNUMBER(E259)),"n/a",IF(ABS(E259)&lt;=MAX(0.01,0.02*ABS(E258)),"Agrees","Differs"))</x:f>
        <x:v>Differs</x:v>
      </x:c>
      <x:c r="F260" s="48" t="str">
        <x:f aca="0">IF(NOT(ISNUMBER(F259)),"n/a",IF(ABS(F259)&lt;=MAX(0.01,0.02*ABS(F258)),"Agrees","Differs"))</x:f>
        <x:v>Differs</x:v>
      </x:c>
      <x:c r="G260" s="48" t="str">
        <x:f aca="0">IF(NOT(ISNUMBER(G259)),"n/a",IF(ABS(G259)&lt;=MAX(0.01,0.02*ABS(G258)),"Agrees","Differs"))</x:f>
        <x:v>Agrees</x:v>
      </x:c>
      <x:c r="H260" s="48" t="str">
        <x:f aca="0">IF(NOT(ISNUMBER(H259)),"n/a",IF(ABS(H259)&lt;=MAX(0.01,0.02*ABS(H258)),"Agrees","Differs"))</x:f>
        <x:v>Differs</x:v>
      </x:c>
    </x:row>
    <x:row r="261" ht="15" hidden="0">
      <x:c r="A261" t="s">
        <x:v>830</x:v>
      </x:c>
      <x:c r="B261" s="9" t="s">
        <x:v>831</x:v>
      </x:c>
      <x:c r="D261" s="49" t="n">
        <x:f aca="0">D147</x:f>
        <x:v>138.9548367501086</x:v>
      </x:c>
      <x:c r="E261" s="49" t="n">
        <x:f aca="0">E147</x:f>
        <x:v>147.19158951872677</x:v>
      </x:c>
      <x:c r="F261" s="49" t="n">
        <x:f aca="0">F147</x:f>
        <x:v>149.87908057411946</x:v>
      </x:c>
      <x:c r="G261" s="49" t="n">
        <x:f aca="0">G147</x:f>
        <x:v>141.2975554557505</x:v>
      </x:c>
      <x:c r="H261" s="49" t="n">
        <x:f aca="0">H147</x:f>
        <x:v>139.29464124392743</x:v>
      </x:c>
      <x:c r="J261" s="9"/>
    </x:row>
    <x:row r="262" ht="15" hidden="0">
      <x:c r="A262" t="s">
        <x:v>832</x:v>
      </x:c>
      <x:c r="D262" s="50" t="n">
        <x:v>154</x:v>
      </x:c>
      <x:c r="E262" s="50" t="n">
        <x:v>175</x:v>
      </x:c>
      <x:c r="F262" s="50" t="n">
        <x:v>150</x:v>
      </x:c>
      <x:c r="G262" s="50" t="n">
        <x:v>133</x:v>
      </x:c>
      <x:c r="H262" s="50" t="n">
        <x:v>140</x:v>
      </x:c>
    </x:row>
    <x:row r="263" ht="15" hidden="0">
      <x:c r="A263" t="s">
        <x:v>609</x:v>
      </x:c>
      <x:c r="D263" s="49" t="n">
        <x:f aca="0">IF(AND(ISNUMBER(D261),ISNUMBER(D262)),D261-D262,"n/a")</x:f>
        <x:v>-15.045163249891402</x:v>
      </x:c>
      <x:c r="E263" s="49" t="n">
        <x:f aca="0">IF(AND(ISNUMBER(E261),ISNUMBER(E262)),E261-E262,"n/a")</x:f>
        <x:v>-27.808410481273228</x:v>
      </x:c>
      <x:c r="F263" s="49" t="n">
        <x:f aca="0">IF(AND(ISNUMBER(F261),ISNUMBER(F262)),F261-F262,"n/a")</x:f>
        <x:v>-0.12091942588054394</x:v>
      </x:c>
      <x:c r="G263" s="49" t="n">
        <x:f aca="0">IF(AND(ISNUMBER(G261),ISNUMBER(G262)),G261-G262,"n/a")</x:f>
        <x:v>8.297555455750512</x:v>
      </x:c>
      <x:c r="H263" s="49" t="n">
        <x:f aca="0">IF(AND(ISNUMBER(H261),ISNUMBER(H262)),H261-H262,"n/a")</x:f>
        <x:v>-0.7053587560725703</x:v>
      </x:c>
    </x:row>
    <x:row r="264" ht="15" hidden="0">
      <x:c r="A264" t="s">
        <x:v>194</x:v>
      </x:c>
      <x:c r="D264" s="48" t="str">
        <x:f aca="0">IF(NOT(ISNUMBER(D263)),"n/a",IF(ABS(D263)&lt;=MAX(1,0.02*ABS(D262)),"Agrees","Differs"))</x:f>
        <x:v>Differs</x:v>
      </x:c>
      <x:c r="E264" s="48" t="str">
        <x:f aca="0">IF(NOT(ISNUMBER(E263)),"n/a",IF(ABS(E263)&lt;=MAX(1,0.02*ABS(E262)),"Agrees","Differs"))</x:f>
        <x:v>Differs</x:v>
      </x:c>
      <x:c r="F264" s="48" t="str">
        <x:f aca="0">IF(NOT(ISNUMBER(F263)),"n/a",IF(ABS(F263)&lt;=MAX(1,0.02*ABS(F262)),"Agrees","Differs"))</x:f>
        <x:v>Agrees</x:v>
      </x:c>
      <x:c r="G264" s="48" t="str">
        <x:f aca="0">IF(NOT(ISNUMBER(G263)),"n/a",IF(ABS(G263)&lt;=MAX(1,0.02*ABS(G262)),"Agrees","Differs"))</x:f>
        <x:v>Differs</x:v>
      </x:c>
      <x:c r="H264" s="48" t="str">
        <x:f aca="0">IF(NOT(ISNUMBER(H263)),"n/a",IF(ABS(H263)&lt;=MAX(1,0.02*ABS(H262)),"Agrees","Differs"))</x:f>
        <x:v>Agrees</x:v>
      </x:c>
    </x:row>
    <x:row r="265" ht="15" hidden="0">
      <x:c r="A265" t="s">
        <x:v>740</x:v>
      </x:c>
      <x:c r="B265" s="9"/>
      <x:c r="D265" s="49" t="n">
        <x:f aca="0">D148</x:f>
        <x:v>16.031081230273596</x:v>
      </x:c>
      <x:c r="E265" s="49" t="n">
        <x:f aca="0">E148</x:f>
        <x:v>9.88561921697045</x:v>
      </x:c>
      <x:c r="F265" s="49" t="n">
        <x:f aca="0">F148</x:f>
        <x:v>7.473977484334139</x:v>
      </x:c>
      <x:c r="G265" s="49" t="n">
        <x:f aca="0">G148</x:f>
        <x:v>5.662979090938647</x:v>
      </x:c>
      <x:c r="H265" s="49" t="n">
        <x:f aca="0">H148</x:f>
        <x:v>5.962485734149009</x:v>
      </x:c>
      <x:c r="J265" s="9"/>
    </x:row>
    <x:row r="266" ht="15" hidden="0">
      <x:c r="A266" t="s">
        <x:v>742</x:v>
      </x:c>
      <x:c r="D266" s="50" t="n">
        <x:v>14</x:v>
      </x:c>
      <x:c r="E266" s="50" t="n">
        <x:v>9</x:v>
      </x:c>
      <x:c r="F266" s="50" t="n">
        <x:v>7</x:v>
      </x:c>
      <x:c r="G266" s="50" t="n">
        <x:v>5</x:v>
      </x:c>
      <x:c r="H266" s="50" t="n">
        <x:v>8</x:v>
      </x:c>
    </x:row>
    <x:row r="267" ht="15" hidden="0">
      <x:c r="A267" t="s">
        <x:v>609</x:v>
      </x:c>
      <x:c r="D267" s="49" t="n">
        <x:f aca="0">IF(AND(ISNUMBER(D265),ISNUMBER(D266)),D265-D266,"n/a")</x:f>
        <x:v>2.031081230273596</x:v>
      </x:c>
      <x:c r="E267" s="49" t="n">
        <x:f aca="0">IF(AND(ISNUMBER(E265),ISNUMBER(E266)),E265-E266,"n/a")</x:f>
        <x:v>0.8856192169704507</x:v>
      </x:c>
      <x:c r="F267" s="49" t="n">
        <x:f aca="0">IF(AND(ISNUMBER(F265),ISNUMBER(F266)),F265-F266,"n/a")</x:f>
        <x:v>0.47397748433413867</x:v>
      </x:c>
      <x:c r="G267" s="49" t="n">
        <x:f aca="0">IF(AND(ISNUMBER(G265),ISNUMBER(G266)),G265-G266,"n/a")</x:f>
        <x:v>0.6629790909386468</x:v>
      </x:c>
      <x:c r="H267" s="49" t="n">
        <x:f aca="0">IF(AND(ISNUMBER(H265),ISNUMBER(H266)),H265-H266,"n/a")</x:f>
        <x:v>-2.037514265850991</x:v>
      </x:c>
    </x:row>
    <x:row r="268" ht="15" hidden="0">
      <x:c r="A268" t="s">
        <x:v>194</x:v>
      </x:c>
      <x:c r="D268" s="48" t="str">
        <x:f aca="0">IF(NOT(ISNUMBER(D267)),"n/a",IF(ABS(D267)&lt;=MAX(1,0.02*ABS(D266)),"Agrees","Differs"))</x:f>
        <x:v>Differs</x:v>
      </x:c>
      <x:c r="E268" s="48" t="str">
        <x:f aca="0">IF(NOT(ISNUMBER(E267)),"n/a",IF(ABS(E267)&lt;=MAX(1,0.02*ABS(E266)),"Agrees","Differs"))</x:f>
        <x:v>Agrees</x:v>
      </x:c>
      <x:c r="F268" s="48" t="str">
        <x:f aca="0">IF(NOT(ISNUMBER(F267)),"n/a",IF(ABS(F267)&lt;=MAX(1,0.02*ABS(F266)),"Agrees","Differs"))</x:f>
        <x:v>Agrees</x:v>
      </x:c>
      <x:c r="G268" s="48" t="str">
        <x:f aca="0">IF(NOT(ISNUMBER(G267)),"n/a",IF(ABS(G267)&lt;=MAX(1,0.02*ABS(G266)),"Agrees","Differs"))</x:f>
        <x:v>Agrees</x:v>
      </x:c>
      <x:c r="H268" s="48" t="str">
        <x:f aca="0">IF(NOT(ISNUMBER(H267)),"n/a",IF(ABS(H267)&lt;=MAX(1,0.02*ABS(H266)),"Agrees","Differs"))</x:f>
        <x:v>Differs</x:v>
      </x:c>
    </x:row>
    <x:row r="269" ht="15" hidden="0">
      <x:c r="A269" t="s">
        <x:v>743</x:v>
      </x:c>
      <x:c r="B269" s="9" t="s">
        <x:v>833</x:v>
      </x:c>
      <x:c r="D269" s="49" t="n">
        <x:f aca="0">D149</x:f>
        <x:v>57.65836002777637</x:v>
      </x:c>
      <x:c r="E269" s="49" t="n">
        <x:f aca="0">E149</x:f>
        <x:v>43.10666808203059</x:v>
      </x:c>
      <x:c r="F269" s="49" t="n">
        <x:f aca="0">F149</x:f>
        <x:v>34.24672809140701</x:v>
      </x:c>
      <x:c r="G269" s="49" t="n">
        <x:f aca="0">G149</x:f>
        <x:v>38.06068085872657</x:v>
      </x:c>
      <x:c r="H269" s="49" t="n">
        <x:f aca="0">H149</x:f>
        <x:v>30.584254931231968</x:v>
      </x:c>
      <x:c r="J269" s="9"/>
    </x:row>
    <x:row r="270" ht="15" hidden="0">
      <x:c r="A270" t="s">
        <x:v>746</x:v>
      </x:c>
      <x:c r="D270" s="50" t="n">
        <x:v>138</x:v>
      </x:c>
      <x:c r="E270" s="50" t="n">
        <x:v>92</x:v>
      </x:c>
      <x:c r="F270" s="50" t="n">
        <x:v>87</x:v>
      </x:c>
      <x:c r="G270" s="50" t="n">
        <x:v>76</x:v>
      </x:c>
      <x:c r="H270" s="50" t="n">
        <x:v>83</x:v>
      </x:c>
    </x:row>
    <x:row r="271" ht="15" hidden="0">
      <x:c r="A271" t="s">
        <x:v>609</x:v>
      </x:c>
      <x:c r="D271" s="49" t="n">
        <x:f aca="0">IF(AND(ISNUMBER(D269),ISNUMBER(D270)),D269-D270,"n/a")</x:f>
        <x:v>-80.34163997222363</x:v>
      </x:c>
      <x:c r="E271" s="49" t="n">
        <x:f aca="0">IF(AND(ISNUMBER(E269),ISNUMBER(E270)),E269-E270,"n/a")</x:f>
        <x:v>-48.89333191796941</x:v>
      </x:c>
      <x:c r="F271" s="49" t="n">
        <x:f aca="0">IF(AND(ISNUMBER(F269),ISNUMBER(F270)),F269-F270,"n/a")</x:f>
        <x:v>-52.75327190859299</x:v>
      </x:c>
      <x:c r="G271" s="49" t="n">
        <x:f aca="0">IF(AND(ISNUMBER(G269),ISNUMBER(G270)),G269-G270,"n/a")</x:f>
        <x:v>-37.93931914127343</x:v>
      </x:c>
      <x:c r="H271" s="49" t="n">
        <x:f aca="0">IF(AND(ISNUMBER(H269),ISNUMBER(H270)),H269-H270,"n/a")</x:f>
        <x:v>-52.41574506876803</x:v>
      </x:c>
    </x:row>
    <x:row r="272" ht="15" hidden="0">
      <x:c r="A272" t="s">
        <x:v>194</x:v>
      </x:c>
      <x:c r="D272" s="48" t="str">
        <x:f aca="0">IF(NOT(ISNUMBER(D271)),"n/a",IF(ABS(D271)&lt;=MAX(1,0.02*ABS(D270)),"Agrees","Differs"))</x:f>
        <x:v>Differs</x:v>
      </x:c>
      <x:c r="E272" s="48" t="str">
        <x:f aca="0">IF(NOT(ISNUMBER(E271)),"n/a",IF(ABS(E271)&lt;=MAX(1,0.02*ABS(E270)),"Agrees","Differs"))</x:f>
        <x:v>Differs</x:v>
      </x:c>
      <x:c r="F272" s="48" t="str">
        <x:f aca="0">IF(NOT(ISNUMBER(F271)),"n/a",IF(ABS(F271)&lt;=MAX(1,0.02*ABS(F270)),"Agrees","Differs"))</x:f>
        <x:v>Differs</x:v>
      </x:c>
      <x:c r="G272" s="48" t="str">
        <x:f aca="0">IF(NOT(ISNUMBER(G271)),"n/a",IF(ABS(G271)&lt;=MAX(1,0.02*ABS(G270)),"Agrees","Differs"))</x:f>
        <x:v>Differs</x:v>
      </x:c>
      <x:c r="H272" s="48" t="str">
        <x:f aca="0">IF(NOT(ISNUMBER(H271)),"n/a",IF(ABS(H271)&lt;=MAX(1,0.02*ABS(H270)),"Agrees","Differs"))</x:f>
        <x:v>Differs</x:v>
      </x:c>
    </x:row>
    <x:row r="273" ht="15" hidden="0">
      <x:c r="A273" t="s">
        <x:v>834</x:v>
      </x:c>
      <x:c r="B273" s="9" t="s">
        <x:v>835</x:v>
      </x:c>
      <x:c r="D273" s="46" t="n">
        <x:f aca="0">D152</x:f>
        <x:v>0.337321560534536</x:v>
      </x:c>
      <x:c r="E273" s="46" t="n">
        <x:f aca="0">E152</x:f>
        <x:v>0.42297281053904634</x:v>
      </x:c>
      <x:c r="F273" s="46" t="n">
        <x:f aca="0">F152</x:f>
        <x:v>0.47909875248597583</x:v>
      </x:c>
      <x:c r="G273" s="46" t="n">
        <x:f aca="0">G152</x:f>
        <x:v>0.48362452491954855</x:v>
      </x:c>
      <x:c r="H273" s="46" t="n">
        <x:f aca="0">H152</x:f>
        <x:v>0.5057355687914292</x:v>
      </x:c>
      <x:c r="J273" s="9"/>
    </x:row>
    <x:row r="274" ht="15" hidden="0">
      <x:c r="A274" t="s">
        <x:v>836</x:v>
      </x:c>
      <x:c r="D274" s="47" t="n">
        <x:v>0.3373</x:v>
      </x:c>
      <x:c r="E274" s="47" t="n">
        <x:v>0.423</x:v>
      </x:c>
      <x:c r="F274" s="47" t="n">
        <x:v>0.4791</x:v>
      </x:c>
      <x:c r="G274" s="47" t="n">
        <x:v>0.4836</x:v>
      </x:c>
      <x:c r="H274" s="47" t="n">
        <x:v>0.5057</x:v>
      </x:c>
    </x:row>
    <x:row r="275" ht="15" hidden="0">
      <x:c r="A275" t="s">
        <x:v>609</x:v>
      </x:c>
      <x:c r="D275" s="46" t="n">
        <x:f aca="0">IF(AND(ISNUMBER(D273),ISNUMBER(D274)),D273-D274,"n/a")</x:f>
        <x:v>0.000021560534536002596</x:v>
      </x:c>
      <x:c r="E275" s="46" t="n">
        <x:f aca="0">IF(AND(ISNUMBER(E273),ISNUMBER(E274)),E273-E274,"n/a")</x:f>
        <x:v>-0.00002718946095364716</x:v>
      </x:c>
      <x:c r="F275" s="46" t="n">
        <x:f aca="0">IF(AND(ISNUMBER(F273),ISNUMBER(F274)),F273-F274,"n/a")</x:f>
        <x:v>-0.0000012475140241940963</x:v>
      </x:c>
      <x:c r="G275" s="46" t="n">
        <x:f aca="0">IF(AND(ISNUMBER(G273),ISNUMBER(G274)),G273-G274,"n/a")</x:f>
        <x:v>0.000024524919548574164</x:v>
      </x:c>
      <x:c r="H275" s="46" t="n">
        <x:f aca="0">IF(AND(ISNUMBER(H273),ISNUMBER(H274)),H273-H274,"n/a")</x:f>
        <x:v>0.000035568791429185787</x:v>
      </x:c>
    </x:row>
    <x:row r="276" ht="15" hidden="0">
      <x:c r="A276" t="s">
        <x:v>194</x:v>
      </x:c>
      <x:c r="D276" s="48" t="str">
        <x:f aca="0">IF(NOT(ISNUMBER(D275)),"n/a",IF(ABS(D275)&lt;=MAX(0.01,0.02*ABS(D274)),"Agrees","Differs"))</x:f>
        <x:v>Agrees</x:v>
      </x:c>
      <x:c r="E276" s="48" t="str">
        <x:f aca="0">IF(NOT(ISNUMBER(E275)),"n/a",IF(ABS(E275)&lt;=MAX(0.01,0.02*ABS(E274)),"Agrees","Differs"))</x:f>
        <x:v>Agrees</x:v>
      </x:c>
      <x:c r="F276" s="48" t="str">
        <x:f aca="0">IF(NOT(ISNUMBER(F275)),"n/a",IF(ABS(F275)&lt;=MAX(0.01,0.02*ABS(F274)),"Agrees","Differs"))</x:f>
        <x:v>Agrees</x:v>
      </x:c>
      <x:c r="G276" s="48" t="str">
        <x:f aca="0">IF(NOT(ISNUMBER(G275)),"n/a",IF(ABS(G275)&lt;=MAX(0.01,0.02*ABS(G274)),"Agrees","Differs"))</x:f>
        <x:v>Agrees</x:v>
      </x:c>
      <x:c r="H276" s="48" t="str">
        <x:f aca="0">IF(NOT(ISNUMBER(H275)),"n/a",IF(ABS(H275)&lt;=MAX(0.01,0.02*ABS(H274)),"Agrees","Differs"))</x:f>
        <x:v>Agrees</x:v>
      </x:c>
    </x:row>
    <x:row r="277" ht="15" hidden="0">
      <x:c r="A277" t="s">
        <x:v>633</x:v>
      </x:c>
      <x:c r="B277" s="9" t="s">
        <x:v>837</x:v>
      </x:c>
      <x:c r="D277" s="46" t="n">
        <x:f aca="0">D153</x:f>
        <x:v>0.5840225528925309</x:v>
      </x:c>
      <x:c r="E277" s="46" t="n">
        <x:f aca="0">E153</x:f>
        <x:v>0.7284023454374957</x:v>
      </x:c>
      <x:c r="F277" s="46" t="n">
        <x:f aca="0">F153</x:f>
        <x:v>0.8006952973031204</x:v>
      </x:c>
      <x:c r="G277" s="46" t="n">
        <x:f aca="0">G153</x:f>
        <x:v>0.8318493605276719</x:v>
      </x:c>
      <x:c r="H277" s="46" t="n">
        <x:f aca="0">H153</x:f>
        <x:v>0.9277030351499571</x:v>
      </x:c>
      <x:c r="J277" s="9"/>
    </x:row>
    <x:row r="278" ht="15" hidden="0">
      <x:c r="A278" t="s">
        <x:v>636</x:v>
      </x:c>
      <x:c r="D278" s="47" t="n">
        <x:v>0.5352</x:v>
      </x:c>
      <x:c r="E278" s="47" t="n">
        <x:v>0.6917</x:v>
      </x:c>
      <x:c r="F278" s="47" t="n">
        <x:v>0.7874</x:v>
      </x:c>
      <x:c r="G278" s="47" t="n">
        <x:v>0.8147</x:v>
      </x:c>
      <x:c r="H278" s="47" t="n">
        <x:v>0.9151</x:v>
      </x:c>
    </x:row>
    <x:row r="279" ht="15" hidden="0">
      <x:c r="A279" t="s">
        <x:v>609</x:v>
      </x:c>
      <x:c r="D279" s="46" t="n">
        <x:f aca="0">IF(AND(ISNUMBER(D277),ISNUMBER(D278)),D277-D278,"n/a")</x:f>
        <x:v>0.0488225528925309</x:v>
      </x:c>
      <x:c r="E279" s="46" t="n">
        <x:f aca="0">IF(AND(ISNUMBER(E277),ISNUMBER(E278)),E277-E278,"n/a")</x:f>
        <x:v>0.03670234543749573</x:v>
      </x:c>
      <x:c r="F279" s="46" t="n">
        <x:f aca="0">IF(AND(ISNUMBER(F277),ISNUMBER(F278)),F277-F278,"n/a")</x:f>
        <x:v>0.013295297303120401</x:v>
      </x:c>
      <x:c r="G279" s="46" t="n">
        <x:f aca="0">IF(AND(ISNUMBER(G277),ISNUMBER(G278)),G277-G278,"n/a")</x:f>
        <x:v>0.01714936052767191</x:v>
      </x:c>
      <x:c r="H279" s="46" t="n">
        <x:f aca="0">IF(AND(ISNUMBER(H277),ISNUMBER(H278)),H277-H278,"n/a")</x:f>
        <x:v>0.012603035149957087</x:v>
      </x:c>
    </x:row>
    <x:row r="280" ht="15" hidden="0">
      <x:c r="A280" t="s">
        <x:v>194</x:v>
      </x:c>
      <x:c r="D280" s="48" t="str">
        <x:f aca="0">IF(NOT(ISNUMBER(D279)),"n/a",IF(ABS(D279)&lt;=MAX(0.01,0.02*ABS(D278)),"Agrees","Differs"))</x:f>
        <x:v>Differs</x:v>
      </x:c>
      <x:c r="E280" s="48" t="str">
        <x:f aca="0">IF(NOT(ISNUMBER(E279)),"n/a",IF(ABS(E279)&lt;=MAX(0.01,0.02*ABS(E278)),"Agrees","Differs"))</x:f>
        <x:v>Differs</x:v>
      </x:c>
      <x:c r="F280" s="48" t="str">
        <x:f aca="0">IF(NOT(ISNUMBER(F279)),"n/a",IF(ABS(F279)&lt;=MAX(0.01,0.02*ABS(F278)),"Agrees","Differs"))</x:f>
        <x:v>Agrees</x:v>
      </x:c>
      <x:c r="G280" s="48" t="str">
        <x:f aca="0">IF(NOT(ISNUMBER(G279)),"n/a",IF(ABS(G279)&lt;=MAX(0.01,0.02*ABS(G278)),"Agrees","Differs"))</x:f>
        <x:v>Differs</x:v>
      </x:c>
      <x:c r="H280" s="48" t="str">
        <x:f aca="0">IF(NOT(ISNUMBER(H279)),"n/a",IF(ABS(H279)&lt;=MAX(0.01,0.02*ABS(H278)),"Agrees","Differs"))</x:f>
        <x:v>Agrees</x:v>
      </x:c>
    </x:row>
    <x:row r="281" ht="15" hidden="0">
      <x:c r="A281" t="s">
        <x:v>838</x:v>
      </x:c>
      <x:c r="B281" s="9" t="s">
        <x:v>839</x:v>
      </x:c>
      <x:c r="D281" s="46" t="n">
        <x:f aca="0">D159</x:f>
        <x:v>2.665277021761826</x:v>
      </x:c>
      <x:c r="E281" s="46" t="n">
        <x:f aca="0">E159</x:f>
        <x:v>2.7057478339935286</x:v>
      </x:c>
      <x:c r="F281" s="46" t="n">
        <x:f aca="0">F159</x:f>
        <x:v>1.4774958199074884</x:v>
      </x:c>
      <x:c r="G281" s="46" t="n">
        <x:f aca="0">G159</x:f>
        <x:v>1.367829033720977</x:v>
      </x:c>
      <x:c r="H281" s="46" t="n">
        <x:f aca="0">H159</x:f>
        <x:v>4.421321516604763</x:v>
      </x:c>
      <x:c r="J281" s="9" t="s">
        <x:v>840</x:v>
      </x:c>
    </x:row>
    <x:row r="282" ht="15" hidden="0">
      <x:c r="A282" t="s">
        <x:v>841</x:v>
      </x:c>
      <x:c r="D282" s="47" t="n">
        <x:v>3.86</x:v>
      </x:c>
      <x:c r="E282" s="47" t="n">
        <x:v>3.78</x:v>
      </x:c>
      <x:c r="F282" s="47" t="n">
        <x:v>2.05</x:v>
      </x:c>
      <x:c r="G282" s="47" t="n">
        <x:v>1.84</x:v>
      </x:c>
      <x:c r="H282" s="47" t="n">
        <x:v>5.35</x:v>
      </x:c>
    </x:row>
    <x:row r="283" ht="15" hidden="0">
      <x:c r="A283" t="s">
        <x:v>609</x:v>
      </x:c>
      <x:c r="D283" s="46" t="n">
        <x:f aca="0">IF(AND(ISNUMBER(D281),ISNUMBER(D282)),D281-D282,"n/a")</x:f>
        <x:v>-1.194722978238174</x:v>
      </x:c>
      <x:c r="E283" s="46" t="n">
        <x:f aca="0">IF(AND(ISNUMBER(E281),ISNUMBER(E282)),E281-E282,"n/a")</x:f>
        <x:v>-1.0742521660064712</x:v>
      </x:c>
      <x:c r="F283" s="46" t="n">
        <x:f aca="0">IF(AND(ISNUMBER(F281),ISNUMBER(F282)),F281-F282,"n/a")</x:f>
        <x:v>-0.5725041800925115</x:v>
      </x:c>
      <x:c r="G283" s="46" t="n">
        <x:f aca="0">IF(AND(ISNUMBER(G281),ISNUMBER(G282)),G281-G282,"n/a")</x:f>
        <x:v>-0.472170966279023</x:v>
      </x:c>
      <x:c r="H283" s="46" t="n">
        <x:f aca="0">IF(AND(ISNUMBER(H281),ISNUMBER(H282)),H281-H282,"n/a")</x:f>
        <x:v>-0.9286784833952364</x:v>
      </x:c>
    </x:row>
    <x:row r="284" ht="15" hidden="0">
      <x:c r="A284" t="s">
        <x:v>194</x:v>
      </x:c>
      <x:c r="D284" s="48" t="str">
        <x:f aca="0">IF(NOT(ISNUMBER(D283)),"n/a",IF(ABS(D283)&lt;=MAX(0.01,0.02*ABS(D282)),"Agrees","Differs"))</x:f>
        <x:v>Differs</x:v>
      </x:c>
      <x:c r="E284" s="48" t="str">
        <x:f aca="0">IF(NOT(ISNUMBER(E283)),"n/a",IF(ABS(E283)&lt;=MAX(0.01,0.02*ABS(E282)),"Agrees","Differs"))</x:f>
        <x:v>Differs</x:v>
      </x:c>
      <x:c r="F284" s="48" t="str">
        <x:f aca="0">IF(NOT(ISNUMBER(F283)),"n/a",IF(ABS(F283)&lt;=MAX(0.01,0.02*ABS(F282)),"Agrees","Differs"))</x:f>
        <x:v>Differs</x:v>
      </x:c>
      <x:c r="G284" s="48" t="str">
        <x:f aca="0">IF(NOT(ISNUMBER(G283)),"n/a",IF(ABS(G283)&lt;=MAX(0.01,0.02*ABS(G282)),"Agrees","Differs"))</x:f>
        <x:v>Differs</x:v>
      </x:c>
      <x:c r="H284" s="48" t="str">
        <x:f aca="0">IF(NOT(ISNUMBER(H283)),"n/a",IF(ABS(H283)&lt;=MAX(0.01,0.02*ABS(H282)),"Agrees","Differs"))</x:f>
        <x:v>Differs</x:v>
      </x:c>
    </x:row>
    <x:row r="285" ht="15" hidden="0">
      <x:c r="A285" t="s">
        <x:v>641</x:v>
      </x:c>
      <x:c r="B285" s="9" t="s">
        <x:v>642</x:v>
      </x:c>
      <x:c r="D285" s="42" t="n">
        <x:f aca="0">D162</x:f>
        <x:v>0.1789471373949763</x:v>
      </x:c>
      <x:c r="E285" s="42" t="n">
        <x:f aca="0">E162</x:f>
        <x:v>0.1796626113599641</x:v>
      </x:c>
      <x:c r="F285" s="42" t="n">
        <x:f aca="0">F162</x:f>
        <x:v>0.147048524585835</x:v>
      </x:c>
      <x:c r="G285" s="42" t="n">
        <x:f aca="0">G162</x:f>
        <x:v>0.1594256360843263</x:v>
      </x:c>
      <x:c r="H285" s="42" t="n">
        <x:f aca="0">H162</x:f>
        <x:v>0.25740632547300923</x:v>
      </x:c>
      <x:c r="J285" s="9"/>
    </x:row>
    <x:row r="286" ht="15" hidden="0">
      <x:c r="A286" t="s">
        <x:v>643</x:v>
      </x:c>
      <x:c r="D286" s="51" t="n">
        <x:v>0.1789</x:v>
      </x:c>
      <x:c r="E286" s="51" t="n">
        <x:v>0.1797</x:v>
      </x:c>
      <x:c r="F286" s="51" t="n">
        <x:v>0.147</x:v>
      </x:c>
      <x:c r="G286" s="51" t="n">
        <x:v>0.1594</x:v>
      </x:c>
      <x:c r="H286" s="51" t="n">
        <x:v>0.2574</x:v>
      </x:c>
    </x:row>
    <x:row r="287" ht="15" hidden="0">
      <x:c r="A287" t="s">
        <x:v>609</x:v>
      </x:c>
      <x:c r="D287" s="42" t="n">
        <x:f aca="0">IF(AND(ISNUMBER(D285),ISNUMBER(D286)),D285-D286,"n/a")</x:f>
        <x:v>0.000047137394976304314</x:v>
      </x:c>
      <x:c r="E287" s="42" t="n">
        <x:f aca="0">IF(AND(ISNUMBER(E285),ISNUMBER(E286)),E285-E286,"n/a")</x:f>
        <x:v>-0.00003738864003591247</x:v>
      </x:c>
      <x:c r="F287" s="42" t="n">
        <x:f aca="0">IF(AND(ISNUMBER(F285),ISNUMBER(F286)),F285-F286,"n/a")</x:f>
        <x:v>0.00004852458583501362</x:v>
      </x:c>
      <x:c r="G287" s="42" t="n">
        <x:f aca="0">IF(AND(ISNUMBER(G285),ISNUMBER(G286)),G285-G286,"n/a")</x:f>
        <x:v>0.000025636084326319253</x:v>
      </x:c>
      <x:c r="H287" s="42" t="n">
        <x:f aca="0">IF(AND(ISNUMBER(H285),ISNUMBER(H286)),H285-H286,"n/a")</x:f>
        <x:v>0.000006325473009216598</x:v>
      </x:c>
    </x:row>
    <x:row r="288" ht="15" hidden="0">
      <x:c r="A288" t="s">
        <x:v>194</x:v>
      </x:c>
      <x:c r="D288" s="48" t="str">
        <x:f aca="0">IF(NOT(ISNUMBER(D287)),"n/a",IF(ABS(D287)&lt;=MAX(0.002,0.02*ABS(D286)),"Agrees","Differs"))</x:f>
        <x:v>Agrees</x:v>
      </x:c>
      <x:c r="E288" s="48" t="str">
        <x:f aca="0">IF(NOT(ISNUMBER(E287)),"n/a",IF(ABS(E287)&lt;=MAX(0.002,0.02*ABS(E286)),"Agrees","Differs"))</x:f>
        <x:v>Agrees</x:v>
      </x:c>
      <x:c r="F288" s="48" t="str">
        <x:f aca="0">IF(NOT(ISNUMBER(F287)),"n/a",IF(ABS(F287)&lt;=MAX(0.002,0.02*ABS(F286)),"Agrees","Differs"))</x:f>
        <x:v>Agrees</x:v>
      </x:c>
      <x:c r="G288" s="48" t="str">
        <x:f aca="0">IF(NOT(ISNUMBER(G287)),"n/a",IF(ABS(G287)&lt;=MAX(0.002,0.02*ABS(G286)),"Agrees","Differs"))</x:f>
        <x:v>Agrees</x:v>
      </x:c>
      <x:c r="H288" s="48" t="str">
        <x:f aca="0">IF(NOT(ISNUMBER(H287)),"n/a",IF(ABS(H287)&lt;=MAX(0.002,0.02*ABS(H286)),"Agrees","Differs"))</x:f>
        <x:v>Agrees</x:v>
      </x:c>
    </x:row>
    <x:row r="289" ht="15" hidden="0">
      <x:c r="A289" t="s">
        <x:v>644</x:v>
      </x:c>
      <x:c r="B289" s="9" t="s">
        <x:v>642</x:v>
      </x:c>
      <x:c r="D289" s="42" t="n">
        <x:f aca="0">D164</x:f>
        <x:v>0.08249752980035112</x:v>
      </x:c>
      <x:c r="E289" s="42" t="n">
        <x:f aca="0">E164</x:f>
        <x:v>0.05120493100192175</x:v>
      </x:c>
      <x:c r="F289" s="42" t="n">
        <x:f aca="0">F164</x:f>
        <x:v>-0.05595201919567025</x:v>
      </x:c>
      <x:c r="G289" s="42" t="n">
        <x:f aca="0">G164</x:f>
        <x:v>0.008213306596683071</x:v>
      </x:c>
      <x:c r="H289" s="42" t="n">
        <x:f aca="0">H164</x:f>
        <x:v>0.12066652759857006</x:v>
      </x:c>
      <x:c r="J289" s="9"/>
    </x:row>
    <x:row r="290" ht="15" hidden="0">
      <x:c r="A290" t="s">
        <x:v>645</x:v>
      </x:c>
      <x:c r="D290" s="51" t="n">
        <x:v>0.0825</x:v>
      </x:c>
      <x:c r="E290" s="51" t="n">
        <x:v>0.0512</x:v>
      </x:c>
      <x:c r="F290" s="51" t="n">
        <x:v>-0.056</x:v>
      </x:c>
      <x:c r="G290" s="51" t="n">
        <x:v>0.0082</x:v>
      </x:c>
      <x:c r="H290" s="51" t="n">
        <x:v>0.1207</x:v>
      </x:c>
    </x:row>
    <x:row r="291" ht="15" hidden="0">
      <x:c r="A291" t="s">
        <x:v>609</x:v>
      </x:c>
      <x:c r="D291" s="42" t="n">
        <x:f aca="0">IF(AND(ISNUMBER(D289),ISNUMBER(D290)),D289-D290,"n/a")</x:f>
        <x:v>-0.000002470199648885174</x:v>
      </x:c>
      <x:c r="E291" s="42" t="n">
        <x:f aca="0">IF(AND(ISNUMBER(E289),ISNUMBER(E290)),E289-E290,"n/a")</x:f>
        <x:v>0.000004931001921747169</x:v>
      </x:c>
      <x:c r="F291" s="42" t="n">
        <x:f aca="0">IF(AND(ISNUMBER(F289),ISNUMBER(F290)),F289-F290,"n/a")</x:f>
        <x:v>0.00004798080432975166</x:v>
      </x:c>
      <x:c r="G291" s="42" t="n">
        <x:f aca="0">IF(AND(ISNUMBER(G289),ISNUMBER(G290)),G289-G290,"n/a")</x:f>
        <x:v>0.000013306596683070396</x:v>
      </x:c>
      <x:c r="H291" s="42" t="n">
        <x:f aca="0">IF(AND(ISNUMBER(H289),ISNUMBER(H290)),H289-H290,"n/a")</x:f>
        <x:v>-0.00003347240142993757</x:v>
      </x:c>
    </x:row>
    <x:row r="292" ht="15" hidden="0">
      <x:c r="A292" t="s">
        <x:v>194</x:v>
      </x:c>
      <x:c r="D292" s="48" t="str">
        <x:f aca="0">IF(NOT(ISNUMBER(D291)),"n/a",IF(ABS(D291)&lt;=MAX(0.002,0.02*ABS(D290)),"Agrees","Differs"))</x:f>
        <x:v>Agrees</x:v>
      </x:c>
      <x:c r="E292" s="48" t="str">
        <x:f aca="0">IF(NOT(ISNUMBER(E291)),"n/a",IF(ABS(E291)&lt;=MAX(0.002,0.02*ABS(E290)),"Agrees","Differs"))</x:f>
        <x:v>Agrees</x:v>
      </x:c>
      <x:c r="F292" s="48" t="str">
        <x:f aca="0">IF(NOT(ISNUMBER(F291)),"n/a",IF(ABS(F291)&lt;=MAX(0.002,0.02*ABS(F290)),"Agrees","Differs"))</x:f>
        <x:v>Agrees</x:v>
      </x:c>
      <x:c r="G292" s="48" t="str">
        <x:f aca="0">IF(NOT(ISNUMBER(G291)),"n/a",IF(ABS(G291)&lt;=MAX(0.002,0.02*ABS(G290)),"Agrees","Differs"))</x:f>
        <x:v>Agrees</x:v>
      </x:c>
      <x:c r="H292" s="48" t="str">
        <x:f aca="0">IF(NOT(ISNUMBER(H291)),"n/a",IF(ABS(H291)&lt;=MAX(0.002,0.02*ABS(H290)),"Agrees","Differs"))</x:f>
        <x:v>Agrees</x:v>
      </x:c>
    </x:row>
    <x:row r="293" ht="15" hidden="0">
      <x:c r="A293" t="s">
        <x:v>842</x:v>
      </x:c>
      <x:c r="B293" s="9" t="s">
        <x:v>843</x:v>
      </x:c>
      <x:c r="D293" s="42" t="n">
        <x:f aca="0">D166</x:f>
        <x:v>0.05311474576838488</x:v>
      </x:c>
      <x:c r="E293" s="42" t="n">
        <x:f aca="0">E166</x:f>
        <x:v>0.041453492679972344</x:v>
      </x:c>
      <x:c r="F293" s="42" t="n">
        <x:f aca="0">F166</x:f>
        <x:v>-0.05422363320589824</x:v>
      </x:c>
      <x:c r="G293" s="42" t="n">
        <x:f aca="0">G166</x:f>
        <x:v>0.007746311290114197</x:v>
      </x:c>
      <x:c r="H293" s="42" t="n">
        <x:f aca="0">H166</x:f>
        <x:v>0.10175126160150023</x:v>
      </x:c>
      <x:c r="J293" s="9"/>
    </x:row>
    <x:row r="294" ht="15" hidden="0">
      <x:c r="A294" t="s">
        <x:v>844</x:v>
      </x:c>
      <x:c r="D294" s="51" t="n">
        <x:v>0.0531</x:v>
      </x:c>
      <x:c r="E294" s="51" t="n">
        <x:v>0.0415</x:v>
      </x:c>
      <x:c r="F294" s="51" t="n">
        <x:v>-0.0542</x:v>
      </x:c>
      <x:c r="G294" s="51" t="n">
        <x:v>0.0077</x:v>
      </x:c>
      <x:c r="H294" s="51" t="n">
        <x:v>0.1018</x:v>
      </x:c>
    </x:row>
    <x:row r="295" ht="15" hidden="0">
      <x:c r="A295" t="s">
        <x:v>609</x:v>
      </x:c>
      <x:c r="D295" s="42" t="n">
        <x:f aca="0">IF(AND(ISNUMBER(D293),ISNUMBER(D294)),D293-D294,"n/a")</x:f>
        <x:v>0.000014745768384880065</x:v>
      </x:c>
      <x:c r="E295" s="42" t="n">
        <x:f aca="0">IF(AND(ISNUMBER(E293),ISNUMBER(E294)),E293-E294,"n/a")</x:f>
        <x:v>-0.00004650732002765834</x:v>
      </x:c>
      <x:c r="F295" s="42" t="n">
        <x:f aca="0">IF(AND(ISNUMBER(F293),ISNUMBER(F294)),F293-F294,"n/a")</x:f>
        <x:v>-0.00002363320589824497</x:v>
      </x:c>
      <x:c r="G295" s="42" t="n">
        <x:f aca="0">IF(AND(ISNUMBER(G293),ISNUMBER(G294)),G293-G294,"n/a")</x:f>
        <x:v>0.000046311290114196824</x:v>
      </x:c>
      <x:c r="H295" s="42" t="n">
        <x:f aca="0">IF(AND(ISNUMBER(H293),ISNUMBER(H294)),H293-H294,"n/a")</x:f>
        <x:v>-0.000048738398499767466</x:v>
      </x:c>
    </x:row>
    <x:row r="296" ht="15" hidden="0">
      <x:c r="A296" t="s">
        <x:v>194</x:v>
      </x:c>
      <x:c r="D296" s="48" t="str">
        <x:f aca="0">IF(NOT(ISNUMBER(D295)),"n/a",IF(ABS(D295)&lt;=MAX(0.002,0.02*ABS(D294)),"Agrees","Differs"))</x:f>
        <x:v>Agrees</x:v>
      </x:c>
      <x:c r="E296" s="48" t="str">
        <x:f aca="0">IF(NOT(ISNUMBER(E295)),"n/a",IF(ABS(E295)&lt;=MAX(0.002,0.02*ABS(E294)),"Agrees","Differs"))</x:f>
        <x:v>Agrees</x:v>
      </x:c>
      <x:c r="F296" s="48" t="str">
        <x:f aca="0">IF(NOT(ISNUMBER(F295)),"n/a",IF(ABS(F295)&lt;=MAX(0.002,0.02*ABS(F294)),"Agrees","Differs"))</x:f>
        <x:v>Agrees</x:v>
      </x:c>
      <x:c r="G296" s="48" t="str">
        <x:f aca="0">IF(NOT(ISNUMBER(G295)),"n/a",IF(ABS(G295)&lt;=MAX(0.002,0.02*ABS(G294)),"Agrees","Differs"))</x:f>
        <x:v>Agrees</x:v>
      </x:c>
      <x:c r="H296" s="48" t="str">
        <x:f aca="0">IF(NOT(ISNUMBER(H295)),"n/a",IF(ABS(H295)&lt;=MAX(0.002,0.02*ABS(H294)),"Agrees","Differs"))</x:f>
        <x:v>Agrees</x:v>
      </x:c>
    </x:row>
    <x:row r="297" ht="15" hidden="0">
      <x:c r="A297" t="s">
        <x:v>845</x:v>
      </x:c>
      <x:c r="B297" s="9" t="s">
        <x:v>846</x:v>
      </x:c>
      <x:c r="D297" s="42" t="n">
        <x:f aca="0">D169</x:f>
        <x:v>0.24991497015253938</x:v>
      </x:c>
      <x:c r="E297" s="42" t="n">
        <x:f aca="0">E169</x:f>
        <x:v>0.23265570728812449</x:v>
      </x:c>
      <x:c r="F297" s="42" t="n">
        <x:f aca="0">F169</x:f>
        <x:v>0.2131140149484285</x:v>
      </x:c>
      <x:c r="G297" s="42" t="n">
        <x:f aca="0">G169</x:f>
        <x:v>0.2224978603073117</x:v>
      </x:c>
      <x:c r="H297" s="42" t="n">
        <x:f aca="0">H169</x:f>
        <x:v>0.2880345228273576</x:v>
      </x:c>
      <x:c r="J297" s="9"/>
    </x:row>
    <x:row r="298" ht="15" hidden="0">
      <x:c r="A298" t="s">
        <x:v>847</x:v>
      </x:c>
      <x:c r="D298" s="51" t="n">
        <x:v>0.2499</x:v>
      </x:c>
      <x:c r="E298" s="51" t="n">
        <x:v>0.2327</x:v>
      </x:c>
      <x:c r="F298" s="51" t="n">
        <x:v>0.2131</x:v>
      </x:c>
      <x:c r="G298" s="51" t="n">
        <x:v>0.2225</x:v>
      </x:c>
      <x:c r="H298" s="51" t="n">
        <x:v>0.288</x:v>
      </x:c>
    </x:row>
    <x:row r="299" ht="15" hidden="0">
      <x:c r="A299" t="s">
        <x:v>609</x:v>
      </x:c>
      <x:c r="D299" s="42" t="n">
        <x:f aca="0">IF(AND(ISNUMBER(D297),ISNUMBER(D298)),D297-D298,"n/a")</x:f>
        <x:v>0.00001497015253937306</x:v>
      </x:c>
      <x:c r="E299" s="42" t="n">
        <x:f aca="0">IF(AND(ISNUMBER(E297),ISNUMBER(E298)),E297-E298,"n/a")</x:f>
        <x:v>-0.00004429271187550432</x:v>
      </x:c>
      <x:c r="F299" s="42" t="n">
        <x:f aca="0">IF(AND(ISNUMBER(F297),ISNUMBER(F298)),F297-F298,"n/a")</x:f>
        <x:v>0.000014014948428481278</x:v>
      </x:c>
      <x:c r="G299" s="42" t="n">
        <x:f aca="0">IF(AND(ISNUMBER(G297),ISNUMBER(G298)),G297-G298,"n/a")</x:f>
        <x:v>-0.000002139692688307715</x:v>
      </x:c>
      <x:c r="H299" s="42" t="n">
        <x:f aca="0">IF(AND(ISNUMBER(H297),ISNUMBER(H298)),H297-H298,"n/a")</x:f>
        <x:v>0.000034522827357608143</x:v>
      </x:c>
    </x:row>
    <x:row r="300" ht="15" hidden="0">
      <x:c r="A300" t="s">
        <x:v>194</x:v>
      </x:c>
      <x:c r="D300" s="48" t="str">
        <x:f aca="0">IF(NOT(ISNUMBER(D299)),"n/a",IF(ABS(D299)&lt;=MAX(0.002,0.02*ABS(D298)),"Agrees","Differs"))</x:f>
        <x:v>Agrees</x:v>
      </x:c>
      <x:c r="E300" s="48" t="str">
        <x:f aca="0">IF(NOT(ISNUMBER(E299)),"n/a",IF(ABS(E299)&lt;=MAX(0.002,0.02*ABS(E298)),"Agrees","Differs"))</x:f>
        <x:v>Agrees</x:v>
      </x:c>
      <x:c r="F300" s="48" t="str">
        <x:f aca="0">IF(NOT(ISNUMBER(F299)),"n/a",IF(ABS(F299)&lt;=MAX(0.002,0.02*ABS(F298)),"Agrees","Differs"))</x:f>
        <x:v>Agrees</x:v>
      </x:c>
      <x:c r="G300" s="48" t="str">
        <x:f aca="0">IF(NOT(ISNUMBER(G299)),"n/a",IF(ABS(G299)&lt;=MAX(0.002,0.02*ABS(G298)),"Agrees","Differs"))</x:f>
        <x:v>Agrees</x:v>
      </x:c>
      <x:c r="H300" s="48" t="str">
        <x:f aca="0">IF(NOT(ISNUMBER(H299)),"n/a",IF(ABS(H299)&lt;=MAX(0.002,0.02*ABS(H298)),"Agrees","Differs"))</x:f>
        <x:v>Agrees</x:v>
      </x:c>
    </x:row>
    <x:row r="301" ht="15" hidden="0">
      <x:c r="A301" t="s">
        <x:v>848</x:v>
      </x:c>
      <x:c r="B301" s="9" t="s">
        <x:v>849</x:v>
      </x:c>
      <x:c r="D301" s="46" t="n">
        <x:f aca="0">D174</x:f>
        <x:v>13.883154069739035</x:v>
      </x:c>
      <x:c r="E301" s="46" t="n">
        <x:f aca="0">E174</x:f>
        <x:v>9.213064855464028</x:v>
      </x:c>
      <x:c r="F301" s="46" t="str">
        <x:f aca="0">F174</x:f>
        <x:v>n/m</x:v>
      </x:c>
      <x:c r="G301" s="46" t="n">
        <x:f aca="0">G174</x:f>
        <x:v>72.91538429829842</x:v>
      </x:c>
      <x:c r="H301" s="46" t="n">
        <x:f aca="0">H174</x:f>
        <x:v>8.361326554214791</x:v>
      </x:c>
      <x:c r="J301" s="9" t="s">
        <x:v>850</x:v>
      </x:c>
    </x:row>
    <x:row r="302" ht="15" hidden="0">
      <x:c r="A302" t="s">
        <x:v>851</x:v>
      </x:c>
      <x:c r="D302" s="47" t="n">
        <x:v>13.88</x:v>
      </x:c>
      <x:c r="E302" s="47" t="n">
        <x:v>9.21</x:v>
      </x:c>
      <x:c r="F302" s="47" t="n">
        <x:v>-6.18</x:v>
      </x:c>
      <x:c r="G302" s="47" t="n">
        <x:v>72.92</x:v>
      </x:c>
      <x:c r="H302" s="47" t="n">
        <x:v>8.36</x:v>
      </x:c>
    </x:row>
    <x:row r="303" ht="15" hidden="0">
      <x:c r="A303" t="s">
        <x:v>609</x:v>
      </x:c>
      <x:c r="D303" s="46" t="n">
        <x:f aca="0">IF(AND(ISNUMBER(D301),ISNUMBER(D302)),D301-D302,"n/a")</x:f>
        <x:v>0.0031540697390344263</x:v>
      </x:c>
      <x:c r="E303" s="46" t="n">
        <x:f aca="0">IF(AND(ISNUMBER(E301),ISNUMBER(E302)),E301-E302,"n/a")</x:f>
        <x:v>0.0030648554640269055</x:v>
      </x:c>
      <x:c r="F303" s="46" t="str">
        <x:f aca="0">IF(AND(ISNUMBER(F301),ISNUMBER(F302)),F301-F302,"n/a")</x:f>
        <x:v>n/a</x:v>
      </x:c>
      <x:c r="G303" s="46" t="n">
        <x:f aca="0">IF(AND(ISNUMBER(G301),ISNUMBER(G302)),G301-G302,"n/a")</x:f>
        <x:v>-0.004615701701581543</x:v>
      </x:c>
      <x:c r="H303" s="46" t="n">
        <x:f aca="0">IF(AND(ISNUMBER(H301),ISNUMBER(H302)),H301-H302,"n/a")</x:f>
        <x:v>0.0013265542147919973</x:v>
      </x:c>
    </x:row>
    <x:row r="304" ht="15" hidden="0">
      <x:c r="A304" t="s">
        <x:v>194</x:v>
      </x:c>
      <x:c r="D304" s="48" t="str">
        <x:f aca="0">IF(NOT(ISNUMBER(D303)),"n/a",IF(ABS(D303)&lt;=MAX(0.01,0.02*ABS(D302)),"Agrees","Differs"))</x:f>
        <x:v>Agrees</x:v>
      </x:c>
      <x:c r="E304" s="48" t="str">
        <x:f aca="0">IF(NOT(ISNUMBER(E303)),"n/a",IF(ABS(E303)&lt;=MAX(0.01,0.02*ABS(E302)),"Agrees","Differs"))</x:f>
        <x:v>Agrees</x:v>
      </x:c>
      <x:c r="F304" s="48" t="str">
        <x:f aca="0">IF(NOT(ISNUMBER(F303)),"n/a",IF(ABS(F303)&lt;=MAX(0.01,0.02*ABS(F302)),"Agrees","Differs"))</x:f>
        <x:v>n/a</x:v>
      </x:c>
      <x:c r="G304" s="48" t="str">
        <x:f aca="0">IF(NOT(ISNUMBER(G303)),"n/a",IF(ABS(G303)&lt;=MAX(0.01,0.02*ABS(G302)),"Agrees","Differs"))</x:f>
        <x:v>Agrees</x:v>
      </x:c>
      <x:c r="H304" s="48" t="str">
        <x:f aca="0">IF(NOT(ISNUMBER(H303)),"n/a",IF(ABS(H303)&lt;=MAX(0.01,0.02*ABS(H302)),"Agrees","Differs"))</x:f>
        <x:v>Agrees</x:v>
      </x:c>
    </x:row>
    <x:row r="305" ht="15" hidden="0">
      <x:c r="A305" t="s">
        <x:v>852</x:v>
      </x:c>
      <x:c r="B305" s="9" t="s">
        <x:v>853</x:v>
      </x:c>
      <x:c r="D305" s="42" t="n">
        <x:f aca="0">D175</x:f>
        <x:v>0.008480325644504749</x:v>
      </x:c>
      <x:c r="E305" s="42" t="n">
        <x:f aca="0">E175</x:f>
        <x:v>0.016</x:v>
      </x:c>
      <x:c r="F305" s="42" t="n">
        <x:f aca="0">F175</x:f>
        <x:v>0</x:v>
      </x:c>
      <x:c r="G305" s="42" t="n">
        <x:f aca="0">G175</x:f>
        <x:v>0</x:v>
      </x:c>
      <x:c r="H305" s="42" t="n">
        <x:f aca="0">H175</x:f>
        <x:v>0.012080212611741966</x:v>
      </x:c>
      <x:c r="J305" s="9"/>
    </x:row>
    <x:row r="306" ht="15" hidden="0">
      <x:c r="A306" t="s">
        <x:v>854</x:v>
      </x:c>
      <x:c r="D306" s="51" t="n">
        <x:v>0.0085</x:v>
      </x:c>
      <x:c r="E306" s="51" t="n">
        <x:v>0.016</x:v>
      </x:c>
      <x:c r="F306" s="51" t="n">
        <x:v>0</x:v>
      </x:c>
      <x:c r="G306" s="51" t="n">
        <x:v>0</x:v>
      </x:c>
      <x:c r="H306" s="51" t="n">
        <x:v>0.0121</x:v>
      </x:c>
    </x:row>
    <x:row r="307" ht="15" hidden="0">
      <x:c r="A307" t="s">
        <x:v>609</x:v>
      </x:c>
      <x:c r="D307" s="42" t="n">
        <x:f aca="0">IF(AND(ISNUMBER(D305),ISNUMBER(D306)),D305-D306,"n/a")</x:f>
        <x:v>-0.000019674355495252066</x:v>
      </x:c>
      <x:c r="E307" s="42" t="n">
        <x:f aca="0">IF(AND(ISNUMBER(E305),ISNUMBER(E306)),E305-E306,"n/a")</x:f>
        <x:v>0</x:v>
      </x:c>
      <x:c r="F307" s="42" t="n">
        <x:f aca="0">IF(AND(ISNUMBER(F305),ISNUMBER(F306)),F305-F306,"n/a")</x:f>
        <x:v>0</x:v>
      </x:c>
      <x:c r="G307" s="42" t="n">
        <x:f aca="0">IF(AND(ISNUMBER(G305),ISNUMBER(G306)),G305-G306,"n/a")</x:f>
        <x:v>0</x:v>
      </x:c>
      <x:c r="H307" s="42" t="n">
        <x:f aca="0">IF(AND(ISNUMBER(H305),ISNUMBER(H306)),H305-H306,"n/a")</x:f>
        <x:v>-0.00001978738825803364</x:v>
      </x:c>
    </x:row>
    <x:row r="308" ht="15" hidden="0">
      <x:c r="A308" t="s">
        <x:v>194</x:v>
      </x:c>
      <x:c r="D308" s="48" t="str">
        <x:f aca="0">IF(NOT(ISNUMBER(D307)),"n/a",IF(ABS(D307)&lt;=MAX(0.002,0.02*ABS(D306)),"Agrees","Differs"))</x:f>
        <x:v>Agrees</x:v>
      </x:c>
      <x:c r="E308" s="48" t="str">
        <x:f aca="0">IF(NOT(ISNUMBER(E307)),"n/a",IF(ABS(E307)&lt;=MAX(0.002,0.02*ABS(E306)),"Agrees","Differs"))</x:f>
        <x:v>Agrees</x:v>
      </x:c>
      <x:c r="F308" s="48" t="str">
        <x:f aca="0">IF(NOT(ISNUMBER(F307)),"n/a",IF(ABS(F307)&lt;=MAX(0.002,0.02*ABS(F306)),"Agrees","Differs"))</x:f>
        <x:v>Agrees</x:v>
      </x:c>
      <x:c r="G308" s="48" t="str">
        <x:f aca="0">IF(NOT(ISNUMBER(G307)),"n/a",IF(ABS(G307)&lt;=MAX(0.002,0.02*ABS(G306)),"Agrees","Differs"))</x:f>
        <x:v>Agrees</x:v>
      </x:c>
      <x:c r="H308" s="48" t="str">
        <x:f aca="0">IF(NOT(ISNUMBER(H307)),"n/a",IF(ABS(H307)&lt;=MAX(0.002,0.02*ABS(H306)),"Agrees","Differs"))</x:f>
        <x:v>Agrees</x:v>
      </x:c>
    </x:row>
    <x:row r="309" ht="15" hidden="0">
      <x:c r="A309" t="s">
        <x:v>663</x:v>
      </x:c>
      <x:c r="B309" s="9" t="s">
        <x:v>855</x:v>
      </x:c>
      <x:c r="D309" s="42" t="n">
        <x:f aca="0">D180</x:f>
        <x:v>0.08117368143235561</x:v>
      </x:c>
      <x:c r="E309" s="42" t="n">
        <x:f aca="0">E180</x:f>
        <x:v>0.10199221459461202</x:v>
      </x:c>
      <x:c r="F309" s="42" t="n">
        <x:f aca="0">F180</x:f>
        <x:v>0.11222944844862043</x:v>
      </x:c>
      <x:c r="G309" s="42" t="n">
        <x:f aca="0">G180</x:f>
        <x:v>0.11280079026625844</x:v>
      </x:c>
      <x:c r="H309" s="42" t="n">
        <x:f aca="0">H180</x:f>
        <x:v>0.1492219737716935</x:v>
      </x:c>
      <x:c r="J309" s="9"/>
    </x:row>
    <x:row r="310" ht="15" hidden="0">
      <x:c r="A310" t="s">
        <x:v>666</x:v>
      </x:c>
      <x:c r="D310" s="51" t="n">
        <x:v>0.0656</x:v>
      </x:c>
      <x:c r="E310" s="51" t="n">
        <x:v>0.0824</x:v>
      </x:c>
      <x:c r="F310" s="51" t="n">
        <x:v>0.0928</x:v>
      </x:c>
      <x:c r="G310" s="51" t="n">
        <x:v>0.0984</x:v>
      </x:c>
      <x:c r="H310" s="51" t="n">
        <x:v>0.1448</x:v>
      </x:c>
    </x:row>
    <x:row r="311" ht="15" hidden="0">
      <x:c r="A311" t="s">
        <x:v>609</x:v>
      </x:c>
      <x:c r="D311" s="42" t="n">
        <x:f aca="0">IF(AND(ISNUMBER(D309),ISNUMBER(D310)),D309-D310,"n/a")</x:f>
        <x:v>0.015573681432355602</x:v>
      </x:c>
      <x:c r="E311" s="42" t="n">
        <x:f aca="0">IF(AND(ISNUMBER(E309),ISNUMBER(E310)),E309-E310,"n/a")</x:f>
        <x:v>0.019592214594612023</x:v>
      </x:c>
      <x:c r="F311" s="42" t="n">
        <x:f aca="0">IF(AND(ISNUMBER(F309),ISNUMBER(F310)),F309-F310,"n/a")</x:f>
        <x:v>0.019429448448620434</x:v>
      </x:c>
      <x:c r="G311" s="42" t="n">
        <x:f aca="0">IF(AND(ISNUMBER(G309),ISNUMBER(G310)),G309-G310,"n/a")</x:f>
        <x:v>0.014400790266258442</x:v>
      </x:c>
      <x:c r="H311" s="42" t="n">
        <x:f aca="0">IF(AND(ISNUMBER(H309),ISNUMBER(H310)),H309-H310,"n/a")</x:f>
        <x:v>0.004421973771693483</x:v>
      </x:c>
    </x:row>
    <x:row r="312" ht="15" hidden="0">
      <x:c r="A312" t="s">
        <x:v>194</x:v>
      </x:c>
      <x:c r="D312" s="48" t="str">
        <x:f aca="0">IF(NOT(ISNUMBER(D311)),"n/a",IF(ABS(D311)&lt;=MAX(0.002,0.02*ABS(D310)),"Agrees","Differs"))</x:f>
        <x:v>Differs</x:v>
      </x:c>
      <x:c r="E312" s="48" t="str">
        <x:f aca="0">IF(NOT(ISNUMBER(E311)),"n/a",IF(ABS(E311)&lt;=MAX(0.002,0.02*ABS(E310)),"Agrees","Differs"))</x:f>
        <x:v>Differs</x:v>
      </x:c>
      <x:c r="F312" s="48" t="str">
        <x:f aca="0">IF(NOT(ISNUMBER(F311)),"n/a",IF(ABS(F311)&lt;=MAX(0.002,0.02*ABS(F310)),"Agrees","Differs"))</x:f>
        <x:v>Differs</x:v>
      </x:c>
      <x:c r="G312" s="48" t="str">
        <x:f aca="0">IF(NOT(ISNUMBER(G311)),"n/a",IF(ABS(G311)&lt;=MAX(0.002,0.02*ABS(G310)),"Agrees","Differs"))</x:f>
        <x:v>Differs</x:v>
      </x:c>
      <x:c r="H312" s="48" t="str">
        <x:f aca="0">IF(NOT(ISNUMBER(H311)),"n/a",IF(ABS(H311)&lt;=MAX(0.002,0.02*ABS(H310)),"Agrees","Differs"))</x:f>
        <x:v>Differs</x:v>
      </x:c>
    </x:row>
  </x:sheetData>
  <x:mergeCells>
    <x:mergeCell ref="B6:J6"/>
    <x:mergeCell ref="B7:J7"/>
    <x:mergeCell ref="B8:J8"/>
    <x:mergeCell ref="B9:J9"/>
    <x:mergeCell ref="B10:J10"/>
    <x:mergeCell ref="B11:J11"/>
    <x:mergeCell ref="B12:J12"/>
    <x:mergeCell ref="B13:J13"/>
    <x:mergeCell ref="B14:J14"/>
    <x:mergeCell ref="B15:J15"/>
  </x:mergeCells>
  <x:pageMargins left="0.7" right="0.7" top="0.75" bottom="0.75" header="0.3" footer="0.3"/>
  <x:drawing xmlns:r="http://schemas.openxmlformats.org/officeDocument/2006/relationships" r:id="Rebd4d8bb4e984c5d"/>
</x:worksheet>
</file>

<file path=xl/worksheets/sheet6.xml><?xml version="1.0" encoding="utf-8"?>
<x:worksheet xmlns:x="http://schemas.openxmlformats.org/spreadsheetml/2006/main">
  <x:sheetPr>
    <x:tabColor rgb="FF8EA9DB"/>
  </x:sheetPr>
  <x:sheetViews>
    <x:sheetView showGridLines="0" workbookViewId="0">
      <x:pane xSplit="2" ySplit="17" topLeftCell="C18" activePane="bottomRight" state="frozen"/>
    </x:sheetView>
  </x:sheetViews>
  <x:sheetFormatPr defaultColWidth="8.6796875" defaultRowHeight="15"/>
  <x:cols>
    <x:col min="1" max="1" width="58" hidden="0" customWidth="1"/>
    <x:col min="2" max="2" width="46" hidden="0" customWidth="1"/>
    <x:col min="3" max="8" width="11" hidden="0" customWidth="1"/>
    <x:col min="9" max="9" width="9" hidden="0" customWidth="1"/>
    <x:col min="10" max="10" width="62" hidden="0" customWidth="1"/>
  </x:cols>
  <x:sheetData>
    <x:row r="1" ht="17.350000381469727" hidden="0">
      <x:c r="A1" s="17" t="s">
        <x:v>856</x:v>
      </x:c>
    </x:row>
    <x:row r="2" ht="15" hidden="0">
      <x:c r="A2" s="18" t="s">
        <x:v>857</x:v>
      </x:c>
    </x:row>
    <x:row r="3" ht="15" hidden="0">
      <x:c r="A3" s="19" t="s">
        <x:v>273</x:v>
      </x:c>
    </x:row>
    <x:row r="5" ht="15" hidden="0">
      <x:c r="A5" s="5" t="s">
        <x:v>274</x:v>
      </x:c>
      <x:c r="B5" s="20"/>
      <x:c r="C5" s="20"/>
      <x:c r="D5" s="20"/>
      <x:c r="E5" s="20"/>
      <x:c r="F5" s="20"/>
      <x:c r="G5" s="20"/>
      <x:c r="H5" s="20"/>
      <x:c r="I5" s="20"/>
      <x:c r="J5" s="20"/>
    </x:row>
    <x:row r="6" ht="15" hidden="0" customHeight="1">
      <x:c r="A6" s="2" t="s">
        <x:v>19</x:v>
      </x:c>
      <x:c r="B6" s="21" t="s">
        <x:v>43</x:v>
      </x:c>
      <x:c r="C6" s="21"/>
      <x:c r="D6" s="21"/>
      <x:c r="E6" s="21"/>
      <x:c r="F6" s="21"/>
      <x:c r="G6" s="21"/>
      <x:c r="H6" s="21"/>
      <x:c r="I6" s="21"/>
      <x:c r="J6" s="21"/>
    </x:row>
    <x:row r="7" ht="15" hidden="0" customHeight="1">
      <x:c r="A7" s="2" t="s">
        <x:v>275</x:v>
      </x:c>
      <x:c r="B7" s="21" t="s">
        <x:v>42</x:v>
      </x:c>
      <x:c r="C7" s="21"/>
      <x:c r="D7" s="21"/>
      <x:c r="E7" s="21"/>
      <x:c r="F7" s="21"/>
      <x:c r="G7" s="21"/>
      <x:c r="H7" s="21"/>
      <x:c r="I7" s="21"/>
      <x:c r="J7" s="21"/>
    </x:row>
    <x:row r="8" ht="15" hidden="0" customHeight="1">
      <x:c r="A8" s="2" t="s">
        <x:v>276</x:v>
      </x:c>
      <x:c r="B8" s="21" t="s">
        <x:v>44</x:v>
      </x:c>
      <x:c r="C8" s="21"/>
      <x:c r="D8" s="21"/>
      <x:c r="E8" s="21"/>
      <x:c r="F8" s="21"/>
      <x:c r="G8" s="21"/>
      <x:c r="H8" s="21"/>
      <x:c r="I8" s="21"/>
      <x:c r="J8" s="21"/>
    </x:row>
    <x:row r="9" ht="15" hidden="0" customHeight="1">
      <x:c r="A9" s="2" t="s">
        <x:v>277</x:v>
      </x:c>
      <x:c r="B9" s="21" t="s">
        <x:v>278</x:v>
      </x:c>
      <x:c r="C9" s="21"/>
      <x:c r="D9" s="21"/>
      <x:c r="E9" s="21"/>
      <x:c r="F9" s="21"/>
      <x:c r="G9" s="21"/>
      <x:c r="H9" s="21"/>
      <x:c r="I9" s="21"/>
      <x:c r="J9" s="21"/>
    </x:row>
    <x:row r="10" ht="15" hidden="0" customHeight="1">
      <x:c r="A10" s="2" t="s">
        <x:v>279</x:v>
      </x:c>
      <x:c r="B10" s="21" t="s">
        <x:v>669</x:v>
      </x:c>
      <x:c r="C10" s="21"/>
      <x:c r="D10" s="21"/>
      <x:c r="E10" s="21"/>
      <x:c r="F10" s="21"/>
      <x:c r="G10" s="21"/>
      <x:c r="H10" s="21"/>
      <x:c r="I10" s="21"/>
      <x:c r="J10" s="21"/>
    </x:row>
    <x:row r="11" ht="15" hidden="0" customHeight="1">
      <x:c r="A11" s="2" t="s">
        <x:v>281</x:v>
      </x:c>
      <x:c r="B11" s="21" t="s">
        <x:v>758</x:v>
      </x:c>
      <x:c r="C11" s="21"/>
      <x:c r="D11" s="21"/>
      <x:c r="E11" s="21"/>
      <x:c r="F11" s="21"/>
      <x:c r="G11" s="21"/>
      <x:c r="H11" s="21"/>
      <x:c r="I11" s="21"/>
      <x:c r="J11" s="21"/>
    </x:row>
    <x:row r="12" ht="15" hidden="0" customHeight="1">
      <x:c r="A12" s="2" t="s">
        <x:v>283</x:v>
      </x:c>
      <x:c r="B12" s="21" t="s">
        <x:v>671</x:v>
      </x:c>
      <x:c r="C12" s="21"/>
      <x:c r="D12" s="21"/>
      <x:c r="E12" s="21"/>
      <x:c r="F12" s="21"/>
      <x:c r="G12" s="21"/>
      <x:c r="H12" s="21"/>
      <x:c r="I12" s="21"/>
      <x:c r="J12" s="21"/>
    </x:row>
    <x:row r="13" ht="27.75" hidden="0" customHeight="1">
      <x:c r="A13" s="2" t="s">
        <x:v>285</x:v>
      </x:c>
      <x:c r="B13" s="21" t="s">
        <x:v>286</x:v>
      </x:c>
      <x:c r="C13" s="21"/>
      <x:c r="D13" s="21"/>
      <x:c r="E13" s="21"/>
      <x:c r="F13" s="21"/>
      <x:c r="G13" s="21"/>
      <x:c r="H13" s="21"/>
      <x:c r="I13" s="21"/>
      <x:c r="J13" s="21"/>
    </x:row>
    <x:row r="14" ht="27.75" hidden="0" customHeight="1">
      <x:c r="A14" s="2" t="s">
        <x:v>287</x:v>
      </x:c>
      <x:c r="B14" s="21" t="str">
        <x:v>Actual PSX FY-end close paired with the share basis in force on that date. EPS notes, splits, treasury shares and bonus treatment are documented on Share Basis.</x:v>
      </x:c>
      <x:c r="C14" s="21"/>
      <x:c r="D14" s="21"/>
      <x:c r="E14" s="21"/>
      <x:c r="F14" s="21"/>
      <x:c r="G14" s="21"/>
      <x:c r="H14" s="21"/>
      <x:c r="I14" s="21"/>
      <x:c r="J14" s="21"/>
    </x:row>
    <x:row r="15" ht="27.75" hidden="0" customHeight="1">
      <x:c r="A15" s="2" t="s">
        <x:v>288</x:v>
      </x:c>
      <x:c r="B15" s="21" t="s">
        <x:v>289</x:v>
      </x:c>
      <x:c r="C15" s="21"/>
      <x:c r="D15" s="21"/>
      <x:c r="E15" s="21"/>
      <x:c r="F15" s="21"/>
      <x:c r="G15" s="21"/>
      <x:c r="H15" s="21"/>
      <x:c r="I15" s="21"/>
      <x:c r="J15" s="21"/>
    </x:row>
    <x:row r="17" ht="15" hidden="0">
      <x:c r="A17" s="22" t="s">
        <x:v>290</x:v>
      </x:c>
      <x:c r="B17" s="22" t="s">
        <x:v>291</x:v>
      </x:c>
      <x:c r="C17" s="23" t="s">
        <x:v>292</x:v>
      </x:c>
      <x:c r="D17" s="23" t="s">
        <x:v>73</x:v>
      </x:c>
      <x:c r="E17" s="23" t="s">
        <x:v>74</x:v>
      </x:c>
      <x:c r="F17" s="23" t="s">
        <x:v>75</x:v>
      </x:c>
      <x:c r="G17" s="23" t="s">
        <x:v>76</x:v>
      </x:c>
      <x:c r="H17" s="23" t="s">
        <x:v>77</x:v>
      </x:c>
      <x:c r="I17" s="23" t="s">
        <x:v>84</x:v>
      </x:c>
      <x:c r="J17" s="23" t="s">
        <x:v>293</x:v>
      </x:c>
    </x:row>
    <x:row r="18" ht="15" hidden="0">
      <x:c r="A18" s="5" t="s">
        <x:v>294</x:v>
      </x:c>
      <x:c r="B18" s="20"/>
      <x:c r="C18" s="20"/>
      <x:c r="D18" s="20"/>
      <x:c r="E18" s="20"/>
      <x:c r="F18" s="20"/>
      <x:c r="G18" s="20"/>
      <x:c r="H18" s="20"/>
      <x:c r="I18" s="20"/>
      <x:c r="J18" s="20"/>
    </x:row>
    <x:row r="19" ht="15" hidden="0">
      <x:c r="A19" s="24" t="s">
        <x:v>295</x:v>
      </x:c>
      <x:c r="B19" s="25"/>
      <x:c r="C19" s="25"/>
      <x:c r="D19" s="25"/>
      <x:c r="E19" s="25"/>
      <x:c r="F19" s="25"/>
      <x:c r="G19" s="25"/>
      <x:c r="H19" s="25"/>
      <x:c r="I19" s="25"/>
      <x:c r="J19" s="25"/>
    </x:row>
    <x:row r="20" ht="15" hidden="0">
      <x:c r="A20" t="s">
        <x:v>296</x:v>
      </x:c>
      <x:c r="B20" s="19" t="s">
        <x:v>858</x:v>
      </x:c>
      <x:c r="C20" s="26" t="n">
        <x:v>44297.941</x:v>
      </x:c>
      <x:c r="D20" s="26" t="n">
        <x:v>44215.539</x:v>
      </x:c>
      <x:c r="E20" s="26" t="n">
        <x:v>56784.84</x:v>
      </x:c>
      <x:c r="F20" s="26" t="n">
        <x:v>62354.608</x:v>
      </x:c>
      <x:c r="G20" s="26" t="n">
        <x:v>65995.598</x:v>
      </x:c>
      <x:c r="H20" s="26" t="n">
        <x:v>62836.212</x:v>
      </x:c>
      <x:c r="I20" s="9" t="s">
        <x:v>98</x:v>
      </x:c>
    </x:row>
    <x:row r="21" ht="15" hidden="0">
      <x:c r="A21" t="s">
        <x:v>298</x:v>
      </x:c>
      <x:c r="B21" s="19" t="s">
        <x:v>859</x:v>
      </x:c>
      <x:c r="C21" s="26" t="n">
        <x:v>871.386</x:v>
      </x:c>
      <x:c r="D21" s="26" t="n">
        <x:v>2854.293</x:v>
      </x:c>
      <x:c r="E21" s="26" t="n">
        <x:v>15352.8</x:v>
      </x:c>
      <x:c r="F21" s="26" t="n">
        <x:v>1676.796</x:v>
      </x:c>
      <x:c r="G21" s="26" t="n">
        <x:v>471.174</x:v>
      </x:c>
      <x:c r="H21" s="26" t="n">
        <x:v>125.704</x:v>
      </x:c>
      <x:c r="I21" s="9" t="s">
        <x:v>98</x:v>
      </x:c>
    </x:row>
    <x:row r="22" ht="15" hidden="0">
      <x:c r="A22" t="s">
        <x:v>300</x:v>
      </x:c>
      <x:c r="B22" s="19" t="s">
        <x:v>301</x:v>
      </x:c>
      <x:c r="C22" s="27" t="n">
        <x:f aca="0">C20-C21</x:f>
        <x:v>43426.555</x:v>
      </x:c>
      <x:c r="D22" s="27" t="n">
        <x:f aca="0">D20-D21</x:f>
        <x:v>41361.246</x:v>
      </x:c>
      <x:c r="E22" s="27" t="n">
        <x:f aca="0">E20-E21</x:f>
        <x:v>41432.03999999999</x:v>
      </x:c>
      <x:c r="F22" s="27" t="n">
        <x:f aca="0">F20-F21</x:f>
        <x:v>60677.812</x:v>
      </x:c>
      <x:c r="G22" s="27" t="n">
        <x:f aca="0">G20-G21</x:f>
        <x:v>65524.424</x:v>
      </x:c>
      <x:c r="H22" s="27" t="n">
        <x:f aca="0">H20-H21</x:f>
        <x:v>62710.508</x:v>
      </x:c>
      <x:c r="I22" s="9" t="s">
        <x:v>98</x:v>
      </x:c>
    </x:row>
    <x:row r="23" ht="15" hidden="0">
      <x:c r="A23" t="s">
        <x:v>302</x:v>
      </x:c>
      <x:c r="B23" s="19" t="s">
        <x:v>860</x:v>
      </x:c>
      <x:c r="C23" s="26" t="n">
        <x:v>0</x:v>
      </x:c>
      <x:c r="D23" s="26" t="n">
        <x:v>0</x:v>
      </x:c>
      <x:c r="E23" s="26" t="n">
        <x:v>0</x:v>
      </x:c>
      <x:c r="F23" s="26" t="n">
        <x:v>0</x:v>
      </x:c>
      <x:c r="G23" s="26" t="n">
        <x:v>0</x:v>
      </x:c>
      <x:c r="H23" s="26" t="n">
        <x:v>0</x:v>
      </x:c>
      <x:c r="I23" s="9" t="s">
        <x:v>98</x:v>
      </x:c>
    </x:row>
    <x:row r="24" ht="15" hidden="0">
      <x:c r="A24" t="s">
        <x:v>304</x:v>
      </x:c>
      <x:c r="B24" s="19" t="s">
        <x:v>861</x:v>
      </x:c>
      <x:c r="C24" s="26" t="n">
        <x:v>9.023</x:v>
      </x:c>
      <x:c r="D24" s="26" t="n">
        <x:v>6.017</x:v>
      </x:c>
      <x:c r="E24" s="26" t="n">
        <x:v>10.415</x:v>
      </x:c>
      <x:c r="F24" s="26" t="n">
        <x:v>6.946</x:v>
      </x:c>
      <x:c r="G24" s="26" t="n">
        <x:v>84.81</x:v>
      </x:c>
      <x:c r="H24" s="26" t="n">
        <x:v>62.426</x:v>
      </x:c>
      <x:c r="I24" s="9" t="s">
        <x:v>98</x:v>
      </x:c>
    </x:row>
    <x:row r="25" ht="15" hidden="0">
      <x:c r="A25" t="s">
        <x:v>306</x:v>
      </x:c>
      <x:c r="B25" s="19" t="s">
        <x:v>862</x:v>
      </x:c>
      <x:c r="C25" s="26" t="n">
        <x:v>0</x:v>
      </x:c>
      <x:c r="D25" s="26" t="n">
        <x:v>0</x:v>
      </x:c>
      <x:c r="E25" s="26" t="n">
        <x:v>0</x:v>
      </x:c>
      <x:c r="F25" s="26" t="n">
        <x:v>0</x:v>
      </x:c>
      <x:c r="G25" s="26" t="n">
        <x:v>0</x:v>
      </x:c>
      <x:c r="H25" s="26" t="n">
        <x:v>0</x:v>
      </x:c>
      <x:c r="I25" s="9" t="s">
        <x:v>98</x:v>
      </x:c>
    </x:row>
    <x:row r="26" ht="15" hidden="0">
      <x:c r="A26" t="s">
        <x:v>308</x:v>
      </x:c>
      <x:c r="B26" s="19" t="s">
        <x:v>863</x:v>
      </x:c>
      <x:c r="C26" s="26" t="n">
        <x:v>5020</x:v>
      </x:c>
      <x:c r="D26" s="26" t="n">
        <x:v>5020</x:v>
      </x:c>
      <x:c r="E26" s="26" t="n">
        <x:v>5020</x:v>
      </x:c>
      <x:c r="F26" s="26" t="n">
        <x:v>5030</x:v>
      </x:c>
      <x:c r="G26" s="26" t="n">
        <x:v>6322</x:v>
      </x:c>
      <x:c r="H26" s="26" t="n">
        <x:v>20371.11</x:v>
      </x:c>
      <x:c r="I26" s="9" t="s">
        <x:v>98</x:v>
      </x:c>
    </x:row>
    <x:row r="27" ht="15" hidden="0">
      <x:c r="A27" t="s">
        <x:v>310</x:v>
      </x:c>
      <x:c r="B27" s="19" t="s">
        <x:v>864</x:v>
      </x:c>
      <x:c r="C27" s="26" t="n">
        <x:v>75.616</x:v>
      </x:c>
      <x:c r="D27" s="26" t="n">
        <x:v>74.306</x:v>
      </x:c>
      <x:c r="E27" s="26" t="n">
        <x:v>76.966</x:v>
      </x:c>
      <x:c r="F27" s="26" t="n">
        <x:v>76.49</x:v>
      </x:c>
      <x:c r="G27" s="26" t="n">
        <x:v>95.437</x:v>
      </x:c>
      <x:c r="H27" s="26" t="n">
        <x:v>83.919</x:v>
      </x:c>
      <x:c r="I27" s="9" t="s">
        <x:v>98</x:v>
      </x:c>
    </x:row>
    <x:row r="28" ht="15" hidden="0">
      <x:c r="A28" s="2" t="s">
        <x:v>312</x:v>
      </x:c>
      <x:c r="B28" s="19" t="s">
        <x:v>313</x:v>
      </x:c>
      <x:c r="C28" s="28" t="n">
        <x:f aca="0">C20+C23+C24+C25+C26+C27</x:f>
        <x:v>49402.58</x:v>
      </x:c>
      <x:c r="D28" s="28" t="n">
        <x:f aca="0">D20+D23+D24+D25+D26+D27</x:f>
        <x:v>49315.861999999994</x:v>
      </x:c>
      <x:c r="E28" s="28" t="n">
        <x:f aca="0">E20+E23+E24+E25+E26+E27</x:f>
        <x:v>61892.221</x:v>
      </x:c>
      <x:c r="F28" s="28" t="n">
        <x:f aca="0">F20+F23+F24+F25+F26+F27</x:f>
        <x:v>67468.04400000001</x:v>
      </x:c>
      <x:c r="G28" s="28" t="n">
        <x:f aca="0">G20+G23+G24+G25+G26+G27</x:f>
        <x:v>72497.845</x:v>
      </x:c>
      <x:c r="H28" s="28" t="n">
        <x:f aca="0">H20+H23+H24+H25+H26+H27</x:f>
        <x:v>83353.66699999999</x:v>
      </x:c>
      <x:c r="I28" s="9" t="s">
        <x:v>98</x:v>
      </x:c>
    </x:row>
    <x:row r="29" ht="15" hidden="0">
      <x:c r="A29" s="24" t="s">
        <x:v>314</x:v>
      </x:c>
      <x:c r="B29" s="25"/>
      <x:c r="C29" s="25"/>
      <x:c r="D29" s="25"/>
      <x:c r="E29" s="25"/>
      <x:c r="F29" s="25"/>
      <x:c r="G29" s="25"/>
      <x:c r="H29" s="25"/>
      <x:c r="I29" s="25"/>
      <x:c r="J29" s="25"/>
    </x:row>
    <x:row r="30" ht="15" hidden="0">
      <x:c r="A30" t="s">
        <x:v>315</x:v>
      </x:c>
      <x:c r="B30" s="19" t="s">
        <x:v>865</x:v>
      </x:c>
      <x:c r="C30" s="26" t="n">
        <x:v>8395.61</x:v>
      </x:c>
      <x:c r="D30" s="26" t="n">
        <x:v>9738.717</x:v>
      </x:c>
      <x:c r="E30" s="26" t="n">
        <x:v>12853.605</x:v>
      </x:c>
      <x:c r="F30" s="26" t="n">
        <x:v>9925.855</x:v>
      </x:c>
      <x:c r="G30" s="26" t="n">
        <x:v>12277.288</x:v>
      </x:c>
      <x:c r="H30" s="26" t="n">
        <x:v>12461.312</x:v>
      </x:c>
      <x:c r="I30" s="9" t="s">
        <x:v>98</x:v>
      </x:c>
    </x:row>
    <x:row r="31" ht="15" hidden="0">
      <x:c r="A31" t="s">
        <x:v>317</x:v>
      </x:c>
      <x:c r="B31" s="19" t="s">
        <x:v>866</x:v>
      </x:c>
      <x:c r="C31" s="26" t="n">
        <x:v>1779.404</x:v>
      </x:c>
      <x:c r="D31" s="26" t="n">
        <x:v>2150.183</x:v>
      </x:c>
      <x:c r="E31" s="26" t="n">
        <x:v>2695.621</x:v>
      </x:c>
      <x:c r="F31" s="26" t="n">
        <x:v>3874.605</x:v>
      </x:c>
      <x:c r="G31" s="26" t="n">
        <x:v>3256.553</x:v>
      </x:c>
      <x:c r="H31" s="26" t="n">
        <x:v>4442.989</x:v>
      </x:c>
      <x:c r="I31" s="9" t="s">
        <x:v>98</x:v>
      </x:c>
    </x:row>
    <x:row r="32" ht="15" hidden="0">
      <x:c r="A32" t="s">
        <x:v>319</x:v>
      </x:c>
      <x:c r="B32" s="19" t="s">
        <x:v>867</x:v>
      </x:c>
      <x:c r="C32" s="26" t="n">
        <x:v>3052.13</x:v>
      </x:c>
      <x:c r="D32" s="26" t="n">
        <x:v>1679.704</x:v>
      </x:c>
      <x:c r="E32" s="26" t="n">
        <x:v>2066.212</x:v>
      </x:c>
      <x:c r="F32" s="26" t="n">
        <x:v>2600.985</x:v>
      </x:c>
      <x:c r="G32" s="26" t="n">
        <x:v>4188.745</x:v>
      </x:c>
      <x:c r="H32" s="26" t="n">
        <x:v>4610.182</x:v>
      </x:c>
      <x:c r="I32" s="9" t="s">
        <x:v>98</x:v>
      </x:c>
    </x:row>
    <x:row r="33" ht="15" hidden="0">
      <x:c r="A33" t="s">
        <x:v>321</x:v>
      </x:c>
      <x:c r="B33" s="19" t="s">
        <x:v>868</x:v>
      </x:c>
      <x:c r="C33" s="26" t="n">
        <x:v>75.245</x:v>
      </x:c>
      <x:c r="D33" s="26" t="n">
        <x:v>149.148</x:v>
      </x:c>
      <x:c r="E33" s="26" t="n">
        <x:v>198.346</x:v>
      </x:c>
      <x:c r="F33" s="26" t="n">
        <x:v>3689.556</x:v>
      </x:c>
      <x:c r="G33" s="26" t="n">
        <x:v>4220.262</x:v>
      </x:c>
      <x:c r="H33" s="26" t="n">
        <x:v>11102.413</x:v>
      </x:c>
      <x:c r="I33" s="9" t="s">
        <x:v>98</x:v>
      </x:c>
    </x:row>
    <x:row r="34" ht="15" hidden="0">
      <x:c r="A34" t="s">
        <x:v>323</x:v>
      </x:c>
      <x:c r="B34" s="19" t="s">
        <x:v>869</x:v>
      </x:c>
      <x:c r="C34" s="26" t="n">
        <x:v>1046.267</x:v>
      </x:c>
      <x:c r="D34" s="26" t="n">
        <x:v>490.329</x:v>
      </x:c>
      <x:c r="E34" s="26" t="n">
        <x:v>793.576</x:v>
      </x:c>
      <x:c r="F34" s="26" t="n">
        <x:v>740.707</x:v>
      </x:c>
      <x:c r="G34" s="26" t="n">
        <x:v>1133.412</x:v>
      </x:c>
      <x:c r="H34" s="26" t="n">
        <x:v>1615.481</x:v>
      </x:c>
      <x:c r="I34" s="9" t="s">
        <x:v>98</x:v>
      </x:c>
    </x:row>
    <x:row r="35" ht="15" hidden="0">
      <x:c r="A35" t="s">
        <x:v>325</x:v>
      </x:c>
      <x:c r="B35" s="19" t="s">
        <x:v>870</x:v>
      </x:c>
      <x:c r="C35" s="26" t="n">
        <x:v>2258.535</x:v>
      </x:c>
      <x:c r="D35" s="26" t="n">
        <x:v>2715.335</x:v>
      </x:c>
      <x:c r="E35" s="26" t="n">
        <x:v>1714.629</x:v>
      </x:c>
      <x:c r="F35" s="26" t="n">
        <x:v>1407.959</x:v>
      </x:c>
      <x:c r="G35" s="26" t="n">
        <x:v>1791.577</x:v>
      </x:c>
      <x:c r="H35" s="26" t="n">
        <x:v>1520.227</x:v>
      </x:c>
      <x:c r="I35" s="9" t="s">
        <x:v>98</x:v>
      </x:c>
    </x:row>
    <x:row r="36" ht="15" hidden="0">
      <x:c r="A36" s="2" t="s">
        <x:v>327</x:v>
      </x:c>
      <x:c r="B36" s="19" t="s">
        <x:v>328</x:v>
      </x:c>
      <x:c r="C36" s="28" t="n">
        <x:f aca="0">C30+C31+C32+C33+C34+C35</x:f>
        <x:v>16607.191</x:v>
      </x:c>
      <x:c r="D36" s="28" t="n">
        <x:f aca="0">D30+D31+D32+D33+D34+D35</x:f>
        <x:v>16923.416</x:v>
      </x:c>
      <x:c r="E36" s="28" t="n">
        <x:f aca="0">E30+E31+E32+E33+E34+E35</x:f>
        <x:v>20321.989</x:v>
      </x:c>
      <x:c r="F36" s="28" t="n">
        <x:f aca="0">F30+F31+F32+F33+F34+F35</x:f>
        <x:v>22239.666999999998</x:v>
      </x:c>
      <x:c r="G36" s="28" t="n">
        <x:f aca="0">G30+G31+G32+G33+G34+G35</x:f>
        <x:v>26867.837</x:v>
      </x:c>
      <x:c r="H36" s="28" t="n">
        <x:f aca="0">H30+H31+H32+H33+H34+H35</x:f>
        <x:v>35752.604</x:v>
      </x:c>
      <x:c r="I36" s="9" t="s">
        <x:v>98</x:v>
      </x:c>
    </x:row>
    <x:row r="37" ht="15" hidden="0">
      <x:c r="A37" s="2" t="s">
        <x:v>329</x:v>
      </x:c>
      <x:c r="B37" s="19" t="s">
        <x:v>330</x:v>
      </x:c>
      <x:c r="C37" s="28" t="n">
        <x:f aca="0">C28+C36</x:f>
        <x:v>66009.77100000001</x:v>
      </x:c>
      <x:c r="D37" s="28" t="n">
        <x:f aca="0">D28+D36</x:f>
        <x:v>66239.27799999999</x:v>
      </x:c>
      <x:c r="E37" s="28" t="n">
        <x:f aca="0">E28+E36</x:f>
        <x:v>82214.20999999999</x:v>
      </x:c>
      <x:c r="F37" s="28" t="n">
        <x:f aca="0">F28+F36</x:f>
        <x:v>89707.71100000001</x:v>
      </x:c>
      <x:c r="G37" s="28" t="n">
        <x:f aca="0">G28+G36</x:f>
        <x:v>99365.682</x:v>
      </x:c>
      <x:c r="H37" s="28" t="n">
        <x:f aca="0">H28+H36</x:f>
        <x:v>119106.27099999998</x:v>
      </x:c>
      <x:c r="I37" s="9" t="s">
        <x:v>98</x:v>
      </x:c>
    </x:row>
    <x:row r="38" ht="15" hidden="0">
      <x:c r="A38" s="24" t="s">
        <x:v>331</x:v>
      </x:c>
      <x:c r="B38" s="25"/>
      <x:c r="C38" s="25"/>
      <x:c r="D38" s="25"/>
      <x:c r="E38" s="25"/>
      <x:c r="F38" s="25"/>
      <x:c r="G38" s="25"/>
      <x:c r="H38" s="25"/>
      <x:c r="I38" s="25"/>
      <x:c r="J38" s="25"/>
    </x:row>
    <x:row r="39" ht="15" hidden="0">
      <x:c r="A39" t="s">
        <x:v>332</x:v>
      </x:c>
      <x:c r="B39" s="19" t="s">
        <x:v>871</x:v>
      </x:c>
      <x:c r="C39" s="26" t="n">
        <x:v>10983.462</x:v>
      </x:c>
      <x:c r="D39" s="26" t="n">
        <x:v>10983.462</x:v>
      </x:c>
      <x:c r="E39" s="26" t="n">
        <x:v>10983.462</x:v>
      </x:c>
      <x:c r="F39" s="26" t="n">
        <x:v>10733.462</x:v>
      </x:c>
      <x:c r="G39" s="26" t="n">
        <x:v>10475.626</x:v>
      </x:c>
      <x:c r="H39" s="26" t="n">
        <x:v>10475.626</x:v>
      </x:c>
      <x:c r="I39" s="9" t="s">
        <x:v>98</x:v>
      </x:c>
    </x:row>
    <x:row r="40" ht="15" hidden="0">
      <x:c r="A40" t="s">
        <x:v>334</x:v>
      </x:c>
      <x:c r="B40" s="19" t="s">
        <x:v>872</x:v>
      </x:c>
      <x:c r="C40" s="26" t="n">
        <x:v>20337.369</x:v>
      </x:c>
      <x:c r="D40" s="26" t="n">
        <x:v>26559.079</x:v>
      </x:c>
      <x:c r="E40" s="26" t="n">
        <x:v>29575.553</x:v>
      </x:c>
      <x:c r="F40" s="26" t="n">
        <x:v>34179.652</x:v>
      </x:c>
      <x:c r="G40" s="26" t="n">
        <x:v>42140.282</x:v>
      </x:c>
      <x:c r="H40" s="26" t="n">
        <x:v>60985.966</x:v>
      </x:c>
      <x:c r="I40" s="9" t="s">
        <x:v>98</x:v>
      </x:c>
    </x:row>
    <x:row r="41" ht="15" hidden="0">
      <x:c r="A41" s="2" t="s">
        <x:v>336</x:v>
      </x:c>
      <x:c r="B41" s="19" t="s">
        <x:v>337</x:v>
      </x:c>
      <x:c r="C41" s="28" t="n">
        <x:f aca="0">C39+C40</x:f>
        <x:v>31320.831</x:v>
      </x:c>
      <x:c r="D41" s="28" t="n">
        <x:f aca="0">D39+D40</x:f>
        <x:v>37542.541</x:v>
      </x:c>
      <x:c r="E41" s="28" t="n">
        <x:f aca="0">E39+E40</x:f>
        <x:v>40559.015</x:v>
      </x:c>
      <x:c r="F41" s="28" t="n">
        <x:f aca="0">F39+F40</x:f>
        <x:v>44913.114</x:v>
      </x:c>
      <x:c r="G41" s="28" t="n">
        <x:f aca="0">G39+G40</x:f>
        <x:v>52615.907999999996</x:v>
      </x:c>
      <x:c r="H41" s="28" t="n">
        <x:f aca="0">H39+H40</x:f>
        <x:v>71461.592</x:v>
      </x:c>
      <x:c r="I41" s="9" t="s">
        <x:v>98</x:v>
      </x:c>
    </x:row>
    <x:row r="42" ht="15" hidden="0">
      <x:c r="A42" s="24" t="s">
        <x:v>338</x:v>
      </x:c>
      <x:c r="B42" s="25"/>
      <x:c r="C42" s="25"/>
      <x:c r="D42" s="25"/>
      <x:c r="E42" s="25"/>
      <x:c r="F42" s="25"/>
      <x:c r="G42" s="25"/>
      <x:c r="H42" s="25"/>
      <x:c r="I42" s="25"/>
      <x:c r="J42" s="25"/>
    </x:row>
    <x:row r="43" ht="15" hidden="0">
      <x:c r="A43" t="s">
        <x:v>339</x:v>
      </x:c>
      <x:c r="B43" s="19" t="s">
        <x:v>873</x:v>
      </x:c>
      <x:c r="C43" s="26" t="n">
        <x:v>15173.102</x:v>
      </x:c>
      <x:c r="D43" s="26" t="n">
        <x:v>12636.749</x:v>
      </x:c>
      <x:c r="E43" s="26" t="n">
        <x:v>18747.868</x:v>
      </x:c>
      <x:c r="F43" s="26" t="n">
        <x:v>17233.337</x:v>
      </x:c>
      <x:c r="G43" s="26" t="n">
        <x:v>14285.786</x:v>
      </x:c>
      <x:c r="H43" s="26" t="n">
        <x:v>9781.639</x:v>
      </x:c>
      <x:c r="I43" s="9" t="s">
        <x:v>98</x:v>
      </x:c>
    </x:row>
    <x:row r="44" ht="15" hidden="0">
      <x:c r="A44" t="s">
        <x:v>341</x:v>
      </x:c>
      <x:c r="B44" s="19" t="s">
        <x:v>874</x:v>
      </x:c>
      <x:c r="C44" s="26" t="n">
        <x:v>0</x:v>
      </x:c>
      <x:c r="D44" s="26" t="n">
        <x:v>0</x:v>
      </x:c>
      <x:c r="E44" s="26" t="n">
        <x:v>27.136</x:v>
      </x:c>
      <x:c r="F44" s="26" t="n">
        <x:v>31.408</x:v>
      </x:c>
      <x:c r="G44" s="26" t="n">
        <x:v>34.67</x:v>
      </x:c>
      <x:c r="H44" s="26" t="n">
        <x:v>28.495</x:v>
      </x:c>
      <x:c r="I44" s="9" t="s">
        <x:v>98</x:v>
      </x:c>
    </x:row>
    <x:row r="45" ht="15" hidden="0">
      <x:c r="A45" t="s">
        <x:v>343</x:v>
      </x:c>
      <x:c r="B45" s="19" t="s">
        <x:v>875</x:v>
      </x:c>
      <x:c r="C45" s="26" t="n">
        <x:v>0</x:v>
      </x:c>
      <x:c r="D45" s="26" t="n">
        <x:v>49.569</x:v>
      </x:c>
      <x:c r="E45" s="26" t="n">
        <x:v>786.758</x:v>
      </x:c>
      <x:c r="F45" s="26" t="n">
        <x:v>605.926</x:v>
      </x:c>
      <x:c r="G45" s="26" t="n">
        <x:v>450.487</x:v>
      </x:c>
      <x:c r="H45" s="26" t="n">
        <x:v>322.304</x:v>
      </x:c>
      <x:c r="I45" s="9" t="s">
        <x:v>98</x:v>
      </x:c>
    </x:row>
    <x:row r="46" ht="15" hidden="0">
      <x:c r="A46" t="s">
        <x:v>345</x:v>
      </x:c>
      <x:c r="B46" s="19" t="s">
        <x:v>876</x:v>
      </x:c>
      <x:c r="C46" s="26" t="n">
        <x:v>3379.44</x:v>
      </x:c>
      <x:c r="D46" s="26" t="n">
        <x:v>3889.907</x:v>
      </x:c>
      <x:c r="E46" s="26" t="n">
        <x:v>5656.499</x:v>
      </x:c>
      <x:c r="F46" s="26" t="n">
        <x:v>8669.211</x:v>
      </x:c>
      <x:c r="G46" s="26" t="n">
        <x:v>13044.29</x:v>
      </x:c>
      <x:c r="H46" s="26" t="n">
        <x:v>13822.898</x:v>
      </x:c>
      <x:c r="I46" s="9" t="s">
        <x:v>98</x:v>
      </x:c>
    </x:row>
    <x:row r="47" ht="15" hidden="0">
      <x:c r="A47" t="s">
        <x:v>347</x:v>
      </x:c>
      <x:c r="B47" s="19" t="s">
        <x:v>877</x:v>
      </x:c>
      <x:c r="C47" s="26" t="n">
        <x:v>822.623</x:v>
      </x:c>
      <x:c r="D47" s="26" t="n">
        <x:v>671.064</x:v>
      </x:c>
      <x:c r="E47" s="26" t="n">
        <x:v>243.543</x:v>
      </x:c>
      <x:c r="F47" s="26" t="n">
        <x:v>2039.694</x:v>
      </x:c>
      <x:c r="G47" s="26" t="n">
        <x:v>336.741</x:v>
      </x:c>
      <x:c r="H47" s="26" t="n">
        <x:v>358.852</x:v>
      </x:c>
      <x:c r="I47" s="9" t="s">
        <x:v>98</x:v>
      </x:c>
    </x:row>
    <x:row r="48" ht="15" hidden="0">
      <x:c r="A48" s="2" t="s">
        <x:v>349</x:v>
      </x:c>
      <x:c r="B48" s="19" t="s">
        <x:v>350</x:v>
      </x:c>
      <x:c r="C48" s="28" t="n">
        <x:f aca="0">C43+C44+C45+C46+C47</x:f>
        <x:v>19375.165</x:v>
      </x:c>
      <x:c r="D48" s="28" t="n">
        <x:f aca="0">D43+D44+D45+D46+D47</x:f>
        <x:v>17247.288999999997</x:v>
      </x:c>
      <x:c r="E48" s="28" t="n">
        <x:f aca="0">E43+E44+E45+E46+E47</x:f>
        <x:v>25461.804</x:v>
      </x:c>
      <x:c r="F48" s="28" t="n">
        <x:f aca="0">F43+F44+F45+F46+F47</x:f>
        <x:v>28579.575999999997</x:v>
      </x:c>
      <x:c r="G48" s="28" t="n">
        <x:f aca="0">G43+G44+G45+G46+G47</x:f>
        <x:v>28151.974000000002</x:v>
      </x:c>
      <x:c r="H48" s="28" t="n">
        <x:f aca="0">H43+H44+H45+H46+H47</x:f>
        <x:v>24314.188</x:v>
      </x:c>
      <x:c r="I48" s="9" t="s">
        <x:v>98</x:v>
      </x:c>
    </x:row>
    <x:row r="49" ht="15" hidden="0">
      <x:c r="A49" s="24" t="s">
        <x:v>351</x:v>
      </x:c>
      <x:c r="B49" s="25"/>
      <x:c r="C49" s="25"/>
      <x:c r="D49" s="25"/>
      <x:c r="E49" s="25"/>
      <x:c r="F49" s="25"/>
      <x:c r="G49" s="25"/>
      <x:c r="H49" s="25"/>
      <x:c r="I49" s="25"/>
      <x:c r="J49" s="25"/>
    </x:row>
    <x:row r="50" ht="15" hidden="0">
      <x:c r="A50" t="s">
        <x:v>352</x:v>
      </x:c>
      <x:c r="B50" s="19" t="s">
        <x:v>878</x:v>
      </x:c>
      <x:c r="C50" s="26" t="n">
        <x:v>7951.221</x:v>
      </x:c>
      <x:c r="D50" s="26" t="n">
        <x:v>7511.637</x:v>
      </x:c>
      <x:c r="E50" s="26" t="n">
        <x:v>9117.414</x:v>
      </x:c>
      <x:c r="F50" s="26" t="n">
        <x:v>12518.18</x:v>
      </x:c>
      <x:c r="G50" s="26" t="n">
        <x:v>12482.233</x:v>
      </x:c>
      <x:c r="H50" s="26" t="n">
        <x:v>17926.267</x:v>
      </x:c>
      <x:c r="I50" s="9" t="s">
        <x:v>98</x:v>
      </x:c>
    </x:row>
    <x:row r="51" ht="15" hidden="0">
      <x:c r="A51" t="s">
        <x:v>354</x:v>
      </x:c>
      <x:c r="B51" s="19" t="s">
        <x:v>879</x:v>
      </x:c>
      <x:c r="C51" s="26" t="n">
        <x:v>3886.684</x:v>
      </x:c>
      <x:c r="D51" s="26" t="n">
        <x:v>3515.408</x:v>
      </x:c>
      <x:c r="E51" s="26" t="n">
        <x:v>3975.712</x:v>
      </x:c>
      <x:c r="F51" s="26" t="n">
        <x:v>4804.356</x:v>
      </x:c>
      <x:c r="G51" s="26" t="n">
        <x:v>4575.18</x:v>
      </x:c>
      <x:c r="H51" s="26" t="n">
        <x:v>5869.802</x:v>
      </x:c>
      <x:c r="I51" s="9" t="s">
        <x:v>98</x:v>
      </x:c>
    </x:row>
    <x:row r="52" ht="15" hidden="0">
      <x:c r="A52" t="s">
        <x:v>356</x:v>
      </x:c>
      <x:c r="B52" s="19" t="s">
        <x:v>880</x:v>
      </x:c>
      <x:c r="C52" s="26" t="n">
        <x:v>0</x:v>
      </x:c>
      <x:c r="D52" s="26" t="n">
        <x:v>0</x:v>
      </x:c>
      <x:c r="E52" s="26" t="n">
        <x:v>0</x:v>
      </x:c>
      <x:c r="F52" s="26" t="n">
        <x:v>0</x:v>
      </x:c>
      <x:c r="G52" s="26" t="n">
        <x:v>0</x:v>
      </x:c>
      <x:c r="H52" s="26" t="n">
        <x:v>0</x:v>
      </x:c>
      <x:c r="I52" s="9" t="s">
        <x:v>98</x:v>
      </x:c>
    </x:row>
    <x:row r="53" ht="15" hidden="0">
      <x:c r="A53" t="s">
        <x:v>358</x:v>
      </x:c>
      <x:c r="B53" s="19" t="s">
        <x:v>881</x:v>
      </x:c>
      <x:c r="C53" s="26" t="n">
        <x:v>547.189</x:v>
      </x:c>
      <x:c r="D53" s="26" t="n">
        <x:v>260.953</x:v>
      </x:c>
      <x:c r="E53" s="26" t="n">
        <x:v>665.122</x:v>
      </x:c>
      <x:c r="F53" s="26" t="n">
        <x:v>880.039</x:v>
      </x:c>
      <x:c r="G53" s="26" t="n">
        <x:v>865.945</x:v>
      </x:c>
      <x:c r="H53" s="26" t="n">
        <x:v>320.434</x:v>
      </x:c>
      <x:c r="I53" s="9" t="s">
        <x:v>98</x:v>
      </x:c>
    </x:row>
    <x:row r="54" ht="15" hidden="0">
      <x:c r="A54" t="s">
        <x:v>360</x:v>
      </x:c>
      <x:c r="B54" s="19" t="s">
        <x:v>882</x:v>
      </x:c>
      <x:c r="C54" s="26" t="n">
        <x:v>6642.312</x:v>
      </x:c>
      <x:c r="D54" s="26" t="n">
        <x:v>1894.115</x:v>
      </x:c>
      <x:c r="E54" s="26" t="n">
        <x:v>3572.073</x:v>
      </x:c>
      <x:c r="F54" s="26" t="n">
        <x:v>0</x:v>
      </x:c>
      <x:c r="G54" s="26" t="n">
        <x:v>1645.316</x:v>
      </x:c>
      <x:c r="H54" s="26" t="n">
        <x:v>822.285</x:v>
      </x:c>
      <x:c r="I54" s="9" t="s">
        <x:v>98</x:v>
      </x:c>
    </x:row>
    <x:row r="55" ht="15" hidden="0">
      <x:c r="A55" t="s">
        <x:v>362</x:v>
      </x:c>
      <x:c r="B55" s="19" t="s">
        <x:v>883</x:v>
      </x:c>
      <x:c r="C55" s="26" t="n">
        <x:v>125</x:v>
      </x:c>
      <x:c r="D55" s="26" t="n">
        <x:v>1704.612</x:v>
      </x:c>
      <x:c r="E55" s="26" t="n">
        <x:v>2619.8</x:v>
      </x:c>
      <x:c r="F55" s="26" t="n">
        <x:v>2599.401</x:v>
      </x:c>
      <x:c r="G55" s="26" t="n">
        <x:v>3407.702</x:v>
      </x:c>
      <x:c r="H55" s="26" t="n">
        <x:v>3933.328</x:v>
      </x:c>
      <x:c r="I55" s="9" t="s">
        <x:v>98</x:v>
      </x:c>
    </x:row>
    <x:row r="56" ht="15" hidden="0">
      <x:c r="A56" t="s">
        <x:v>364</x:v>
      </x:c>
      <x:c r="B56" s="19" t="s">
        <x:v>884</x:v>
      </x:c>
      <x:c r="C56" s="26" t="n">
        <x:v>0</x:v>
      </x:c>
      <x:c r="D56" s="26" t="n">
        <x:v>0</x:v>
      </x:c>
      <x:c r="E56" s="26" t="n">
        <x:v>6.837</x:v>
      </x:c>
      <x:c r="F56" s="26" t="n">
        <x:v>10.257</x:v>
      </x:c>
      <x:c r="G56" s="26" t="n">
        <x:v>13.909</x:v>
      </x:c>
      <x:c r="H56" s="26" t="n">
        <x:v>14.323</x:v>
      </x:c>
      <x:c r="I56" s="9" t="s">
        <x:v>98</x:v>
      </x:c>
    </x:row>
    <x:row r="57" ht="15" hidden="0">
      <x:c r="A57" t="s">
        <x:v>366</x:v>
      </x:c>
      <x:c r="B57" s="19" t="s">
        <x:v>885</x:v>
      </x:c>
      <x:c r="C57" s="26" t="n">
        <x:v>0</x:v>
      </x:c>
      <x:c r="D57" s="26" t="n">
        <x:v>49.997</x:v>
      </x:c>
      <x:c r="E57" s="26" t="n">
        <x:v>184.576</x:v>
      </x:c>
      <x:c r="F57" s="26" t="n">
        <x:v>179.766</x:v>
      </x:c>
      <x:c r="G57" s="26" t="n">
        <x:v>155.439</x:v>
      </x:c>
      <x:c r="H57" s="26" t="n">
        <x:v>128.183</x:v>
      </x:c>
      <x:c r="I57" s="9" t="s">
        <x:v>98</x:v>
      </x:c>
    </x:row>
    <x:row r="58" ht="15" hidden="0">
      <x:c r="A58" t="s">
        <x:v>368</x:v>
      </x:c>
      <x:c r="B58" s="19" t="s">
        <x:v>886</x:v>
      </x:c>
      <x:c r="C58" s="26" t="n">
        <x:v>48.053</x:v>
      </x:c>
      <x:c r="D58" s="26" t="n">
        <x:v>28.134</x:v>
      </x:c>
      <x:c r="E58" s="26" t="n">
        <x:v>27.569</x:v>
      </x:c>
      <x:c r="F58" s="26" t="n">
        <x:v>27.378</x:v>
      </x:c>
      <x:c r="G58" s="26" t="n">
        <x:v>27.256</x:v>
      </x:c>
      <x:c r="H58" s="26" t="n">
        <x:v>26.877</x:v>
      </x:c>
      <x:c r="I58" s="9" t="s">
        <x:v>98</x:v>
      </x:c>
    </x:row>
    <x:row r="59" ht="15" hidden="0">
      <x:c r="A59" t="s">
        <x:v>370</x:v>
      </x:c>
      <x:c r="B59" s="19" t="s">
        <x:v>887</x:v>
      </x:c>
      <x:c r="C59" s="26" t="n">
        <x:v>0</x:v>
      </x:c>
      <x:c r="D59" s="26" t="n">
        <x:v>0</x:v>
      </x:c>
      <x:c r="E59" s="26" t="n">
        <x:v>0</x:v>
      </x:c>
      <x:c r="F59" s="26" t="n">
        <x:v>0</x:v>
      </x:c>
      <x:c r="G59" s="26" t="n">
        <x:v>0</x:v>
      </x:c>
      <x:c r="H59" s="26" t="n">
        <x:v>158.794</x:v>
      </x:c>
      <x:c r="I59" s="9" t="s">
        <x:v>98</x:v>
      </x:c>
    </x:row>
    <x:row r="60" ht="15" hidden="0">
      <x:c r="A60" t="s">
        <x:v>372</x:v>
      </x:c>
      <x:c r="B60" s="19" t="s">
        <x:v>888</x:v>
      </x:c>
      <x:c r="C60" s="26" t="n">
        <x:v>0</x:v>
      </x:c>
      <x:c r="D60" s="26" t="n">
        <x:v>0</x:v>
      </x:c>
      <x:c r="E60" s="26" t="n">
        <x:v>0</x:v>
      </x:c>
      <x:c r="F60" s="26" t="n">
        <x:v>0</x:v>
      </x:c>
      <x:c r="G60" s="26" t="n">
        <x:v>0</x:v>
      </x:c>
      <x:c r="H60" s="26" t="n">
        <x:v>0</x:v>
      </x:c>
      <x:c r="I60" s="9" t="s">
        <x:v>98</x:v>
      </x:c>
    </x:row>
    <x:row r="61" ht="15" hidden="0">
      <x:c r="A61" s="2" t="s">
        <x:v>374</x:v>
      </x:c>
      <x:c r="B61" s="19" t="s">
        <x:v>375</x:v>
      </x:c>
      <x:c r="C61" s="28" t="n">
        <x:f aca="0">C50+C52+C53+C54+C55+C56+C57+C58+C59+C60</x:f>
        <x:v>15313.775</x:v>
      </x:c>
      <x:c r="D61" s="28" t="n">
        <x:f aca="0">D50+D52+D53+D54+D55+D56+D57+D58+D59+D60</x:f>
        <x:v>11449.447999999999</x:v>
      </x:c>
      <x:c r="E61" s="28" t="n">
        <x:f aca="0">E50+E52+E53+E54+E55+E56+E57+E58+E59+E60</x:f>
        <x:v>16193.390999999998</x:v>
      </x:c>
      <x:c r="F61" s="28" t="n">
        <x:f aca="0">F50+F52+F53+F54+F55+F56+F57+F58+F59+F60</x:f>
        <x:v>16215.021</x:v>
      </x:c>
      <x:c r="G61" s="28" t="n">
        <x:f aca="0">G50+G52+G53+G54+G55+G56+G57+G58+G59+G60</x:f>
        <x:v>18597.8</x:v>
      </x:c>
      <x:c r="H61" s="28" t="n">
        <x:f aca="0">H50+H52+H53+H54+H55+H56+H57+H58+H59+H60</x:f>
        <x:v>23330.491000000005</x:v>
      </x:c>
      <x:c r="I61" s="9" t="s">
        <x:v>98</x:v>
      </x:c>
      <x:c r="J61" s="9" t="s">
        <x:v>376</x:v>
      </x:c>
    </x:row>
    <x:row r="62" ht="15" hidden="0">
      <x:c r="A62" s="2" t="s">
        <x:v>377</x:v>
      </x:c>
      <x:c r="B62" s="19" t="s">
        <x:v>378</x:v>
      </x:c>
      <x:c r="C62" s="28" t="n">
        <x:f aca="0">C48+C61</x:f>
        <x:v>34688.94</x:v>
      </x:c>
      <x:c r="D62" s="28" t="n">
        <x:f aca="0">D48+D61</x:f>
        <x:v>28696.736999999994</x:v>
      </x:c>
      <x:c r="E62" s="28" t="n">
        <x:f aca="0">E48+E61</x:f>
        <x:v>41655.195</x:v>
      </x:c>
      <x:c r="F62" s="28" t="n">
        <x:f aca="0">F48+F61</x:f>
        <x:v>44794.596999999994</x:v>
      </x:c>
      <x:c r="G62" s="28" t="n">
        <x:f aca="0">G48+G61</x:f>
        <x:v>46749.774000000005</x:v>
      </x:c>
      <x:c r="H62" s="28" t="n">
        <x:f aca="0">H48+H61</x:f>
        <x:v>47644.679000000004</x:v>
      </x:c>
      <x:c r="I62" s="9" t="s">
        <x:v>98</x:v>
      </x:c>
    </x:row>
    <x:row r="63" ht="15" hidden="0">
      <x:c r="A63" s="2" t="s">
        <x:v>379</x:v>
      </x:c>
      <x:c r="B63" s="19" t="s">
        <x:v>380</x:v>
      </x:c>
      <x:c r="C63" s="28" t="n">
        <x:f aca="0">C41+C62</x:f>
        <x:v>66009.77100000001</x:v>
      </x:c>
      <x:c r="D63" s="28" t="n">
        <x:f aca="0">D41+D62</x:f>
        <x:v>66239.27799999999</x:v>
      </x:c>
      <x:c r="E63" s="28" t="n">
        <x:f aca="0">E41+E62</x:f>
        <x:v>82214.20999999999</x:v>
      </x:c>
      <x:c r="F63" s="28" t="n">
        <x:f aca="0">F41+F62</x:f>
        <x:v>89707.711</x:v>
      </x:c>
      <x:c r="G63" s="28" t="n">
        <x:f aca="0">G41+G62</x:f>
        <x:v>99365.682</x:v>
      </x:c>
      <x:c r="H63" s="28" t="n">
        <x:f aca="0">H41+H62</x:f>
        <x:v>119106.27100000001</x:v>
      </x:c>
      <x:c r="I63" s="9" t="s">
        <x:v>98</x:v>
      </x:c>
    </x:row>
    <x:row r="64" ht="15" hidden="0">
      <x:c r="A64" s="24" t="s">
        <x:v>381</x:v>
      </x:c>
      <x:c r="B64" s="25"/>
      <x:c r="C64" s="25"/>
      <x:c r="D64" s="25"/>
      <x:c r="E64" s="25"/>
      <x:c r="F64" s="25"/>
      <x:c r="G64" s="25"/>
      <x:c r="H64" s="25"/>
      <x:c r="I64" s="25"/>
      <x:c r="J64" s="25"/>
    </x:row>
    <x:row r="65" ht="15" hidden="0">
      <x:c r="A65" t="s">
        <x:v>382</x:v>
      </x:c>
      <x:c r="B65" s="19" t="s">
        <x:v>383</x:v>
      </x:c>
      <x:c r="C65" s="27" t="n">
        <x:f aca="0">C30+C31</x:f>
        <x:v>10175.014000000001</x:v>
      </x:c>
      <x:c r="D65" s="27" t="n">
        <x:f aca="0">D30+D31</x:f>
        <x:v>11888.900000000001</x:v>
      </x:c>
      <x:c r="E65" s="27" t="n">
        <x:f aca="0">E30+E31</x:f>
        <x:v>15549.225999999999</x:v>
      </x:c>
      <x:c r="F65" s="27" t="n">
        <x:f aca="0">F30+F31</x:f>
        <x:v>13800.46</x:v>
      </x:c>
      <x:c r="G65" s="27" t="n">
        <x:f aca="0">G30+G31</x:f>
        <x:v>15533.841</x:v>
      </x:c>
      <x:c r="H65" s="27" t="n">
        <x:f aca="0">H30+H31</x:f>
        <x:v>16904.301</x:v>
      </x:c>
      <x:c r="I65" s="9" t="s">
        <x:v>98</x:v>
      </x:c>
    </x:row>
    <x:row r="66" ht="15" hidden="0">
      <x:c r="A66" t="s">
        <x:v>384</x:v>
      </x:c>
      <x:c r="B66" s="19" t="s">
        <x:v>385</x:v>
      </x:c>
      <x:c r="C66" s="27" t="n">
        <x:f aca="0">C43+C44+C54+C55+C56</x:f>
        <x:v>21940.414</x:v>
      </x:c>
      <x:c r="D66" s="27" t="n">
        <x:f aca="0">D43+D44+D54+D55+D56</x:f>
        <x:v>16235.475999999999</x:v>
      </x:c>
      <x:c r="E66" s="27" t="n">
        <x:f aca="0">E43+E44+E54+E55+E56</x:f>
        <x:v>24973.713999999996</x:v>
      </x:c>
      <x:c r="F66" s="27" t="n">
        <x:f aca="0">F43+F44+F54+F55+F56</x:f>
        <x:v>19874.403000000002</x:v>
      </x:c>
      <x:c r="G66" s="27" t="n">
        <x:f aca="0">G43+G44+G54+G55+G56</x:f>
        <x:v>19387.383</x:v>
      </x:c>
      <x:c r="H66" s="27" t="n">
        <x:f aca="0">H43+H44+H54+H55+H56</x:f>
        <x:v>14580.07</x:v>
      </x:c>
      <x:c r="I66" s="9" t="s">
        <x:v>98</x:v>
      </x:c>
    </x:row>
    <x:row r="67" ht="15" hidden="0">
      <x:c r="A67" t="s">
        <x:v>386</x:v>
      </x:c>
      <x:c r="B67" s="19" t="s">
        <x:v>387</x:v>
      </x:c>
      <x:c r="C67" s="27" t="n">
        <x:f aca="0">C43+C44</x:f>
        <x:v>15173.102</x:v>
      </x:c>
      <x:c r="D67" s="27" t="n">
        <x:f aca="0">D43+D44</x:f>
        <x:v>12636.749</x:v>
      </x:c>
      <x:c r="E67" s="27" t="n">
        <x:f aca="0">E43+E44</x:f>
        <x:v>18775.003999999997</x:v>
      </x:c>
      <x:c r="F67" s="27" t="n">
        <x:f aca="0">F43+F44</x:f>
        <x:v>17264.745</x:v>
      </x:c>
      <x:c r="G67" s="27" t="n">
        <x:f aca="0">G43+G44</x:f>
        <x:v>14320.456</x:v>
      </x:c>
      <x:c r="H67" s="27" t="n">
        <x:f aca="0">H43+H44</x:f>
        <x:v>9810.134</x:v>
      </x:c>
      <x:c r="I67" s="9" t="s">
        <x:v>98</x:v>
      </x:c>
    </x:row>
    <x:row r="68" ht="15" hidden="0">
      <x:c r="A68" t="s">
        <x:v>388</x:v>
      </x:c>
      <x:c r="B68" s="19" t="s">
        <x:v>389</x:v>
      </x:c>
      <x:c r="C68" s="27" t="n">
        <x:f aca="0">C66-C34</x:f>
        <x:v>20894.147</x:v>
      </x:c>
      <x:c r="D68" s="27" t="n">
        <x:f aca="0">D66-D34</x:f>
        <x:v>15745.146999999999</x:v>
      </x:c>
      <x:c r="E68" s="27" t="n">
        <x:f aca="0">E66-E34</x:f>
        <x:v>24180.137999999995</x:v>
      </x:c>
      <x:c r="F68" s="27" t="n">
        <x:f aca="0">F66-F34</x:f>
        <x:v>19133.696000000004</x:v>
      </x:c>
      <x:c r="G68" s="27" t="n">
        <x:f aca="0">G66-G34</x:f>
        <x:v>18253.971</x:v>
      </x:c>
      <x:c r="H68" s="27" t="n">
        <x:f aca="0">H66-H34</x:f>
        <x:v>12964.589</x:v>
      </x:c>
      <x:c r="I68" s="9" t="s">
        <x:v>98</x:v>
      </x:c>
    </x:row>
    <x:row r="69" ht="15" hidden="0">
      <x:c r="A69" t="s">
        <x:v>390</x:v>
      </x:c>
      <x:c r="B69" s="19" t="s">
        <x:v>391</x:v>
      </x:c>
      <x:c r="C69" s="27" t="n">
        <x:f aca="0">C66-C34-C33</x:f>
        <x:v>20818.902000000002</x:v>
      </x:c>
      <x:c r="D69" s="27" t="n">
        <x:f aca="0">D66-D34-D33</x:f>
        <x:v>15595.999</x:v>
      </x:c>
      <x:c r="E69" s="27" t="n">
        <x:f aca="0">E66-E34-E33</x:f>
        <x:v>23981.791999999994</x:v>
      </x:c>
      <x:c r="F69" s="27" t="n">
        <x:f aca="0">F66-F34-F33</x:f>
        <x:v>15444.140000000003</x:v>
      </x:c>
      <x:c r="G69" s="27" t="n">
        <x:f aca="0">G66-G34-G33</x:f>
        <x:v>14033.709000000003</x:v>
      </x:c>
      <x:c r="H69" s="27" t="n">
        <x:f aca="0">H66-H34-H33</x:f>
        <x:v>1862.1759999999995</x:v>
      </x:c>
      <x:c r="I69" s="9" t="s">
        <x:v>98</x:v>
      </x:c>
    </x:row>
    <x:row r="70" ht="15" hidden="0">
      <x:c r="A70" t="s">
        <x:v>392</x:v>
      </x:c>
      <x:c r="B70" s="19" t="s">
        <x:v>393</x:v>
      </x:c>
      <x:c r="C70" s="27" t="n">
        <x:f aca="0">C66+C41</x:f>
        <x:v>53261.244999999995</x:v>
      </x:c>
      <x:c r="D70" s="27" t="n">
        <x:f aca="0">D66+D41</x:f>
        <x:v>53778.01699999999</x:v>
      </x:c>
      <x:c r="E70" s="27" t="n">
        <x:f aca="0">E66+E41</x:f>
        <x:v>65532.72899999999</x:v>
      </x:c>
      <x:c r="F70" s="27" t="n">
        <x:f aca="0">F66+F41</x:f>
        <x:v>64787.51700000001</x:v>
      </x:c>
      <x:c r="G70" s="27" t="n">
        <x:f aca="0">G66+G41</x:f>
        <x:v>72003.291</x:v>
      </x:c>
      <x:c r="H70" s="27" t="n">
        <x:f aca="0">H66+H41</x:f>
        <x:v>86041.66200000001</x:v>
      </x:c>
      <x:c r="I70" s="9" t="s">
        <x:v>98</x:v>
      </x:c>
    </x:row>
    <x:row r="71" ht="15" hidden="0">
      <x:c r="A71" t="s">
        <x:v>394</x:v>
      </x:c>
      <x:c r="B71" s="19" t="s">
        <x:v>395</x:v>
      </x:c>
      <x:c r="C71" s="27" t="n">
        <x:f aca="0">C37-C61</x:f>
        <x:v>50695.99600000001</x:v>
      </x:c>
      <x:c r="D71" s="27" t="n">
        <x:f aca="0">D37-D61</x:f>
        <x:v>54789.829999999994</x:v>
      </x:c>
      <x:c r="E71" s="27" t="n">
        <x:f aca="0">E37-E61</x:f>
        <x:v>66020.81899999999</x:v>
      </x:c>
      <x:c r="F71" s="27" t="n">
        <x:f aca="0">F37-F61</x:f>
        <x:v>73492.69</x:v>
      </x:c>
      <x:c r="G71" s="27" t="n">
        <x:f aca="0">G37-G61</x:f>
        <x:v>80767.882</x:v>
      </x:c>
      <x:c r="H71" s="27" t="n">
        <x:f aca="0">H37-H61</x:f>
        <x:v>95775.77999999997</x:v>
      </x:c>
      <x:c r="I71" s="9" t="s">
        <x:v>98</x:v>
      </x:c>
    </x:row>
    <x:row r="72" ht="15" hidden="0">
      <x:c r="A72" t="s">
        <x:v>396</x:v>
      </x:c>
      <x:c r="B72" s="19" t="s">
        <x:v>397</x:v>
      </x:c>
      <x:c r="C72" s="27" t="n">
        <x:f aca="0">C36-C34-C33</x:f>
        <x:v>15485.678999999998</x:v>
      </x:c>
      <x:c r="D72" s="27" t="n">
        <x:f aca="0">D36-D34-D33</x:f>
        <x:v>16283.939</x:v>
      </x:c>
      <x:c r="E72" s="27" t="n">
        <x:f aca="0">E36-E34-E33</x:f>
        <x:v>19330.067</x:v>
      </x:c>
      <x:c r="F72" s="27" t="n">
        <x:f aca="0">F36-F34-F33</x:f>
        <x:v>17809.404</x:v>
      </x:c>
      <x:c r="G72" s="27" t="n">
        <x:f aca="0">G36-G34-G33</x:f>
        <x:v>21514.163</x:v>
      </x:c>
      <x:c r="H72" s="27" t="n">
        <x:f aca="0">H36-H34-H33</x:f>
        <x:v>23034.71</x:v>
      </x:c>
      <x:c r="I72" s="9" t="s">
        <x:v>98</x:v>
      </x:c>
    </x:row>
    <x:row r="73" ht="15" hidden="0">
      <x:c r="A73" t="s">
        <x:v>398</x:v>
      </x:c>
      <x:c r="B73" s="19" t="s">
        <x:v>399</x:v>
      </x:c>
      <x:c r="C73" s="27" t="n">
        <x:f aca="0">C61-C54-C55-C56-C57-C53-C58</x:f>
        <x:v>7951.221</x:v>
      </x:c>
      <x:c r="D73" s="27" t="n">
        <x:f aca="0">D61-D54-D55-D56-D57-D53-D58</x:f>
        <x:v>7511.636999999999</x:v>
      </x:c>
      <x:c r="E73" s="27" t="n">
        <x:f aca="0">E61-E54-E55-E56-E57-E53-E58</x:f>
        <x:v>9117.413999999999</x:v>
      </x:c>
      <x:c r="F73" s="27" t="n">
        <x:f aca="0">F61-F54-F55-F56-F57-F53-F58</x:f>
        <x:v>12518.18</x:v>
      </x:c>
      <x:c r="G73" s="27" t="n">
        <x:f aca="0">G61-G54-G55-G56-G57-G53-G58</x:f>
        <x:v>12482.233</x:v>
      </x:c>
      <x:c r="H73" s="27" t="n">
        <x:f aca="0">H61-H54-H55-H56-H57-H53-H58</x:f>
        <x:v>18085.061</x:v>
      </x:c>
      <x:c r="I73" s="9" t="s">
        <x:v>98</x:v>
      </x:c>
    </x:row>
    <x:row r="74" ht="15" hidden="0">
      <x:c r="A74" s="24" t="s">
        <x:v>400</x:v>
      </x:c>
      <x:c r="B74" s="25"/>
      <x:c r="C74" s="25"/>
      <x:c r="D74" s="25"/>
      <x:c r="E74" s="25"/>
      <x:c r="F74" s="25"/>
      <x:c r="G74" s="25"/>
      <x:c r="H74" s="25"/>
      <x:c r="I74" s="25"/>
      <x:c r="J74" s="25"/>
    </x:row>
    <x:row r="75" ht="15" hidden="0">
      <x:c r="A75" t="s">
        <x:v>401</x:v>
      </x:c>
      <x:c r="B75" s="19" t="s">
        <x:v>889</x:v>
      </x:c>
      <x:c r="C75" s="26" t="n">
        <x:v>66009.771</x:v>
      </x:c>
      <x:c r="D75" s="26" t="n">
        <x:v>66239.278</x:v>
      </x:c>
      <x:c r="E75" s="26" t="n">
        <x:v>82214.21</x:v>
      </x:c>
      <x:c r="F75" s="26" t="n">
        <x:v>89707.711</x:v>
      </x:c>
      <x:c r="G75" s="26" t="n">
        <x:v>99365.682</x:v>
      </x:c>
      <x:c r="H75" s="26" t="n">
        <x:v>119106.271</x:v>
      </x:c>
      <x:c r="I75" s="9" t="s">
        <x:v>98</x:v>
      </x:c>
    </x:row>
    <x:row r="76" ht="15" hidden="0">
      <x:c r="A76" t="s">
        <x:v>403</x:v>
      </x:c>
      <x:c r="B76" s="19" t="s">
        <x:v>890</x:v>
      </x:c>
      <x:c r="C76" s="26" t="n">
        <x:v>31320.831</x:v>
      </x:c>
      <x:c r="D76" s="26" t="n">
        <x:v>37542.541</x:v>
      </x:c>
      <x:c r="E76" s="26" t="n">
        <x:v>40559.015</x:v>
      </x:c>
      <x:c r="F76" s="26" t="n">
        <x:v>44913.114</x:v>
      </x:c>
      <x:c r="G76" s="26" t="n">
        <x:v>52615.908</x:v>
      </x:c>
      <x:c r="H76" s="26" t="n">
        <x:v>71461.592</x:v>
      </x:c>
      <x:c r="I76" s="9" t="s">
        <x:v>98</x:v>
      </x:c>
    </x:row>
    <x:row r="77" ht="15" hidden="0">
      <x:c r="A77" t="s">
        <x:v>405</x:v>
      </x:c>
      <x:c r="B77" s="19" t="s">
        <x:v>891</x:v>
      </x:c>
      <x:c r="C77" s="26" t="n">
        <x:v>16607.191</x:v>
      </x:c>
      <x:c r="D77" s="26" t="n">
        <x:v>16923.416</x:v>
      </x:c>
      <x:c r="E77" s="26" t="n">
        <x:v>20321.989</x:v>
      </x:c>
      <x:c r="F77" s="26" t="n">
        <x:v>22239.667</x:v>
      </x:c>
      <x:c r="G77" s="26" t="n">
        <x:v>26867.837</x:v>
      </x:c>
      <x:c r="H77" s="26" t="n">
        <x:v>35752.604</x:v>
      </x:c>
      <x:c r="I77" s="9" t="s">
        <x:v>98</x:v>
      </x:c>
    </x:row>
    <x:row r="78" ht="15" hidden="0">
      <x:c r="A78" t="s">
        <x:v>407</x:v>
      </x:c>
      <x:c r="B78" s="19" t="s">
        <x:v>892</x:v>
      </x:c>
      <x:c r="C78" s="26" t="n">
        <x:v>15313.775</x:v>
      </x:c>
      <x:c r="D78" s="26" t="n">
        <x:v>11449.448</x:v>
      </x:c>
      <x:c r="E78" s="26" t="n">
        <x:v>16193.391</x:v>
      </x:c>
      <x:c r="F78" s="26" t="n">
        <x:v>16215.021</x:v>
      </x:c>
      <x:c r="G78" s="26" t="n">
        <x:v>18597.8</x:v>
      </x:c>
      <x:c r="H78" s="26" t="n">
        <x:v>23330.491</x:v>
      </x:c>
      <x:c r="I78" s="9" t="s">
        <x:v>98</x:v>
      </x:c>
    </x:row>
    <x:row r="79" ht="15" hidden="0">
      <x:c r="A79" t="s">
        <x:v>409</x:v>
      </x:c>
      <x:c r="B79" s="19" t="s">
        <x:v>410</x:v>
      </x:c>
      <x:c r="C79" s="29" t="str">
        <x:f aca="0">IF(ABS(C37-C63)&lt;0.005,"PASS","FAIL")</x:f>
        <x:v>PASS</x:v>
      </x:c>
      <x:c r="D79" s="29" t="str">
        <x:f aca="0">IF(ABS(D37-D63)&lt;0.005,"PASS","FAIL")</x:f>
        <x:v>PASS</x:v>
      </x:c>
      <x:c r="E79" s="29" t="str">
        <x:f aca="0">IF(ABS(E37-E63)&lt;0.005,"PASS","FAIL")</x:f>
        <x:v>PASS</x:v>
      </x:c>
      <x:c r="F79" s="29" t="str">
        <x:f aca="0">IF(ABS(F37-F63)&lt;0.005,"PASS","FAIL")</x:f>
        <x:v>PASS</x:v>
      </x:c>
      <x:c r="G79" s="29" t="str">
        <x:f aca="0">IF(ABS(G37-G63)&lt;0.005,"PASS","FAIL")</x:f>
        <x:v>PASS</x:v>
      </x:c>
      <x:c r="H79" s="29" t="str">
        <x:f aca="0">IF(ABS(H37-H63)&lt;0.005,"PASS","FAIL")</x:f>
        <x:v>PASS</x:v>
      </x:c>
      <x:c r="I79" s="9"/>
    </x:row>
    <x:row r="80" ht="15" hidden="0">
      <x:c r="A80" t="s">
        <x:v>411</x:v>
      </x:c>
      <x:c r="B80" s="19" t="s">
        <x:v>410</x:v>
      </x:c>
      <x:c r="C80" s="29" t="str">
        <x:f aca="0">IF(ABS(C37-C75)&lt;0.005,"PASS","FAIL")</x:f>
        <x:v>PASS</x:v>
      </x:c>
      <x:c r="D80" s="29" t="str">
        <x:f aca="0">IF(ABS(D37-D75)&lt;0.005,"PASS","FAIL")</x:f>
        <x:v>PASS</x:v>
      </x:c>
      <x:c r="E80" s="29" t="str">
        <x:f aca="0">IF(ABS(E37-E75)&lt;0.005,"PASS","FAIL")</x:f>
        <x:v>PASS</x:v>
      </x:c>
      <x:c r="F80" s="29" t="str">
        <x:f aca="0">IF(ABS(F37-F75)&lt;0.005,"PASS","FAIL")</x:f>
        <x:v>PASS</x:v>
      </x:c>
      <x:c r="G80" s="29" t="str">
        <x:f aca="0">IF(ABS(G37-G75)&lt;0.005,"PASS","FAIL")</x:f>
        <x:v>PASS</x:v>
      </x:c>
      <x:c r="H80" s="29" t="str">
        <x:f aca="0">IF(ABS(H37-H75)&lt;0.005,"PASS","FAIL")</x:f>
        <x:v>PASS</x:v>
      </x:c>
      <x:c r="I80" s="9"/>
    </x:row>
    <x:row r="81" ht="15" hidden="0">
      <x:c r="A81" t="s">
        <x:v>412</x:v>
      </x:c>
      <x:c r="B81" s="19" t="s">
        <x:v>410</x:v>
      </x:c>
      <x:c r="C81" s="29" t="str">
        <x:f aca="0">IF(AND(ABS(C41-C76)&lt;0.005,ABS(C36-C77)&lt;0.005,ABS(C61-C78)&lt;0.005),"PASS","FAIL")</x:f>
        <x:v>PASS</x:v>
      </x:c>
      <x:c r="D81" s="29" t="str">
        <x:f aca="0">IF(AND(ABS(D41-D76)&lt;0.005,ABS(D36-D77)&lt;0.005,ABS(D61-D78)&lt;0.005),"PASS","FAIL")</x:f>
        <x:v>PASS</x:v>
      </x:c>
      <x:c r="E81" s="29" t="str">
        <x:f aca="0">IF(AND(ABS(E41-E76)&lt;0.005,ABS(E36-E77)&lt;0.005,ABS(E61-E78)&lt;0.005),"PASS","FAIL")</x:f>
        <x:v>PASS</x:v>
      </x:c>
      <x:c r="F81" s="29" t="str">
        <x:f aca="0">IF(AND(ABS(F41-F76)&lt;0.005,ABS(F36-F77)&lt;0.005,ABS(F61-F78)&lt;0.005),"PASS","FAIL")</x:f>
        <x:v>PASS</x:v>
      </x:c>
      <x:c r="G81" s="29" t="str">
        <x:f aca="0">IF(AND(ABS(G41-G76)&lt;0.005,ABS(G36-G77)&lt;0.005,ABS(G61-G78)&lt;0.005),"PASS","FAIL")</x:f>
        <x:v>PASS</x:v>
      </x:c>
      <x:c r="H81" s="29" t="str">
        <x:f aca="0">IF(AND(ABS(H41-H76)&lt;0.005,ABS(H36-H77)&lt;0.005,ABS(H61-H78)&lt;0.005),"PASS","FAIL")</x:f>
        <x:v>PASS</x:v>
      </x:c>
      <x:c r="I81" s="9"/>
    </x:row>
    <x:row r="83" ht="15" hidden="0">
      <x:c r="A83" s="5" t="s">
        <x:v>413</x:v>
      </x:c>
      <x:c r="B83" s="20"/>
      <x:c r="C83" s="20"/>
      <x:c r="D83" s="20"/>
      <x:c r="E83" s="20"/>
      <x:c r="F83" s="20"/>
      <x:c r="G83" s="20"/>
      <x:c r="H83" s="20"/>
      <x:c r="I83" s="20"/>
      <x:c r="J83" s="20"/>
    </x:row>
    <x:row r="84" ht="15" hidden="0">
      <x:c r="A84" t="s">
        <x:v>414</x:v>
      </x:c>
      <x:c r="B84" s="19" t="s">
        <x:v>893</x:v>
      </x:c>
      <x:c r="C84" s="30"/>
      <x:c r="D84" s="26" t="n">
        <x:v>35538.301</x:v>
      </x:c>
      <x:c r="E84" s="26" t="n">
        <x:v>48519.622</x:v>
      </x:c>
      <x:c r="F84" s="26" t="n">
        <x:v>62075.259</x:v>
      </x:c>
      <x:c r="G84" s="26" t="n">
        <x:v>66452.348</x:v>
      </x:c>
      <x:c r="H84" s="26" t="n">
        <x:v>68942.446</x:v>
      </x:c>
      <x:c r="I84" s="9" t="s">
        <x:v>98</x:v>
      </x:c>
    </x:row>
    <x:row r="85" ht="15" hidden="0">
      <x:c r="A85" t="s">
        <x:v>416</x:v>
      </x:c>
      <x:c r="B85" s="19" t="s">
        <x:v>894</x:v>
      </x:c>
      <x:c r="C85" s="30"/>
      <x:c r="D85" s="26" t="n">
        <x:v>-28135.419</x:v>
      </x:c>
      <x:c r="E85" s="26" t="n">
        <x:v>-36244.156</x:v>
      </x:c>
      <x:c r="F85" s="26" t="n">
        <x:v>-43901.906</x:v>
      </x:c>
      <x:c r="G85" s="26" t="n">
        <x:v>-45488.064</x:v>
      </x:c>
      <x:c r="H85" s="26" t="n">
        <x:v>-45195.63</x:v>
      </x:c>
      <x:c r="I85" s="9" t="s">
        <x:v>98</x:v>
      </x:c>
    </x:row>
    <x:row r="86" ht="15" hidden="0">
      <x:c r="A86" s="2" t="s">
        <x:v>418</x:v>
      </x:c>
      <x:c r="B86" s="19" t="s">
        <x:v>419</x:v>
      </x:c>
      <x:c r="C86" s="31"/>
      <x:c r="D86" s="28" t="n">
        <x:f aca="0">D84+D85</x:f>
        <x:v>7402.881999999998</x:v>
      </x:c>
      <x:c r="E86" s="28" t="n">
        <x:f aca="0">E84+E85</x:f>
        <x:v>12275.466</x:v>
      </x:c>
      <x:c r="F86" s="28" t="n">
        <x:f aca="0">F84+F85</x:f>
        <x:v>18173.352999999996</x:v>
      </x:c>
      <x:c r="G86" s="28" t="n">
        <x:f aca="0">G84+G85</x:f>
        <x:v>20964.284</x:v>
      </x:c>
      <x:c r="H86" s="28" t="n">
        <x:f aca="0">H84+H85</x:f>
        <x:v>23746.816</x:v>
      </x:c>
      <x:c r="I86" s="9" t="s">
        <x:v>98</x:v>
      </x:c>
    </x:row>
    <x:row r="87" ht="15" hidden="0">
      <x:c r="A87" t="s">
        <x:v>420</x:v>
      </x:c>
      <x:c r="B87" s="19" t="s">
        <x:v>895</x:v>
      </x:c>
      <x:c r="C87" s="30"/>
      <x:c r="D87" s="26" t="n">
        <x:v>-1013.852</x:v>
      </x:c>
      <x:c r="E87" s="26" t="n">
        <x:v>-1483.876</x:v>
      </x:c>
      <x:c r="F87" s="26" t="n">
        <x:v>-3751.096</x:v>
      </x:c>
      <x:c r="G87" s="26" t="n">
        <x:v>-5471.808</x:v>
      </x:c>
      <x:c r="H87" s="26" t="n">
        <x:v>-4123.754</x:v>
      </x:c>
      <x:c r="I87" s="9" t="s">
        <x:v>98</x:v>
      </x:c>
    </x:row>
    <x:row r="88" ht="15" hidden="0">
      <x:c r="A88" t="s">
        <x:v>422</x:v>
      </x:c>
      <x:c r="B88" s="19" t="s">
        <x:v>896</x:v>
      </x:c>
      <x:c r="C88" s="30"/>
      <x:c r="D88" s="26" t="n">
        <x:v>-813.489</x:v>
      </x:c>
      <x:c r="E88" s="26" t="n">
        <x:v>-971.453</x:v>
      </x:c>
      <x:c r="F88" s="26" t="n">
        <x:v>-1380.607</x:v>
      </x:c>
      <x:c r="G88" s="26" t="n">
        <x:v>-1852.148</x:v>
      </x:c>
      <x:c r="H88" s="26" t="n">
        <x:v>-2176.32</x:v>
      </x:c>
      <x:c r="I88" s="9" t="s">
        <x:v>98</x:v>
      </x:c>
    </x:row>
    <x:row r="89" ht="15" hidden="0">
      <x:c r="A89" t="s">
        <x:v>424</x:v>
      </x:c>
      <x:c r="B89" s="19" t="s">
        <x:v>897</x:v>
      </x:c>
      <x:c r="C89" s="30"/>
      <x:c r="D89" s="26" t="n">
        <x:v>0</x:v>
      </x:c>
      <x:c r="E89" s="26" t="n">
        <x:v>-209.92</x:v>
      </x:c>
      <x:c r="F89" s="26" t="n">
        <x:v>-191.421</x:v>
      </x:c>
      <x:c r="G89" s="26" t="n">
        <x:v>-357.191</x:v>
      </x:c>
      <x:c r="H89" s="26" t="n">
        <x:v>-514.43</x:v>
      </x:c>
      <x:c r="I89" s="9" t="s">
        <x:v>98</x:v>
      </x:c>
    </x:row>
    <x:row r="90" ht="15" hidden="0">
      <x:c r="A90" t="s">
        <x:v>426</x:v>
      </x:c>
      <x:c r="B90" s="19" t="s">
        <x:v>898</x:v>
      </x:c>
      <x:c r="C90" s="30"/>
      <x:c r="D90" s="26" t="n">
        <x:v>-524.142</x:v>
      </x:c>
      <x:c r="E90" s="26" t="n">
        <x:v>-742.28</x:v>
      </x:c>
      <x:c r="F90" s="26" t="n">
        <x:v>-995.46</x:v>
      </x:c>
      <x:c r="G90" s="26" t="n">
        <x:v>-569.545</x:v>
      </x:c>
      <x:c r="H90" s="26" t="n">
        <x:v>-1207.018</x:v>
      </x:c>
      <x:c r="I90" s="9" t="s">
        <x:v>98</x:v>
      </x:c>
    </x:row>
    <x:row r="91" ht="15" hidden="0">
      <x:c r="A91" t="s">
        <x:v>428</x:v>
      </x:c>
      <x:c r="B91" s="19" t="s">
        <x:v>429</x:v>
      </x:c>
      <x:c r="C91" s="30"/>
      <x:c r="D91" s="27" t="n">
        <x:f aca="0">D86+D87+D88+D89+D90</x:f>
        <x:v>5051.398999999998</x:v>
      </x:c>
      <x:c r="E91" s="27" t="n">
        <x:f aca="0">E86+E87+E88+E89+E90</x:f>
        <x:v>8867.937</x:v>
      </x:c>
      <x:c r="F91" s="27" t="n">
        <x:f aca="0">F86+F87+F88+F89+F90</x:f>
        <x:v>11854.768999999997</x:v>
      </x:c>
      <x:c r="G91" s="27" t="n">
        <x:f aca="0">G86+G87+G88+G89+G90</x:f>
        <x:v>12713.591999999999</x:v>
      </x:c>
      <x:c r="H91" s="27" t="n">
        <x:f aca="0">H86+H87+H88+H89+H90</x:f>
        <x:v>15725.293999999998</x:v>
      </x:c>
      <x:c r="I91" s="9" t="s">
        <x:v>98</x:v>
      </x:c>
    </x:row>
    <x:row r="92" ht="15" hidden="0">
      <x:c r="A92" t="s">
        <x:v>430</x:v>
      </x:c>
      <x:c r="B92" s="19" t="s">
        <x:v>899</x:v>
      </x:c>
      <x:c r="C92" s="30"/>
      <x:c r="D92" s="26" t="n">
        <x:v>3732.132</x:v>
      </x:c>
      <x:c r="E92" s="26" t="n">
        <x:v>56.601</x:v>
      </x:c>
      <x:c r="F92" s="26" t="n">
        <x:v>146.646</x:v>
      </x:c>
      <x:c r="G92" s="26" t="n">
        <x:v>238.451</x:v>
      </x:c>
      <x:c r="H92" s="26" t="n">
        <x:v>8462.656</x:v>
      </x:c>
      <x:c r="I92" s="9" t="s">
        <x:v>98</x:v>
      </x:c>
    </x:row>
    <x:row r="93" ht="15" hidden="0">
      <x:c r="A93" t="s">
        <x:v>432</x:v>
      </x:c>
      <x:c r="B93" s="19" t="s">
        <x:v>900</x:v>
      </x:c>
      <x:c r="C93" s="30"/>
      <x:c r="D93" s="26" t="n">
        <x:v>0</x:v>
      </x:c>
      <x:c r="E93" s="26" t="n">
        <x:v>0</x:v>
      </x:c>
      <x:c r="F93" s="26" t="n">
        <x:v>0</x:v>
      </x:c>
      <x:c r="G93" s="26" t="n">
        <x:v>117.691</x:v>
      </x:c>
      <x:c r="H93" s="26" t="n">
        <x:v>1031.075</x:v>
      </x:c>
      <x:c r="I93" s="9" t="s">
        <x:v>98</x:v>
      </x:c>
    </x:row>
    <x:row r="94" ht="15" hidden="0">
      <x:c r="A94" t="s">
        <x:v>434</x:v>
      </x:c>
      <x:c r="B94" s="19" t="s">
        <x:v>901</x:v>
      </x:c>
      <x:c r="C94" s="30"/>
      <x:c r="D94" s="26" t="n">
        <x:v>0</x:v>
      </x:c>
      <x:c r="E94" s="26" t="n">
        <x:v>0</x:v>
      </x:c>
      <x:c r="F94" s="26" t="n">
        <x:v>0</x:v>
      </x:c>
      <x:c r="G94" s="26" t="n">
        <x:v>0</x:v>
      </x:c>
      <x:c r="H94" s="26" t="n">
        <x:v>0</x:v>
      </x:c>
      <x:c r="I94" s="9" t="s">
        <x:v>98</x:v>
      </x:c>
    </x:row>
    <x:row r="95" ht="15" hidden="0">
      <x:c r="A95" t="s">
        <x:v>436</x:v>
      </x:c>
      <x:c r="B95" s="19" t="s">
        <x:v>902</x:v>
      </x:c>
      <x:c r="C95" s="30"/>
      <x:c r="D95" s="26" t="n">
        <x:v>-1493.93</x:v>
      </x:c>
      <x:c r="E95" s="26" t="n">
        <x:v>-1741.026</x:v>
      </x:c>
      <x:c r="F95" s="26" t="n">
        <x:v>-2750.748</x:v>
      </x:c>
      <x:c r="G95" s="26" t="n">
        <x:v>-4138.286</x:v>
      </x:c>
      <x:c r="H95" s="26" t="n">
        <x:v>-3554.788</x:v>
      </x:c>
      <x:c r="I95" s="9" t="s">
        <x:v>98</x:v>
      </x:c>
    </x:row>
    <x:row r="96" ht="15" hidden="0">
      <x:c r="A96" s="2" t="s">
        <x:v>438</x:v>
      </x:c>
      <x:c r="B96" s="19" t="s">
        <x:v>439</x:v>
      </x:c>
      <x:c r="C96" s="31"/>
      <x:c r="D96" s="28" t="n">
        <x:f aca="0">D91+D92+D93+D94+D95</x:f>
        <x:v>7289.600999999997</x:v>
      </x:c>
      <x:c r="E96" s="28" t="n">
        <x:f aca="0">E91+E92+E93+E94+E95</x:f>
        <x:v>7183.512000000001</x:v>
      </x:c>
      <x:c r="F96" s="28" t="n">
        <x:f aca="0">F91+F92+F93+F94+F95</x:f>
        <x:v>9250.666999999998</x:v>
      </x:c>
      <x:c r="G96" s="28" t="n">
        <x:f aca="0">G91+G92+G93+G94+G95</x:f>
        <x:v>8931.447999999999</x:v>
      </x:c>
      <x:c r="H96" s="28" t="n">
        <x:f aca="0">H91+H92+H93+H94+H95</x:f>
        <x:v>21664.236999999997</x:v>
      </x:c>
      <x:c r="I96" s="9" t="s">
        <x:v>98</x:v>
      </x:c>
    </x:row>
    <x:row r="97" ht="15" hidden="0">
      <x:c r="A97" t="s">
        <x:v>440</x:v>
      </x:c>
      <x:c r="B97" s="19" t="s">
        <x:v>903</x:v>
      </x:c>
      <x:c r="C97" s="30"/>
      <x:c r="D97" s="26" t="n">
        <x:v>0</x:v>
      </x:c>
      <x:c r="E97" s="26" t="n">
        <x:v>0</x:v>
      </x:c>
      <x:c r="F97" s="26" t="n">
        <x:v>-12.192</x:v>
      </x:c>
      <x:c r="G97" s="26" t="n">
        <x:v>-45.804</x:v>
      </x:c>
      <x:c r="H97" s="26" t="n">
        <x:v>-38.972</x:v>
      </x:c>
      <x:c r="I97" s="9" t="s">
        <x:v>98</x:v>
      </x:c>
    </x:row>
    <x:row r="98" ht="15" hidden="0">
      <x:c r="A98" t="s">
        <x:v>442</x:v>
      </x:c>
      <x:c r="B98" s="19" t="s">
        <x:v>904</x:v>
      </x:c>
      <x:c r="C98" s="30"/>
      <x:c r="D98" s="26" t="n">
        <x:v>-1035.492</x:v>
      </x:c>
      <x:c r="E98" s="26" t="n">
        <x:v>-3557.172</x:v>
      </x:c>
      <x:c r="F98" s="26" t="n">
        <x:v>-4746.806</x:v>
      </x:c>
      <x:c r="G98" s="26" t="n">
        <x:v>-3613.117</x:v>
      </x:c>
      <x:c r="H98" s="26" t="n">
        <x:v>-4588.891</x:v>
      </x:c>
      <x:c r="I98" s="9" t="s">
        <x:v>98</x:v>
      </x:c>
    </x:row>
    <x:row r="99" ht="15" hidden="0">
      <x:c r="A99" s="2" t="s">
        <x:v>444</x:v>
      </x:c>
      <x:c r="B99" s="19" t="s">
        <x:v>445</x:v>
      </x:c>
      <x:c r="C99" s="31"/>
      <x:c r="D99" s="28" t="n">
        <x:f aca="0">D96+D97+D98</x:f>
        <x:v>6254.108999999997</x:v>
      </x:c>
      <x:c r="E99" s="28" t="n">
        <x:f aca="0">E96+E97+E98</x:f>
        <x:v>3626.3400000000006</x:v>
      </x:c>
      <x:c r="F99" s="28" t="n">
        <x:f aca="0">F96+F97+F98</x:f>
        <x:v>4491.668999999999</x:v>
      </x:c>
      <x:c r="G99" s="28" t="n">
        <x:f aca="0">G96+G97+G98</x:f>
        <x:v>5272.526999999998</x:v>
      </x:c>
      <x:c r="H99" s="28" t="n">
        <x:f aca="0">H96+H97+H98</x:f>
        <x:v>17036.373999999996</x:v>
      </x:c>
      <x:c r="I99" s="9" t="s">
        <x:v>98</x:v>
      </x:c>
    </x:row>
    <x:row r="100" ht="15" hidden="0">
      <x:c r="A100" t="s">
        <x:v>446</x:v>
      </x:c>
      <x:c r="B100" s="19" t="s">
        <x:v>905</x:v>
      </x:c>
      <x:c r="C100" s="30"/>
      <x:c r="D100" s="26" t="n">
        <x:v>7402.882</x:v>
      </x:c>
      <x:c r="E100" s="26" t="n">
        <x:v>12275.466</x:v>
      </x:c>
      <x:c r="F100" s="26" t="n">
        <x:v>18173.353</x:v>
      </x:c>
      <x:c r="G100" s="26" t="n">
        <x:v>20964.284</x:v>
      </x:c>
      <x:c r="H100" s="26" t="n">
        <x:v>23746.816</x:v>
      </x:c>
      <x:c r="I100" s="9" t="s">
        <x:v>98</x:v>
      </x:c>
    </x:row>
    <x:row r="101" ht="15" hidden="0">
      <x:c r="A101" t="s">
        <x:v>448</x:v>
      </x:c>
      <x:c r="B101" s="19" t="s">
        <x:v>906</x:v>
      </x:c>
      <x:c r="C101" s="30"/>
      <x:c r="D101" s="26" t="n">
        <x:v>7289.601</x:v>
      </x:c>
      <x:c r="E101" s="26" t="n">
        <x:v>7183.512</x:v>
      </x:c>
      <x:c r="F101" s="26" t="n">
        <x:v>9250.667</x:v>
      </x:c>
      <x:c r="G101" s="26" t="n">
        <x:v>8931.448</x:v>
      </x:c>
      <x:c r="H101" s="26" t="n">
        <x:v>21664.237</x:v>
      </x:c>
      <x:c r="I101" s="9" t="s">
        <x:v>98</x:v>
      </x:c>
    </x:row>
    <x:row r="102" ht="15" hidden="0">
      <x:c r="A102" t="s">
        <x:v>450</x:v>
      </x:c>
      <x:c r="B102" s="19" t="s">
        <x:v>907</x:v>
      </x:c>
      <x:c r="C102" s="30"/>
      <x:c r="D102" s="26" t="n">
        <x:v>6254.109</x:v>
      </x:c>
      <x:c r="E102" s="26" t="n">
        <x:v>3626.34</x:v>
      </x:c>
      <x:c r="F102" s="26" t="n">
        <x:v>4491.669</x:v>
      </x:c>
      <x:c r="G102" s="26" t="n">
        <x:v>5272.527</x:v>
      </x:c>
      <x:c r="H102" s="26" t="n">
        <x:v>17036.374</x:v>
      </x:c>
      <x:c r="I102" s="9" t="s">
        <x:v>98</x:v>
      </x:c>
    </x:row>
    <x:row r="103" ht="15" hidden="0">
      <x:c r="A103" t="s">
        <x:v>452</x:v>
      </x:c>
      <x:c r="B103" s="19" t="s">
        <x:v>410</x:v>
      </x:c>
      <x:c r="C103" s="30"/>
      <x:c r="D103" s="29" t="str">
        <x:f aca="0">IF(AND(ABS(D86-D100)&lt;0.005,ABS(D96-D101)&lt;0.005,ABS(D99-D102)&lt;0.005),"PASS","FAIL")</x:f>
        <x:v>PASS</x:v>
      </x:c>
      <x:c r="E103" s="29" t="str">
        <x:f aca="0">IF(AND(ABS(E86-E100)&lt;0.005,ABS(E96-E101)&lt;0.005,ABS(E99-E102)&lt;0.005),"PASS","FAIL")</x:f>
        <x:v>PASS</x:v>
      </x:c>
      <x:c r="F103" s="29" t="str">
        <x:f aca="0">IF(AND(ABS(F86-F100)&lt;0.005,ABS(F96-F101)&lt;0.005,ABS(F99-F102)&lt;0.005),"PASS","FAIL")</x:f>
        <x:v>PASS</x:v>
      </x:c>
      <x:c r="G103" s="29" t="str">
        <x:f aca="0">IF(AND(ABS(G86-G100)&lt;0.005,ABS(G96-G101)&lt;0.005,ABS(G99-G102)&lt;0.005),"PASS","FAIL")</x:f>
        <x:v>PASS</x:v>
      </x:c>
      <x:c r="H103" s="29" t="str">
        <x:f aca="0">IF(AND(ABS(H86-H100)&lt;0.005,ABS(H96-H101)&lt;0.005,ABS(H99-H102)&lt;0.005),"PASS","FAIL")</x:f>
        <x:v>PASS</x:v>
      </x:c>
      <x:c r="I103" s="9"/>
    </x:row>
    <x:row r="104" ht="15" hidden="0">
      <x:c r="A104" s="24" t="s">
        <x:v>453</x:v>
      </x:c>
      <x:c r="B104" s="25"/>
      <x:c r="C104" s="25"/>
      <x:c r="D104" s="25"/>
      <x:c r="E104" s="25"/>
      <x:c r="F104" s="25"/>
      <x:c r="G104" s="25"/>
      <x:c r="H104" s="25"/>
      <x:c r="I104" s="25"/>
      <x:c r="J104" s="25"/>
    </x:row>
    <x:row r="105" ht="15" hidden="0">
      <x:c r="A105" t="s">
        <x:v>454</x:v>
      </x:c>
      <x:c r="B105" s="19" t="s">
        <x:v>908</x:v>
      </x:c>
      <x:c r="C105" s="30"/>
      <x:c r="D105" s="26" t="n">
        <x:v>46.652</x:v>
      </x:c>
      <x:c r="E105" s="26" t="n">
        <x:v>51.001</x:v>
      </x:c>
      <x:c r="F105" s="26" t="n">
        <x:v>67.573</x:v>
      </x:c>
      <x:c r="G105" s="26" t="n">
        <x:v>82.866</x:v>
      </x:c>
      <x:c r="H105" s="26" t="n">
        <x:v>140.834</x:v>
      </x:c>
      <x:c r="I105" s="9" t="s">
        <x:v>98</x:v>
      </x:c>
    </x:row>
    <x:row r="106" ht="15" hidden="0">
      <x:c r="A106" t="s">
        <x:v>456</x:v>
      </x:c>
      <x:c r="B106" s="19" t="s">
        <x:v>457</x:v>
      </x:c>
      <x:c r="C106" s="30"/>
      <x:c r="D106" s="27" t="n">
        <x:f aca="0">-D95-D105</x:f>
        <x:v>1447.278</x:v>
      </x:c>
      <x:c r="E106" s="27" t="n">
        <x:f aca="0">-E95-E105</x:f>
        <x:v>1690.025</x:v>
      </x:c>
      <x:c r="F106" s="27" t="n">
        <x:f aca="0">-F95-F105</x:f>
        <x:v>2683.175</x:v>
      </x:c>
      <x:c r="G106" s="27" t="n">
        <x:f aca="0">-G95-G105</x:f>
        <x:v>4055.42</x:v>
      </x:c>
      <x:c r="H106" s="27" t="n">
        <x:f aca="0">-H95-H105</x:f>
        <x:v>3413.954</x:v>
      </x:c>
      <x:c r="I106" s="9" t="s">
        <x:v>98</x:v>
      </x:c>
    </x:row>
    <x:row r="107" ht="15" hidden="0">
      <x:c r="A107" t="s">
        <x:v>458</x:v>
      </x:c>
      <x:c r="B107" s="19" t="s">
        <x:v>909</x:v>
      </x:c>
      <x:c r="C107" s="30"/>
      <x:c r="D107" s="26" t="n">
        <x:v>3287.702</x:v>
      </x:c>
      <x:c r="E107" s="26" t="n">
        <x:v>3233.977</x:v>
      </x:c>
      <x:c r="F107" s="26" t="n">
        <x:v>3475.349</x:v>
      </x:c>
      <x:c r="G107" s="26" t="n">
        <x:v>4520.347</x:v>
      </x:c>
      <x:c r="H107" s="26" t="n">
        <x:v>4413.3</x:v>
      </x:c>
      <x:c r="I107" s="9" t="s">
        <x:v>98</x:v>
      </x:c>
    </x:row>
    <x:row r="108" ht="15" hidden="0">
      <x:c r="A108" s="2" t="s">
        <x:v>460</x:v>
      </x:c>
      <x:c r="B108" s="19" t="s">
        <x:v>461</x:v>
      </x:c>
      <x:c r="C108" s="31"/>
      <x:c r="D108" s="28" t="n">
        <x:f aca="0">D96-D95</x:f>
        <x:v>8783.530999999997</x:v>
      </x:c>
      <x:c r="E108" s="28" t="n">
        <x:f aca="0">E96-E95</x:f>
        <x:v>8924.538</x:v>
      </x:c>
      <x:c r="F108" s="28" t="n">
        <x:f aca="0">F96-F95</x:f>
        <x:v>12001.414999999997</x:v>
      </x:c>
      <x:c r="G108" s="28" t="n">
        <x:f aca="0">G96-G95</x:f>
        <x:v>13069.733999999999</x:v>
      </x:c>
      <x:c r="H108" s="28" t="n">
        <x:f aca="0">H96-H95</x:f>
        <x:v>25219.024999999998</x:v>
      </x:c>
      <x:c r="I108" s="9" t="s">
        <x:v>98</x:v>
      </x:c>
    </x:row>
    <x:row r="109" ht="15" hidden="0">
      <x:c r="A109" s="2" t="s">
        <x:v>462</x:v>
      </x:c>
      <x:c r="B109" s="19" t="s">
        <x:v>463</x:v>
      </x:c>
      <x:c r="C109" s="31"/>
      <x:c r="D109" s="28" t="n">
        <x:f aca="0">D108+D107</x:f>
        <x:v>12071.232999999997</x:v>
      </x:c>
      <x:c r="E109" s="28" t="n">
        <x:f aca="0">E108+E107</x:f>
        <x:v>12158.515</x:v>
      </x:c>
      <x:c r="F109" s="28" t="n">
        <x:f aca="0">F108+F107</x:f>
        <x:v>15476.763999999997</x:v>
      </x:c>
      <x:c r="G109" s="28" t="n">
        <x:f aca="0">G108+G107</x:f>
        <x:v>17590.081</x:v>
      </x:c>
      <x:c r="H109" s="28" t="n">
        <x:f aca="0">H108+H107</x:f>
        <x:v>29632.324999999997</x:v>
      </x:c>
      <x:c r="I109" s="9" t="s">
        <x:v>98</x:v>
      </x:c>
    </x:row>
    <x:row r="110" ht="15" hidden="0">
      <x:c r="A110" t="s">
        <x:v>464</x:v>
      </x:c>
      <x:c r="B110" s="19" t="s">
        <x:v>465</x:v>
      </x:c>
      <x:c r="C110" s="30"/>
      <x:c r="D110" s="27" t="n">
        <x:f aca="0">-(D97+D98)</x:f>
        <x:v>1035.492</x:v>
      </x:c>
      <x:c r="E110" s="27" t="n">
        <x:f aca="0">-(E97+E98)</x:f>
        <x:v>3557.172</x:v>
      </x:c>
      <x:c r="F110" s="27" t="n">
        <x:f aca="0">-(F97+F98)</x:f>
        <x:v>4758.998</x:v>
      </x:c>
      <x:c r="G110" s="27" t="n">
        <x:f aca="0">-(G97+G98)</x:f>
        <x:v>3658.9210000000003</x:v>
      </x:c>
      <x:c r="H110" s="27" t="n">
        <x:f aca="0">-(H97+H98)</x:f>
        <x:v>4627.862999999999</x:v>
      </x:c>
      <x:c r="I110" s="9" t="s">
        <x:v>98</x:v>
      </x:c>
    </x:row>
    <x:row r="111" ht="15" hidden="0">
      <x:c r="A111" t="s">
        <x:v>466</x:v>
      </x:c>
      <x:c r="B111" s="19" t="s">
        <x:v>467</x:v>
      </x:c>
      <x:c r="C111" s="30"/>
      <x:c r="D111" s="32" t="n">
        <x:f aca="0">IF(D96&lt;=0,"n/m",D110/D96)</x:f>
        <x:v>0.14205057313836525</x:v>
      </x:c>
      <x:c r="E111" s="32" t="n">
        <x:f aca="0">IF(E96&lt;=0,"n/m",E110/E96)</x:f>
        <x:v>0.4951856417863574</x:v>
      </x:c>
      <x:c r="F111" s="32" t="n">
        <x:f aca="0">IF(F96&lt;=0,"n/m",F110/F96)</x:f>
        <x:v>0.5144491743135928</x:v>
      </x:c>
      <x:c r="G111" s="32" t="n">
        <x:f aca="0">IF(G96&lt;=0,"n/m",G110/G96)</x:f>
        <x:v>0.4096671670707819</x:v>
      </x:c>
      <x:c r="H111" s="32" t="n">
        <x:f aca="0">IF(H96&lt;=0,"n/m",H110/H96)</x:f>
        <x:v>0.2136176316756505</x:v>
      </x:c>
      <x:c r="I111" s="9" t="s">
        <x:v>127</x:v>
      </x:c>
    </x:row>
    <x:row r="112" ht="15" hidden="0">
      <x:c r="A112" t="s">
        <x:v>468</x:v>
      </x:c>
      <x:c r="B112" s="19" t="s">
        <x:v>469</x:v>
      </x:c>
      <x:c r="C112" s="30"/>
      <x:c r="D112" s="32" t="n">
        <x:f aca="0">IF(AND(ISNUMBER(D111),D111&gt;=0,D111&lt;=0.6),D111,'Overview &amp; Methodology'!$C$35)</x:f>
        <x:v>0.14205057313836525</x:v>
      </x:c>
      <x:c r="E112" s="32" t="n">
        <x:f aca="0">IF(AND(ISNUMBER(E111),E111&gt;=0,E111&lt;=0.6),E111,'Overview &amp; Methodology'!$D$35)</x:f>
        <x:v>0.4951856417863574</x:v>
      </x:c>
      <x:c r="F112" s="32" t="n">
        <x:f aca="0">IF(AND(ISNUMBER(F111),F111&gt;=0,F111&lt;=0.6),F111,'Overview &amp; Methodology'!$E$35)</x:f>
        <x:v>0.5144491743135928</x:v>
      </x:c>
      <x:c r="G112" s="32" t="n">
        <x:f aca="0">IF(AND(ISNUMBER(G111),G111&gt;=0,G111&lt;=0.6),G111,'Overview &amp; Methodology'!$F$35)</x:f>
        <x:v>0.4096671670707819</x:v>
      </x:c>
      <x:c r="H112" s="32" t="n">
        <x:f aca="0">IF(AND(ISNUMBER(H111),H111&gt;=0,H111&lt;=0.6),H111,'Overview &amp; Methodology'!$G$35)</x:f>
        <x:v>0.2136176316756505</x:v>
      </x:c>
      <x:c r="I112" s="9" t="s">
        <x:v>127</x:v>
      </x:c>
    </x:row>
    <x:row r="113" ht="15" hidden="0">
      <x:c r="A113" t="s">
        <x:v>470</x:v>
      </x:c>
      <x:c r="B113" s="19" t="s">
        <x:v>471</x:v>
      </x:c>
      <x:c r="C113" s="30"/>
      <x:c r="D113" s="27" t="n">
        <x:f aca="0">D108*(1-D112)</x:f>
        <x:v>7535.825387271399</x:v>
      </x:c>
      <x:c r="E113" s="27" t="n">
        <x:f aca="0">E108*(1-E112)</x:f>
        <x:v>4505.234922823266</x:v>
      </x:c>
      <x:c r="F113" s="27" t="n">
        <x:f aca="0">F108*(1-F112)</x:f>
        <x:v>5827.296962655231</x:v>
      </x:c>
      <x:c r="G113" s="27" t="n">
        <x:f aca="0">G108*(1-G112)</x:f>
        <x:v>7715.493097851321</x:v>
      </x:c>
      <x:c r="H113" s="27" t="n">
        <x:f aca="0">H108*(1-H112)</x:f>
        <x:v>19831.796606330976</x:v>
      </x:c>
      <x:c r="I113" s="9" t="s">
        <x:v>98</x:v>
      </x:c>
    </x:row>
    <x:row r="115" ht="15" hidden="0">
      <x:c r="A115" s="5" t="s">
        <x:v>472</x:v>
      </x:c>
      <x:c r="B115" s="20"/>
      <x:c r="C115" s="20"/>
      <x:c r="D115" s="20"/>
      <x:c r="E115" s="20"/>
      <x:c r="F115" s="20"/>
      <x:c r="G115" s="20"/>
      <x:c r="H115" s="20"/>
      <x:c r="I115" s="20"/>
      <x:c r="J115" s="20"/>
    </x:row>
    <x:row r="116" ht="15" hidden="0">
      <x:c r="A116" t="s">
        <x:v>473</x:v>
      </x:c>
      <x:c r="B116" s="19" t="s">
        <x:v>910</x:v>
      </x:c>
      <x:c r="C116" s="30"/>
      <x:c r="D116" s="26" t="n">
        <x:v>9013.169</x:v>
      </x:c>
      <x:c r="E116" s="26" t="n">
        <x:v>12905.198</x:v>
      </x:c>
      <x:c r="F116" s="26" t="n">
        <x:v>19906.827</x:v>
      </x:c>
      <x:c r="G116" s="26" t="n">
        <x:v>12810.292</x:v>
      </x:c>
      <x:c r="H116" s="26" t="n">
        <x:v>23320.309</x:v>
      </x:c>
      <x:c r="I116" s="9" t="s">
        <x:v>98</x:v>
      </x:c>
    </x:row>
    <x:row r="117" ht="15" hidden="0">
      <x:c r="A117" t="s">
        <x:v>475</x:v>
      </x:c>
      <x:c r="B117" s="19" t="s">
        <x:v>911</x:v>
      </x:c>
      <x:c r="C117" s="30"/>
      <x:c r="D117" s="26" t="n">
        <x:v>6551.967</x:v>
      </x:c>
      <x:c r="E117" s="26" t="n">
        <x:v>8330.107</x:v>
      </x:c>
      <x:c r="F117" s="26" t="n">
        <x:v>20143.665</x:v>
      </x:c>
      <x:c r="G117" s="26" t="n">
        <x:v>9496.243</x:v>
      </x:c>
      <x:c r="H117" s="26" t="n">
        <x:v>19316.637</x:v>
      </x:c>
      <x:c r="I117" s="9" t="s">
        <x:v>98</x:v>
      </x:c>
    </x:row>
    <x:row r="118" ht="15" hidden="0">
      <x:c r="A118" t="s">
        <x:v>477</x:v>
      </x:c>
      <x:c r="B118" s="19" t="s">
        <x:v>912</x:v>
      </x:c>
      <x:c r="C118" s="30"/>
      <x:c r="D118" s="26" t="n">
        <x:v>-1733.621</x:v>
      </x:c>
      <x:c r="E118" s="26" t="n">
        <x:v>-1296.781</x:v>
      </x:c>
      <x:c r="F118" s="26" t="n">
        <x:v>-2527.786</x:v>
      </x:c>
      <x:c r="G118" s="26" t="n">
        <x:v>-4145.538</x:v>
      </x:c>
      <x:c r="H118" s="26" t="n">
        <x:v>-4093.012</x:v>
      </x:c>
      <x:c r="I118" s="9" t="s">
        <x:v>98</x:v>
      </x:c>
    </x:row>
    <x:row r="119" ht="15" hidden="0">
      <x:c r="A119" t="s">
        <x:v>479</x:v>
      </x:c>
      <x:c r="B119" s="19" t="s">
        <x:v>913</x:v>
      </x:c>
      <x:c r="C119" s="30"/>
      <x:c r="D119" s="33" t="s">
        <x:v>914</x:v>
      </x:c>
      <x:c r="E119" s="33" t="s">
        <x:v>914</x:v>
      </x:c>
      <x:c r="F119" s="33" t="s">
        <x:v>914</x:v>
      </x:c>
      <x:c r="G119" s="33" t="s">
        <x:v>914</x:v>
      </x:c>
      <x:c r="H119" s="33" t="s">
        <x:v>914</x:v>
      </x:c>
      <x:c r="I119" s="9" t="s">
        <x:v>482</x:v>
      </x:c>
    </x:row>
    <x:row r="120" ht="15" hidden="0">
      <x:c r="A120" t="s">
        <x:v>483</x:v>
      </x:c>
      <x:c r="B120" s="19" t="s">
        <x:v>484</x:v>
      </x:c>
      <x:c r="C120" s="30"/>
      <x:c r="D120" s="27" t="n">
        <x:f aca="0">IF(D119="Financing",D117+D118,D117)</x:f>
        <x:v>4818.346</x:v>
      </x:c>
      <x:c r="E120" s="27" t="n">
        <x:f aca="0">IF(E119="Financing",E117+E118,E117)</x:f>
        <x:v>7033.326</x:v>
      </x:c>
      <x:c r="F120" s="27" t="n">
        <x:f aca="0">IF(F119="Financing",F117+F118,F117)</x:f>
        <x:v>17615.879</x:v>
      </x:c>
      <x:c r="G120" s="27" t="n">
        <x:f aca="0">IF(G119="Financing",G117+G118,G117)</x:f>
        <x:v>5350.705000000001</x:v>
      </x:c>
      <x:c r="H120" s="27" t="n">
        <x:f aca="0">IF(H119="Financing",H117+H118,H117)</x:f>
        <x:v>15223.624999999998</x:v>
      </x:c>
      <x:c r="I120" s="9" t="s">
        <x:v>98</x:v>
      </x:c>
    </x:row>
    <x:row r="121" ht="15" hidden="0">
      <x:c r="A121" t="s">
        <x:v>485</x:v>
      </x:c>
      <x:c r="B121" s="19" t="s">
        <x:v>915</x:v>
      </x:c>
      <x:c r="C121" s="30"/>
      <x:c r="D121" s="26" t="n">
        <x:v>-3285.3</x:v>
      </x:c>
      <x:c r="E121" s="26" t="n">
        <x:v>-15790.494</x:v>
      </x:c>
      <x:c r="F121" s="26" t="n">
        <x:v>-9071.126</x:v>
      </x:c>
      <x:c r="G121" s="26" t="n">
        <x:v>-3099.319</x:v>
      </x:c>
      <x:c r="H121" s="26" t="n">
        <x:v>-423.781</x:v>
      </x:c>
      <x:c r="I121" s="9" t="s">
        <x:v>98</x:v>
      </x:c>
    </x:row>
    <x:row r="122" ht="15" hidden="0">
      <x:c r="A122" t="s">
        <x:v>487</x:v>
      </x:c>
      <x:c r="B122" s="19" t="s">
        <x:v>916</x:v>
      </x:c>
      <x:c r="C122" s="30"/>
      <x:c r="D122" s="26" t="n">
        <x:v>251.007</x:v>
      </x:c>
      <x:c r="E122" s="26" t="n">
        <x:v>-15819.32</x:v>
      </x:c>
      <x:c r="F122" s="26" t="n">
        <x:v>-12174.483</x:v>
      </x:c>
      <x:c r="G122" s="26" t="n">
        <x:v>-3030.885</x:v>
      </x:c>
      <x:c r="H122" s="26" t="n">
        <x:v>-9999.04</x:v>
      </x:c>
      <x:c r="I122" s="9" t="s">
        <x:v>98</x:v>
      </x:c>
    </x:row>
    <x:row r="123" ht="15" hidden="0">
      <x:c r="A123" t="s">
        <x:v>489</x:v>
      </x:c>
      <x:c r="B123" s="19" t="s">
        <x:v>917</x:v>
      </x:c>
      <x:c r="C123" s="30"/>
      <x:c r="D123" s="26" t="n">
        <x:v>-6732.688</x:v>
      </x:c>
      <x:c r="E123" s="26" t="n">
        <x:v>6601.516</x:v>
      </x:c>
      <x:c r="F123" s="26" t="n">
        <x:v>-6632.403</x:v>
      </x:c>
      <x:c r="G123" s="26" t="n">
        <x:v>-7482.362</x:v>
      </x:c>
      <x:c r="H123" s="26" t="n">
        <x:v>-7569.161</x:v>
      </x:c>
      <x:c r="I123" s="9" t="s">
        <x:v>98</x:v>
      </x:c>
    </x:row>
    <x:row r="124" ht="15" hidden="0">
      <x:c r="A124" t="s">
        <x:v>491</x:v>
      </x:c>
      <x:c r="B124" s="19" t="s">
        <x:v>918</x:v>
      </x:c>
      <x:c r="C124" s="30"/>
      <x:c r="D124" s="26" t="n">
        <x:v>-19.919</x:v>
      </x:c>
      <x:c r="E124" s="26" t="n">
        <x:v>-0.565</x:v>
      </x:c>
      <x:c r="F124" s="26" t="n">
        <x:v>-0.191</x:v>
      </x:c>
      <x:c r="G124" s="26" t="n">
        <x:v>-0.122</x:v>
      </x:c>
      <x:c r="H124" s="26" t="n">
        <x:v>-0.379</x:v>
      </x:c>
      <x:c r="I124" s="9" t="s">
        <x:v>98</x:v>
      </x:c>
    </x:row>
    <x:row r="126" ht="15" hidden="0">
      <x:c r="A126" s="5" t="s">
        <x:v>493</x:v>
      </x:c>
      <x:c r="B126" s="20"/>
      <x:c r="C126" s="20"/>
      <x:c r="D126" s="20"/>
      <x:c r="E126" s="20"/>
      <x:c r="F126" s="20"/>
      <x:c r="G126" s="20"/>
      <x:c r="H126" s="20"/>
      <x:c r="I126" s="20"/>
      <x:c r="J126" s="20"/>
    </x:row>
    <x:row r="127" ht="15" hidden="0">
      <x:c r="A127" t="s">
        <x:v>494</x:v>
      </x:c>
      <x:c r="B127" s="19" t="s">
        <x:v>919</x:v>
      </x:c>
      <x:c r="C127" s="30"/>
      <x:c r="D127" s="34" t="n">
        <x:v>10</x:v>
      </x:c>
      <x:c r="E127" s="34" t="n">
        <x:v>10</x:v>
      </x:c>
      <x:c r="F127" s="34" t="n">
        <x:v>10</x:v>
      </x:c>
      <x:c r="G127" s="34" t="n">
        <x:v>10</x:v>
      </x:c>
      <x:c r="H127" s="34" t="n">
        <x:v>10</x:v>
      </x:c>
      <x:c r="I127" s="9" t="s">
        <x:v>158</x:v>
      </x:c>
    </x:row>
    <x:row r="128" ht="15" hidden="0">
      <x:c r="A128" t="s">
        <x:v>496</x:v>
      </x:c>
      <x:c r="B128" s="19" t="s">
        <x:v>497</x:v>
      </x:c>
      <x:c r="C128" s="30"/>
      <x:c r="D128" s="35" t="n">
        <x:f aca="0">D39/D127-D135</x:f>
        <x:v>1098.3462</x:v>
      </x:c>
      <x:c r="E128" s="35" t="n">
        <x:f aca="0">E39/E127-E135</x:f>
        <x:v>1079.8011999999999</x:v>
      </x:c>
      <x:c r="F128" s="35" t="n">
        <x:f aca="0">F39/F127-F135</x:f>
        <x:v>1073.3462</x:v>
      </x:c>
      <x:c r="G128" s="35" t="n">
        <x:f aca="0">G39/G127-G135</x:f>
        <x:v>1047.5626</x:v>
      </x:c>
      <x:c r="H128" s="35" t="n">
        <x:f aca="0">H39/H127-H135</x:f>
        <x:v>1047.5626</x:v>
      </x:c>
      <x:c r="I128" s="9" t="s">
        <x:v>498</x:v>
      </x:c>
    </x:row>
    <x:row r="129" ht="15" hidden="0">
      <x:c r="A129" t="s">
        <x:v>499</x:v>
      </x:c>
      <x:c r="B129" s="19" t="s">
        <x:v>920</x:v>
      </x:c>
      <x:c r="C129" s="30"/>
      <x:c r="D129" s="36" t="n">
        <x:v>1098.346</x:v>
      </x:c>
      <x:c r="E129" s="36" t="n">
        <x:v>1097.524</x:v>
      </x:c>
      <x:c r="F129" s="36" t="n">
        <x:v>1073.405</x:v>
      </x:c>
      <x:c r="G129" s="36" t="n">
        <x:v>1058.911</x:v>
      </x:c>
      <x:c r="H129" s="36" t="n">
        <x:v>1047.563</x:v>
      </x:c>
      <x:c r="I129" s="9" t="s">
        <x:v>498</x:v>
      </x:c>
    </x:row>
    <x:row r="130" ht="15" hidden="0">
      <x:c r="A130" t="str">
        <x:v>FY-end share price (Rs; last PSX close)</x:v>
      </x:c>
      <x:c r="B130" s="19" t="s">
        <x:v>921</x:v>
      </x:c>
      <x:c r="C130" s="30"/>
      <x:c r="D130" s="34" t="n">
        <x:v>46.98</x:v>
      </x:c>
      <x:c r="E130" s="34" t="n">
        <x:v>27.35</x:v>
      </x:c>
      <x:c r="F130" s="34" t="n">
        <x:v>28.33</x:v>
      </x:c>
      <x:c r="G130" s="34" t="n">
        <x:v>38</x:v>
      </x:c>
      <x:c r="H130" s="34" t="n">
        <x:v>84.28</x:v>
      </x:c>
      <x:c r="I130" s="9" t="s">
        <x:v>158</x:v>
      </x:c>
    </x:row>
    <x:row r="131" ht="15" hidden="0">
      <x:c r="A131" t="s">
        <x:v>502</x:v>
      </x:c>
      <x:c r="B131" s="19" t="s">
        <x:v>922</x:v>
      </x:c>
      <x:c r="C131" s="30"/>
      <x:c r="D131" s="34" t="n">
        <x:v>0</x:v>
      </x:c>
      <x:c r="E131" s="34" t="n">
        <x:v>0</x:v>
      </x:c>
      <x:c r="F131" s="34" t="n">
        <x:v>0</x:v>
      </x:c>
      <x:c r="G131" s="34" t="n">
        <x:v>0</x:v>
      </x:c>
      <x:c r="H131" s="34" t="n">
        <x:v>0</x:v>
      </x:c>
      <x:c r="I131" s="9" t="s">
        <x:v>158</x:v>
      </x:c>
    </x:row>
    <x:row r="132" ht="15" hidden="0">
      <x:c r="A132" t="str">
        <x:v>Reported EPS (Rs; own-year report basis)</x:v>
      </x:c>
      <x:c r="B132" s="19" t="s">
        <x:v>923</x:v>
      </x:c>
      <x:c r="C132" s="30"/>
      <x:c r="D132" s="34" t="n">
        <x:v>5.69</x:v>
      </x:c>
      <x:c r="E132" s="34" t="n">
        <x:v>3.3</x:v>
      </x:c>
      <x:c r="F132" s="34" t="n">
        <x:v>4.18</x:v>
      </x:c>
      <x:c r="G132" s="34" t="n">
        <x:v>4.98</x:v>
      </x:c>
      <x:c r="H132" s="34" t="n">
        <x:v>16.26</x:v>
      </x:c>
      <x:c r="I132" s="9" t="s">
        <x:v>158</x:v>
      </x:c>
    </x:row>
    <x:row r="133" ht="15" hidden="0">
      <x:c r="A133" t="s">
        <x:v>505</x:v>
      </x:c>
      <x:c r="B133" s="19" t="s">
        <x:v>506</x:v>
      </x:c>
      <x:c r="C133" s="30"/>
      <x:c r="D133" s="27" t="n">
        <x:f aca="0">D130*D128</x:f>
        <x:v>51600.304476</x:v>
      </x:c>
      <x:c r="E133" s="27" t="n">
        <x:f aca="0">E130*E128</x:f>
        <x:v>29532.56282</x:v>
      </x:c>
      <x:c r="F133" s="27" t="n">
        <x:f aca="0">F130*F128</x:f>
        <x:v>30407.897845999996</x:v>
      </x:c>
      <x:c r="G133" s="27" t="n">
        <x:f aca="0">G130*G128</x:f>
        <x:v>39807.3788</x:v>
      </x:c>
      <x:c r="H133" s="27" t="n">
        <x:f aca="0">H130*H128</x:f>
        <x:v>88288.575928</x:v>
      </x:c>
      <x:c r="I133" s="9" t="s">
        <x:v>98</x:v>
      </x:c>
    </x:row>
    <x:row r="134" ht="15" hidden="0">
      <x:c r="A134" t="str">
        <x:v>Factor to FY2025 annual-report split basis (memo)</x:v>
      </x:c>
      <x:c r="B134" s="19" t="s">
        <x:v>924</x:v>
      </x:c>
      <x:c r="C134" s="30"/>
      <x:c r="D134" s="34" t="n">
        <x:v>1</x:v>
      </x:c>
      <x:c r="E134" s="34" t="n">
        <x:v>1</x:v>
      </x:c>
      <x:c r="F134" s="34" t="n">
        <x:v>1</x:v>
      </x:c>
      <x:c r="G134" s="34" t="n">
        <x:v>1</x:v>
      </x:c>
      <x:c r="H134" s="34" t="n">
        <x:v>1</x:v>
      </x:c>
      <x:c r="I134" s="9" t="s">
        <x:v>508</x:v>
      </x:c>
    </x:row>
    <x:row r="135">
      <x:c r="A135" t="str">
        <x:v>Treasury shares excluded (million)</x:v>
      </x:c>
      <x:c r="B135" s="19"/>
      <x:c r="C135" s="30"/>
      <x:c r="D135" s="34" t="n">
        <x:v>0</x:v>
      </x:c>
      <x:c r="E135" s="34" t="n">
        <x:v>18.545</x:v>
      </x:c>
      <x:c r="F135" s="34" t="n">
        <x:v>0</x:v>
      </x:c>
      <x:c r="G135" s="34" t="n">
        <x:v>0</x:v>
      </x:c>
      <x:c r="H135" s="34" t="n">
        <x:v>0</x:v>
      </x:c>
    </x:row>
    <x:row r="136" ht="15" hidden="0">
      <x:c r="A136" s="5" t="s">
        <x:v>509</x:v>
      </x:c>
      <x:c r="B136" s="20"/>
      <x:c r="C136" s="20"/>
      <x:c r="D136" s="20"/>
      <x:c r="E136" s="20"/>
      <x:c r="F136" s="20"/>
      <x:c r="G136" s="20"/>
      <x:c r="H136" s="20"/>
      <x:c r="I136" s="20"/>
      <x:c r="J136" s="20"/>
    </x:row>
    <x:row r="137" ht="15" hidden="0">
      <x:c r="A137" s="24" t="s">
        <x:v>510</x:v>
      </x:c>
      <x:c r="B137" s="25"/>
      <x:c r="C137" s="25"/>
      <x:c r="D137" s="25"/>
      <x:c r="E137" s="25"/>
      <x:c r="F137" s="25"/>
      <x:c r="G137" s="25"/>
      <x:c r="H137" s="25"/>
      <x:c r="I137" s="25"/>
      <x:c r="J137" s="25"/>
    </x:row>
    <x:row r="138" ht="15" hidden="0">
      <x:c r="A138" t="s">
        <x:v>87</x:v>
      </x:c>
      <x:c r="B138" s="19" t="s">
        <x:v>88</x:v>
      </x:c>
      <x:c r="C138" s="30"/>
      <x:c r="D138" s="37" t="n">
        <x:f aca="0">D36/D61</x:f>
        <x:v>1.4780988568182505</x:v>
      </x:c>
      <x:c r="E138" s="37" t="n">
        <x:f aca="0">E36/E61</x:f>
        <x:v>1.2549557408945418</x:v>
      </x:c>
      <x:c r="F138" s="37" t="n">
        <x:f aca="0">F36/F61</x:f>
        <x:v>1.3715472215546312</x:v>
      </x:c>
      <x:c r="G138" s="37" t="n">
        <x:f aca="0">G36/G61</x:f>
        <x:v>1.444678241512437</x:v>
      </x:c>
      <x:c r="H138" s="37" t="n">
        <x:f aca="0">H36/H61</x:f>
        <x:v>1.5324411303645513</x:v>
      </x:c>
      <x:c r="I138" s="9" t="s">
        <x:v>89</x:v>
      </x:c>
    </x:row>
    <x:row r="139" ht="15" hidden="0">
      <x:c r="A139" t="s">
        <x:v>92</x:v>
      </x:c>
      <x:c r="B139" s="19" t="s">
        <x:v>93</x:v>
      </x:c>
      <x:c r="C139" s="30"/>
      <x:c r="D139" s="37" t="n">
        <x:f aca="0">(D36-D65)/D61</x:f>
        <x:v>0.439716919103873</x:v>
      </x:c>
      <x:c r="E139" s="37" t="n">
        <x:f aca="0">(E36-E65)/E61</x:f>
        <x:v>0.29473524106223353</x:v>
      </x:c>
      <x:c r="F139" s="37" t="n">
        <x:f aca="0">(F36-F65)/F61</x:f>
        <x:v>0.5204561252187091</x:v>
      </x:c>
      <x:c r="G139" s="37" t="n">
        <x:f aca="0">(G36-G65)/G61</x:f>
        <x:v>0.6094267063846261</x:v>
      </x:c>
      <x:c r="H139" s="37" t="n">
        <x:f aca="0">(H36-H65)/H61</x:f>
        <x:v>0.8078828259550986</x:v>
      </x:c>
      <x:c r="I139" s="9" t="s">
        <x:v>89</x:v>
      </x:c>
    </x:row>
    <x:row r="140" ht="15" hidden="0">
      <x:c r="A140" t="s">
        <x:v>94</x:v>
      </x:c>
      <x:c r="B140" s="19" t="s">
        <x:v>95</x:v>
      </x:c>
      <x:c r="C140" s="30"/>
      <x:c r="D140" s="37" t="n">
        <x:f aca="0">D34/D61</x:f>
        <x:v>0.0428255580531044</x:v>
      </x:c>
      <x:c r="E140" s="37" t="n">
        <x:f aca="0">E34/E61</x:f>
        <x:v>0.04900616554000333</x:v>
      </x:c>
      <x:c r="F140" s="37" t="n">
        <x:f aca="0">F34/F61</x:f>
        <x:v>0.04568029853307005</x:v>
      </x:c>
      <x:c r="G140" s="37" t="n">
        <x:f aca="0">G34/G61</x:f>
        <x:v>0.06094333738399166</x:v>
      </x:c>
      <x:c r="H140" s="37" t="n">
        <x:f aca="0">H34/H61</x:f>
        <x:v>0.06924333482737245</x:v>
      </x:c>
      <x:c r="I140" s="9" t="s">
        <x:v>89</x:v>
      </x:c>
    </x:row>
    <x:row r="141" ht="15" hidden="0">
      <x:c r="A141" t="s">
        <x:v>96</x:v>
      </x:c>
      <x:c r="B141" s="19" t="s">
        <x:v>97</x:v>
      </x:c>
      <x:c r="C141" s="30"/>
      <x:c r="D141" s="38" t="n">
        <x:f aca="0">D36-D61</x:f>
        <x:v>5473.968000000003</x:v>
      </x:c>
      <x:c r="E141" s="38" t="n">
        <x:f aca="0">E36-E61</x:f>
        <x:v>4128.598000000004</x:v>
      </x:c>
      <x:c r="F141" s="38" t="n">
        <x:f aca="0">F36-F61</x:f>
        <x:v>6024.645999999997</x:v>
      </x:c>
      <x:c r="G141" s="38" t="n">
        <x:f aca="0">G36-G61</x:f>
        <x:v>8270.037</x:v>
      </x:c>
      <x:c r="H141" s="38" t="n">
        <x:f aca="0">H36-H61</x:f>
        <x:v>12422.112999999994</x:v>
      </x:c>
      <x:c r="I141" s="9" t="s">
        <x:v>98</x:v>
      </x:c>
    </x:row>
    <x:row r="142" ht="15" hidden="0">
      <x:c r="A142" t="s">
        <x:v>100</x:v>
      </x:c>
      <x:c r="B142" s="19" t="s">
        <x:v>101</x:v>
      </x:c>
      <x:c r="C142" s="30"/>
      <x:c r="D142" s="38" t="n">
        <x:f aca="0">D72-D73</x:f>
        <x:v>8772.302000000001</x:v>
      </x:c>
      <x:c r="E142" s="38" t="n">
        <x:f aca="0">E72-E73</x:f>
        <x:v>10212.653</x:v>
      </x:c>
      <x:c r="F142" s="38" t="n">
        <x:f aca="0">F72-F73</x:f>
        <x:v>5291.223999999998</x:v>
      </x:c>
      <x:c r="G142" s="38" t="n">
        <x:f aca="0">G72-G73</x:f>
        <x:v>9031.93</x:v>
      </x:c>
      <x:c r="H142" s="38" t="n">
        <x:f aca="0">H72-H73</x:f>
        <x:v>4949.648999999998</x:v>
      </x:c>
      <x:c r="I142" s="9" t="s">
        <x:v>98</x:v>
      </x:c>
    </x:row>
    <x:row r="143" ht="15" hidden="0">
      <x:c r="A143" s="24" t="s">
        <x:v>511</x:v>
      </x:c>
      <x:c r="B143" s="25"/>
      <x:c r="C143" s="25"/>
      <x:c r="D143" s="25"/>
      <x:c r="E143" s="25"/>
      <x:c r="F143" s="25"/>
      <x:c r="G143" s="25"/>
      <x:c r="H143" s="25"/>
      <x:c r="I143" s="25"/>
      <x:c r="J143" s="25"/>
    </x:row>
    <x:row r="144" ht="15" hidden="0">
      <x:c r="A144" t="s">
        <x:v>102</x:v>
      </x:c>
      <x:c r="B144" s="19" t="s">
        <x:v>103</x:v>
      </x:c>
      <x:c r="C144" s="30"/>
      <x:c r="D144" s="37" t="n">
        <x:f aca="0">-D85/((C65+D65)/2)</x:f>
        <x:v>2.5503561154199565</x:v>
      </x:c>
      <x:c r="E144" s="37" t="n">
        <x:f aca="0">-E85/((D65+E65)/2)</x:f>
        <x:v>2.6418827583195736</x:v>
      </x:c>
      <x:c r="F144" s="37" t="n">
        <x:f aca="0">-F85/((E65+F65)/2)</x:f>
        <x:v>2.991643999189634</x:v>
      </x:c>
      <x:c r="G144" s="37" t="n">
        <x:f aca="0">-G85/((F65+G65)/2)</x:f>
        <x:v>3.101356599565812</x:v>
      </x:c>
      <x:c r="H144" s="37" t="n">
        <x:f aca="0">-H85/((G65+H65)/2)</x:f>
        <x:v>2.786573287705566</x:v>
      </x:c>
      <x:c r="I144" s="9" t="s">
        <x:v>89</x:v>
      </x:c>
    </x:row>
    <x:row r="145" ht="15" hidden="0">
      <x:c r="A145" t="s">
        <x:v>105</x:v>
      </x:c>
      <x:c r="B145" s="19" t="s">
        <x:v>106</x:v>
      </x:c>
      <x:c r="C145" s="30"/>
      <x:c r="D145" s="37" t="n">
        <x:f aca="0">D84/((C32+D32)/2)</x:f>
        <x:v>15.020941563038772</x:v>
      </x:c>
      <x:c r="E145" s="37" t="n">
        <x:f aca="0">E84/((D32+E32)/2)</x:f>
        <x:v>25.905344380386534</x:v>
      </x:c>
      <x:c r="F145" s="37" t="n">
        <x:f aca="0">F84/((E32+F32)/2)</x:f>
        <x:v>26.600659453629234</x:v>
      </x:c>
      <x:c r="G145" s="37" t="n">
        <x:f aca="0">G84/((F32+G32)/2)</x:f>
        <x:v>19.574371293114748</x:v>
      </x:c>
      <x:c r="H145" s="37" t="n">
        <x:f aca="0">H84/((G32+H32)/2)</x:f>
        <x:v>15.67064847793373</x:v>
      </x:c>
      <x:c r="I145" s="9" t="s">
        <x:v>89</x:v>
      </x:c>
    </x:row>
    <x:row r="146" ht="15" hidden="0">
      <x:c r="A146" t="s">
        <x:v>107</x:v>
      </x:c>
      <x:c r="B146" s="19" t="s">
        <x:v>108</x:v>
      </x:c>
      <x:c r="C146" s="30"/>
      <x:c r="D146" s="37" t="n">
        <x:f aca="0">-D85/((C51+D51)/2)</x:f>
        <x:v>7.602018186210061</x:v>
      </x:c>
      <x:c r="E146" s="37" t="n">
        <x:f aca="0">-E85/((D51+E51)/2)</x:f>
        <x:v>9.676565320005555</x:v>
      </x:c>
      <x:c r="F146" s="37" t="n">
        <x:f aca="0">-F85/((E51+F51)/2)</x:f>
        <x:v>10.00035671705504</x:v>
      </x:c>
      <x:c r="G146" s="37" t="n">
        <x:f aca="0">-G85/((F51+G51)/2)</x:f>
        <x:v>9.699427349071424</x:v>
      </x:c>
      <x:c r="H146" s="37" t="n">
        <x:f aca="0">-H85/((G51+H51)/2)</x:f>
        <x:v>8.654036933716114</x:v>
      </x:c>
      <x:c r="I146" s="9" t="s">
        <x:v>89</x:v>
      </x:c>
    </x:row>
    <x:row r="147" ht="15" hidden="0">
      <x:c r="A147" t="s">
        <x:v>109</x:v>
      </x:c>
      <x:c r="B147" s="19" t="s">
        <x:v>110</x:v>
      </x:c>
      <x:c r="C147" s="30"/>
      <x:c r="D147" s="39" t="n">
        <x:f aca="0">365/D144</x:f>
        <x:v>143.11726813096334</x:v>
      </x:c>
      <x:c r="E147" s="39" t="n">
        <x:f aca="0">365/E144</x:f>
        <x:v>138.1590454196257</x:v>
      </x:c>
      <x:c r="F147" s="39" t="n">
        <x:f aca="0">365/F144</x:f>
        <x:v>122.0064954583065</x:v>
      </x:c>
      <x:c r="G147" s="39" t="n">
        <x:f aca="0">365/G144</x:f>
        <x:v>117.69043264844157</x:v>
      </x:c>
      <x:c r="H147" s="39" t="n">
        <x:f aca="0">365/H144</x:f>
        <x:v>130.98525045452405</x:v>
      </x:c>
      <x:c r="I147" s="9" t="s">
        <x:v>111</x:v>
      </x:c>
    </x:row>
    <x:row r="148" ht="15" hidden="0">
      <x:c r="A148" t="s">
        <x:v>113</x:v>
      </x:c>
      <x:c r="B148" s="19" t="s">
        <x:v>114</x:v>
      </x:c>
      <x:c r="C148" s="30"/>
      <x:c r="D148" s="39" t="n">
        <x:f aca="0">365/D145</x:f>
        <x:v>24.299408826550263</x:v>
      </x:c>
      <x:c r="E148" s="39" t="n">
        <x:f aca="0">365/E145</x:f>
        <x:v>14.089756717395696</x:v>
      </x:c>
      <x:c r="F148" s="39" t="n">
        <x:f aca="0">365/F145</x:f>
        <x:v>13.721464335734789</x:v>
      </x:c>
      <x:c r="G148" s="39" t="n">
        <x:f aca="0">365/G145</x:f>
        <x:v>18.64683133544055</x:v>
      </x:c>
      <x:c r="H148" s="39" t="n">
        <x:f aca="0">365/H145</x:f>
        <x:v>23.29195250049585</x:v>
      </x:c>
      <x:c r="I148" s="9" t="s">
        <x:v>111</x:v>
      </x:c>
    </x:row>
    <x:row r="149" ht="15" hidden="0">
      <x:c r="A149" t="s">
        <x:v>115</x:v>
      </x:c>
      <x:c r="B149" s="19" t="s">
        <x:v>116</x:v>
      </x:c>
      <x:c r="C149" s="30"/>
      <x:c r="D149" s="39" t="n">
        <x:f aca="0">365/D146</x:f>
        <x:v>48.013565747856816</x:v>
      </x:c>
      <x:c r="E149" s="39" t="n">
        <x:f aca="0">365/E146</x:f>
        <x:v>37.71999546630358</x:v>
      </x:c>
      <x:c r="F149" s="39" t="n">
        <x:f aca="0">365/F146</x:f>
        <x:v>36.498698029192624</x:v>
      </x:c>
      <x:c r="G149" s="39" t="n">
        <x:f aca="0">365/G146</x:f>
        <x:v>37.63108757497352</x:v>
      </x:c>
      <x:c r="H149" s="39" t="n">
        <x:f aca="0">365/H146</x:f>
        <x:v>42.1768479607431</x:v>
      </x:c>
      <x:c r="I149" s="9" t="s">
        <x:v>111</x:v>
      </x:c>
    </x:row>
    <x:row r="150" ht="15" hidden="0">
      <x:c r="A150" t="s">
        <x:v>117</x:v>
      </x:c>
      <x:c r="B150" s="19" t="s">
        <x:v>118</x:v>
      </x:c>
      <x:c r="C150" s="30"/>
      <x:c r="D150" s="39" t="n">
        <x:f aca="0">D147+D148</x:f>
        <x:v>167.4166769575136</x:v>
      </x:c>
      <x:c r="E150" s="39" t="n">
        <x:f aca="0">E147+E148</x:f>
        <x:v>152.24880213702139</x:v>
      </x:c>
      <x:c r="F150" s="39" t="n">
        <x:f aca="0">F147+F148</x:f>
        <x:v>135.72795979404128</x:v>
      </x:c>
      <x:c r="G150" s="39" t="n">
        <x:f aca="0">G147+G148</x:f>
        <x:v>136.3372639838821</x:v>
      </x:c>
      <x:c r="H150" s="39" t="n">
        <x:f aca="0">H147+H148</x:f>
        <x:v>154.2772029550199</x:v>
      </x:c>
      <x:c r="I150" s="9" t="s">
        <x:v>111</x:v>
      </x:c>
    </x:row>
    <x:row r="151" ht="15" hidden="0">
      <x:c r="A151" t="s">
        <x:v>119</x:v>
      </x:c>
      <x:c r="B151" s="19" t="s">
        <x:v>120</x:v>
      </x:c>
      <x:c r="C151" s="30"/>
      <x:c r="D151" s="39" t="n">
        <x:f aca="0">D147+D148-D149</x:f>
        <x:v>119.40311120965679</x:v>
      </x:c>
      <x:c r="E151" s="39" t="n">
        <x:f aca="0">E147+E148-E149</x:f>
        <x:v>114.52880667071781</x:v>
      </x:c>
      <x:c r="F151" s="39" t="n">
        <x:f aca="0">F147+F148-F149</x:f>
        <x:v>99.22926176484866</x:v>
      </x:c>
      <x:c r="G151" s="39" t="n">
        <x:f aca="0">G147+G148-G149</x:f>
        <x:v>98.70617640890859</x:v>
      </x:c>
      <x:c r="H151" s="39" t="n">
        <x:f aca="0">H147+H148-H149</x:f>
        <x:v>112.1003549942768</x:v>
      </x:c>
      <x:c r="I151" s="9" t="s">
        <x:v>111</x:v>
      </x:c>
    </x:row>
    <x:row r="152" ht="15" hidden="0">
      <x:c r="A152" t="s">
        <x:v>121</x:v>
      </x:c>
      <x:c r="B152" s="19" t="s">
        <x:v>122</x:v>
      </x:c>
      <x:c r="C152" s="30"/>
      <x:c r="D152" s="37" t="n">
        <x:f aca="0">D84/((C37+D37)/2)</x:f>
        <x:v>0.5374450896807583</x:v>
      </x:c>
      <x:c r="E152" s="37" t="n">
        <x:f aca="0">E84/((D37+E37)/2)</x:f>
        <x:v>0.6536676591930263</x:v>
      </x:c>
      <x:c r="F152" s="37" t="n">
        <x:f aca="0">F84/((E37+F37)/2)</x:f>
        <x:v>0.7221331478723996</x:v>
      </x:c>
      <x:c r="G152" s="37" t="n">
        <x:f aca="0">G84/((F37+G37)/2)</x:f>
        <x:v>0.7029264873878895</x:v>
      </x:c>
      <x:c r="H152" s="37" t="n">
        <x:f aca="0">H84/((G37+H37)/2)</x:f>
        <x:v>0.6311331505330572</x:v>
      </x:c>
      <x:c r="I152" s="9" t="s">
        <x:v>89</x:v>
      </x:c>
    </x:row>
    <x:row r="153" ht="15" hidden="0">
      <x:c r="A153" t="s">
        <x:v>123</x:v>
      </x:c>
      <x:c r="B153" s="19" t="s">
        <x:v>124</x:v>
      </x:c>
      <x:c r="C153" s="30"/>
      <x:c r="D153" s="37" t="n">
        <x:f aca="0">D84/((C22+D22)/2)</x:f>
        <x:v>0.838288069294308</x:v>
      </x:c>
      <x:c r="E153" s="37" t="n">
        <x:f aca="0">E84/((D22+E22)/2)</x:f>
        <x:v>1.172066585205955</x:v>
      </x:c>
      <x:c r="F153" s="37" t="n">
        <x:f aca="0">F84/((E22+F22)/2)</x:f>
        <x:v>1.2158524918829576</x:v>
      </x:c>
      <x:c r="G153" s="37" t="n">
        <x:f aca="0">G84/((F22+G22)/2)</x:f>
        <x:v>1.0531088846951966</x:v>
      </x:c>
      <x:c r="H153" s="37" t="n">
        <x:f aca="0">H84/((G22+H22)/2)</x:f>
        <x:v>1.0752521941525262</x:v>
      </x:c>
      <x:c r="I153" s="9" t="s">
        <x:v>89</x:v>
      </x:c>
    </x:row>
    <x:row r="154" ht="15" hidden="0">
      <x:c r="A154" s="24" t="s">
        <x:v>512</x:v>
      </x:c>
      <x:c r="B154" s="25"/>
      <x:c r="C154" s="25"/>
      <x:c r="D154" s="25"/>
      <x:c r="E154" s="25"/>
      <x:c r="F154" s="25"/>
      <x:c r="G154" s="25"/>
      <x:c r="H154" s="25"/>
      <x:c r="I154" s="25"/>
      <x:c r="J154" s="25"/>
    </x:row>
    <x:row r="155" ht="15" hidden="0">
      <x:c r="A155" t="s">
        <x:v>125</x:v>
      </x:c>
      <x:c r="B155" s="19" t="s">
        <x:v>126</x:v>
      </x:c>
      <x:c r="C155" s="30"/>
      <x:c r="D155" s="40" t="n">
        <x:f aca="0">D62/D37</x:f>
        <x:v>0.4332284086792129</x:v>
      </x:c>
      <x:c r="E155" s="40" t="n">
        <x:f aca="0">E62/E37</x:f>
        <x:v>0.5066666090934888</x:v>
      </x:c>
      <x:c r="F155" s="40" t="n">
        <x:f aca="0">F62/F37</x:f>
        <x:v>0.49933942690835115</x:v>
      </x:c>
      <x:c r="G155" s="40" t="n">
        <x:f aca="0">G62/G37</x:f>
        <x:v>0.4704820926001394</x:v>
      </x:c>
      <x:c r="H155" s="40" t="n">
        <x:f aca="0">H62/H37</x:f>
        <x:v>0.4000182240614351</x:v>
      </x:c>
      <x:c r="I155" s="9" t="s">
        <x:v>127</x:v>
      </x:c>
    </x:row>
    <x:row r="156" ht="15" hidden="0">
      <x:c r="A156" t="s">
        <x:v>129</x:v>
      </x:c>
      <x:c r="B156" s="19" t="s">
        <x:v>130</x:v>
      </x:c>
      <x:c r="C156" s="30"/>
      <x:c r="D156" s="37" t="n">
        <x:f aca="0">D62/D41</x:f>
        <x:v>0.7643791878658399</x:v>
      </x:c>
      <x:c r="E156" s="37" t="n">
        <x:f aca="0">E62/E41</x:f>
        <x:v>1.027026790468161</x:v>
      </x:c>
      <x:c r="F156" s="37" t="n">
        <x:f aca="0">F62/F41</x:f>
        <x:v>0.9973611938820361</x:v>
      </x:c>
      <x:c r="G156" s="37" t="n">
        <x:f aca="0">G62/G41</x:f>
        <x:v>0.8885102581523445</x:v>
      </x:c>
      <x:c r="H156" s="37" t="n">
        <x:f aca="0">H62/H41</x:f>
        <x:v>0.6667172905971644</x:v>
      </x:c>
      <x:c r="I156" s="9" t="s">
        <x:v>89</x:v>
      </x:c>
    </x:row>
    <x:row r="157" ht="15" hidden="0">
      <x:c r="A157" t="s">
        <x:v>131</x:v>
      </x:c>
      <x:c r="B157" s="19" t="s">
        <x:v>132</x:v>
      </x:c>
      <x:c r="C157" s="30"/>
      <x:c r="D157" s="40" t="n">
        <x:f aca="0">D66/(D66+D41)</x:f>
        <x:v>0.3018980041603245</x:v>
      </x:c>
      <x:c r="E157" s="40" t="n">
        <x:f aca="0">E66/(E66+E41)</x:f>
        <x:v>0.381087654689308</x:v>
      </x:c>
      <x:c r="F157" s="40" t="n">
        <x:f aca="0">F66/(F66+F41)</x:f>
        <x:v>0.30676284445350793</x:v>
      </x:c>
      <x:c r="G157" s="40" t="n">
        <x:f aca="0">G66/(G66+G41)</x:f>
        <x:v>0.2692569010491479</x:v>
      </x:c>
      <x:c r="H157" s="40" t="n">
        <x:f aca="0">H66/(H66+H41)</x:f>
        <x:v>0.1694536072536581</x:v>
      </x:c>
      <x:c r="I157" s="9" t="s">
        <x:v>127</x:v>
      </x:c>
    </x:row>
    <x:row r="158" ht="15" hidden="0">
      <x:c r="A158" t="s">
        <x:v>133</x:v>
      </x:c>
      <x:c r="B158" s="19" t="s">
        <x:v>134</x:v>
      </x:c>
      <x:c r="C158" s="30"/>
      <x:c r="D158" s="40" t="n">
        <x:f aca="0">D67/D37</x:f>
        <x:v>0.19077425632568037</x:v>
      </x:c>
      <x:c r="E158" s="40" t="n">
        <x:f aca="0">E67/E37</x:f>
        <x:v>0.22836689667151214</x:v>
      </x:c>
      <x:c r="F158" s="40" t="n">
        <x:f aca="0">F67/F37</x:f>
        <x:v>0.19245552926882725</x:v>
      </x:c>
      <x:c r="G158" s="40" t="n">
        <x:f aca="0">G67/G37</x:f>
        <x:v>0.1441187310524372</x:v>
      </x:c>
      <x:c r="H158" s="40" t="n">
        <x:f aca="0">H67/H37</x:f>
        <x:v>0.08236454653172713</x:v>
      </x:c>
      <x:c r="I158" s="9" t="s">
        <x:v>127</x:v>
      </x:c>
    </x:row>
    <x:row r="159" ht="15" hidden="0">
      <x:c r="A159" t="s">
        <x:v>135</x:v>
      </x:c>
      <x:c r="B159" s="19" t="s">
        <x:v>136</x:v>
      </x:c>
      <x:c r="C159" s="30"/>
      <x:c r="D159" s="37" t="n">
        <x:f aca="0">IF(D106&lt;=0,"n/m",D108/D106)</x:f>
        <x:v>6.069000565198944</x:v>
      </x:c>
      <x:c r="E159" s="37" t="n">
        <x:f aca="0">IF(E106&lt;=0,"n/m",E108/E106)</x:f>
        <x:v>5.280713598911259</x:v>
      </x:c>
      <x:c r="F159" s="37" t="n">
        <x:f aca="0">IF(F106&lt;=0,"n/m",F108/F106)</x:f>
        <x:v>4.472840944030858</x:v>
      </x:c>
      <x:c r="G159" s="37" t="n">
        <x:f aca="0">IF(G106&lt;=0,"n/m",G108/G106)</x:f>
        <x:v>3.222781857366191</x:v>
      </x:c>
      <x:c r="H159" s="37" t="n">
        <x:f aca="0">IF(H106&lt;=0,"n/m",H108/H106)</x:f>
        <x:v>7.387043000579386</x:v>
      </x:c>
      <x:c r="I159" s="9" t="s">
        <x:v>89</x:v>
      </x:c>
    </x:row>
    <x:row r="160" ht="15" hidden="0">
      <x:c r="A160" t="s">
        <x:v>137</x:v>
      </x:c>
      <x:c r="B160" s="19" t="s">
        <x:v>138</x:v>
      </x:c>
      <x:c r="C160" s="30"/>
      <x:c r="D160" s="37" t="n">
        <x:f aca="0">IF(D109&lt;=0,"n/m",D68/D109)</x:f>
        <x:v>1.3043528362015715</x:v>
      </x:c>
      <x:c r="E160" s="37" t="n">
        <x:f aca="0">IF(E109&lt;=0,"n/m",E68/E109)</x:f>
        <x:v>1.9887410592494228</x:v>
      </x:c>
      <x:c r="F160" s="37" t="n">
        <x:f aca="0">IF(F109&lt;=0,"n/m",F68/F109)</x:f>
        <x:v>1.2362853113221863</x:v>
      </x:c>
      <x:c r="G160" s="37" t="n">
        <x:f aca="0">IF(G109&lt;=0,"n/m",G68/G109)</x:f>
        <x:v>1.0377422935118947</x:v>
      </x:c>
      <x:c r="H160" s="37" t="n">
        <x:f aca="0">IF(H109&lt;=0,"n/m",H68/H109)</x:f>
        <x:v>0.43751507855019817</x:v>
      </x:c>
      <x:c r="I160" s="9" t="s">
        <x:v>89</x:v>
      </x:c>
    </x:row>
    <x:row r="161" ht="15" hidden="0">
      <x:c r="A161" s="24" t="s">
        <x:v>513</x:v>
      </x:c>
      <x:c r="B161" s="25"/>
      <x:c r="C161" s="25"/>
      <x:c r="D161" s="25"/>
      <x:c r="E161" s="25"/>
      <x:c r="F161" s="25"/>
      <x:c r="G161" s="25"/>
      <x:c r="H161" s="25"/>
      <x:c r="I161" s="25"/>
      <x:c r="J161" s="25"/>
    </x:row>
    <x:row r="162" ht="15" hidden="0">
      <x:c r="A162" t="s">
        <x:v>139</x:v>
      </x:c>
      <x:c r="B162" s="19" t="s">
        <x:v>140</x:v>
      </x:c>
      <x:c r="C162" s="30"/>
      <x:c r="D162" s="40" t="n">
        <x:f aca="0">D86/D84</x:f>
        <x:v>0.20830714445240356</x:v>
      </x:c>
      <x:c r="E162" s="40" t="n">
        <x:f aca="0">E86/E84</x:f>
        <x:v>0.25300003367709667</x:v>
      </x:c>
      <x:c r="F162" s="40" t="n">
        <x:f aca="0">F86/F84</x:f>
        <x:v>0.2927632247172742</x:v>
      </x:c>
      <x:c r="G162" s="40" t="n">
        <x:f aca="0">G86/G84</x:f>
        <x:v>0.31547845382378364</x:v>
      </x:c>
      <x:c r="H162" s="40" t="n">
        <x:f aca="0">H86/H84</x:f>
        <x:v>0.3444440599046921</x:v>
      </x:c>
      <x:c r="I162" s="9" t="s">
        <x:v>127</x:v>
      </x:c>
    </x:row>
    <x:row r="163" ht="15" hidden="0">
      <x:c r="A163" t="s">
        <x:v>142</x:v>
      </x:c>
      <x:c r="B163" s="19" t="s">
        <x:v>143</x:v>
      </x:c>
      <x:c r="C163" s="30"/>
      <x:c r="D163" s="40" t="n">
        <x:f aca="0">D91/D84</x:f>
        <x:v>0.14213957498981164</x:v>
      </x:c>
      <x:c r="E163" s="40" t="n">
        <x:f aca="0">E91/E84</x:f>
        <x:v>0.18277011721154793</x:v>
      </x:c>
      <x:c r="F163" s="40" t="n">
        <x:f aca="0">F91/F84</x:f>
        <x:v>0.19097413673296146</x:v>
      </x:c>
      <x:c r="G163" s="40" t="n">
        <x:f aca="0">G91/G84</x:f>
        <x:v>0.19131892826420518</x:v>
      </x:c>
      <x:c r="H163" s="40" t="n">
        <x:f aca="0">H91/H84</x:f>
        <x:v>0.2280930676582029</x:v>
      </x:c>
      <x:c r="I163" s="9" t="s">
        <x:v>127</x:v>
      </x:c>
    </x:row>
    <x:row r="164" ht="15" hidden="0">
      <x:c r="A164" t="s">
        <x:v>144</x:v>
      </x:c>
      <x:c r="B164" s="19" t="s">
        <x:v>145</x:v>
      </x:c>
      <x:c r="C164" s="30"/>
      <x:c r="D164" s="40" t="n">
        <x:f aca="0">D99/D84</x:f>
        <x:v>0.1759822170452098</x:v>
      </x:c>
      <x:c r="E164" s="40" t="n">
        <x:f aca="0">E99/E84</x:f>
        <x:v>0.07473965893633715</x:v>
      </x:c>
      <x:c r="F164" s="40" t="n">
        <x:f aca="0">F99/F84</x:f>
        <x:v>0.07235844154915244</x:v>
      </x:c>
      <x:c r="G164" s="40" t="n">
        <x:f aca="0">G99/G84</x:f>
        <x:v>0.07934297520984508</x:v>
      </x:c>
      <x:c r="H164" s="40" t="n">
        <x:f aca="0">H99/H84</x:f>
        <x:v>0.24711008947956384</x:v>
      </x:c>
      <x:c r="I164" s="9" t="s">
        <x:v>127</x:v>
      </x:c>
    </x:row>
    <x:row r="165" ht="15" hidden="0">
      <x:c r="A165" t="s">
        <x:v>146</x:v>
      </x:c>
      <x:c r="B165" s="19" t="s">
        <x:v>147</x:v>
      </x:c>
      <x:c r="C165" s="30"/>
      <x:c r="D165" s="40" t="n">
        <x:f aca="0">D99/((C37+D37)/2)</x:f>
        <x:v>0.09458077842208146</x:v>
      </x:c>
      <x:c r="E165" s="40" t="n">
        <x:f aca="0">E99/((D37+E37)/2)</x:f>
        <x:v>0.04885489790580065</x:v>
      </x:c>
      <x:c r="F165" s="40" t="n">
        <x:f aca="0">F99/((E37+F37)/2)</x:f>
        <x:v>0.05225242917103048</x:v>
      </x:c>
      <x:c r="G165" s="40" t="n">
        <x:f aca="0">G99/((F37+G37)/2)</x:f>
        <x:v>0.0557722788631608</x:v>
      </x:c>
      <x:c r="H165" s="40" t="n">
        <x:f aca="0">H99/((G37+H37)/2)</x:f>
        <x:v>0.1559593693017428</x:v>
      </x:c>
      <x:c r="I165" s="9" t="s">
        <x:v>127</x:v>
      </x:c>
    </x:row>
    <x:row r="166" ht="15" hidden="0">
      <x:c r="A166" t="s">
        <x:v>148</x:v>
      </x:c>
      <x:c r="B166" s="19" t="s">
        <x:v>149</x:v>
      </x:c>
      <x:c r="C166" s="30"/>
      <x:c r="D166" s="40" t="n">
        <x:f aca="0">D99/((C41+D41)/2)</x:f>
        <x:v>0.18163818640771748</x:v>
      </x:c>
      <x:c r="E166" s="40" t="n">
        <x:f aca="0">E99/((D41+E41)/2)</x:f>
        <x:v>0.09286217037724577</x:v>
      </x:c>
      <x:c r="F166" s="40" t="n">
        <x:f aca="0">F99/((E41+F41)/2)</x:f>
        <x:v>0.10510254167180039</x:v>
      </x:c>
      <x:c r="G166" s="40" t="n">
        <x:f aca="0">G99/((F41+G41)/2)</x:f>
        <x:v>0.10812221617479151</x:v>
      </x:c>
      <x:c r="H166" s="40" t="n">
        <x:f aca="0">H99/((G41+H41)/2)</x:f>
        <x:v>0.2746085954343051</x:v>
      </x:c>
      <x:c r="I166" s="9" t="s">
        <x:v>127</x:v>
      </x:c>
    </x:row>
    <x:row r="167" ht="15" hidden="0">
      <x:c r="A167" t="s">
        <x:v>150</x:v>
      </x:c>
      <x:c r="B167" s="19" t="s">
        <x:v>151</x:v>
      </x:c>
      <x:c r="C167" s="30"/>
      <x:c r="D167" s="40" t="n">
        <x:f aca="0">D113/((C70+D70)/2)</x:f>
        <x:v>0.140804883114224</x:v>
      </x:c>
      <x:c r="E167" s="40" t="n">
        <x:f aca="0">E113/((D70+E70)/2)</x:f>
        <x:v>0.07552102511911654</x:v>
      </x:c>
      <x:c r="F167" s="40" t="n">
        <x:f aca="0">F113/((E70+F70)/2)</x:f>
        <x:v>0.08943041686178571</x:v>
      </x:c>
      <x:c r="G167" s="40" t="n">
        <x:f aca="0">G113/((F70+G70)/2)</x:f>
        <x:v>0.1128071865450392</x:v>
      </x:c>
      <x:c r="H167" s="40" t="n">
        <x:f aca="0">H113/((G70+H70)/2)</x:f>
        <x:v>0.25096399764604915</x:v>
      </x:c>
      <x:c r="I167" s="9" t="s">
        <x:v>127</x:v>
      </x:c>
    </x:row>
    <x:row r="168" ht="15" hidden="0">
      <x:c r="A168" t="s">
        <x:v>152</x:v>
      </x:c>
      <x:c r="B168" s="19" t="s">
        <x:v>153</x:v>
      </x:c>
      <x:c r="C168" s="30"/>
      <x:c r="D168" s="40" t="n">
        <x:f aca="0">D108/((C37+D37)/2)</x:f>
        <x:v>0.13283318203671918</x:v>
      </x:c>
      <x:c r="E168" s="40" t="n">
        <x:f aca="0">E108/((D37+E37)/2)</x:f>
        <x:v>0.12023345655576649</x:v>
      </x:c>
      <x:c r="F168" s="40" t="n">
        <x:f aca="0">F108/((E37+F37)/2)</x:f>
        <x:v>0.1396147149844841</x:v>
      </x:c>
      <x:c r="G168" s="40" t="n">
        <x:f aca="0">G108/((F37+G37)/2)</x:f>
        <x:v>0.1382503777250139</x:v>
      </x:c>
      <x:c r="H168" s="40" t="n">
        <x:f aca="0">H108/((G37+H37)/2)</x:f>
        <x:v>0.23086739193474415</x:v>
      </x:c>
      <x:c r="I168" s="9" t="s">
        <x:v>127</x:v>
      </x:c>
    </x:row>
    <x:row r="169" ht="15" hidden="0">
      <x:c r="A169" t="s">
        <x:v>154</x:v>
      </x:c>
      <x:c r="B169" s="19" t="s">
        <x:v>155</x:v>
      </x:c>
      <x:c r="C169" s="30"/>
      <x:c r="D169" s="40" t="n">
        <x:f aca="0">D109/D84</x:f>
        <x:v>0.3396682638261181</x:v>
      </x:c>
      <x:c r="E169" s="40" t="n">
        <x:f aca="0">E109/E84</x:f>
        <x:v>0.25058964803971473</x:v>
      </x:c>
      <x:c r="F169" s="40" t="n">
        <x:f aca="0">F109/F84</x:f>
        <x:v>0.2493225843810011</x:v>
      </x:c>
      <x:c r="G169" s="40" t="n">
        <x:f aca="0">G109/G84</x:f>
        <x:v>0.2647021742557539</x:v>
      </x:c>
      <x:c r="H169" s="40" t="n">
        <x:f aca="0">H109/H84</x:f>
        <x:v>0.4298124989647161</x:v>
      </x:c>
      <x:c r="I169" s="9" t="s">
        <x:v>127</x:v>
      </x:c>
    </x:row>
    <x:row r="170" ht="15" hidden="0">
      <x:c r="A170" s="24" t="s">
        <x:v>514</x:v>
      </x:c>
      <x:c r="B170" s="25"/>
      <x:c r="C170" s="25"/>
      <x:c r="D170" s="25"/>
      <x:c r="E170" s="25"/>
      <x:c r="F170" s="25"/>
      <x:c r="G170" s="25"/>
      <x:c r="H170" s="25"/>
      <x:c r="I170" s="25"/>
      <x:c r="J170" s="25"/>
    </x:row>
    <x:row r="171" ht="15" hidden="0">
      <x:c r="A171" t="s">
        <x:v>156</x:v>
      </x:c>
      <x:c r="B171" s="19" t="s">
        <x:v>157</x:v>
      </x:c>
      <x:c r="C171" s="30"/>
      <x:c r="D171" s="41" t="n">
        <x:f aca="0">D41/D128</x:f>
        <x:v>34.18097226539319</x:v>
      </x:c>
      <x:c r="E171" s="41" t="n">
        <x:f aca="0">E41/E128</x:f>
        <x:v>37.56155762745958</x:v>
      </x:c>
      <x:c r="F171" s="41" t="n">
        <x:f aca="0">F41/F128</x:f>
        <x:v>41.84401454069526</x:v>
      </x:c>
      <x:c r="G171" s="41" t="n">
        <x:f aca="0">G41/G128</x:f>
        <x:v>50.22698213930126</x:v>
      </x:c>
      <x:c r="H171" s="41" t="n">
        <x:f aca="0">H41/H128</x:f>
        <x:v>68.21701347489879</x:v>
      </x:c>
      <x:c r="I171" s="9" t="s">
        <x:v>158</x:v>
      </x:c>
    </x:row>
    <x:row r="172" ht="15" hidden="0">
      <x:c r="A172" t="s">
        <x:v>160</x:v>
      </x:c>
      <x:c r="B172" s="19" t="s">
        <x:v>161</x:v>
      </x:c>
      <x:c r="C172" s="30"/>
      <x:c r="D172" s="37" t="n">
        <x:f aca="0">D130/D171</x:f>
        <x:v>1.3744489078669448</x:v>
      </x:c>
      <x:c r="E172" s="37" t="n">
        <x:f aca="0">E130/E171</x:f>
        <x:v>0.7281380679486422</x:v>
      </x:c>
      <x:c r="F172" s="37" t="n">
        <x:f aca="0">F130/F171</x:f>
        <x:v>0.6770382887724061</x:v>
      </x:c>
      <x:c r="G172" s="37" t="n">
        <x:f aca="0">G130/G171</x:f>
        <x:v>0.7565654630534934</x:v>
      </x:c>
      <x:c r="H172" s="37" t="n">
        <x:f aca="0">H130/H171</x:f>
        <x:v>1.2354689205356633</x:v>
      </x:c>
      <x:c r="I172" s="9" t="s">
        <x:v>89</x:v>
      </x:c>
    </x:row>
    <x:row r="173" ht="15" hidden="0">
      <x:c r="A173" t="s">
        <x:v>162</x:v>
      </x:c>
      <x:c r="B173" s="19" t="s">
        <x:v>163</x:v>
      </x:c>
      <x:c r="C173" s="30"/>
      <x:c r="D173" s="41" t="n">
        <x:f aca="0">D99/D129</x:f>
        <x:v>5.694115515511503</x:v>
      </x:c>
      <x:c r="E173" s="41" t="n">
        <x:f aca="0">E99/E129</x:f>
        <x:v>3.3041099784606085</x:v>
      </x:c>
      <x:c r="F173" s="41" t="n">
        <x:f aca="0">F99/F129</x:f>
        <x:v>4.18450538240459</x:v>
      </x:c>
      <x:c r="G173" s="41" t="n">
        <x:f aca="0">G99/G129</x:f>
        <x:v>4.979197496295721</x:v>
      </x:c>
      <x:c r="H173" s="41" t="n">
        <x:f aca="0">H99/H129</x:f>
        <x:v>16.262863426829693</x:v>
      </x:c>
      <x:c r="I173" s="9" t="s">
        <x:v>158</x:v>
      </x:c>
    </x:row>
    <x:row r="174" ht="15" hidden="0">
      <x:c r="A174" t="s">
        <x:v>164</x:v>
      </x:c>
      <x:c r="B174" s="19" t="s">
        <x:v>165</x:v>
      </x:c>
      <x:c r="C174" s="30"/>
      <x:c r="D174" s="37" t="n">
        <x:f aca="0">IF(D173&lt;=0,"n/m",D130/D173)</x:f>
        <x:v>8.250622923265333</x:v>
      </x:c>
      <x:c r="E174" s="37" t="n">
        <x:f aca="0">IF(E173&lt;=0,"n/m",E130/E173)</x:f>
        <x:v>8.277569505341472</x:v>
      </x:c>
      <x:c r="F174" s="37" t="n">
        <x:f aca="0">IF(F173&lt;=0,"n/m",F130/F173)</x:f>
        <x:v>6.770214735324442</x:v>
      </x:c>
      <x:c r="G174" s="37" t="n">
        <x:f aca="0">IF(G173&lt;=0,"n/m",G130/G173)</x:f>
        <x:v>7.631751909473391</x:v>
      </x:c>
      <x:c r="H174" s="37" t="n">
        <x:f aca="0">IF(H173&lt;=0,"n/m",H130/H173)</x:f>
        <x:v>5.182359206248938</x:v>
      </x:c>
      <x:c r="I174" s="9" t="s">
        <x:v>89</x:v>
      </x:c>
    </x:row>
    <x:row r="175" ht="15" hidden="0">
      <x:c r="A175" t="s">
        <x:v>166</x:v>
      </x:c>
      <x:c r="B175" s="19" t="s">
        <x:v>167</x:v>
      </x:c>
      <x:c r="C175" s="30"/>
      <x:c r="D175" s="40" t="n">
        <x:f aca="0">D131/D130</x:f>
        <x:v>0</x:v>
      </x:c>
      <x:c r="E175" s="40" t="n">
        <x:f aca="0">E131/E130</x:f>
        <x:v>0</x:v>
      </x:c>
      <x:c r="F175" s="40" t="n">
        <x:f aca="0">F131/F130</x:f>
        <x:v>0</x:v>
      </x:c>
      <x:c r="G175" s="40" t="n">
        <x:f aca="0">G131/G130</x:f>
        <x:v>0</x:v>
      </x:c>
      <x:c r="H175" s="40" t="n">
        <x:f aca="0">H131/H130</x:f>
        <x:v>0</x:v>
      </x:c>
      <x:c r="I175" s="9" t="s">
        <x:v>127</x:v>
      </x:c>
    </x:row>
    <x:row r="176" ht="15" hidden="0">
      <x:c r="A176" t="s">
        <x:v>168</x:v>
      </x:c>
      <x:c r="B176" s="19" t="s">
        <x:v>169</x:v>
      </x:c>
      <x:c r="C176" s="30"/>
      <x:c r="D176" s="40" t="n">
        <x:f aca="0">IF(D173&lt;=0,"n/m",D131/D173)</x:f>
        <x:v>0</x:v>
      </x:c>
      <x:c r="E176" s="40" t="n">
        <x:f aca="0">IF(E173&lt;=0,"n/m",E131/E173)</x:f>
        <x:v>0</x:v>
      </x:c>
      <x:c r="F176" s="40" t="n">
        <x:f aca="0">IF(F173&lt;=0,"n/m",F131/F173)</x:f>
        <x:v>0</x:v>
      </x:c>
      <x:c r="G176" s="40" t="n">
        <x:f aca="0">IF(G173&lt;=0,"n/m",G131/G173)</x:f>
        <x:v>0</x:v>
      </x:c>
      <x:c r="H176" s="40" t="n">
        <x:f aca="0">IF(H173&lt;=0,"n/m",H131/H173)</x:f>
        <x:v>0</x:v>
      </x:c>
      <x:c r="I176" s="9" t="s">
        <x:v>127</x:v>
      </x:c>
    </x:row>
    <x:row r="177" ht="15" hidden="0">
      <x:c r="A177" s="24" t="s">
        <x:v>515</x:v>
      </x:c>
      <x:c r="B177" s="25"/>
      <x:c r="C177" s="25"/>
      <x:c r="D177" s="25"/>
      <x:c r="E177" s="25"/>
      <x:c r="F177" s="25"/>
      <x:c r="G177" s="25"/>
      <x:c r="H177" s="25"/>
      <x:c r="I177" s="25"/>
      <x:c r="J177" s="25"/>
    </x:row>
    <x:row r="178" ht="15" hidden="0">
      <x:c r="A178" t="s">
        <x:v>170</x:v>
      </x:c>
      <x:c r="B178" s="19" t="s">
        <x:v>171</x:v>
      </x:c>
      <x:c r="C178" s="30"/>
      <x:c r="D178" s="37" t="n">
        <x:f aca="0">D117/((C61+D61)/2)</x:f>
        <x:v>0.4896246614243733</x:v>
      </x:c>
      <x:c r="E178" s="37" t="n">
        <x:f aca="0">E117/((D61+E61)/2)</x:f>
        <x:v>0.6026954756709324</x:v>
      </x:c>
      <x:c r="F178" s="37" t="n">
        <x:f aca="0">F117/((E61+F61)/2)</x:f>
        <x:v>1.2431133620493349</x:v>
      </x:c>
      <x:c r="G178" s="37" t="n">
        <x:f aca="0">G117/((F61+G61)/2)</x:f>
        <x:v>0.5455600969539355</x:v>
      </x:c>
      <x:c r="H178" s="37" t="n">
        <x:f aca="0">H117/((G61+H61)/2)</x:f>
        <x:v>0.921413038275278</x:v>
      </x:c>
      <x:c r="I178" s="9" t="s">
        <x:v>89</x:v>
      </x:c>
    </x:row>
    <x:row r="179" ht="15" hidden="0">
      <x:c r="A179" s="24" t="s">
        <x:v>516</x:v>
      </x:c>
      <x:c r="B179" s="25"/>
      <x:c r="C179" s="25"/>
      <x:c r="D179" s="25"/>
      <x:c r="E179" s="25"/>
      <x:c r="F179" s="25"/>
      <x:c r="G179" s="25"/>
      <x:c r="H179" s="25"/>
      <x:c r="I179" s="25"/>
      <x:c r="J179" s="25"/>
    </x:row>
    <x:row r="180" ht="15" hidden="0">
      <x:c r="A180" t="s">
        <x:v>173</x:v>
      </x:c>
      <x:c r="B180" s="19" t="s">
        <x:v>174</x:v>
      </x:c>
      <x:c r="C180" s="30"/>
      <x:c r="D180" s="40" t="n">
        <x:f aca="0">D108/((C71+D71)/2)</x:f>
        <x:v>0.16653481008908244</x:v>
      </x:c>
      <x:c r="E180" s="40" t="n">
        <x:f aca="0">E108/((D71+E71)/2)</x:f>
        <x:v>0.14774422741491938</x:v>
      </x:c>
      <x:c r="F180" s="40" t="n">
        <x:f aca="0">F108/((E71+F71)/2)</x:f>
        <x:v>0.1720466367167354</x:v>
      </x:c>
      <x:c r="G180" s="40" t="n">
        <x:f aca="0">G108/((F71+G71)/2)</x:f>
        <x:v>0.16945009123912752</x:v>
      </x:c>
      <x:c r="H180" s="40" t="n">
        <x:f aca="0">H108/((G71+H71)/2)</x:f>
        <x:v>0.2856973137897185</x:v>
      </x:c>
      <x:c r="I180" s="9" t="s">
        <x:v>127</x:v>
      </x:c>
    </x:row>
    <x:row r="181" ht="15" hidden="0">
      <x:c r="A181" t="s">
        <x:v>176</x:v>
      </x:c>
      <x:c r="B181" s="19" t="s">
        <x:v>177</x:v>
      </x:c>
      <x:c r="C181" s="30"/>
      <x:c r="D181" s="40" t="n">
        <x:f aca="0">D117/D84</x:f>
        <x:v>0.18436354062058283</x:v>
      </x:c>
      <x:c r="E181" s="40" t="n">
        <x:f aca="0">E117/E84</x:f>
        <x:v>0.17168532351715352</x:v>
      </x:c>
      <x:c r="F181" s="40" t="n">
        <x:f aca="0">F117/F84</x:f>
        <x:v>0.32450392192483646</x:v>
      </x:c>
      <x:c r="G181" s="40" t="n">
        <x:f aca="0">G117/G84</x:f>
        <x:v>0.14290304685697489</x:v>
      </x:c>
      <x:c r="H181" s="40" t="n">
        <x:f aca="0">H117/H84</x:f>
        <x:v>0.28018496761777206</x:v>
      </x:c>
      <x:c r="I181" s="9" t="s">
        <x:v>127</x:v>
      </x:c>
    </x:row>
    <x:row r="182" ht="15" hidden="0">
      <x:c r="A182" t="s">
        <x:v>178</x:v>
      </x:c>
      <x:c r="B182" s="19" t="s">
        <x:v>179</x:v>
      </x:c>
      <x:c r="C182" s="30"/>
      <x:c r="D182" s="37" t="n">
        <x:f aca="0">D66/D41</x:f>
        <x:v>0.43245543768601064</x:v>
      </x:c>
      <x:c r="E182" s="37" t="n">
        <x:f aca="0">E66/E41</x:f>
        <x:v>0.6157376849511754</x:v>
      </x:c>
      <x:c r="F182" s="37" t="n">
        <x:f aca="0">F66/F41</x:f>
        <x:v>0.44250779404874935</x:v>
      </x:c>
      <x:c r="G182" s="37" t="n">
        <x:f aca="0">G66/G41</x:f>
        <x:v>0.36846998820204724</x:v>
      </x:c>
      <x:c r="H182" s="37" t="n">
        <x:f aca="0">H66/H41</x:f>
        <x:v>0.20402666092297522</x:v>
      </x:c>
      <x:c r="I182" s="9" t="s">
        <x:v>89</x:v>
      </x:c>
    </x:row>
    <x:row r="183" ht="15" hidden="0">
      <x:c r="A183" s="24" t="s">
        <x:v>517</x:v>
      </x:c>
      <x:c r="B183" s="25"/>
      <x:c r="C183" s="25"/>
      <x:c r="D183" s="25"/>
      <x:c r="E183" s="25"/>
      <x:c r="F183" s="25"/>
      <x:c r="G183" s="25"/>
      <x:c r="H183" s="25"/>
      <x:c r="I183" s="25"/>
      <x:c r="J183" s="25"/>
    </x:row>
    <x:row r="184" ht="15" hidden="0">
      <x:c r="A184" t="s">
        <x:v>518</x:v>
      </x:c>
      <x:c r="B184" s="19" t="s">
        <x:v>519</x:v>
      </x:c>
      <x:c r="C184" s="30"/>
      <x:c r="D184" s="37" t="n">
        <x:f aca="0">(D34+D33)/D61</x:f>
        <x:v>0.055852212263857615</x:v>
      </x:c>
      <x:c r="E184" s="37" t="n">
        <x:f aca="0">(E34+E33)/E61</x:f>
        <x:v>0.061254742752768716</x:v>
      </x:c>
      <x:c r="F184" s="37" t="n">
        <x:f aca="0">(F34+F33)/F61</x:f>
        <x:v>0.27321968932386825</x:v>
      </x:c>
      <x:c r="G184" s="37" t="n">
        <x:f aca="0">(G34+G33)/G61</x:f>
        <x:v>0.28786598414866277</x:v>
      </x:c>
      <x:c r="H184" s="37" t="n">
        <x:f aca="0">(H34+H33)/H61</x:f>
        <x:v>0.545119003282014</x:v>
      </x:c>
      <x:c r="I184" s="9" t="s">
        <x:v>89</x:v>
      </x:c>
    </x:row>
    <x:row r="185" ht="15" hidden="0">
      <x:c r="A185" t="s">
        <x:v>520</x:v>
      </x:c>
      <x:c r="B185" s="19" t="s">
        <x:v>521</x:v>
      </x:c>
      <x:c r="C185" s="30"/>
      <x:c r="D185" s="37" t="n">
        <x:f aca="0">IF(D109&lt;=0,"n/m",D69/D109)</x:f>
        <x:v>1.2919971804040238</x:v>
      </x:c>
      <x:c r="E185" s="37" t="n">
        <x:f aca="0">IF(E109&lt;=0,"n/m",E69/E109)</x:f>
        <x:v>1.9724277183521175</x:v>
      </x:c>
      <x:c r="F185" s="37" t="n">
        <x:f aca="0">IF(F109&lt;=0,"n/m",F69/F109)</x:f>
        <x:v>0.9978920658091062</x:v>
      </x:c>
      <x:c r="G185" s="37" t="n">
        <x:f aca="0">IF(G109&lt;=0,"n/m",G69/G109)</x:f>
        <x:v>0.7978194642764865</x:v>
      </x:c>
      <x:c r="H185" s="37" t="n">
        <x:f aca="0">IF(H109&lt;=0,"n/m",H69/H109)</x:f>
        <x:v>0.06284272327601698</x:v>
      </x:c>
      <x:c r="I185" s="9" t="s">
        <x:v>89</x:v>
      </x:c>
    </x:row>
    <x:row r="186" ht="15" hidden="0">
      <x:c r="A186" t="s">
        <x:v>522</x:v>
      </x:c>
      <x:c r="B186" s="19" t="s">
        <x:v>523</x:v>
      </x:c>
      <x:c r="C186" s="30"/>
      <x:c r="D186" s="39" t="n">
        <x:f aca="0">365/(-D85/((C31+D31)/2))</x:f>
        <x:v>25.489210859095433</x:v>
      </x:c>
      <x:c r="E186" s="39" t="n">
        <x:f aca="0">365/(-E85/((D31+E31)/2))</x:f>
        <x:v>24.400050314318257</x:v>
      </x:c>
      <x:c r="F186" s="39" t="n">
        <x:f aca="0">365/(-F85/((E31+F31)/2))</x:f>
        <x:v>27.31239607227987</x:v>
      </x:c>
      <x:c r="G186" s="39" t="n">
        <x:f aca="0">365/(-G85/((F31+G31)/2))</x:f>
        <x:v>28.610501757120286</x:v>
      </x:c>
      <x:c r="H186" s="39" t="n">
        <x:f aca="0">365/(-H85/((G31+H31)/2))</x:f>
        <x:v>31.090758442796346</x:v>
      </x:c>
      <x:c r="I186" s="9" t="s">
        <x:v>111</x:v>
      </x:c>
    </x:row>
    <x:row r="187" ht="15" hidden="0">
      <x:c r="A187" t="s">
        <x:v>524</x:v>
      </x:c>
      <x:c r="B187" s="19" t="s">
        <x:v>525</x:v>
      </x:c>
      <x:c r="C187" s="30"/>
      <x:c r="D187" s="37" t="n">
        <x:f aca="0">D120/((C61+D61)/2)</x:f>
        <x:v>0.3600721781528331</x:v>
      </x:c>
      <x:c r="E187" s="37" t="n">
        <x:f aca="0">E120/((D61+E61)/2)</x:f>
        <x:v>0.5088714657709362</x:v>
      </x:c>
      <x:c r="F187" s="37" t="n">
        <x:f aca="0">F120/((E61+F61)/2)</x:f>
        <x:v>1.0871176903083066</x:v>
      </x:c>
      <x:c r="G187" s="37" t="n">
        <x:f aca="0">G120/((F61+G61)/2)</x:f>
        <x:v>0.3073985299841114</x:v>
      </x:c>
      <x:c r="H187" s="37" t="n">
        <x:f aca="0">H120/((G61+H61)/2)</x:f>
        <x:v>0.7261743627948011</x:v>
      </x:c>
      <x:c r="I187" s="9" t="s">
        <x:v>89</x:v>
      </x:c>
    </x:row>
    <x:row r="188" ht="15" hidden="0">
      <x:c r="A188" t="str">
        <x:v>M5. EPS on FY2025 annual-report split basis (Rs)</x:v>
      </x:c>
      <x:c r="B188" s="19" t="s">
        <x:v>526</x:v>
      </x:c>
      <x:c r="C188" s="30"/>
      <x:c r="D188" s="41" t="n">
        <x:f aca="0">D173/D134</x:f>
        <x:v>5.694115515511503</x:v>
      </x:c>
      <x:c r="E188" s="41" t="n">
        <x:f aca="0">E173/E134</x:f>
        <x:v>3.3041099784606085</x:v>
      </x:c>
      <x:c r="F188" s="41" t="n">
        <x:f aca="0">F173/F134</x:f>
        <x:v>4.18450538240459</x:v>
      </x:c>
      <x:c r="G188" s="41" t="n">
        <x:f aca="0">G173/G134</x:f>
        <x:v>4.979197496295721</x:v>
      </x:c>
      <x:c r="H188" s="41" t="n">
        <x:f aca="0">H173/H134</x:f>
        <x:v>16.262863426829693</x:v>
      </x:c>
      <x:c r="I188" s="9" t="s">
        <x:v>158</x:v>
      </x:c>
    </x:row>
    <x:row r="189" ht="15" hidden="0">
      <x:c r="A189" t="s">
        <x:v>527</x:v>
      </x:c>
      <x:c r="B189" s="19" t="s">
        <x:v>528</x:v>
      </x:c>
      <x:c r="C189" s="30"/>
      <x:c r="D189" s="40" t="n">
        <x:f aca="0">D108/D84</x:f>
        <x:v>0.24715675068428278</x:v>
      </x:c>
      <x:c r="E189" s="40" t="n">
        <x:f aca="0">E108/E84</x:f>
        <x:v>0.18393667617608397</x:v>
      </x:c>
      <x:c r="F189" s="40" t="n">
        <x:f aca="0">F108/F84</x:f>
        <x:v>0.19333652719838024</x:v>
      </x:c>
      <x:c r="G189" s="40" t="n">
        <x:f aca="0">G108/G84</x:f>
        <x:v>0.19667828742484764</x:v>
      </x:c>
      <x:c r="H189" s="40" t="n">
        <x:f aca="0">H108/H84</x:f>
        <x:v>0.36579823408064166</x:v>
      </x:c>
      <x:c r="I189" s="9" t="s">
        <x:v>127</x:v>
      </x:c>
    </x:row>
    <x:row r="191" ht="15" hidden="0">
      <x:c r="A191" s="5" t="s">
        <x:v>529</x:v>
      </x:c>
      <x:c r="B191" s="20"/>
      <x:c r="C191" s="20"/>
      <x:c r="D191" s="20"/>
      <x:c r="E191" s="20"/>
      <x:c r="F191" s="20"/>
      <x:c r="G191" s="20"/>
      <x:c r="H191" s="20"/>
      <x:c r="I191" s="20"/>
      <x:c r="J191" s="20"/>
    </x:row>
    <x:row r="192" ht="15" hidden="0">
      <x:c r="A192" s="24" t="s">
        <x:v>530</x:v>
      </x:c>
      <x:c r="B192" s="25"/>
      <x:c r="C192" s="25"/>
      <x:c r="D192" s="25"/>
      <x:c r="E192" s="25"/>
      <x:c r="F192" s="25"/>
      <x:c r="G192" s="25"/>
      <x:c r="H192" s="25"/>
      <x:c r="I192" s="25"/>
      <x:c r="J192" s="25"/>
    </x:row>
    <x:row r="193" ht="15" hidden="0">
      <x:c r="A193" t="s">
        <x:v>531</x:v>
      </x:c>
      <x:c r="B193" s="19" t="s">
        <x:v>532</x:v>
      </x:c>
      <x:c r="C193" s="42" t="n">
        <x:f aca="0">IF(C37=0,"n/m",C22/C37)</x:f>
        <x:v>0.6578807098118852</x:v>
      </x:c>
      <x:c r="D193" s="42" t="n">
        <x:f aca="0">IF(D37=0,"n/m",D22/D37)</x:f>
        <x:v>0.6244217516984409</x:v>
      </x:c>
      <x:c r="E193" s="42" t="n">
        <x:f aca="0">IF(E37=0,"n/m",E22/E37)</x:f>
        <x:v>0.5039522972975109</x:v>
      </x:c>
      <x:c r="F193" s="42" t="n">
        <x:f aca="0">IF(F37=0,"n/m",F22/F37)</x:f>
        <x:v>0.6763946078169355</x:v>
      </x:c>
      <x:c r="G193" s="42" t="n">
        <x:f aca="0">IF(G37=0,"n/m",G22/G37)</x:f>
        <x:v>0.6594271048227697</x:v>
      </x:c>
      <x:c r="H193" s="42" t="n">
        <x:f aca="0">IF(H37=0,"n/m",H22/H37)</x:f>
        <x:v>0.526508868705998</x:v>
      </x:c>
      <x:c r="I193" s="11" t="s">
        <x:v>127</x:v>
      </x:c>
    </x:row>
    <x:row r="194" ht="15" hidden="0">
      <x:c r="A194" t="s">
        <x:v>533</x:v>
      </x:c>
      <x:c r="B194" s="19" t="s">
        <x:v>534</x:v>
      </x:c>
      <x:c r="C194" s="42" t="n">
        <x:f aca="0">IF(C37=0,"n/m",C21/C37)</x:f>
        <x:v>0.013200863853928532</x:v>
      </x:c>
      <x:c r="D194" s="42" t="n">
        <x:f aca="0">IF(D37=0,"n/m",D21/D37)</x:f>
        <x:v>0.04309064177903631</x:v>
      </x:c>
      <x:c r="E194" s="42" t="n">
        <x:f aca="0">IF(E37=0,"n/m",E21/E37)</x:f>
        <x:v>0.1867414404395542</x:v>
      </x:c>
      <x:c r="F194" s="42" t="n">
        <x:f aca="0">IF(F37=0,"n/m",F21/F37)</x:f>
        <x:v>0.01869177110092576</x:v>
      </x:c>
      <x:c r="G194" s="42" t="n">
        <x:f aca="0">IF(G37=0,"n/m",G21/G37)</x:f>
        <x:v>0.004741818206410539</x:v>
      </x:c>
      <x:c r="H194" s="42" t="n">
        <x:f aca="0">IF(H37=0,"n/m",H21/H37)</x:f>
        <x:v>0.0010553936324645746</x:v>
      </x:c>
      <x:c r="I194" s="11" t="s">
        <x:v>127</x:v>
      </x:c>
    </x:row>
    <x:row r="195" ht="15" hidden="0">
      <x:c r="A195" t="s">
        <x:v>312</x:v>
      </x:c>
      <x:c r="B195" s="19" t="s">
        <x:v>535</x:v>
      </x:c>
      <x:c r="C195" s="42" t="n">
        <x:f aca="0">IF(C37=0,"n/m",C28/C37)</x:f>
        <x:v>0.7484131402304062</x:v>
      </x:c>
      <x:c r="D195" s="42" t="n">
        <x:f aca="0">IF(D37=0,"n/m",D28/D37)</x:f>
        <x:v>0.7445108625731096</x:v>
      </x:c>
      <x:c r="E195" s="42" t="n">
        <x:f aca="0">IF(E37=0,"n/m",E28/E37)</x:f>
        <x:v>0.752816587302852</x:v>
      </x:c>
      <x:c r="F195" s="42" t="n">
        <x:f aca="0">IF(F37=0,"n/m",F28/F37)</x:f>
        <x:v>0.7520874543326604</x:v>
      </x:c>
      <x:c r="G195" s="42" t="n">
        <x:f aca="0">IF(G37=0,"n/m",G28/G37)</x:f>
        <x:v>0.7296064752013678</x:v>
      </x:c>
      <x:c r="H195" s="42" t="n">
        <x:f aca="0">IF(H37=0,"n/m",H28/H37)</x:f>
        <x:v>0.6998260150382846</x:v>
      </x:c>
      <x:c r="I195" s="11" t="s">
        <x:v>127</x:v>
      </x:c>
    </x:row>
    <x:row r="196" ht="15" hidden="0">
      <x:c r="A196" t="s">
        <x:v>536</x:v>
      </x:c>
      <x:c r="B196" s="19" t="s">
        <x:v>537</x:v>
      </x:c>
      <x:c r="C196" s="42" t="n">
        <x:f aca="0">IF(C37=0,"n/m",C65/C37)</x:f>
        <x:v>0.1541440584606785</x:v>
      </x:c>
      <x:c r="D196" s="42" t="n">
        <x:f aca="0">IF(D37=0,"n/m",D65/D37)</x:f>
        <x:v>0.1794841423241359</x:v>
      </x:c>
      <x:c r="E196" s="42" t="n">
        <x:f aca="0">IF(E37=0,"n/m",E65/E37)</x:f>
        <x:v>0.18913063812204728</x:v>
      </x:c>
      <x:c r="F196" s="42" t="n">
        <x:f aca="0">IF(F37=0,"n/m",F65/F37)</x:f>
        <x:v>0.15383805746643114</x:v>
      </x:c>
      <x:c r="G196" s="42" t="n">
        <x:f aca="0">IF(G37=0,"n/m",G65/G37)</x:f>
        <x:v>0.156330039580466</x:v>
      </x:c>
      <x:c r="H196" s="42" t="n">
        <x:f aca="0">IF(H37=0,"n/m",H65/H37)</x:f>
        <x:v>0.14192620470839862</x:v>
      </x:c>
      <x:c r="I196" s="11" t="s">
        <x:v>127</x:v>
      </x:c>
    </x:row>
    <x:row r="197" ht="15" hidden="0">
      <x:c r="A197" t="s">
        <x:v>319</x:v>
      </x:c>
      <x:c r="B197" s="19" t="s">
        <x:v>538</x:v>
      </x:c>
      <x:c r="C197" s="42" t="n">
        <x:f aca="0">IF(C37=0,"n/m",C32/C37)</x:f>
        <x:v>0.046237548680482465</x:v>
      </x:c>
      <x:c r="D197" s="42" t="n">
        <x:f aca="0">IF(D37=0,"n/m",D32/D37)</x:f>
        <x:v>0.02535812663900111</x:v>
      </x:c>
      <x:c r="E197" s="42" t="n">
        <x:f aca="0">IF(E37=0,"n/m",E32/E37)</x:f>
        <x:v>0.025132054422222147</x:v>
      </x:c>
      <x:c r="F197" s="42" t="n">
        <x:f aca="0">IF(F37=0,"n/m",F32/F37)</x:f>
        <x:v>0.028993995845017155</x:v>
      </x:c>
      <x:c r="G197" s="42" t="n">
        <x:f aca="0">IF(G37=0,"n/m",G32/G37)</x:f>
        <x:v>0.042154845774620656</x:v>
      </x:c>
      <x:c r="H197" s="42" t="n">
        <x:f aca="0">IF(H37=0,"n/m",H32/H37)</x:f>
        <x:v>0.03870645904110289</x:v>
      </x:c>
      <x:c r="I197" s="11" t="s">
        <x:v>127</x:v>
      </x:c>
    </x:row>
    <x:row r="198" ht="15" hidden="0">
      <x:c r="A198" t="s">
        <x:v>321</x:v>
      </x:c>
      <x:c r="B198" s="19" t="s">
        <x:v>539</x:v>
      </x:c>
      <x:c r="C198" s="42" t="n">
        <x:f aca="0">IF(C37=0,"n/m",C33/C37)</x:f>
        <x:v>0.001139906999525873</x:v>
      </x:c>
      <x:c r="D198" s="42" t="n">
        <x:f aca="0">IF(D37=0,"n/m",D33/D37)</x:f>
        <x:v>0.0022516549772779834</x:v>
      </x:c>
      <x:c r="E198" s="42" t="n">
        <x:f aca="0">IF(E37=0,"n/m",E33/E37)</x:f>
        <x:v>0.0024125513095607197</x:v>
      </x:c>
      <x:c r="F198" s="42" t="n">
        <x:f aca="0">IF(F37=0,"n/m",F33/F37)</x:f>
        <x:v>0.041128638317390574</x:v>
      </x:c>
      <x:c r="G198" s="42" t="n">
        <x:f aca="0">IF(G37=0,"n/m",G33/G37)</x:f>
        <x:v>0.04247202771677247</x:v>
      </x:c>
      <x:c r="H198" s="42" t="n">
        <x:f aca="0">IF(H37=0,"n/m",H33/H37)</x:f>
        <x:v>0.0932143446922287</x:v>
      </x:c>
      <x:c r="I198" s="11" t="s">
        <x:v>127</x:v>
      </x:c>
    </x:row>
    <x:row r="199" ht="15" hidden="0">
      <x:c r="A199" t="s">
        <x:v>540</x:v>
      </x:c>
      <x:c r="B199" s="19" t="s">
        <x:v>541</x:v>
      </x:c>
      <x:c r="C199" s="42" t="n">
        <x:f aca="0">IF(C37=0,"n/m",C34/C37)</x:f>
        <x:v>0.01585018375537161</x:v>
      </x:c>
      <x:c r="D199" s="42" t="n">
        <x:f aca="0">IF(D37=0,"n/m",D34/D37)</x:f>
        <x:v>0.007402390466876769</x:v>
      </x:c>
      <x:c r="E199" s="42" t="n">
        <x:f aca="0">IF(E37=0,"n/m",E34/E37)</x:f>
        <x:v>0.009652540600949642</x:v>
      </x:c>
      <x:c r="F199" s="42" t="n">
        <x:f aca="0">IF(F37=0,"n/m",F34/F37)</x:f>
        <x:v>0.008256893323250662</x:v>
      </x:c>
      <x:c r="G199" s="42" t="n">
        <x:f aca="0">IF(G37=0,"n/m",G34/G37)</x:f>
        <x:v>0.011406473313392042</x:v>
      </x:c>
      <x:c r="H199" s="42" t="n">
        <x:f aca="0">IF(H37=0,"n/m",H34/H37)</x:f>
        <x:v>0.013563358053582253</x:v>
      </x:c>
      <x:c r="I199" s="11" t="s">
        <x:v>127</x:v>
      </x:c>
    </x:row>
    <x:row r="200" ht="15" hidden="0">
      <x:c r="A200" t="s">
        <x:v>327</x:v>
      </x:c>
      <x:c r="B200" s="19" t="s">
        <x:v>542</x:v>
      </x:c>
      <x:c r="C200" s="42" t="n">
        <x:f aca="0">IF(C37=0,"n/m",C36/C37)</x:f>
        <x:v>0.2515868597695938</x:v>
      </x:c>
      <x:c r="D200" s="42" t="n">
        <x:f aca="0">IF(D37=0,"n/m",D36/D37)</x:f>
        <x:v>0.2554891374268905</x:v>
      </x:c>
      <x:c r="E200" s="42" t="n">
        <x:f aca="0">IF(E37=0,"n/m",E36/E37)</x:f>
        <x:v>0.24718341269714814</x:v>
      </x:c>
      <x:c r="F200" s="42" t="n">
        <x:f aca="0">IF(F37=0,"n/m",F36/F37)</x:f>
        <x:v>0.2479125456673395</x:v>
      </x:c>
      <x:c r="G200" s="42" t="n">
        <x:f aca="0">IF(G37=0,"n/m",G36/G37)</x:f>
        <x:v>0.27039352479863216</x:v>
      </x:c>
      <x:c r="H200" s="42" t="n">
        <x:f aca="0">IF(H37=0,"n/m",H36/H37)</x:f>
        <x:v>0.30017398496171543</x:v>
      </x:c>
      <x:c r="I200" s="11" t="s">
        <x:v>127</x:v>
      </x:c>
    </x:row>
    <x:row r="201" ht="15" hidden="0">
      <x:c r="A201" t="s">
        <x:v>336</x:v>
      </x:c>
      <x:c r="B201" s="19" t="s">
        <x:v>543</x:v>
      </x:c>
      <x:c r="C201" s="42" t="n">
        <x:f aca="0">IF(C37=0,"n/m",C41/C37)</x:f>
        <x:v>0.4744877996925636</x:v>
      </x:c>
      <x:c r="D201" s="42" t="n">
        <x:f aca="0">IF(D37=0,"n/m",D41/D37)</x:f>
        <x:v>0.566771591320787</x:v>
      </x:c>
      <x:c r="E201" s="42" t="n">
        <x:f aca="0">IF(E37=0,"n/m",E41/E37)</x:f>
        <x:v>0.49333339090651124</x:v>
      </x:c>
      <x:c r="F201" s="42" t="n">
        <x:f aca="0">IF(F37=0,"n/m",F41/F37)</x:f>
        <x:v>0.5006605730916487</x:v>
      </x:c>
      <x:c r="G201" s="42" t="n">
        <x:f aca="0">IF(G37=0,"n/m",G41/G37)</x:f>
        <x:v>0.5295179073998606</x:v>
      </x:c>
      <x:c r="H201" s="42" t="n">
        <x:f aca="0">IF(H37=0,"n/m",H41/H37)</x:f>
        <x:v>0.5999817759385652</x:v>
      </x:c>
      <x:c r="I201" s="11" t="s">
        <x:v>127</x:v>
      </x:c>
    </x:row>
    <x:row r="202" ht="15" hidden="0">
      <x:c r="A202" t="s">
        <x:v>544</x:v>
      </x:c>
      <x:c r="B202" s="19" t="s">
        <x:v>545</x:v>
      </x:c>
      <x:c r="C202" s="42" t="n">
        <x:f aca="0">IF(C37=0,"n/m",C67/C37)</x:f>
        <x:v>0.22986145490491094</x:v>
      </x:c>
      <x:c r="D202" s="42" t="n">
        <x:f aca="0">IF(D37=0,"n/m",D67/D37)</x:f>
        <x:v>0.19077425632568037</x:v>
      </x:c>
      <x:c r="E202" s="42" t="n">
        <x:f aca="0">IF(E37=0,"n/m",E67/E37)</x:f>
        <x:v>0.22836689667151214</x:v>
      </x:c>
      <x:c r="F202" s="42" t="n">
        <x:f aca="0">IF(F37=0,"n/m",F67/F37)</x:f>
        <x:v>0.19245552926882725</x:v>
      </x:c>
      <x:c r="G202" s="42" t="n">
        <x:f aca="0">IF(G37=0,"n/m",G67/G37)</x:f>
        <x:v>0.1441187310524372</x:v>
      </x:c>
      <x:c r="H202" s="42" t="n">
        <x:f aca="0">IF(H37=0,"n/m",H67/H37)</x:f>
        <x:v>0.08236454653172713</x:v>
      </x:c>
      <x:c r="I202" s="11" t="s">
        <x:v>127</x:v>
      </x:c>
    </x:row>
    <x:row r="203" ht="15" hidden="0">
      <x:c r="A203" t="s">
        <x:v>349</x:v>
      </x:c>
      <x:c r="B203" s="19" t="s">
        <x:v>546</x:v>
      </x:c>
      <x:c r="C203" s="42" t="n">
        <x:f aca="0">IF(C37=0,"n/m",C48/C37)</x:f>
        <x:v>0.29351965181033574</x:v>
      </x:c>
      <x:c r="D203" s="42" t="n">
        <x:f aca="0">IF(D37=0,"n/m",D48/D37)</x:f>
        <x:v>0.26037857779790413</x:v>
      </x:c>
      <x:c r="E203" s="42" t="n">
        <x:f aca="0">IF(E37=0,"n/m",E48/E37)</x:f>
        <x:v>0.30970076827351384</x:v>
      </x:c>
      <x:c r="F203" s="42" t="n">
        <x:f aca="0">IF(F37=0,"n/m",F48/F37)</x:f>
        <x:v>0.3185855004147859</x:v>
      </x:c>
      <x:c r="G203" s="42" t="n">
        <x:f aca="0">IF(G37=0,"n/m",G48/G37)</x:f>
        <x:v>0.2833168699028302</x:v>
      </x:c>
      <x:c r="H203" s="42" t="n">
        <x:f aca="0">IF(H37=0,"n/m",H48/H37)</x:f>
        <x:v>0.20413860492702354</x:v>
      </x:c>
      <x:c r="I203" s="11" t="s">
        <x:v>127</x:v>
      </x:c>
    </x:row>
    <x:row r="204" ht="15" hidden="0">
      <x:c r="A204" t="s">
        <x:v>352</x:v>
      </x:c>
      <x:c r="B204" s="19" t="s">
        <x:v>547</x:v>
      </x:c>
      <x:c r="C204" s="42" t="n">
        <x:f aca="0">IF(C37=0,"n/m",C50/C37)</x:f>
        <x:v>0.12045521260784253</x:v>
      </x:c>
      <x:c r="D204" s="42" t="n">
        <x:f aca="0">IF(D37=0,"n/m",D50/D37)</x:f>
        <x:v>0.1134015530785224</x:v>
      </x:c>
      <x:c r="E204" s="42" t="n">
        <x:f aca="0">IF(E37=0,"n/m",E50/E37)</x:f>
        <x:v>0.11089827415479638</x:v>
      </x:c>
      <x:c r="F204" s="42" t="n">
        <x:f aca="0">IF(F37=0,"n/m",F50/F37)</x:f>
        <x:v>0.13954407999553126</x:v>
      </x:c>
      <x:c r="G204" s="42" t="n">
        <x:f aca="0">IF(G37=0,"n/m",G50/G37)</x:f>
        <x:v>0.12561915491104866</x:v>
      </x:c>
      <x:c r="H204" s="42" t="n">
        <x:f aca="0">IF(H37=0,"n/m",H50/H37)</x:f>
        <x:v>0.15050649180344167</x:v>
      </x:c>
      <x:c r="I204" s="11" t="s">
        <x:v>127</x:v>
      </x:c>
    </x:row>
    <x:row r="205" ht="15" hidden="0">
      <x:c r="A205" t="s">
        <x:v>548</x:v>
      </x:c>
      <x:c r="B205" s="19" t="s">
        <x:v>549</x:v>
      </x:c>
      <x:c r="C205" s="42" t="n">
        <x:f aca="0">IF(C37=0,"n/m",C66/C37)</x:f>
        <x:v>0.3323813076097476</x:v>
      </x:c>
      <x:c r="D205" s="42" t="n">
        <x:f aca="0">IF(D37=0,"n/m",D66/D37)</x:f>
        <x:v>0.24510345659262772</x:v>
      </x:c>
      <x:c r="E205" s="42" t="n">
        <x:f aca="0">IF(E37=0,"n/m",E66/E37)</x:f>
        <x:v>0.30376396002588846</x:v>
      </x:c>
      <x:c r="F205" s="42" t="n">
        <x:f aca="0">IF(F37=0,"n/m",F66/F37)</x:f>
        <x:v>0.2215462057659681</x:v>
      </x:c>
      <x:c r="G205" s="42" t="n">
        <x:f aca="0">IF(G37=0,"n/m",G66/G37)</x:f>
        <x:v>0.19511145709239938</x:v>
      </x:c>
      <x:c r="H205" s="42" t="n">
        <x:f aca="0">IF(H37=0,"n/m",H66/H37)</x:f>
        <x:v>0.12241227835938212</x:v>
      </x:c>
      <x:c r="I205" s="11" t="s">
        <x:v>127</x:v>
      </x:c>
    </x:row>
    <x:row r="206" ht="15" hidden="0">
      <x:c r="A206" t="s">
        <x:v>374</x:v>
      </x:c>
      <x:c r="B206" s="19" t="s">
        <x:v>550</x:v>
      </x:c>
      <x:c r="C206" s="42" t="n">
        <x:f aca="0">IF(C37=0,"n/m",C61/C37)</x:f>
        <x:v>0.2319925484971005</x:v>
      </x:c>
      <x:c r="D206" s="42" t="n">
        <x:f aca="0">IF(D37=0,"n/m",D61/D37)</x:f>
        <x:v>0.1728498308813088</x:v>
      </x:c>
      <x:c r="E206" s="42" t="n">
        <x:f aca="0">IF(E37=0,"n/m",E61/E37)</x:f>
        <x:v>0.19696584081997504</x:v>
      </x:c>
      <x:c r="F206" s="42" t="n">
        <x:f aca="0">IF(F37=0,"n/m",F61/F37)</x:f>
        <x:v>0.18075392649356528</x:v>
      </x:c>
      <x:c r="G206" s="42" t="n">
        <x:f aca="0">IF(G37=0,"n/m",G61/G37)</x:f>
        <x:v>0.18716522269730912</x:v>
      </x:c>
      <x:c r="H206" s="42" t="n">
        <x:f aca="0">IF(H37=0,"n/m",H61/H37)</x:f>
        <x:v>0.19587961913441157</x:v>
      </x:c>
      <x:c r="I206" s="11" t="s">
        <x:v>127</x:v>
      </x:c>
    </x:row>
    <x:row r="207" ht="15" hidden="0">
      <x:c r="A207" t="s">
        <x:v>377</x:v>
      </x:c>
      <x:c r="B207" s="19" t="s">
        <x:v>551</x:v>
      </x:c>
      <x:c r="C207" s="42" t="n">
        <x:f aca="0">IF(C37=0,"n/m",C62/C37)</x:f>
        <x:v>0.5255122003074363</x:v>
      </x:c>
      <x:c r="D207" s="42" t="n">
        <x:f aca="0">IF(D37=0,"n/m",D62/D37)</x:f>
        <x:v>0.4332284086792129</x:v>
      </x:c>
      <x:c r="E207" s="42" t="n">
        <x:f aca="0">IF(E37=0,"n/m",E62/E37)</x:f>
        <x:v>0.5066666090934888</x:v>
      </x:c>
      <x:c r="F207" s="42" t="n">
        <x:f aca="0">IF(F37=0,"n/m",F62/F37)</x:f>
        <x:v>0.49933942690835115</x:v>
      </x:c>
      <x:c r="G207" s="42" t="n">
        <x:f aca="0">IF(G37=0,"n/m",G62/G37)</x:f>
        <x:v>0.4704820926001394</x:v>
      </x:c>
      <x:c r="H207" s="42" t="n">
        <x:f aca="0">IF(H37=0,"n/m",H62/H37)</x:f>
        <x:v>0.4000182240614351</x:v>
      </x:c>
      <x:c r="I207" s="11" t="s">
        <x:v>127</x:v>
      </x:c>
    </x:row>
    <x:row r="208" ht="15" hidden="0">
      <x:c r="A208" s="24" t="s">
        <x:v>552</x:v>
      </x:c>
      <x:c r="B208" s="25"/>
      <x:c r="C208" s="25"/>
      <x:c r="D208" s="25"/>
      <x:c r="E208" s="25"/>
      <x:c r="F208" s="25"/>
      <x:c r="G208" s="25"/>
      <x:c r="H208" s="25"/>
      <x:c r="I208" s="25"/>
      <x:c r="J208" s="25"/>
    </x:row>
    <x:row r="209" ht="15" hidden="0">
      <x:c r="A209" t="s">
        <x:v>416</x:v>
      </x:c>
      <x:c r="B209" s="19" t="s">
        <x:v>553</x:v>
      </x:c>
      <x:c r="C209" s="30"/>
      <x:c r="D209" s="42" t="n">
        <x:f aca="0">IF(D84=0,"n/m",D85/D84)</x:f>
        <x:v>-0.7916928555475964</x:v>
      </x:c>
      <x:c r="E209" s="42" t="n">
        <x:f aca="0">IF(E84=0,"n/m",E85/E84)</x:f>
        <x:v>-0.7469999663229033</x:v>
      </x:c>
      <x:c r="F209" s="42" t="n">
        <x:f aca="0">IF(F84=0,"n/m",F85/F84)</x:f>
        <x:v>-0.7072367752827259</x:v>
      </x:c>
      <x:c r="G209" s="42" t="n">
        <x:f aca="0">IF(G84=0,"n/m",G85/G84)</x:f>
        <x:v>-0.6845215461762164</x:v>
      </x:c>
      <x:c r="H209" s="42" t="n">
        <x:f aca="0">IF(H84=0,"n/m",H85/H84)</x:f>
        <x:v>-0.6555559400953079</x:v>
      </x:c>
      <x:c r="I209" s="11" t="s">
        <x:v>127</x:v>
      </x:c>
    </x:row>
    <x:row r="210" ht="15" hidden="0">
      <x:c r="A210" t="s">
        <x:v>418</x:v>
      </x:c>
      <x:c r="B210" s="19" t="s">
        <x:v>554</x:v>
      </x:c>
      <x:c r="C210" s="30"/>
      <x:c r="D210" s="42" t="n">
        <x:f aca="0">IF(D84=0,"n/m",D86/D84)</x:f>
        <x:v>0.20830714445240356</x:v>
      </x:c>
      <x:c r="E210" s="42" t="n">
        <x:f aca="0">IF(E84=0,"n/m",E86/E84)</x:f>
        <x:v>0.25300003367709667</x:v>
      </x:c>
      <x:c r="F210" s="42" t="n">
        <x:f aca="0">IF(F84=0,"n/m",F86/F84)</x:f>
        <x:v>0.2927632247172742</x:v>
      </x:c>
      <x:c r="G210" s="42" t="n">
        <x:f aca="0">IF(G84=0,"n/m",G86/G84)</x:f>
        <x:v>0.31547845382378364</x:v>
      </x:c>
      <x:c r="H210" s="42" t="n">
        <x:f aca="0">IF(H84=0,"n/m",H86/H84)</x:f>
        <x:v>0.3444440599046921</x:v>
      </x:c>
      <x:c r="I210" s="11" t="s">
        <x:v>127</x:v>
      </x:c>
    </x:row>
    <x:row r="211" ht="15" hidden="0">
      <x:c r="A211" t="s">
        <x:v>555</x:v>
      </x:c>
      <x:c r="B211" s="19" t="s">
        <x:v>556</x:v>
      </x:c>
      <x:c r="C211" s="30"/>
      <x:c r="D211" s="42" t="n">
        <x:f aca="0">IF(D84=0,"n/m",D87/D84)</x:f>
        <x:v>-0.02852843190224541</x:v>
      </x:c>
      <x:c r="E211" s="42" t="n">
        <x:f aca="0">IF(E84=0,"n/m",E87/E84)</x:f>
        <x:v>-0.030583008251795527</x:v>
      </x:c>
      <x:c r="F211" s="42" t="n">
        <x:f aca="0">IF(F84=0,"n/m",F87/F84)</x:f>
        <x:v>-0.060428197327376434</x:v>
      </x:c>
      <x:c r="G211" s="42" t="n">
        <x:f aca="0">IF(G84=0,"n/m",G87/G84)</x:f>
        <x:v>-0.08234183087104763</x:v>
      </x:c>
      <x:c r="H211" s="42" t="n">
        <x:f aca="0">IF(H84=0,"n/m",H87/H84)</x:f>
        <x:v>-0.059814442905028346</x:v>
      </x:c>
      <x:c r="I211" s="11" t="s">
        <x:v>127</x:v>
      </x:c>
    </x:row>
    <x:row r="212" ht="15" hidden="0">
      <x:c r="A212" t="s">
        <x:v>557</x:v>
      </x:c>
      <x:c r="B212" s="19" t="s">
        <x:v>558</x:v>
      </x:c>
      <x:c r="C212" s="30"/>
      <x:c r="D212" s="42" t="n">
        <x:f aca="0">IF(D84=0,"n/m",D88/D84)</x:f>
        <x:v>-0.022890486520444522</x:v>
      </x:c>
      <x:c r="E212" s="42" t="n">
        <x:f aca="0">IF(E84=0,"n/m",E88/E84)</x:f>
        <x:v>-0.02002185837309285</x:v>
      </x:c>
      <x:c r="F212" s="42" t="n">
        <x:f aca="0">IF(F84=0,"n/m",F88/F84)</x:f>
        <x:v>-0.022240857666014732</x:v>
      </x:c>
      <x:c r="G212" s="42" t="n">
        <x:f aca="0">IF(G84=0,"n/m",G88/G84)</x:f>
        <x:v>-0.027871821775206498</x:v>
      </x:c>
      <x:c r="H212" s="42" t="n">
        <x:f aca="0">IF(H84=0,"n/m",H88/H84)</x:f>
        <x:v>-0.031567200270208</x:v>
      </x:c>
      <x:c r="I212" s="11" t="s">
        <x:v>127</x:v>
      </x:c>
    </x:row>
    <x:row r="213" ht="15" hidden="0">
      <x:c r="A213" t="s">
        <x:v>559</x:v>
      </x:c>
      <x:c r="B213" s="19" t="s">
        <x:v>560</x:v>
      </x:c>
      <x:c r="C213" s="30"/>
      <x:c r="D213" s="42" t="n">
        <x:f aca="0">IF(D84=0,"n/m",(D90+D89)/D84)</x:f>
        <x:v>-0.014748651039901993</x:v>
      </x:c>
      <x:c r="E213" s="42" t="n">
        <x:f aca="0">IF(E84=0,"n/m",(E90+E89)/E84)</x:f>
        <x:v>-0.01962504984066034</x:v>
      </x:c>
      <x:c r="F213" s="42" t="n">
        <x:f aca="0">IF(F84=0,"n/m",(F90+F89)/F84)</x:f>
        <x:v>-0.019120032990921555</x:v>
      </x:c>
      <x:c r="G213" s="42" t="n">
        <x:f aca="0">IF(G84=0,"n/m",(G90+G89)/G84)</x:f>
        <x:v>-0.013945872913324294</x:v>
      </x:c>
      <x:c r="H213" s="42" t="n">
        <x:f aca="0">IF(H84=0,"n/m",(H90+H89)/H84)</x:f>
        <x:v>-0.024969349071252853</x:v>
      </x:c>
      <x:c r="I213" s="11" t="s">
        <x:v>127</x:v>
      </x:c>
    </x:row>
    <x:row r="214" ht="15" hidden="0">
      <x:c r="A214" t="s">
        <x:v>561</x:v>
      </x:c>
      <x:c r="B214" s="19" t="s">
        <x:v>562</x:v>
      </x:c>
      <x:c r="C214" s="30"/>
      <x:c r="D214" s="42" t="n">
        <x:f aca="0">IF(D84=0,"n/m",D91/D84)</x:f>
        <x:v>0.14213957498981164</x:v>
      </x:c>
      <x:c r="E214" s="42" t="n">
        <x:f aca="0">IF(E84=0,"n/m",E91/E84)</x:f>
        <x:v>0.18277011721154793</x:v>
      </x:c>
      <x:c r="F214" s="42" t="n">
        <x:f aca="0">IF(F84=0,"n/m",F91/F84)</x:f>
        <x:v>0.19097413673296146</x:v>
      </x:c>
      <x:c r="G214" s="42" t="n">
        <x:f aca="0">IF(G84=0,"n/m",G91/G84)</x:f>
        <x:v>0.19131892826420518</x:v>
      </x:c>
      <x:c r="H214" s="42" t="n">
        <x:f aca="0">IF(H84=0,"n/m",H91/H84)</x:f>
        <x:v>0.2280930676582029</x:v>
      </x:c>
      <x:c r="I214" s="11" t="s">
        <x:v>127</x:v>
      </x:c>
    </x:row>
    <x:row r="215" ht="15" hidden="0">
      <x:c r="A215" t="s">
        <x:v>430</x:v>
      </x:c>
      <x:c r="B215" s="19" t="s">
        <x:v>563</x:v>
      </x:c>
      <x:c r="C215" s="30"/>
      <x:c r="D215" s="42" t="n">
        <x:f aca="0">IF(D84=0,"n/m",(D92+D93+D94)/D84)</x:f>
        <x:v>0.10501717569447117</x:v>
      </x:c>
      <x:c r="E215" s="42" t="n">
        <x:f aca="0">IF(E84=0,"n/m",(E92+E93+E94)/E84)</x:f>
        <x:v>0.0011665589645360385</x:v>
      </x:c>
      <x:c r="F215" s="42" t="n">
        <x:f aca="0">IF(F84=0,"n/m",(F92+F93+F94)/F84)</x:f>
        <x:v>0.002362390465418759</x:v>
      </x:c>
      <x:c r="G215" s="42" t="n">
        <x:f aca="0">IF(G84=0,"n/m",(G92+G93+G94)/G84)</x:f>
        <x:v>0.00535935916064245</x:v>
      </x:c>
      <x:c r="H215" s="42" t="n">
        <x:f aca="0">IF(H84=0,"n/m",(H92+H93+H94)/H84)</x:f>
        <x:v>0.13770516642243882</x:v>
      </x:c>
      <x:c r="I215" s="11" t="s">
        <x:v>127</x:v>
      </x:c>
    </x:row>
    <x:row r="216" ht="15" hidden="0">
      <x:c r="A216" t="s">
        <x:v>436</x:v>
      </x:c>
      <x:c r="B216" s="19" t="s">
        <x:v>564</x:v>
      </x:c>
      <x:c r="C216" s="30"/>
      <x:c r="D216" s="42" t="n">
        <x:f aca="0">IF(D84=0,"n/m",D95/D84)</x:f>
        <x:v>-0.04203718123722347</x:v>
      </x:c>
      <x:c r="E216" s="42" t="n">
        <x:f aca="0">IF(E84=0,"n/m",E95/E84)</x:f>
        <x:v>-0.035882925880997174</x:v>
      </x:c>
      <x:c r="F216" s="42" t="n">
        <x:f aca="0">IF(F84=0,"n/m",F95/F84)</x:f>
        <x:v>-0.04431311353851943</x:v>
      </x:c>
      <x:c r="G216" s="42" t="n">
        <x:f aca="0">IF(G84=0,"n/m",G95/G84)</x:f>
        <x:v>-0.062274488781043524</x:v>
      </x:c>
      <x:c r="H216" s="42" t="n">
        <x:f aca="0">IF(H84=0,"n/m",H95/H84)</x:f>
        <x:v>-0.05156167508185016</x:v>
      </x:c>
      <x:c r="I216" s="11" t="s">
        <x:v>127</x:v>
      </x:c>
    </x:row>
    <x:row r="217" ht="15" hidden="0">
      <x:c r="A217" t="s">
        <x:v>565</x:v>
      </x:c>
      <x:c r="B217" s="19" t="s">
        <x:v>566</x:v>
      </x:c>
      <x:c r="C217" s="30"/>
      <x:c r="D217" s="42" t="n">
        <x:f aca="0">IF(D84=0,"n/m",D96/D84)</x:f>
        <x:v>0.2051195694470593</x:v>
      </x:c>
      <x:c r="E217" s="42" t="n">
        <x:f aca="0">IF(E84=0,"n/m",E96/E84)</x:f>
        <x:v>0.1480537502950868</x:v>
      </x:c>
      <x:c r="F217" s="42" t="n">
        <x:f aca="0">IF(F84=0,"n/m",F96/F84)</x:f>
        <x:v>0.14902341365986083</x:v>
      </x:c>
      <x:c r="G217" s="42" t="n">
        <x:f aca="0">IF(G84=0,"n/m",G96/G84)</x:f>
        <x:v>0.1344037986438041</x:v>
      </x:c>
      <x:c r="H217" s="42" t="n">
        <x:f aca="0">IF(H84=0,"n/m",H96/H84)</x:f>
        <x:v>0.31423655899879155</x:v>
      </x:c>
      <x:c r="I217" s="11" t="s">
        <x:v>127</x:v>
      </x:c>
    </x:row>
    <x:row r="218" ht="15" hidden="0">
      <x:c r="A218" t="s">
        <x:v>567</x:v>
      </x:c>
      <x:c r="B218" s="19" t="s">
        <x:v>568</x:v>
      </x:c>
      <x:c r="C218" s="30"/>
      <x:c r="D218" s="42" t="n">
        <x:f aca="0">IF(D84=0,"n/m",-D110/D84)</x:f>
        <x:v>-0.029137352401849486</x:v>
      </x:c>
      <x:c r="E218" s="42" t="n">
        <x:f aca="0">IF(E84=0,"n/m",-E110/E84)</x:f>
        <x:v>-0.07331409135874965</x:v>
      </x:c>
      <x:c r="F218" s="42" t="n">
        <x:f aca="0">IF(F84=0,"n/m",-F110/F84)</x:f>
        <x:v>-0.07666497211070838</x:v>
      </x:c>
      <x:c r="G218" s="42" t="n">
        <x:f aca="0">IF(G84=0,"n/m",-G110/G84)</x:f>
        <x:v>-0.05506082343395903</x:v>
      </x:c>
      <x:c r="H218" s="42" t="n">
        <x:f aca="0">IF(H84=0,"n/m",-H110/H84)</x:f>
        <x:v>-0.06712646951922767</x:v>
      </x:c>
      <x:c r="I218" s="11" t="s">
        <x:v>127</x:v>
      </x:c>
    </x:row>
    <x:row r="219" ht="15" hidden="0">
      <x:c r="A219" t="s">
        <x:v>569</x:v>
      </x:c>
      <x:c r="B219" s="19" t="s">
        <x:v>570</x:v>
      </x:c>
      <x:c r="C219" s="30"/>
      <x:c r="D219" s="42" t="n">
        <x:f aca="0">IF(D84=0,"n/m",D99/D84)</x:f>
        <x:v>0.1759822170452098</x:v>
      </x:c>
      <x:c r="E219" s="42" t="n">
        <x:f aca="0">IF(E84=0,"n/m",E99/E84)</x:f>
        <x:v>0.07473965893633715</x:v>
      </x:c>
      <x:c r="F219" s="42" t="n">
        <x:f aca="0">IF(F84=0,"n/m",F99/F84)</x:f>
        <x:v>0.07235844154915244</x:v>
      </x:c>
      <x:c r="G219" s="42" t="n">
        <x:f aca="0">IF(G84=0,"n/m",G99/G84)</x:f>
        <x:v>0.07934297520984508</x:v>
      </x:c>
      <x:c r="H219" s="42" t="n">
        <x:f aca="0">IF(H84=0,"n/m",H99/H84)</x:f>
        <x:v>0.24711008947956384</x:v>
      </x:c>
      <x:c r="I219" s="11" t="s">
        <x:v>127</x:v>
      </x:c>
    </x:row>
    <x:row r="220" ht="15" hidden="0">
      <x:c r="A220" t="s">
        <x:v>571</x:v>
      </x:c>
      <x:c r="B220" s="19" t="s">
        <x:v>572</x:v>
      </x:c>
      <x:c r="C220" s="30"/>
      <x:c r="D220" s="42" t="n">
        <x:f aca="0">IF(D84=0,"n/m",D109/D84)</x:f>
        <x:v>0.3396682638261181</x:v>
      </x:c>
      <x:c r="E220" s="42" t="n">
        <x:f aca="0">IF(E84=0,"n/m",E109/E84)</x:f>
        <x:v>0.25058964803971473</x:v>
      </x:c>
      <x:c r="F220" s="42" t="n">
        <x:f aca="0">IF(F84=0,"n/m",F109/F84)</x:f>
        <x:v>0.2493225843810011</x:v>
      </x:c>
      <x:c r="G220" s="42" t="n">
        <x:f aca="0">IF(G84=0,"n/m",G109/G84)</x:f>
        <x:v>0.2647021742557539</x:v>
      </x:c>
      <x:c r="H220" s="42" t="n">
        <x:f aca="0">IF(H84=0,"n/m",H109/H84)</x:f>
        <x:v>0.4298124989647161</x:v>
      </x:c>
      <x:c r="I220" s="11" t="s">
        <x:v>127</x:v>
      </x:c>
    </x:row>
    <x:row r="222" ht="15" hidden="0">
      <x:c r="A222" s="5" t="s">
        <x:v>573</x:v>
      </x:c>
      <x:c r="B222" s="20"/>
      <x:c r="C222" s="20"/>
      <x:c r="D222" s="20"/>
      <x:c r="E222" s="20"/>
      <x:c r="F222" s="20"/>
      <x:c r="G222" s="20"/>
      <x:c r="H222" s="20"/>
      <x:c r="I222" s="20"/>
      <x:c r="J222" s="20"/>
    </x:row>
    <x:row r="223" ht="15" hidden="0">
      <x:c r="A223" t="s">
        <x:v>574</x:v>
      </x:c>
      <x:c r="B223" s="19" t="s">
        <x:v>575</x:v>
      </x:c>
      <x:c r="C223" s="30"/>
      <x:c r="D223" s="43" t="s">
        <x:v>576</x:v>
      </x:c>
      <x:c r="E223" s="44" t="n">
        <x:f aca="0">E84-D84</x:f>
        <x:v>12981.321000000004</x:v>
      </x:c>
      <x:c r="F223" s="44" t="n">
        <x:f aca="0">F84-E84</x:f>
        <x:v>13555.636999999995</x:v>
      </x:c>
      <x:c r="G223" s="44" t="n">
        <x:f aca="0">G84-F84</x:f>
        <x:v>4377.089</x:v>
      </x:c>
      <x:c r="H223" s="44" t="n">
        <x:f aca="0">H84-G84</x:f>
        <x:v>2490.097999999998</x:v>
      </x:c>
      <x:c r="I223" s="11" t="s">
        <x:v>98</x:v>
      </x:c>
    </x:row>
    <x:row r="224" ht="15" hidden="0">
      <x:c r="A224" t="s">
        <x:v>577</x:v>
      </x:c>
      <x:c r="B224" s="19" t="s">
        <x:v>578</x:v>
      </x:c>
      <x:c r="C224" s="30"/>
      <x:c r="D224" s="43" t="s">
        <x:v>576</x:v>
      </x:c>
      <x:c r="E224" s="42" t="n">
        <x:f aca="0">IF(D84&lt;=0,"n/m",(E84-D84)/D84)</x:f>
        <x:v>0.3652769163050311</x:v>
      </x:c>
      <x:c r="F224" s="42" t="n">
        <x:f aca="0">IF(E84&lt;=0,"n/m",(F84-E84)/E84)</x:f>
        <x:v>0.2793846374153532</x:v>
      </x:c>
      <x:c r="G224" s="42" t="n">
        <x:f aca="0">IF(F84&lt;=0,"n/m",(G84-F84)/F84)</x:f>
        <x:v>0.07051261759536114</x:v>
      </x:c>
      <x:c r="H224" s="42" t="n">
        <x:f aca="0">IF(G84&lt;=0,"n/m",(H84-G84)/G84)</x:f>
        <x:v>0.03747193402406185</x:v>
      </x:c>
      <x:c r="I224" s="11" t="s">
        <x:v>127</x:v>
      </x:c>
    </x:row>
    <x:row r="225" ht="15" hidden="0">
      <x:c r="A225" t="s">
        <x:v>579</x:v>
      </x:c>
      <x:c r="B225" s="19" t="s">
        <x:v>575</x:v>
      </x:c>
      <x:c r="C225" s="30"/>
      <x:c r="D225" s="43" t="s">
        <x:v>576</x:v>
      </x:c>
      <x:c r="E225" s="44" t="n">
        <x:f aca="0">E86-D86</x:f>
        <x:v>4872.584000000003</x:v>
      </x:c>
      <x:c r="F225" s="44" t="n">
        <x:f aca="0">F86-E86</x:f>
        <x:v>5897.886999999995</x:v>
      </x:c>
      <x:c r="G225" s="44" t="n">
        <x:f aca="0">G86-F86</x:f>
        <x:v>2790.931000000004</x:v>
      </x:c>
      <x:c r="H225" s="44" t="n">
        <x:f aca="0">H86-G86</x:f>
        <x:v>2782.5319999999992</x:v>
      </x:c>
      <x:c r="I225" s="11" t="s">
        <x:v>98</x:v>
      </x:c>
    </x:row>
    <x:row r="226" ht="15" hidden="0">
      <x:c r="A226" t="s">
        <x:v>580</x:v>
      </x:c>
      <x:c r="B226" s="19" t="s">
        <x:v>578</x:v>
      </x:c>
      <x:c r="C226" s="30"/>
      <x:c r="D226" s="43" t="s">
        <x:v>576</x:v>
      </x:c>
      <x:c r="E226" s="42" t="n">
        <x:f aca="0">IF(D86&lt;=0,"n/m",(E86-D86)/D86)</x:f>
        <x:v>0.6582009547092611</x:v>
      </x:c>
      <x:c r="F226" s="42" t="n">
        <x:f aca="0">IF(E86&lt;=0,"n/m",(F86-E86)/E86)</x:f>
        <x:v>0.480461352750274</x:v>
      </x:c>
      <x:c r="G226" s="42" t="n">
        <x:f aca="0">IF(F86&lt;=0,"n/m",(G86-F86)/F86)</x:f>
        <x:v>0.15357270614839236</x:v>
      </x:c>
      <x:c r="H226" s="42" t="n">
        <x:f aca="0">IF(G86&lt;=0,"n/m",(H86-G86)/G86)</x:f>
        <x:v>0.13272726127923087</x:v>
      </x:c>
      <x:c r="I226" s="11" t="s">
        <x:v>127</x:v>
      </x:c>
    </x:row>
    <x:row r="227" ht="15" hidden="0">
      <x:c r="A227" t="s">
        <x:v>581</x:v>
      </x:c>
      <x:c r="B227" s="19" t="s">
        <x:v>575</x:v>
      </x:c>
      <x:c r="C227" s="30"/>
      <x:c r="D227" s="43" t="s">
        <x:v>576</x:v>
      </x:c>
      <x:c r="E227" s="44" t="n">
        <x:f aca="0">E91-D91</x:f>
        <x:v>3816.5380000000023</x:v>
      </x:c>
      <x:c r="F227" s="44" t="n">
        <x:f aca="0">F91-E91</x:f>
        <x:v>2986.8319999999967</x:v>
      </x:c>
      <x:c r="G227" s="44" t="n">
        <x:f aca="0">G91-F91</x:f>
        <x:v>858.8230000000021</x:v>
      </x:c>
      <x:c r="H227" s="44" t="n">
        <x:f aca="0">H91-G91</x:f>
        <x:v>3011.7019999999993</x:v>
      </x:c>
      <x:c r="I227" s="11" t="s">
        <x:v>98</x:v>
      </x:c>
    </x:row>
    <x:row r="228" ht="15" hidden="0">
      <x:c r="A228" t="s">
        <x:v>582</x:v>
      </x:c>
      <x:c r="B228" s="19" t="s">
        <x:v>578</x:v>
      </x:c>
      <x:c r="C228" s="30"/>
      <x:c r="D228" s="43" t="s">
        <x:v>576</x:v>
      </x:c>
      <x:c r="E228" s="42" t="n">
        <x:f aca="0">IF(D91&lt;=0,"n/m",(E91-D91)/D91)</x:f>
        <x:v>0.7555407917687762</x:v>
      </x:c>
      <x:c r="F228" s="42" t="n">
        <x:f aca="0">IF(E91&lt;=0,"n/m",(F91-E91)/E91)</x:f>
        <x:v>0.33681249652540346</x:v>
      </x:c>
      <x:c r="G228" s="42" t="n">
        <x:f aca="0">IF(F91&lt;=0,"n/m",(G91-F91)/F91)</x:f>
        <x:v>0.07244535933175943</x:v>
      </x:c>
      <x:c r="H228" s="42" t="n">
        <x:f aca="0">IF(G91&lt;=0,"n/m",(H91-G91)/G91)</x:f>
        <x:v>0.23688836325721319</x:v>
      </x:c>
      <x:c r="I228" s="11" t="s">
        <x:v>127</x:v>
      </x:c>
    </x:row>
    <x:row r="229" ht="15" hidden="0">
      <x:c r="A229" t="s">
        <x:v>583</x:v>
      </x:c>
      <x:c r="B229" s="19" t="s">
        <x:v>575</x:v>
      </x:c>
      <x:c r="C229" s="30"/>
      <x:c r="D229" s="43" t="s">
        <x:v>576</x:v>
      </x:c>
      <x:c r="E229" s="44" t="n">
        <x:f aca="0">E109-D109</x:f>
        <x:v>87.28200000000288</x:v>
      </x:c>
      <x:c r="F229" s="44" t="n">
        <x:f aca="0">F109-E109</x:f>
        <x:v>3318.248999999998</x:v>
      </x:c>
      <x:c r="G229" s="44" t="n">
        <x:f aca="0">G109-F109</x:f>
        <x:v>2113.317000000001</x:v>
      </x:c>
      <x:c r="H229" s="44" t="n">
        <x:f aca="0">H109-G109</x:f>
        <x:v>12042.243999999999</x:v>
      </x:c>
      <x:c r="I229" s="11" t="s">
        <x:v>98</x:v>
      </x:c>
    </x:row>
    <x:row r="230" ht="15" hidden="0">
      <x:c r="A230" t="s">
        <x:v>584</x:v>
      </x:c>
      <x:c r="B230" s="19" t="s">
        <x:v>578</x:v>
      </x:c>
      <x:c r="C230" s="30"/>
      <x:c r="D230" s="43" t="s">
        <x:v>576</x:v>
      </x:c>
      <x:c r="E230" s="42" t="n">
        <x:f aca="0">IF(D109&lt;=0,"n/m",(E109-D109)/D109)</x:f>
        <x:v>0.007230578682393332</x:v>
      </x:c>
      <x:c r="F230" s="42" t="n">
        <x:f aca="0">IF(E109&lt;=0,"n/m",(F109-E109)/E109)</x:f>
        <x:v>0.27291564800471096</x:v>
      </x:c>
      <x:c r="G230" s="42" t="n">
        <x:f aca="0">IF(F109&lt;=0,"n/m",(G109-F109)/F109)</x:f>
        <x:v>0.1365477305204112</x:v>
      </x:c>
      <x:c r="H230" s="42" t="n">
        <x:f aca="0">IF(G109&lt;=0,"n/m",(H109-G109)/G109)</x:f>
        <x:v>0.6846042380361977</x:v>
      </x:c>
      <x:c r="I230" s="11" t="s">
        <x:v>127</x:v>
      </x:c>
    </x:row>
    <x:row r="231" ht="15" hidden="0">
      <x:c r="A231" t="s">
        <x:v>585</x:v>
      </x:c>
      <x:c r="B231" s="19" t="s">
        <x:v>575</x:v>
      </x:c>
      <x:c r="C231" s="30"/>
      <x:c r="D231" s="43" t="s">
        <x:v>576</x:v>
      </x:c>
      <x:c r="E231" s="44" t="n">
        <x:f aca="0">E99-D99</x:f>
        <x:v>-2627.768999999996</x:v>
      </x:c>
      <x:c r="F231" s="44" t="n">
        <x:f aca="0">F99-E99</x:f>
        <x:v>865.3289999999984</x:v>
      </x:c>
      <x:c r="G231" s="44" t="n">
        <x:f aca="0">G99-F99</x:f>
        <x:v>780.8579999999993</x:v>
      </x:c>
      <x:c r="H231" s="44" t="n">
        <x:f aca="0">H99-G99</x:f>
        <x:v>11763.846999999998</x:v>
      </x:c>
      <x:c r="I231" s="11" t="s">
        <x:v>98</x:v>
      </x:c>
    </x:row>
    <x:row r="232" ht="15" hidden="0">
      <x:c r="A232" t="s">
        <x:v>586</x:v>
      </x:c>
      <x:c r="B232" s="19" t="s">
        <x:v>578</x:v>
      </x:c>
      <x:c r="C232" s="30"/>
      <x:c r="D232" s="43" t="s">
        <x:v>576</x:v>
      </x:c>
      <x:c r="E232" s="42" t="n">
        <x:f aca="0">IF(D99&lt;=0,"n/m",(E99-D99)/D99)</x:f>
        <x:v>-0.42016680553536845</x:v>
      </x:c>
      <x:c r="F232" s="42" t="n">
        <x:f aca="0">IF(E99&lt;=0,"n/m",(F99-E99)/E99)</x:f>
        <x:v>0.23862323996095186</x:v>
      </x:c>
      <x:c r="G232" s="42" t="n">
        <x:f aca="0">IF(F99&lt;=0,"n/m",(G99-F99)/F99)</x:f>
        <x:v>0.1738458466106918</x:v>
      </x:c>
      <x:c r="H232" s="42" t="n">
        <x:f aca="0">IF(G99&lt;=0,"n/m",(H99-G99)/G99)</x:f>
        <x:v>2.231159176614933</x:v>
      </x:c>
      <x:c r="I232" s="11" t="s">
        <x:v>127</x:v>
      </x:c>
    </x:row>
    <x:row r="233" ht="15" hidden="0">
      <x:c r="A233" t="s">
        <x:v>587</x:v>
      </x:c>
      <x:c r="B233" s="19" t="s">
        <x:v>575</x:v>
      </x:c>
      <x:c r="C233" s="30"/>
      <x:c r="D233" s="43" t="s">
        <x:v>576</x:v>
      </x:c>
      <x:c r="E233" s="44" t="n">
        <x:f aca="0">E117-D117</x:f>
        <x:v>1778.1400000000003</x:v>
      </x:c>
      <x:c r="F233" s="44" t="n">
        <x:f aca="0">F117-E117</x:f>
        <x:v>11813.558</x:v>
      </x:c>
      <x:c r="G233" s="44" t="n">
        <x:f aca="0">G117-F117</x:f>
        <x:v>-10647.422</x:v>
      </x:c>
      <x:c r="H233" s="44" t="n">
        <x:f aca="0">H117-G117</x:f>
        <x:v>9820.393999999998</x:v>
      </x:c>
      <x:c r="I233" s="11" t="s">
        <x:v>98</x:v>
      </x:c>
    </x:row>
    <x:row r="234" ht="15" hidden="0">
      <x:c r="A234" t="s">
        <x:v>588</x:v>
      </x:c>
      <x:c r="B234" s="19" t="s">
        <x:v>578</x:v>
      </x:c>
      <x:c r="C234" s="30"/>
      <x:c r="D234" s="43" t="s">
        <x:v>576</x:v>
      </x:c>
      <x:c r="E234" s="42" t="n">
        <x:f aca="0">IF(D117&lt;=0,"n/m",(E117-D117)/D117)</x:f>
        <x:v>0.27139025578120285</x:v>
      </x:c>
      <x:c r="F234" s="42" t="n">
        <x:f aca="0">IF(E117&lt;=0,"n/m",(F117-E117)/E117)</x:f>
        <x:v>1.4181760210283014</x:v>
      </x:c>
      <x:c r="G234" s="42" t="n">
        <x:f aca="0">IF(F117&lt;=0,"n/m",(G117-F117)/F117)</x:f>
        <x:v>-0.5285742192396468</x:v>
      </x:c>
      <x:c r="H234" s="42" t="n">
        <x:f aca="0">IF(G117&lt;=0,"n/m",(H117-G117)/G117)</x:f>
        <x:v>1.0341346572533998</x:v>
      </x:c>
      <x:c r="I234" s="11" t="s">
        <x:v>127</x:v>
      </x:c>
    </x:row>
    <x:row r="235" ht="15" hidden="0">
      <x:c r="A235" t="s">
        <x:v>589</x:v>
      </x:c>
      <x:c r="B235" s="19" t="s">
        <x:v>575</x:v>
      </x:c>
      <x:c r="C235" s="30"/>
      <x:c r="D235" s="44" t="n">
        <x:f aca="0">D37-C37</x:f>
        <x:v>229.50699999998324</x:v>
      </x:c>
      <x:c r="E235" s="44" t="n">
        <x:f aca="0">E37-D37</x:f>
        <x:v>15974.932</x:v>
      </x:c>
      <x:c r="F235" s="44" t="n">
        <x:f aca="0">F37-E37</x:f>
        <x:v>7493.501000000018</x:v>
      </x:c>
      <x:c r="G235" s="44" t="n">
        <x:f aca="0">G37-F37</x:f>
        <x:v>9657.97099999999</x:v>
      </x:c>
      <x:c r="H235" s="44" t="n">
        <x:f aca="0">H37-G37</x:f>
        <x:v>19740.588999999978</x:v>
      </x:c>
      <x:c r="I235" s="11" t="s">
        <x:v>98</x:v>
      </x:c>
    </x:row>
    <x:row r="236" ht="15" hidden="0">
      <x:c r="A236" t="s">
        <x:v>590</x:v>
      </x:c>
      <x:c r="B236" s="19" t="s">
        <x:v>578</x:v>
      </x:c>
      <x:c r="C236" s="30"/>
      <x:c r="D236" s="42" t="n">
        <x:f aca="0">IF(C37&lt;=0,"n/m",(D37-C37)/C37)</x:f>
        <x:v>0.0034768640539592725</x:v>
      </x:c>
      <x:c r="E236" s="42" t="n">
        <x:f aca="0">IF(D37&lt;=0,"n/m",(E37-D37)/D37)</x:f>
        <x:v>0.24117008038644386</x:v>
      </x:c>
      <x:c r="F236" s="42" t="n">
        <x:f aca="0">IF(E37&lt;=0,"n/m",(F37-E37)/E37)</x:f>
        <x:v>0.09114605613798417</x:v>
      </x:c>
      <x:c r="G236" s="42" t="n">
        <x:f aca="0">IF(F37&lt;=0,"n/m",(G37-F37)/F37)</x:f>
        <x:v>0.10766043289188361</x:v>
      </x:c>
      <x:c r="H236" s="42" t="n">
        <x:f aca="0">IF(G37&lt;=0,"n/m",(H37-G37)/G37)</x:f>
        <x:v>0.19866606460769803</x:v>
      </x:c>
      <x:c r="I236" s="11" t="s">
        <x:v>127</x:v>
      </x:c>
    </x:row>
    <x:row r="237" ht="15" hidden="0">
      <x:c r="A237" t="s">
        <x:v>591</x:v>
      </x:c>
      <x:c r="B237" s="19" t="s">
        <x:v>575</x:v>
      </x:c>
      <x:c r="C237" s="30"/>
      <x:c r="D237" s="44" t="n">
        <x:f aca="0">D41-C41</x:f>
        <x:v>6221.709999999999</x:v>
      </x:c>
      <x:c r="E237" s="44" t="n">
        <x:f aca="0">E41-D41</x:f>
        <x:v>3016.474000000002</x:v>
      </x:c>
      <x:c r="F237" s="44" t="n">
        <x:f aca="0">F41-E41</x:f>
        <x:v>4354.099000000002</x:v>
      </x:c>
      <x:c r="G237" s="44" t="n">
        <x:f aca="0">G41-F41</x:f>
        <x:v>7702.793999999994</x:v>
      </x:c>
      <x:c r="H237" s="44" t="n">
        <x:f aca="0">H41-G41</x:f>
        <x:v>18845.68400000001</x:v>
      </x:c>
      <x:c r="I237" s="11" t="s">
        <x:v>98</x:v>
      </x:c>
    </x:row>
    <x:row r="238" ht="15" hidden="0">
      <x:c r="A238" t="s">
        <x:v>592</x:v>
      </x:c>
      <x:c r="B238" s="19" t="s">
        <x:v>578</x:v>
      </x:c>
      <x:c r="C238" s="30"/>
      <x:c r="D238" s="42" t="n">
        <x:f aca="0">IF(C41&lt;=0,"n/m",(D41-C41)/C41)</x:f>
        <x:v>0.19864447402433222</x:v>
      </x:c>
      <x:c r="E238" s="42" t="n">
        <x:f aca="0">IF(D41&lt;=0,"n/m",(E41-D41)/D41)</x:f>
        <x:v>0.08034815757409713</x:v>
      </x:c>
      <x:c r="F238" s="42" t="n">
        <x:f aca="0">IF(E41&lt;=0,"n/m",(F41-E41)/E41)</x:f>
        <x:v>0.10735218791679241</x:v>
      </x:c>
      <x:c r="G238" s="42" t="n">
        <x:f aca="0">IF(F41&lt;=0,"n/m",(G41-F41)/F41)</x:f>
        <x:v>0.17150434058079328</x:v>
      </x:c>
      <x:c r="H238" s="42" t="n">
        <x:f aca="0">IF(G41&lt;=0,"n/m",(H41-G41)/G41)</x:f>
        <x:v>0.3581746417832419</x:v>
      </x:c>
      <x:c r="I238" s="11" t="s">
        <x:v>127</x:v>
      </x:c>
    </x:row>
    <x:row r="239" ht="15" hidden="0">
      <x:c r="A239" t="s">
        <x:v>593</x:v>
      </x:c>
      <x:c r="B239" s="19" t="s">
        <x:v>575</x:v>
      </x:c>
      <x:c r="C239" s="30"/>
      <x:c r="D239" s="44" t="n">
        <x:f aca="0">D66-C66</x:f>
        <x:v>-5704.938000000002</x:v>
      </x:c>
      <x:c r="E239" s="44" t="n">
        <x:f aca="0">E66-D66</x:f>
        <x:v>8738.237999999998</x:v>
      </x:c>
      <x:c r="F239" s="44" t="n">
        <x:f aca="0">F66-E66</x:f>
        <x:v>-5099.310999999994</x:v>
      </x:c>
      <x:c r="G239" s="44" t="n">
        <x:f aca="0">G66-F66</x:f>
        <x:v>-487.02000000000044</x:v>
      </x:c>
      <x:c r="H239" s="44" t="n">
        <x:f aca="0">H66-G66</x:f>
        <x:v>-4807.313000000002</x:v>
      </x:c>
      <x:c r="I239" s="11" t="s">
        <x:v>98</x:v>
      </x:c>
    </x:row>
    <x:row r="240" ht="15" hidden="0">
      <x:c r="A240" t="s">
        <x:v>594</x:v>
      </x:c>
      <x:c r="B240" s="19" t="s">
        <x:v>578</x:v>
      </x:c>
      <x:c r="C240" s="30"/>
      <x:c r="D240" s="42" t="n">
        <x:f aca="0">IF(C66&lt;=0,"n/m",(D66-C66)/C66)</x:f>
        <x:v>-0.26001961494436715</x:v>
      </x:c>
      <x:c r="E240" s="42" t="n">
        <x:f aca="0">IF(D66&lt;=0,"n/m",(E66-D66)/D66)</x:f>
        <x:v>0.5382187747374945</x:v>
      </x:c>
      <x:c r="F240" s="42" t="n">
        <x:f aca="0">IF(E66&lt;=0,"n/m",(F66-E66)/E66)</x:f>
        <x:v>-0.20418713051651008</x:v>
      </x:c>
      <x:c r="G240" s="42" t="n">
        <x:f aca="0">IF(F66&lt;=0,"n/m",(G66-F66)/F66)</x:f>
        <x:v>-0.024504887014719406</x:v>
      </x:c>
      <x:c r="H240" s="42" t="n">
        <x:f aca="0">IF(G66&lt;=0,"n/m",(H66-G66)/G66)</x:f>
        <x:v>-0.24796090323278813</x:v>
      </x:c>
      <x:c r="I240" s="11" t="s">
        <x:v>127</x:v>
      </x:c>
    </x:row>
    <x:row r="241" ht="15" hidden="0">
      <x:c r="A241" t="s">
        <x:v>595</x:v>
      </x:c>
      <x:c r="B241" s="19" t="s">
        <x:v>575</x:v>
      </x:c>
      <x:c r="C241" s="30"/>
      <x:c r="D241" s="44" t="n">
        <x:f aca="0">D65-C65</x:f>
        <x:v>1713.8860000000004</x:v>
      </x:c>
      <x:c r="E241" s="44" t="n">
        <x:f aca="0">E65-D65</x:f>
        <x:v>3660.3259999999973</x:v>
      </x:c>
      <x:c r="F241" s="44" t="n">
        <x:f aca="0">F65-E65</x:f>
        <x:v>-1748.7659999999996</x:v>
      </x:c>
      <x:c r="G241" s="44" t="n">
        <x:f aca="0">G65-F65</x:f>
        <x:v>1733.3810000000012</x:v>
      </x:c>
      <x:c r="H241" s="44" t="n">
        <x:f aca="0">H65-G65</x:f>
        <x:v>1370.4599999999991</x:v>
      </x:c>
      <x:c r="I241" s="11" t="s">
        <x:v>98</x:v>
      </x:c>
    </x:row>
    <x:row r="242" ht="15" hidden="0">
      <x:c r="A242" t="s">
        <x:v>596</x:v>
      </x:c>
      <x:c r="B242" s="19" t="s">
        <x:v>578</x:v>
      </x:c>
      <x:c r="C242" s="30"/>
      <x:c r="D242" s="42" t="n">
        <x:f aca="0">IF(C65&lt;=0,"n/m",(D65-C65)/C65)</x:f>
        <x:v>0.16844065275978984</x:v>
      </x:c>
      <x:c r="E242" s="42" t="n">
        <x:f aca="0">IF(D65&lt;=0,"n/m",(E65-D65)/D65)</x:f>
        <x:v>0.30787760011439214</x:v>
      </x:c>
      <x:c r="F242" s="42" t="n">
        <x:f aca="0">IF(E65&lt;=0,"n/m",(F65-E65)/E65)</x:f>
        <x:v>-0.11246643402057438</x:v>
      </x:c>
      <x:c r="G242" s="42" t="n">
        <x:f aca="0">IF(F65&lt;=0,"n/m",(G65-F65)/F65)</x:f>
        <x:v>0.12560313206951082</x:v>
      </x:c>
      <x:c r="H242" s="42" t="n">
        <x:f aca="0">IF(G65&lt;=0,"n/m",(H65-G65)/G65)</x:f>
        <x:v>0.08822415524917496</x:v>
      </x:c>
      <x:c r="I242" s="11" t="s">
        <x:v>127</x:v>
      </x:c>
    </x:row>
    <x:row r="243" ht="15" hidden="0">
      <x:c r="A243" t="s">
        <x:v>597</x:v>
      </x:c>
      <x:c r="B243" s="19" t="s">
        <x:v>575</x:v>
      </x:c>
      <x:c r="C243" s="30"/>
      <x:c r="D243" s="44" t="n">
        <x:f aca="0">D32-C32</x:f>
        <x:v>-1372.4260000000002</x:v>
      </x:c>
      <x:c r="E243" s="44" t="n">
        <x:f aca="0">E32-D32</x:f>
        <x:v>386.50800000000004</x:v>
      </x:c>
      <x:c r="F243" s="44" t="n">
        <x:f aca="0">F32-E32</x:f>
        <x:v>534.7730000000001</x:v>
      </x:c>
      <x:c r="G243" s="44" t="n">
        <x:f aca="0">G32-F32</x:f>
        <x:v>1587.7599999999998</x:v>
      </x:c>
      <x:c r="H243" s="44" t="n">
        <x:f aca="0">H32-G32</x:f>
        <x:v>421.4369999999999</x:v>
      </x:c>
      <x:c r="I243" s="11" t="s">
        <x:v>98</x:v>
      </x:c>
    </x:row>
    <x:row r="244" ht="15" hidden="0">
      <x:c r="A244" t="s">
        <x:v>598</x:v>
      </x:c>
      <x:c r="B244" s="19" t="s">
        <x:v>578</x:v>
      </x:c>
      <x:c r="C244" s="30"/>
      <x:c r="D244" s="42" t="n">
        <x:f aca="0">IF(C32&lt;=0,"n/m",(D32-C32)/C32)</x:f>
        <x:v>-0.44966171165710506</x:v>
      </x:c>
      <x:c r="E244" s="42" t="n">
        <x:f aca="0">IF(D32&lt;=0,"n/m",(E32-D32)/D32)</x:f>
        <x:v>0.23010482799350365</x:v>
      </x:c>
      <x:c r="F244" s="42" t="n">
        <x:f aca="0">IF(E32&lt;=0,"n/m",(F32-E32)/E32)</x:f>
        <x:v>0.25881806900743975</x:v>
      </x:c>
      <x:c r="G244" s="42" t="n">
        <x:f aca="0">IF(F32&lt;=0,"n/m",(G32-F32)/F32)</x:f>
        <x:v>0.6104456580872245</x:v>
      </x:c>
      <x:c r="H244" s="42" t="n">
        <x:f aca="0">IF(G32&lt;=0,"n/m",(H32-G32)/G32)</x:f>
        <x:v>0.10061175841451316</x:v>
      </x:c>
      <x:c r="I244" s="11" t="s">
        <x:v>127</x:v>
      </x:c>
    </x:row>
    <x:row r="245" ht="15" hidden="0">
      <x:c r="A245" t="s">
        <x:v>599</x:v>
      </x:c>
      <x:c r="B245" s="19" t="s">
        <x:v>575</x:v>
      </x:c>
      <x:c r="C245" s="30"/>
      <x:c r="D245" s="44" t="n">
        <x:f aca="0">D34-C34</x:f>
        <x:v>-555.9380000000001</x:v>
      </x:c>
      <x:c r="E245" s="44" t="n">
        <x:f aca="0">E34-D34</x:f>
        <x:v>303.247</x:v>
      </x:c>
      <x:c r="F245" s="44" t="n">
        <x:f aca="0">F34-E34</x:f>
        <x:v>-52.86900000000003</x:v>
      </x:c>
      <x:c r="G245" s="44" t="n">
        <x:f aca="0">G34-F34</x:f>
        <x:v>392.70500000000004</x:v>
      </x:c>
      <x:c r="H245" s="44" t="n">
        <x:f aca="0">H34-G34</x:f>
        <x:v>482.06899999999996</x:v>
      </x:c>
      <x:c r="I245" s="11" t="s">
        <x:v>98</x:v>
      </x:c>
    </x:row>
    <x:row r="246" ht="15" hidden="0">
      <x:c r="A246" t="s">
        <x:v>600</x:v>
      </x:c>
      <x:c r="B246" s="19" t="s">
        <x:v>578</x:v>
      </x:c>
      <x:c r="C246" s="30"/>
      <x:c r="D246" s="42" t="n">
        <x:f aca="0">IF(C34&lt;=0,"n/m",(D34-C34)/C34)</x:f>
        <x:v>-0.5313538513591656</x:v>
      </x:c>
      <x:c r="E246" s="42" t="n">
        <x:f aca="0">IF(D34&lt;=0,"n/m",(E34-D34)/D34)</x:f>
        <x:v>0.6184561794223878</x:v>
      </x:c>
      <x:c r="F246" s="42" t="n">
        <x:f aca="0">IF(E34&lt;=0,"n/m",(F34-E34)/E34)</x:f>
        <x:v>-0.0666212183836205</x:v>
      </x:c>
      <x:c r="G246" s="42" t="n">
        <x:f aca="0">IF(F34&lt;=0,"n/m",(G34-F34)/F34)</x:f>
        <x:v>0.5301758995122229</x:v>
      </x:c>
      <x:c r="H246" s="42" t="n">
        <x:f aca="0">IF(G34&lt;=0,"n/m",(H34-G34)/G34)</x:f>
        <x:v>0.42532547740803867</x:v>
      </x:c>
      <x:c r="I246" s="11" t="s">
        <x:v>127</x:v>
      </x:c>
    </x:row>
    <x:row r="248" ht="15" hidden="0">
      <x:c r="A248" s="5" t="s">
        <x:v>601</x:v>
      </x:c>
      <x:c r="B248" s="20"/>
      <x:c r="C248" s="20"/>
      <x:c r="D248" s="20"/>
      <x:c r="E248" s="20"/>
      <x:c r="F248" s="20"/>
      <x:c r="G248" s="20"/>
      <x:c r="H248" s="20"/>
      <x:c r="I248" s="20"/>
      <x:c r="J248" s="20"/>
    </x:row>
    <x:row r="250" ht="15" hidden="0">
      <x:c r="A250" s="5" t="s">
        <x:v>602</x:v>
      </x:c>
      <x:c r="B250" s="20"/>
      <x:c r="C250" s="20"/>
      <x:c r="D250" s="20"/>
      <x:c r="E250" s="20"/>
      <x:c r="F250" s="20"/>
      <x:c r="G250" s="20"/>
      <x:c r="H250" s="20"/>
      <x:c r="I250" s="20"/>
      <x:c r="J250" s="20"/>
    </x:row>
    <x:row r="251" ht="15" hidden="0">
      <x:c r="A251" s="45" t="s">
        <x:v>925</x:v>
      </x:c>
    </x:row>
    <x:row r="252" ht="15" hidden="0">
      <x:c r="A252" s="24" t="s">
        <x:v>82</x:v>
      </x:c>
      <x:c r="B252" s="24" t="s">
        <x:v>604</x:v>
      </x:c>
      <x:c r="C252" s="24"/>
      <x:c r="D252" s="24" t="s">
        <x:v>73</x:v>
      </x:c>
      <x:c r="E252" s="24" t="s">
        <x:v>74</x:v>
      </x:c>
      <x:c r="F252" s="24" t="s">
        <x:v>75</x:v>
      </x:c>
      <x:c r="G252" s="24" t="s">
        <x:v>76</x:v>
      </x:c>
      <x:c r="H252" s="24" t="s">
        <x:v>77</x:v>
      </x:c>
      <x:c r="I252" s="24"/>
      <x:c r="J252" s="24" t="s">
        <x:v>605</x:v>
      </x:c>
    </x:row>
    <x:row r="253" ht="15" hidden="0">
      <x:c r="A253" t="s">
        <x:v>606</x:v>
      </x:c>
      <x:c r="B253" s="9" t="s">
        <x:v>57</x:v>
      </x:c>
      <x:c r="D253" s="46" t="n">
        <x:f aca="0">D138</x:f>
        <x:v>1.4780988568182505</x:v>
      </x:c>
      <x:c r="E253" s="46" t="n">
        <x:f aca="0">E138</x:f>
        <x:v>1.2549557408945418</x:v>
      </x:c>
      <x:c r="F253" s="46" t="n">
        <x:f aca="0">F138</x:f>
        <x:v>1.3715472215546312</x:v>
      </x:c>
      <x:c r="G253" s="46" t="n">
        <x:f aca="0">G138</x:f>
        <x:v>1.444678241512437</x:v>
      </x:c>
      <x:c r="H253" s="46" t="n">
        <x:f aca="0">H138</x:f>
        <x:v>1.5324411303645513</x:v>
      </x:c>
      <x:c r="J253" s="9"/>
    </x:row>
    <x:row r="254" ht="15" hidden="0">
      <x:c r="A254" t="s">
        <x:v>608</x:v>
      </x:c>
      <x:c r="D254" s="47" t="n">
        <x:v>1.48</x:v>
      </x:c>
      <x:c r="E254" s="47" t="n">
        <x:v>1.25</x:v>
      </x:c>
      <x:c r="F254" s="47" t="n">
        <x:v>1.37</x:v>
      </x:c>
      <x:c r="G254" s="47" t="n">
        <x:v>1.44</x:v>
      </x:c>
      <x:c r="H254" s="47" t="n">
        <x:v>1.53</x:v>
      </x:c>
    </x:row>
    <x:row r="255" ht="15" hidden="0">
      <x:c r="A255" t="s">
        <x:v>609</x:v>
      </x:c>
      <x:c r="D255" s="46" t="n">
        <x:f aca="0">IF(AND(ISNUMBER(D253),ISNUMBER(D254)),D253-D254,"n/a")</x:f>
        <x:v>-0.0019011431817494984</x:v>
      </x:c>
      <x:c r="E255" s="46" t="n">
        <x:f aca="0">IF(AND(ISNUMBER(E253),ISNUMBER(E254)),E253-E254,"n/a")</x:f>
        <x:v>0.00495574089454176</x:v>
      </x:c>
      <x:c r="F255" s="46" t="n">
        <x:f aca="0">IF(AND(ISNUMBER(F253),ISNUMBER(F254)),F253-F254,"n/a")</x:f>
        <x:v>0.0015472215546310508</x:v>
      </x:c>
      <x:c r="G255" s="46" t="n">
        <x:f aca="0">IF(AND(ISNUMBER(G253),ISNUMBER(G254)),G253-G254,"n/a")</x:f>
        <x:v>0.00467824151243712</x:v>
      </x:c>
      <x:c r="H255" s="46" t="n">
        <x:f aca="0">IF(AND(ISNUMBER(H253),ISNUMBER(H254)),H253-H254,"n/a")</x:f>
        <x:v>0.0024411303645512916</x:v>
      </x:c>
    </x:row>
    <x:row r="256" ht="15" hidden="0">
      <x:c r="A256" t="s">
        <x:v>194</x:v>
      </x:c>
      <x:c r="D256" s="48" t="str">
        <x:f aca="0">IF(NOT(ISNUMBER(D255)),"n/a",IF(ABS(D255)&lt;=MAX(0.01,0.02*ABS(D254)),"Agrees","Differs"))</x:f>
        <x:v>Agrees</x:v>
      </x:c>
      <x:c r="E256" s="48" t="str">
        <x:f aca="0">IF(NOT(ISNUMBER(E255)),"n/a",IF(ABS(E255)&lt;=MAX(0.01,0.02*ABS(E254)),"Agrees","Differs"))</x:f>
        <x:v>Agrees</x:v>
      </x:c>
      <x:c r="F256" s="48" t="str">
        <x:f aca="0">IF(NOT(ISNUMBER(F255)),"n/a",IF(ABS(F255)&lt;=MAX(0.01,0.02*ABS(F254)),"Agrees","Differs"))</x:f>
        <x:v>Agrees</x:v>
      </x:c>
      <x:c r="G256" s="48" t="str">
        <x:f aca="0">IF(NOT(ISNUMBER(G255)),"n/a",IF(ABS(G255)&lt;=MAX(0.01,0.02*ABS(G254)),"Agrees","Differs"))</x:f>
        <x:v>Agrees</x:v>
      </x:c>
      <x:c r="H256" s="48" t="str">
        <x:f aca="0">IF(NOT(ISNUMBER(H255)),"n/a",IF(ABS(H255)&lt;=MAX(0.01,0.02*ABS(H254)),"Agrees","Differs"))</x:f>
        <x:v>Agrees</x:v>
      </x:c>
    </x:row>
    <x:row r="257" ht="15" hidden="0">
      <x:c r="A257" t="s">
        <x:v>827</x:v>
      </x:c>
      <x:c r="B257" s="9" t="s">
        <x:v>926</x:v>
      </x:c>
      <x:c r="D257" s="46" t="n">
        <x:f aca="0">D139</x:f>
        <x:v>0.439716919103873</x:v>
      </x:c>
      <x:c r="E257" s="46" t="n">
        <x:f aca="0">E139</x:f>
        <x:v>0.29473524106223353</x:v>
      </x:c>
      <x:c r="F257" s="46" t="n">
        <x:f aca="0">F139</x:f>
        <x:v>0.5204561252187091</x:v>
      </x:c>
      <x:c r="G257" s="46" t="n">
        <x:f aca="0">G139</x:f>
        <x:v>0.6094267063846261</x:v>
      </x:c>
      <x:c r="H257" s="46" t="n">
        <x:f aca="0">H139</x:f>
        <x:v>0.8078828259550986</x:v>
      </x:c>
      <x:c r="J257" s="9"/>
    </x:row>
    <x:row r="258" ht="15" hidden="0">
      <x:c r="A258" t="s">
        <x:v>829</x:v>
      </x:c>
      <x:c r="D258" s="47" t="n">
        <x:v>0.44</x:v>
      </x:c>
      <x:c r="E258" s="47" t="n">
        <x:v>0.29</x:v>
      </x:c>
      <x:c r="F258" s="47" t="n">
        <x:v>0.52</x:v>
      </x:c>
      <x:c r="G258" s="47" t="n">
        <x:v>0.61</x:v>
      </x:c>
      <x:c r="H258" s="47" t="n">
        <x:v>0.81</x:v>
      </x:c>
    </x:row>
    <x:row r="259" ht="15" hidden="0">
      <x:c r="A259" t="s">
        <x:v>609</x:v>
      </x:c>
      <x:c r="D259" s="46" t="n">
        <x:f aca="0">IF(AND(ISNUMBER(D257),ISNUMBER(D258)),D257-D258,"n/a")</x:f>
        <x:v>-0.00028308089612699705</x:v>
      </x:c>
      <x:c r="E259" s="46" t="n">
        <x:f aca="0">IF(AND(ISNUMBER(E257),ISNUMBER(E258)),E257-E258,"n/a")</x:f>
        <x:v>0.004735241062233553</x:v>
      </x:c>
      <x:c r="F259" s="46" t="n">
        <x:f aca="0">IF(AND(ISNUMBER(F257),ISNUMBER(F258)),F257-F258,"n/a")</x:f>
        <x:v>0.0004561252187090803</x:v>
      </x:c>
      <x:c r="G259" s="46" t="n">
        <x:f aca="0">IF(AND(ISNUMBER(G257),ISNUMBER(G258)),G257-G258,"n/a")</x:f>
        <x:v>-0.0005732936153738377</x:v>
      </x:c>
      <x:c r="H259" s="46" t="n">
        <x:f aca="0">IF(AND(ISNUMBER(H257),ISNUMBER(H258)),H257-H258,"n/a")</x:f>
        <x:v>-0.0021171740449014154</x:v>
      </x:c>
    </x:row>
    <x:row r="260" ht="15" hidden="0">
      <x:c r="A260" t="s">
        <x:v>194</x:v>
      </x:c>
      <x:c r="D260" s="48" t="str">
        <x:f aca="0">IF(NOT(ISNUMBER(D259)),"n/a",IF(ABS(D259)&lt;=MAX(0.01,0.02*ABS(D258)),"Agrees","Differs"))</x:f>
        <x:v>Agrees</x:v>
      </x:c>
      <x:c r="E260" s="48" t="str">
        <x:f aca="0">IF(NOT(ISNUMBER(E259)),"n/a",IF(ABS(E259)&lt;=MAX(0.01,0.02*ABS(E258)),"Agrees","Differs"))</x:f>
        <x:v>Agrees</x:v>
      </x:c>
      <x:c r="F260" s="48" t="str">
        <x:f aca="0">IF(NOT(ISNUMBER(F259)),"n/a",IF(ABS(F259)&lt;=MAX(0.01,0.02*ABS(F258)),"Agrees","Differs"))</x:f>
        <x:v>Agrees</x:v>
      </x:c>
      <x:c r="G260" s="48" t="str">
        <x:f aca="0">IF(NOT(ISNUMBER(G259)),"n/a",IF(ABS(G259)&lt;=MAX(0.01,0.02*ABS(G258)),"Agrees","Differs"))</x:f>
        <x:v>Agrees</x:v>
      </x:c>
      <x:c r="H260" s="48" t="str">
        <x:f aca="0">IF(NOT(ISNUMBER(H259)),"n/a",IF(ABS(H259)&lt;=MAX(0.01,0.02*ABS(H258)),"Agrees","Differs"))</x:f>
        <x:v>Agrees</x:v>
      </x:c>
    </x:row>
    <x:row r="261" ht="15" hidden="0">
      <x:c r="A261" t="s">
        <x:v>927</x:v>
      </x:c>
      <x:c r="B261" s="9" t="s">
        <x:v>928</x:v>
      </x:c>
      <x:c r="D261" s="49" t="n">
        <x:f aca="0">D186</x:f>
        <x:v>25.489210859095433</x:v>
      </x:c>
      <x:c r="E261" s="49" t="n">
        <x:f aca="0">E186</x:f>
        <x:v>24.400050314318257</x:v>
      </x:c>
      <x:c r="F261" s="49" t="n">
        <x:f aca="0">F186</x:f>
        <x:v>27.31239607227987</x:v>
      </x:c>
      <x:c r="G261" s="49" t="n">
        <x:f aca="0">G186</x:f>
        <x:v>28.610501757120286</x:v>
      </x:c>
      <x:c r="H261" s="49" t="n">
        <x:f aca="0">H186</x:f>
        <x:v>31.090758442796346</x:v>
      </x:c>
      <x:c r="J261" s="9" t="s">
        <x:v>929</x:v>
      </x:c>
    </x:row>
    <x:row r="262" ht="15" hidden="0">
      <x:c r="A262" t="s">
        <x:v>930</x:v>
      </x:c>
      <x:c r="D262" s="50" t="n">
        <x:v>25.99</x:v>
      </x:c>
      <x:c r="E262" s="50" t="n">
        <x:v>24.88</x:v>
      </x:c>
      <x:c r="F262" s="50" t="n">
        <x:v>27.31</x:v>
      </x:c>
      <x:c r="G262" s="50" t="n">
        <x:v>28.69</x:v>
      </x:c>
      <x:c r="H262" s="50" t="n">
        <x:v>31.09</x:v>
      </x:c>
    </x:row>
    <x:row r="263" ht="15" hidden="0">
      <x:c r="A263" t="s">
        <x:v>609</x:v>
      </x:c>
      <x:c r="D263" s="49" t="n">
        <x:f aca="0">IF(AND(ISNUMBER(D261),ISNUMBER(D262)),D261-D262,"n/a")</x:f>
        <x:v>-0.5007891409045655</x:v>
      </x:c>
      <x:c r="E263" s="49" t="n">
        <x:f aca="0">IF(AND(ISNUMBER(E261),ISNUMBER(E262)),E261-E262,"n/a")</x:f>
        <x:v>-0.479949685681742</x:v>
      </x:c>
      <x:c r="F263" s="49" t="n">
        <x:f aca="0">IF(AND(ISNUMBER(F261),ISNUMBER(F262)),F261-F262,"n/a")</x:f>
        <x:v>0.0023960722798719303</x:v>
      </x:c>
      <x:c r="G263" s="49" t="n">
        <x:f aca="0">IF(AND(ISNUMBER(G261),ISNUMBER(G262)),G261-G262,"n/a")</x:f>
        <x:v>-0.07949824287971552</x:v>
      </x:c>
      <x:c r="H263" s="49" t="n">
        <x:f aca="0">IF(AND(ISNUMBER(H261),ISNUMBER(H262)),H261-H262,"n/a")</x:f>
        <x:v>0.0007584427963465146</x:v>
      </x:c>
    </x:row>
    <x:row r="264" ht="15" hidden="0">
      <x:c r="A264" t="s">
        <x:v>194</x:v>
      </x:c>
      <x:c r="D264" s="48" t="str">
        <x:f aca="0">IF(NOT(ISNUMBER(D263)),"n/a",IF(ABS(D263)&lt;=MAX(1,0.02*ABS(D262)),"Agrees","Differs"))</x:f>
        <x:v>Agrees</x:v>
      </x:c>
      <x:c r="E264" s="48" t="str">
        <x:f aca="0">IF(NOT(ISNUMBER(E263)),"n/a",IF(ABS(E263)&lt;=MAX(1,0.02*ABS(E262)),"Agrees","Differs"))</x:f>
        <x:v>Agrees</x:v>
      </x:c>
      <x:c r="F264" s="48" t="str">
        <x:f aca="0">IF(NOT(ISNUMBER(F263)),"n/a",IF(ABS(F263)&lt;=MAX(1,0.02*ABS(F262)),"Agrees","Differs"))</x:f>
        <x:v>Agrees</x:v>
      </x:c>
      <x:c r="G264" s="48" t="str">
        <x:f aca="0">IF(NOT(ISNUMBER(G263)),"n/a",IF(ABS(G263)&lt;=MAX(1,0.02*ABS(G262)),"Agrees","Differs"))</x:f>
        <x:v>Agrees</x:v>
      </x:c>
      <x:c r="H264" s="48" t="str">
        <x:f aca="0">IF(NOT(ISNUMBER(H263)),"n/a",IF(ABS(H263)&lt;=MAX(1,0.02*ABS(H262)),"Agrees","Differs"))</x:f>
        <x:v>Agrees</x:v>
      </x:c>
    </x:row>
    <x:row r="265" ht="15" hidden="0">
      <x:c r="A265" t="s">
        <x:v>740</x:v>
      </x:c>
      <x:c r="B265" s="9"/>
      <x:c r="D265" s="49" t="n">
        <x:f aca="0">D148</x:f>
        <x:v>24.299408826550263</x:v>
      </x:c>
      <x:c r="E265" s="49" t="n">
        <x:f aca="0">E148</x:f>
        <x:v>14.089756717395696</x:v>
      </x:c>
      <x:c r="F265" s="49" t="n">
        <x:f aca="0">F148</x:f>
        <x:v>13.721464335734789</x:v>
      </x:c>
      <x:c r="G265" s="49" t="n">
        <x:f aca="0">G148</x:f>
        <x:v>18.64683133544055</x:v>
      </x:c>
      <x:c r="H265" s="49" t="n">
        <x:f aca="0">H148</x:f>
        <x:v>23.29195250049585</x:v>
      </x:c>
      <x:c r="J265" s="9"/>
    </x:row>
    <x:row r="266" ht="15" hidden="0">
      <x:c r="A266" t="s">
        <x:v>742</x:v>
      </x:c>
      <x:c r="D266" s="50" t="n">
        <x:v>24.3</x:v>
      </x:c>
      <x:c r="E266" s="50" t="n">
        <x:v>14.09</x:v>
      </x:c>
      <x:c r="F266" s="50" t="n">
        <x:v>13.72</x:v>
      </x:c>
      <x:c r="G266" s="50" t="n">
        <x:v>18.7</x:v>
      </x:c>
      <x:c r="H266" s="50" t="n">
        <x:v>23.29</x:v>
      </x:c>
    </x:row>
    <x:row r="267" ht="15" hidden="0">
      <x:c r="A267" t="s">
        <x:v>609</x:v>
      </x:c>
      <x:c r="D267" s="49" t="n">
        <x:f aca="0">IF(AND(ISNUMBER(D265),ISNUMBER(D266)),D265-D266,"n/a")</x:f>
        <x:v>-0.000591173449738136</x:v>
      </x:c>
      <x:c r="E267" s="49" t="n">
        <x:f aca="0">IF(AND(ISNUMBER(E265),ISNUMBER(E266)),E265-E266,"n/a")</x:f>
        <x:v>-0.0002432826043037295</x:v>
      </x:c>
      <x:c r="F267" s="49" t="n">
        <x:f aca="0">IF(AND(ISNUMBER(F265),ISNUMBER(F266)),F265-F266,"n/a")</x:f>
        <x:v>0.0014643357347878805</x:v>
      </x:c>
      <x:c r="G267" s="49" t="n">
        <x:f aca="0">IF(AND(ISNUMBER(G265),ISNUMBER(G266)),G265-G266,"n/a")</x:f>
        <x:v>-0.05316866455945046</x:v>
      </x:c>
      <x:c r="H267" s="49" t="n">
        <x:f aca="0">IF(AND(ISNUMBER(H265),ISNUMBER(H266)),H265-H266,"n/a")</x:f>
        <x:v>0.0019525004958502734</x:v>
      </x:c>
    </x:row>
    <x:row r="268" ht="15" hidden="0">
      <x:c r="A268" t="s">
        <x:v>194</x:v>
      </x:c>
      <x:c r="D268" s="48" t="str">
        <x:f aca="0">IF(NOT(ISNUMBER(D267)),"n/a",IF(ABS(D267)&lt;=MAX(1,0.02*ABS(D266)),"Agrees","Differs"))</x:f>
        <x:v>Agrees</x:v>
      </x:c>
      <x:c r="E268" s="48" t="str">
        <x:f aca="0">IF(NOT(ISNUMBER(E267)),"n/a",IF(ABS(E267)&lt;=MAX(1,0.02*ABS(E266)),"Agrees","Differs"))</x:f>
        <x:v>Agrees</x:v>
      </x:c>
      <x:c r="F268" s="48" t="str">
        <x:f aca="0">IF(NOT(ISNUMBER(F267)),"n/a",IF(ABS(F267)&lt;=MAX(1,0.02*ABS(F266)),"Agrees","Differs"))</x:f>
        <x:v>Agrees</x:v>
      </x:c>
      <x:c r="G268" s="48" t="str">
        <x:f aca="0">IF(NOT(ISNUMBER(G267)),"n/a",IF(ABS(G267)&lt;=MAX(1,0.02*ABS(G266)),"Agrees","Differs"))</x:f>
        <x:v>Agrees</x:v>
      </x:c>
      <x:c r="H268" s="48" t="str">
        <x:f aca="0">IF(NOT(ISNUMBER(H267)),"n/a",IF(ABS(H267)&lt;=MAX(1,0.02*ABS(H266)),"Agrees","Differs"))</x:f>
        <x:v>Agrees</x:v>
      </x:c>
    </x:row>
    <x:row r="269" ht="15" hidden="0">
      <x:c r="A269" t="s">
        <x:v>931</x:v>
      </x:c>
      <x:c r="B269" s="9" t="s">
        <x:v>932</x:v>
      </x:c>
      <x:c r="D269" s="49" t="n">
        <x:f aca="0">D149</x:f>
        <x:v>48.013565747856816</x:v>
      </x:c>
      <x:c r="E269" s="49" t="n">
        <x:f aca="0">E149</x:f>
        <x:v>37.71999546630358</x:v>
      </x:c>
      <x:c r="F269" s="49" t="n">
        <x:f aca="0">F149</x:f>
        <x:v>36.498698029192624</x:v>
      </x:c>
      <x:c r="G269" s="49" t="n">
        <x:f aca="0">G149</x:f>
        <x:v>37.63108757497352</x:v>
      </x:c>
      <x:c r="H269" s="49" t="n">
        <x:f aca="0">H149</x:f>
        <x:v>42.1768479607431</x:v>
      </x:c>
      <x:c r="J269" s="9"/>
    </x:row>
    <x:row r="270" ht="15" hidden="0">
      <x:c r="A270" t="s">
        <x:v>933</x:v>
      </x:c>
      <x:c r="D270" s="50" t="n">
        <x:v>48.96</x:v>
      </x:c>
      <x:c r="E270" s="50" t="n">
        <x:v>38.46</x:v>
      </x:c>
      <x:c r="F270" s="50" t="n">
        <x:v>36.5</x:v>
      </x:c>
      <x:c r="G270" s="50" t="n">
        <x:v>37.63</x:v>
      </x:c>
      <x:c r="H270" s="50" t="n">
        <x:v>42.18</x:v>
      </x:c>
    </x:row>
    <x:row r="271" ht="15" hidden="0">
      <x:c r="A271" t="s">
        <x:v>609</x:v>
      </x:c>
      <x:c r="D271" s="49" t="n">
        <x:f aca="0">IF(AND(ISNUMBER(D269),ISNUMBER(D270)),D269-D270,"n/a")</x:f>
        <x:v>-0.9464342521431846</x:v>
      </x:c>
      <x:c r="E271" s="49" t="n">
        <x:f aca="0">IF(AND(ISNUMBER(E269),ISNUMBER(E270)),E269-E270,"n/a")</x:f>
        <x:v>-0.7400045336964212</x:v>
      </x:c>
      <x:c r="F271" s="49" t="n">
        <x:f aca="0">IF(AND(ISNUMBER(F269),ISNUMBER(F270)),F269-F270,"n/a")</x:f>
        <x:v>-0.0013019708073755965</x:v>
      </x:c>
      <x:c r="G271" s="49" t="n">
        <x:f aca="0">IF(AND(ISNUMBER(G269),ISNUMBER(G270)),G269-G270,"n/a")</x:f>
        <x:v>0.0010875749735177465</x:v>
      </x:c>
      <x:c r="H271" s="49" t="n">
        <x:f aca="0">IF(AND(ISNUMBER(H269),ISNUMBER(H270)),H269-H270,"n/a")</x:f>
        <x:v>-0.003152039256896444</x:v>
      </x:c>
    </x:row>
    <x:row r="272" ht="15" hidden="0">
      <x:c r="A272" t="s">
        <x:v>194</x:v>
      </x:c>
      <x:c r="D272" s="48" t="str">
        <x:f aca="0">IF(NOT(ISNUMBER(D271)),"n/a",IF(ABS(D271)&lt;=MAX(1,0.02*ABS(D270)),"Agrees","Differs"))</x:f>
        <x:v>Agrees</x:v>
      </x:c>
      <x:c r="E272" s="48" t="str">
        <x:f aca="0">IF(NOT(ISNUMBER(E271)),"n/a",IF(ABS(E271)&lt;=MAX(1,0.02*ABS(E270)),"Agrees","Differs"))</x:f>
        <x:v>Agrees</x:v>
      </x:c>
      <x:c r="F272" s="48" t="str">
        <x:f aca="0">IF(NOT(ISNUMBER(F271)),"n/a",IF(ABS(F271)&lt;=MAX(1,0.02*ABS(F270)),"Agrees","Differs"))</x:f>
        <x:v>Agrees</x:v>
      </x:c>
      <x:c r="G272" s="48" t="str">
        <x:f aca="0">IF(NOT(ISNUMBER(G271)),"n/a",IF(ABS(G271)&lt;=MAX(1,0.02*ABS(G270)),"Agrees","Differs"))</x:f>
        <x:v>Agrees</x:v>
      </x:c>
      <x:c r="H272" s="48" t="str">
        <x:f aca="0">IF(NOT(ISNUMBER(H271)),"n/a",IF(ABS(H271)&lt;=MAX(1,0.02*ABS(H270)),"Agrees","Differs"))</x:f>
        <x:v>Agrees</x:v>
      </x:c>
    </x:row>
    <x:row r="273" ht="15" hidden="0">
      <x:c r="A273" t="s">
        <x:v>629</x:v>
      </x:c>
      <x:c r="B273" s="9" t="s">
        <x:v>934</x:v>
      </x:c>
      <x:c r="D273" s="46" t="n">
        <x:f aca="0">D152</x:f>
        <x:v>0.5374450896807583</x:v>
      </x:c>
      <x:c r="E273" s="46" t="n">
        <x:f aca="0">E152</x:f>
        <x:v>0.6536676591930263</x:v>
      </x:c>
      <x:c r="F273" s="46" t="n">
        <x:f aca="0">F152</x:f>
        <x:v>0.7221331478723996</x:v>
      </x:c>
      <x:c r="G273" s="46" t="n">
        <x:f aca="0">G152</x:f>
        <x:v>0.7029264873878895</x:v>
      </x:c>
      <x:c r="H273" s="46" t="n">
        <x:f aca="0">H152</x:f>
        <x:v>0.6311331505330572</x:v>
      </x:c>
      <x:c r="J273" s="9"/>
    </x:row>
    <x:row r="274" ht="15" hidden="0">
      <x:c r="A274" t="s">
        <x:v>632</x:v>
      </x:c>
      <x:c r="D274" s="47" t="n">
        <x:v>0.54</x:v>
      </x:c>
      <x:c r="E274" s="47" t="n">
        <x:v>0.59</x:v>
      </x:c>
      <x:c r="F274" s="47" t="n">
        <x:v>0.69</x:v>
      </x:c>
      <x:c r="G274" s="47" t="n">
        <x:v>0.67</x:v>
      </x:c>
      <x:c r="H274" s="47" t="n">
        <x:v>0.58</x:v>
      </x:c>
    </x:row>
    <x:row r="275" ht="15" hidden="0">
      <x:c r="A275" t="s">
        <x:v>609</x:v>
      </x:c>
      <x:c r="D275" s="46" t="n">
        <x:f aca="0">IF(AND(ISNUMBER(D273),ISNUMBER(D274)),D273-D274,"n/a")</x:f>
        <x:v>-0.00255491031924171</x:v>
      </x:c>
      <x:c r="E275" s="46" t="n">
        <x:f aca="0">IF(AND(ISNUMBER(E273),ISNUMBER(E274)),E273-E274,"n/a")</x:f>
        <x:v>0.0636676591930263</x:v>
      </x:c>
      <x:c r="F275" s="46" t="n">
        <x:f aca="0">IF(AND(ISNUMBER(F273),ISNUMBER(F274)),F273-F274,"n/a")</x:f>
        <x:v>0.032133147872399626</x:v>
      </x:c>
      <x:c r="G275" s="46" t="n">
        <x:f aca="0">IF(AND(ISNUMBER(G273),ISNUMBER(G274)),G273-G274,"n/a")</x:f>
        <x:v>0.0329264873878895</x:v>
      </x:c>
      <x:c r="H275" s="46" t="n">
        <x:f aca="0">IF(AND(ISNUMBER(H273),ISNUMBER(H274)),H273-H274,"n/a")</x:f>
        <x:v>0.051133150533057226</x:v>
      </x:c>
    </x:row>
    <x:row r="276" ht="15" hidden="0">
      <x:c r="A276" t="s">
        <x:v>194</x:v>
      </x:c>
      <x:c r="D276" s="48" t="str">
        <x:f aca="0">IF(NOT(ISNUMBER(D275)),"n/a",IF(ABS(D275)&lt;=MAX(0.01,0.02*ABS(D274)),"Agrees","Differs"))</x:f>
        <x:v>Agrees</x:v>
      </x:c>
      <x:c r="E276" s="48" t="str">
        <x:f aca="0">IF(NOT(ISNUMBER(E275)),"n/a",IF(ABS(E275)&lt;=MAX(0.01,0.02*ABS(E274)),"Agrees","Differs"))</x:f>
        <x:v>Differs</x:v>
      </x:c>
      <x:c r="F276" s="48" t="str">
        <x:f aca="0">IF(NOT(ISNUMBER(F275)),"n/a",IF(ABS(F275)&lt;=MAX(0.01,0.02*ABS(F274)),"Agrees","Differs"))</x:f>
        <x:v>Differs</x:v>
      </x:c>
      <x:c r="G276" s="48" t="str">
        <x:f aca="0">IF(NOT(ISNUMBER(G275)),"n/a",IF(ABS(G275)&lt;=MAX(0.01,0.02*ABS(G274)),"Agrees","Differs"))</x:f>
        <x:v>Differs</x:v>
      </x:c>
      <x:c r="H276" s="48" t="str">
        <x:f aca="0">IF(NOT(ISNUMBER(H275)),"n/a",IF(ABS(H275)&lt;=MAX(0.01,0.02*ABS(H274)),"Agrees","Differs"))</x:f>
        <x:v>Differs</x:v>
      </x:c>
    </x:row>
    <x:row r="277" ht="15" hidden="0">
      <x:c r="A277" t="s">
        <x:v>633</x:v>
      </x:c>
      <x:c r="B277" s="9" t="s">
        <x:v>935</x:v>
      </x:c>
      <x:c r="D277" s="46" t="n">
        <x:f aca="0">D153</x:f>
        <x:v>0.838288069294308</x:v>
      </x:c>
      <x:c r="E277" s="46" t="n">
        <x:f aca="0">E153</x:f>
        <x:v>1.172066585205955</x:v>
      </x:c>
      <x:c r="F277" s="46" t="n">
        <x:f aca="0">F153</x:f>
        <x:v>1.2158524918829576</x:v>
      </x:c>
      <x:c r="G277" s="46" t="n">
        <x:f aca="0">G153</x:f>
        <x:v>1.0531088846951966</x:v>
      </x:c>
      <x:c r="H277" s="46" t="n">
        <x:f aca="0">H153</x:f>
        <x:v>1.0752521941525262</x:v>
      </x:c>
      <x:c r="J277" s="9"/>
    </x:row>
    <x:row r="278" ht="15" hidden="0">
      <x:c r="A278" t="s">
        <x:v>636</x:v>
      </x:c>
      <x:c r="D278" s="47" t="n">
        <x:v>0.8</x:v>
      </x:c>
      <x:c r="E278" s="47" t="n">
        <x:v>0.85</x:v>
      </x:c>
      <x:c r="F278" s="47" t="n">
        <x:v>1</x:v>
      </x:c>
      <x:c r="G278" s="47" t="n">
        <x:v>1.01</x:v>
      </x:c>
      <x:c r="H278" s="47" t="n">
        <x:v>1.1</x:v>
      </x:c>
    </x:row>
    <x:row r="279" ht="15" hidden="0">
      <x:c r="A279" t="s">
        <x:v>609</x:v>
      </x:c>
      <x:c r="D279" s="46" t="n">
        <x:f aca="0">IF(AND(ISNUMBER(D277),ISNUMBER(D278)),D277-D278,"n/a")</x:f>
        <x:v>0.03828806929430795</x:v>
      </x:c>
      <x:c r="E279" s="46" t="n">
        <x:f aca="0">IF(AND(ISNUMBER(E277),ISNUMBER(E278)),E277-E278,"n/a")</x:f>
        <x:v>0.3220665852059551</x:v>
      </x:c>
      <x:c r="F279" s="46" t="n">
        <x:f aca="0">IF(AND(ISNUMBER(F277),ISNUMBER(F278)),F277-F278,"n/a")</x:f>
        <x:v>0.21585249188295763</x:v>
      </x:c>
      <x:c r="G279" s="46" t="n">
        <x:f aca="0">IF(AND(ISNUMBER(G277),ISNUMBER(G278)),G277-G278,"n/a")</x:f>
        <x:v>0.04310888469519658</x:v>
      </x:c>
      <x:c r="H279" s="46" t="n">
        <x:f aca="0">IF(AND(ISNUMBER(H277),ISNUMBER(H278)),H277-H278,"n/a")</x:f>
        <x:v>-0.024747805847473936</x:v>
      </x:c>
    </x:row>
    <x:row r="280" ht="15" hidden="0">
      <x:c r="A280" t="s">
        <x:v>194</x:v>
      </x:c>
      <x:c r="D280" s="48" t="str">
        <x:f aca="0">IF(NOT(ISNUMBER(D279)),"n/a",IF(ABS(D279)&lt;=MAX(0.01,0.02*ABS(D278)),"Agrees","Differs"))</x:f>
        <x:v>Differs</x:v>
      </x:c>
      <x:c r="E280" s="48" t="str">
        <x:f aca="0">IF(NOT(ISNUMBER(E279)),"n/a",IF(ABS(E279)&lt;=MAX(0.01,0.02*ABS(E278)),"Agrees","Differs"))</x:f>
        <x:v>Differs</x:v>
      </x:c>
      <x:c r="F280" s="48" t="str">
        <x:f aca="0">IF(NOT(ISNUMBER(F279)),"n/a",IF(ABS(F279)&lt;=MAX(0.01,0.02*ABS(F278)),"Agrees","Differs"))</x:f>
        <x:v>Differs</x:v>
      </x:c>
      <x:c r="G280" s="48" t="str">
        <x:f aca="0">IF(NOT(ISNUMBER(G279)),"n/a",IF(ABS(G279)&lt;=MAX(0.01,0.02*ABS(G278)),"Agrees","Differs"))</x:f>
        <x:v>Differs</x:v>
      </x:c>
      <x:c r="H280" s="48" t="str">
        <x:f aca="0">IF(NOT(ISNUMBER(H279)),"n/a",IF(ABS(H279)&lt;=MAX(0.01,0.02*ABS(H278)),"Agrees","Differs"))</x:f>
        <x:v>Differs</x:v>
      </x:c>
    </x:row>
    <x:row r="281" ht="15" hidden="0">
      <x:c r="A281" t="s">
        <x:v>838</x:v>
      </x:c>
      <x:c r="B281" s="9" t="s">
        <x:v>936</x:v>
      </x:c>
      <x:c r="D281" s="46" t="n">
        <x:f aca="0">D159</x:f>
        <x:v>6.069000565198944</x:v>
      </x:c>
      <x:c r="E281" s="46" t="n">
        <x:f aca="0">E159</x:f>
        <x:v>5.280713598911259</x:v>
      </x:c>
      <x:c r="F281" s="46" t="n">
        <x:f aca="0">F159</x:f>
        <x:v>4.472840944030858</x:v>
      </x:c>
      <x:c r="G281" s="46" t="n">
        <x:f aca="0">G159</x:f>
        <x:v>3.222781857366191</x:v>
      </x:c>
      <x:c r="H281" s="46" t="n">
        <x:f aca="0">H159</x:f>
        <x:v>7.387043000579386</x:v>
      </x:c>
      <x:c r="J281" s="9"/>
    </x:row>
    <x:row r="282" ht="15" hidden="0">
      <x:c r="A282" t="s">
        <x:v>841</x:v>
      </x:c>
      <x:c r="D282" s="47" t="n">
        <x:v>5.88</x:v>
      </x:c>
      <x:c r="E282" s="47" t="n">
        <x:v>5.13</x:v>
      </x:c>
      <x:c r="F282" s="47" t="n">
        <x:v>4.36</x:v>
      </x:c>
      <x:c r="G282" s="47" t="n">
        <x:v>3.16</x:v>
      </x:c>
      <x:c r="H282" s="47" t="n">
        <x:v>7.09</x:v>
      </x:c>
    </x:row>
    <x:row r="283" ht="15" hidden="0">
      <x:c r="A283" t="s">
        <x:v>609</x:v>
      </x:c>
      <x:c r="D283" s="46" t="n">
        <x:f aca="0">IF(AND(ISNUMBER(D281),ISNUMBER(D282)),D281-D282,"n/a")</x:f>
        <x:v>0.1890005651989437</x:v>
      </x:c>
      <x:c r="E283" s="46" t="n">
        <x:f aca="0">IF(AND(ISNUMBER(E281),ISNUMBER(E282)),E281-E282,"n/a")</x:f>
        <x:v>0.1507135989112589</x:v>
      </x:c>
      <x:c r="F283" s="46" t="n">
        <x:f aca="0">IF(AND(ISNUMBER(F281),ISNUMBER(F282)),F281-F282,"n/a")</x:f>
        <x:v>0.11284094403085732</x:v>
      </x:c>
      <x:c r="G283" s="46" t="n">
        <x:f aca="0">IF(AND(ISNUMBER(G281),ISNUMBER(G282)),G281-G282,"n/a")</x:f>
        <x:v>0.06278185736619069</x:v>
      </x:c>
      <x:c r="H283" s="46" t="n">
        <x:f aca="0">IF(AND(ISNUMBER(H281),ISNUMBER(H282)),H281-H282,"n/a")</x:f>
        <x:v>0.2970430005793858</x:v>
      </x:c>
    </x:row>
    <x:row r="284" ht="15" hidden="0">
      <x:c r="A284" t="s">
        <x:v>194</x:v>
      </x:c>
      <x:c r="D284" s="48" t="str">
        <x:f aca="0">IF(NOT(ISNUMBER(D283)),"n/a",IF(ABS(D283)&lt;=MAX(0.01,0.02*ABS(D282)),"Agrees","Differs"))</x:f>
        <x:v>Differs</x:v>
      </x:c>
      <x:c r="E284" s="48" t="str">
        <x:f aca="0">IF(NOT(ISNUMBER(E283)),"n/a",IF(ABS(E283)&lt;=MAX(0.01,0.02*ABS(E282)),"Agrees","Differs"))</x:f>
        <x:v>Differs</x:v>
      </x:c>
      <x:c r="F284" s="48" t="str">
        <x:f aca="0">IF(NOT(ISNUMBER(F283)),"n/a",IF(ABS(F283)&lt;=MAX(0.01,0.02*ABS(F282)),"Agrees","Differs"))</x:f>
        <x:v>Differs</x:v>
      </x:c>
      <x:c r="G284" s="48" t="str">
        <x:f aca="0">IF(NOT(ISNUMBER(G283)),"n/a",IF(ABS(G283)&lt;=MAX(0.01,0.02*ABS(G282)),"Agrees","Differs"))</x:f>
        <x:v>Agrees</x:v>
      </x:c>
      <x:c r="H284" s="48" t="str">
        <x:f aca="0">IF(NOT(ISNUMBER(H283)),"n/a",IF(ABS(H283)&lt;=MAX(0.01,0.02*ABS(H282)),"Agrees","Differs"))</x:f>
        <x:v>Differs</x:v>
      </x:c>
    </x:row>
    <x:row r="285" ht="15" hidden="0">
      <x:c r="A285" t="s">
        <x:v>937</x:v>
      </x:c>
      <x:c r="B285" s="9" t="s">
        <x:v>938</x:v>
      </x:c>
      <x:c r="D285" s="46" t="n">
        <x:f aca="0">D160</x:f>
        <x:v>1.3043528362015715</x:v>
      </x:c>
      <x:c r="E285" s="46" t="n">
        <x:f aca="0">E160</x:f>
        <x:v>1.9887410592494228</x:v>
      </x:c>
      <x:c r="F285" s="46" t="n">
        <x:f aca="0">F160</x:f>
        <x:v>1.2362853113221863</x:v>
      </x:c>
      <x:c r="G285" s="46" t="n">
        <x:f aca="0">G160</x:f>
        <x:v>1.0377422935118947</x:v>
      </x:c>
      <x:c r="H285" s="46" t="n">
        <x:f aca="0">H160</x:f>
        <x:v>0.43751507855019817</x:v>
      </x:c>
      <x:c r="J285" s="9"/>
    </x:row>
    <x:row r="286" ht="15" hidden="0">
      <x:c r="A286" t="s">
        <x:v>939</x:v>
      </x:c>
      <x:c r="D286" s="47" t="n">
        <x:v>1.31</x:v>
      </x:c>
      <x:c r="E286" s="47" t="n">
        <x:v>2.07</x:v>
      </x:c>
      <x:c r="F286" s="47" t="n">
        <x:v>1.29</x:v>
      </x:c>
      <x:c r="G286" s="47" t="n">
        <x:v>1.07</x:v>
      </x:c>
      <x:c r="H286" s="47" t="n">
        <x:v>0.46</x:v>
      </x:c>
    </x:row>
    <x:row r="287" ht="15" hidden="0">
      <x:c r="A287" t="s">
        <x:v>609</x:v>
      </x:c>
      <x:c r="D287" s="46" t="n">
        <x:f aca="0">IF(AND(ISNUMBER(D285),ISNUMBER(D286)),D285-D286,"n/a")</x:f>
        <x:v>-0.005647163798428556</x:v>
      </x:c>
      <x:c r="E287" s="46" t="n">
        <x:f aca="0">IF(AND(ISNUMBER(E285),ISNUMBER(E286)),E285-E286,"n/a")</x:f>
        <x:v>-0.08125894075057705</x:v>
      </x:c>
      <x:c r="F287" s="46" t="n">
        <x:f aca="0">IF(AND(ISNUMBER(F285),ISNUMBER(F286)),F285-F286,"n/a")</x:f>
        <x:v>-0.053714688677813704</x:v>
      </x:c>
      <x:c r="G287" s="46" t="n">
        <x:f aca="0">IF(AND(ISNUMBER(G285),ISNUMBER(G286)),G285-G286,"n/a")</x:f>
        <x:v>-0.03225770648810533</x:v>
      </x:c>
      <x:c r="H287" s="46" t="n">
        <x:f aca="0">IF(AND(ISNUMBER(H285),ISNUMBER(H286)),H285-H286,"n/a")</x:f>
        <x:v>-0.022484921449801853</x:v>
      </x:c>
    </x:row>
    <x:row r="288" ht="15" hidden="0">
      <x:c r="A288" t="s">
        <x:v>194</x:v>
      </x:c>
      <x:c r="D288" s="48" t="str">
        <x:f aca="0">IF(NOT(ISNUMBER(D287)),"n/a",IF(ABS(D287)&lt;=MAX(0.01,0.02*ABS(D286)),"Agrees","Differs"))</x:f>
        <x:v>Agrees</x:v>
      </x:c>
      <x:c r="E288" s="48" t="str">
        <x:f aca="0">IF(NOT(ISNUMBER(E287)),"n/a",IF(ABS(E287)&lt;=MAX(0.01,0.02*ABS(E286)),"Agrees","Differs"))</x:f>
        <x:v>Differs</x:v>
      </x:c>
      <x:c r="F288" s="48" t="str">
        <x:f aca="0">IF(NOT(ISNUMBER(F287)),"n/a",IF(ABS(F287)&lt;=MAX(0.01,0.02*ABS(F286)),"Agrees","Differs"))</x:f>
        <x:v>Differs</x:v>
      </x:c>
      <x:c r="G288" s="48" t="str">
        <x:f aca="0">IF(NOT(ISNUMBER(G287)),"n/a",IF(ABS(G287)&lt;=MAX(0.01,0.02*ABS(G286)),"Agrees","Differs"))</x:f>
        <x:v>Differs</x:v>
      </x:c>
      <x:c r="H288" s="48" t="str">
        <x:f aca="0">IF(NOT(ISNUMBER(H287)),"n/a",IF(ABS(H287)&lt;=MAX(0.01,0.02*ABS(H286)),"Agrees","Differs"))</x:f>
        <x:v>Differs</x:v>
      </x:c>
    </x:row>
    <x:row r="289" ht="15" hidden="0">
      <x:c r="A289" t="s">
        <x:v>848</x:v>
      </x:c>
      <x:c r="B289" s="9" t="s">
        <x:v>940</x:v>
      </x:c>
      <x:c r="D289" s="46" t="n">
        <x:f aca="0">D174</x:f>
        <x:v>8.250622923265333</x:v>
      </x:c>
      <x:c r="E289" s="46" t="n">
        <x:f aca="0">E174</x:f>
        <x:v>8.277569505341472</x:v>
      </x:c>
      <x:c r="F289" s="46" t="n">
        <x:f aca="0">F174</x:f>
        <x:v>6.770214735324442</x:v>
      </x:c>
      <x:c r="G289" s="46" t="n">
        <x:f aca="0">G174</x:f>
        <x:v>7.631751909473391</x:v>
      </x:c>
      <x:c r="H289" s="46" t="n">
        <x:f aca="0">H174</x:f>
        <x:v>5.182359206248938</x:v>
      </x:c>
      <x:c r="J289" s="9"/>
    </x:row>
    <x:row r="290" ht="15" hidden="0">
      <x:c r="A290" t="s">
        <x:v>851</x:v>
      </x:c>
      <x:c r="D290" s="47" t="n">
        <x:v>8.25</x:v>
      </x:c>
      <x:c r="E290" s="47" t="n">
        <x:v>8.28</x:v>
      </x:c>
      <x:c r="F290" s="47" t="n">
        <x:v>6.77</x:v>
      </x:c>
      <x:c r="G290" s="47" t="n">
        <x:v>7.63</x:v>
      </x:c>
      <x:c r="H290" s="47" t="n">
        <x:v>5.18</x:v>
      </x:c>
    </x:row>
    <x:row r="291" ht="15" hidden="0">
      <x:c r="A291" t="s">
        <x:v>609</x:v>
      </x:c>
      <x:c r="D291" s="46" t="n">
        <x:f aca="0">IF(AND(ISNUMBER(D289),ISNUMBER(D290)),D289-D290,"n/a")</x:f>
        <x:v>0.0006229232653325312</x:v>
      </x:c>
      <x:c r="E291" s="46" t="n">
        <x:f aca="0">IF(AND(ISNUMBER(E289),ISNUMBER(E290)),E289-E290,"n/a")</x:f>
        <x:v>-0.0024304946585278486</x:v>
      </x:c>
      <x:c r="F291" s="46" t="n">
        <x:f aca="0">IF(AND(ISNUMBER(F289),ISNUMBER(F290)),F289-F290,"n/a")</x:f>
        <x:v>0.0002147353244428274</x:v>
      </x:c>
      <x:c r="G291" s="46" t="n">
        <x:f aca="0">IF(AND(ISNUMBER(G289),ISNUMBER(G290)),G289-G290,"n/a")</x:f>
        <x:v>0.001751909473391322</x:v>
      </x:c>
      <x:c r="H291" s="46" t="n">
        <x:f aca="0">IF(AND(ISNUMBER(H289),ISNUMBER(H290)),H289-H290,"n/a")</x:f>
        <x:v>0.0023592062489381505</x:v>
      </x:c>
    </x:row>
    <x:row r="292" ht="15" hidden="0">
      <x:c r="A292" t="s">
        <x:v>194</x:v>
      </x:c>
      <x:c r="D292" s="48" t="str">
        <x:f aca="0">IF(NOT(ISNUMBER(D291)),"n/a",IF(ABS(D291)&lt;=MAX(0.01,0.02*ABS(D290)),"Agrees","Differs"))</x:f>
        <x:v>Agrees</x:v>
      </x:c>
      <x:c r="E292" s="48" t="str">
        <x:f aca="0">IF(NOT(ISNUMBER(E291)),"n/a",IF(ABS(E291)&lt;=MAX(0.01,0.02*ABS(E290)),"Agrees","Differs"))</x:f>
        <x:v>Agrees</x:v>
      </x:c>
      <x:c r="F292" s="48" t="str">
        <x:f aca="0">IF(NOT(ISNUMBER(F291)),"n/a",IF(ABS(F291)&lt;=MAX(0.01,0.02*ABS(F290)),"Agrees","Differs"))</x:f>
        <x:v>Agrees</x:v>
      </x:c>
      <x:c r="G292" s="48" t="str">
        <x:f aca="0">IF(NOT(ISNUMBER(G291)),"n/a",IF(ABS(G291)&lt;=MAX(0.01,0.02*ABS(G290)),"Agrees","Differs"))</x:f>
        <x:v>Agrees</x:v>
      </x:c>
      <x:c r="H292" s="48" t="str">
        <x:f aca="0">IF(NOT(ISNUMBER(H291)),"n/a",IF(ABS(H291)&lt;=MAX(0.01,0.02*ABS(H290)),"Agrees","Differs"))</x:f>
        <x:v>Agrees</x:v>
      </x:c>
    </x:row>
    <x:row r="293" ht="15" hidden="0">
      <x:c r="A293" t="s">
        <x:v>941</x:v>
      </x:c>
      <x:c r="B293" s="9" t="s">
        <x:v>942</x:v>
      </x:c>
      <x:c r="D293" s="42" t="n">
        <x:f aca="0">D181</x:f>
        <x:v>0.18436354062058283</x:v>
      </x:c>
      <x:c r="E293" s="42" t="n">
        <x:f aca="0">E181</x:f>
        <x:v>0.17168532351715352</x:v>
      </x:c>
      <x:c r="F293" s="42" t="n">
        <x:f aca="0">F181</x:f>
        <x:v>0.32450392192483646</x:v>
      </x:c>
      <x:c r="G293" s="42" t="n">
        <x:f aca="0">G181</x:f>
        <x:v>0.14290304685697489</x:v>
      </x:c>
      <x:c r="H293" s="42" t="n">
        <x:f aca="0">H181</x:f>
        <x:v>0.28018496761777206</x:v>
      </x:c>
      <x:c r="J293" s="9"/>
    </x:row>
    <x:row r="294" ht="15" hidden="0">
      <x:c r="A294" t="s">
        <x:v>943</x:v>
      </x:c>
      <x:c r="D294" s="51" t="n">
        <x:v>0.18</x:v>
      </x:c>
      <x:c r="E294" s="51" t="n">
        <x:v>0.17</x:v>
      </x:c>
      <x:c r="F294" s="51" t="n">
        <x:v>0.32</x:v>
      </x:c>
      <x:c r="G294" s="51" t="n">
        <x:v>0.14</x:v>
      </x:c>
      <x:c r="H294" s="51" t="n">
        <x:v>0.28</x:v>
      </x:c>
    </x:row>
    <x:row r="295" ht="15" hidden="0">
      <x:c r="A295" t="s">
        <x:v>609</x:v>
      </x:c>
      <x:c r="D295" s="42" t="n">
        <x:f aca="0">IF(AND(ISNUMBER(D293),ISNUMBER(D294)),D293-D294,"n/a")</x:f>
        <x:v>0.004363540620582834</x:v>
      </x:c>
      <x:c r="E295" s="42" t="n">
        <x:f aca="0">IF(AND(ISNUMBER(E293),ISNUMBER(E294)),E293-E294,"n/a")</x:f>
        <x:v>0.001685323517153503</x:v>
      </x:c>
      <x:c r="F295" s="42" t="n">
        <x:f aca="0">IF(AND(ISNUMBER(F293),ISNUMBER(F294)),F293-F294,"n/a")</x:f>
        <x:v>0.0045039219248364515</x:v>
      </x:c>
      <x:c r="G295" s="42" t="n">
        <x:f aca="0">IF(AND(ISNUMBER(G293),ISNUMBER(G294)),G293-G294,"n/a")</x:f>
        <x:v>0.0029030468569748724</x:v>
      </x:c>
      <x:c r="H295" s="42" t="n">
        <x:f aca="0">IF(AND(ISNUMBER(H293),ISNUMBER(H294)),H293-H294,"n/a")</x:f>
        <x:v>0.00018496761777203607</x:v>
      </x:c>
    </x:row>
    <x:row r="296" ht="15" hidden="0">
      <x:c r="A296" t="s">
        <x:v>194</x:v>
      </x:c>
      <x:c r="D296" s="48" t="str">
        <x:f aca="0">IF(NOT(ISNUMBER(D295)),"n/a",IF(ABS(D295)&lt;=MAX(0.002,0.02*ABS(D294)),"Agrees","Differs"))</x:f>
        <x:v>Differs</x:v>
      </x:c>
      <x:c r="E296" s="48" t="str">
        <x:f aca="0">IF(NOT(ISNUMBER(E295)),"n/a",IF(ABS(E295)&lt;=MAX(0.002,0.02*ABS(E294)),"Agrees","Differs"))</x:f>
        <x:v>Agrees</x:v>
      </x:c>
      <x:c r="F296" s="48" t="str">
        <x:f aca="0">IF(NOT(ISNUMBER(F295)),"n/a",IF(ABS(F295)&lt;=MAX(0.002,0.02*ABS(F294)),"Agrees","Differs"))</x:f>
        <x:v>Agrees</x:v>
      </x:c>
      <x:c r="G296" s="48" t="str">
        <x:f aca="0">IF(NOT(ISNUMBER(G295)),"n/a",IF(ABS(G295)&lt;=MAX(0.002,0.02*ABS(G294)),"Agrees","Differs"))</x:f>
        <x:v>Differs</x:v>
      </x:c>
      <x:c r="H296" s="48" t="str">
        <x:f aca="0">IF(NOT(ISNUMBER(H295)),"n/a",IF(ABS(H295)&lt;=MAX(0.002,0.02*ABS(H294)),"Agrees","Differs"))</x:f>
        <x:v>Agrees</x:v>
      </x:c>
    </x:row>
  </x:sheetData>
  <x:mergeCells>
    <x:mergeCell ref="B6:J6"/>
    <x:mergeCell ref="B7:J7"/>
    <x:mergeCell ref="B8:J8"/>
    <x:mergeCell ref="B9:J9"/>
    <x:mergeCell ref="B10:J10"/>
    <x:mergeCell ref="B11:J11"/>
    <x:mergeCell ref="B12:J12"/>
    <x:mergeCell ref="B13:J13"/>
    <x:mergeCell ref="B14:J14"/>
    <x:mergeCell ref="B15:J15"/>
  </x:mergeCells>
  <x:pageMargins left="0.7" right="0.7" top="0.75" bottom="0.75" header="0.3" footer="0.3"/>
  <x:drawing xmlns:r="http://schemas.openxmlformats.org/officeDocument/2006/relationships" r:id="Re6660b3908b44d86"/>
</x:worksheet>
</file>

<file path=xl/worksheets/sheet7.xml><?xml version="1.0" encoding="utf-8"?>
<x:worksheet xmlns:x="http://schemas.openxmlformats.org/spreadsheetml/2006/main">
  <x:sheetPr>
    <x:tabColor rgb="FF8EA9DB"/>
  </x:sheetPr>
  <x:sheetViews>
    <x:sheetView showGridLines="0" workbookViewId="0">
      <x:pane xSplit="2" ySplit="17" topLeftCell="C18" activePane="bottomRight" state="frozen"/>
    </x:sheetView>
  </x:sheetViews>
  <x:sheetFormatPr defaultColWidth="8.6796875" defaultRowHeight="15"/>
  <x:cols>
    <x:col min="1" max="1" width="58" hidden="0" customWidth="1"/>
    <x:col min="2" max="2" width="46" hidden="0" customWidth="1"/>
    <x:col min="3" max="8" width="11" hidden="0" customWidth="1"/>
    <x:col min="9" max="9" width="9" hidden="0" customWidth="1"/>
    <x:col min="10" max="10" width="62" hidden="0" customWidth="1"/>
  </x:cols>
  <x:sheetData>
    <x:row r="1" ht="17.350000381469727" hidden="0">
      <x:c r="A1" s="17" t="s">
        <x:v>944</x:v>
      </x:c>
    </x:row>
    <x:row r="2" ht="15" hidden="0">
      <x:c r="A2" s="18" t="s">
        <x:v>945</x:v>
      </x:c>
    </x:row>
    <x:row r="3" ht="15" hidden="0">
      <x:c r="A3" s="19" t="s">
        <x:v>273</x:v>
      </x:c>
    </x:row>
    <x:row r="5" ht="15" hidden="0">
      <x:c r="A5" s="5" t="s">
        <x:v>274</x:v>
      </x:c>
      <x:c r="B5" s="20"/>
      <x:c r="C5" s="20"/>
      <x:c r="D5" s="20"/>
      <x:c r="E5" s="20"/>
      <x:c r="F5" s="20"/>
      <x:c r="G5" s="20"/>
      <x:c r="H5" s="20"/>
      <x:c r="I5" s="20"/>
      <x:c r="J5" s="20"/>
    </x:row>
    <x:row r="6" ht="15" hidden="0" customHeight="1">
      <x:c r="A6" s="2" t="s">
        <x:v>19</x:v>
      </x:c>
      <x:c r="B6" s="21" t="s">
        <x:v>47</x:v>
      </x:c>
      <x:c r="C6" s="21"/>
      <x:c r="D6" s="21"/>
      <x:c r="E6" s="21"/>
      <x:c r="F6" s="21"/>
      <x:c r="G6" s="21"/>
      <x:c r="H6" s="21"/>
      <x:c r="I6" s="21"/>
      <x:c r="J6" s="21"/>
    </x:row>
    <x:row r="7" ht="15" hidden="0" customHeight="1">
      <x:c r="A7" s="2" t="s">
        <x:v>275</x:v>
      </x:c>
      <x:c r="B7" s="21" t="s">
        <x:v>46</x:v>
      </x:c>
      <x:c r="C7" s="21"/>
      <x:c r="D7" s="21"/>
      <x:c r="E7" s="21"/>
      <x:c r="F7" s="21"/>
      <x:c r="G7" s="21"/>
      <x:c r="H7" s="21"/>
      <x:c r="I7" s="21"/>
      <x:c r="J7" s="21"/>
    </x:row>
    <x:row r="8" ht="15" hidden="0" customHeight="1">
      <x:c r="A8" s="2" t="s">
        <x:v>276</x:v>
      </x:c>
      <x:c r="B8" s="21" t="s">
        <x:v>48</x:v>
      </x:c>
      <x:c r="C8" s="21"/>
      <x:c r="D8" s="21"/>
      <x:c r="E8" s="21"/>
      <x:c r="F8" s="21"/>
      <x:c r="G8" s="21"/>
      <x:c r="H8" s="21"/>
      <x:c r="I8" s="21"/>
      <x:c r="J8" s="21"/>
    </x:row>
    <x:row r="9" ht="15" hidden="0" customHeight="1">
      <x:c r="A9" s="2" t="s">
        <x:v>277</x:v>
      </x:c>
      <x:c r="B9" s="21" t="s">
        <x:v>278</x:v>
      </x:c>
      <x:c r="C9" s="21"/>
      <x:c r="D9" s="21"/>
      <x:c r="E9" s="21"/>
      <x:c r="F9" s="21"/>
      <x:c r="G9" s="21"/>
      <x:c r="H9" s="21"/>
      <x:c r="I9" s="21"/>
      <x:c r="J9" s="21"/>
    </x:row>
    <x:row r="10" ht="15" hidden="0" customHeight="1">
      <x:c r="A10" s="2" t="s">
        <x:v>279</x:v>
      </x:c>
      <x:c r="B10" s="21" t="s">
        <x:v>280</x:v>
      </x:c>
      <x:c r="C10" s="21"/>
      <x:c r="D10" s="21"/>
      <x:c r="E10" s="21"/>
      <x:c r="F10" s="21"/>
      <x:c r="G10" s="21"/>
      <x:c r="H10" s="21"/>
      <x:c r="I10" s="21"/>
      <x:c r="J10" s="21"/>
    </x:row>
    <x:row r="11" ht="15" hidden="0" customHeight="1">
      <x:c r="A11" s="2" t="s">
        <x:v>281</x:v>
      </x:c>
      <x:c r="B11" s="21" t="s">
        <x:v>758</x:v>
      </x:c>
      <x:c r="C11" s="21"/>
      <x:c r="D11" s="21"/>
      <x:c r="E11" s="21"/>
      <x:c r="F11" s="21"/>
      <x:c r="G11" s="21"/>
      <x:c r="H11" s="21"/>
      <x:c r="I11" s="21"/>
      <x:c r="J11" s="21"/>
    </x:row>
    <x:row r="12" ht="27.75" hidden="0" customHeight="1">
      <x:c r="A12" s="2" t="s">
        <x:v>283</x:v>
      </x:c>
      <x:c r="B12" s="21" t="s">
        <x:v>946</x:v>
      </x:c>
      <x:c r="C12" s="21"/>
      <x:c r="D12" s="21"/>
      <x:c r="E12" s="21"/>
      <x:c r="F12" s="21"/>
      <x:c r="G12" s="21"/>
      <x:c r="H12" s="21"/>
      <x:c r="I12" s="21"/>
      <x:c r="J12" s="21"/>
    </x:row>
    <x:row r="13" ht="27.75" hidden="0" customHeight="1">
      <x:c r="A13" s="2" t="s">
        <x:v>285</x:v>
      </x:c>
      <x:c r="B13" s="21" t="s">
        <x:v>286</x:v>
      </x:c>
      <x:c r="C13" s="21"/>
      <x:c r="D13" s="21"/>
      <x:c r="E13" s="21"/>
      <x:c r="F13" s="21"/>
      <x:c r="G13" s="21"/>
      <x:c r="H13" s="21"/>
      <x:c r="I13" s="21"/>
      <x:c r="J13" s="21"/>
    </x:row>
    <x:row r="14" ht="27.75" hidden="0" customHeight="1">
      <x:c r="A14" s="2" t="s">
        <x:v>287</x:v>
      </x:c>
      <x:c r="B14" s="21" t="str">
        <x:v>Actual PSX FY-end close paired with the share basis in force on that date. EPS notes, splits, treasury shares and bonus treatment are documented on Share Basis.</x:v>
      </x:c>
      <x:c r="C14" s="21"/>
      <x:c r="D14" s="21"/>
      <x:c r="E14" s="21"/>
      <x:c r="F14" s="21"/>
      <x:c r="G14" s="21"/>
      <x:c r="H14" s="21"/>
      <x:c r="I14" s="21"/>
      <x:c r="J14" s="21"/>
    </x:row>
    <x:row r="15" ht="27.75" hidden="0" customHeight="1">
      <x:c r="A15" s="2" t="s">
        <x:v>288</x:v>
      </x:c>
      <x:c r="B15" s="21" t="s">
        <x:v>289</x:v>
      </x:c>
      <x:c r="C15" s="21"/>
      <x:c r="D15" s="21"/>
      <x:c r="E15" s="21"/>
      <x:c r="F15" s="21"/>
      <x:c r="G15" s="21"/>
      <x:c r="H15" s="21"/>
      <x:c r="I15" s="21"/>
      <x:c r="J15" s="21"/>
    </x:row>
    <x:row r="17" ht="15" hidden="0">
      <x:c r="A17" s="22" t="s">
        <x:v>290</x:v>
      </x:c>
      <x:c r="B17" s="22" t="s">
        <x:v>291</x:v>
      </x:c>
      <x:c r="C17" s="23" t="s">
        <x:v>292</x:v>
      </x:c>
      <x:c r="D17" s="23" t="s">
        <x:v>73</x:v>
      </x:c>
      <x:c r="E17" s="23" t="s">
        <x:v>74</x:v>
      </x:c>
      <x:c r="F17" s="23" t="s">
        <x:v>75</x:v>
      </x:c>
      <x:c r="G17" s="23" t="s">
        <x:v>76</x:v>
      </x:c>
      <x:c r="H17" s="23" t="s">
        <x:v>77</x:v>
      </x:c>
      <x:c r="I17" s="23" t="s">
        <x:v>84</x:v>
      </x:c>
      <x:c r="J17" s="23" t="s">
        <x:v>293</x:v>
      </x:c>
    </x:row>
    <x:row r="18" ht="15" hidden="0">
      <x:c r="A18" s="5" t="s">
        <x:v>294</x:v>
      </x:c>
      <x:c r="B18" s="20"/>
      <x:c r="C18" s="20"/>
      <x:c r="D18" s="20"/>
      <x:c r="E18" s="20"/>
      <x:c r="F18" s="20"/>
      <x:c r="G18" s="20"/>
      <x:c r="H18" s="20"/>
      <x:c r="I18" s="20"/>
      <x:c r="J18" s="20"/>
    </x:row>
    <x:row r="19" ht="15" hidden="0">
      <x:c r="A19" s="24" t="s">
        <x:v>295</x:v>
      </x:c>
      <x:c r="B19" s="25"/>
      <x:c r="C19" s="25"/>
      <x:c r="D19" s="25"/>
      <x:c r="E19" s="25"/>
      <x:c r="F19" s="25"/>
      <x:c r="G19" s="25"/>
      <x:c r="H19" s="25"/>
      <x:c r="I19" s="25"/>
      <x:c r="J19" s="25"/>
    </x:row>
    <x:row r="20" ht="15" hidden="0">
      <x:c r="A20" t="s">
        <x:v>296</x:v>
      </x:c>
      <x:c r="B20" s="19" t="s">
        <x:v>947</x:v>
      </x:c>
      <x:c r="C20" s="26" t="n">
        <x:v>22065.172</x:v>
      </x:c>
      <x:c r="D20" s="26" t="n">
        <x:v>21422.215</x:v>
      </x:c>
      <x:c r="E20" s="26" t="n">
        <x:v>74126.315</x:v>
      </x:c>
      <x:c r="F20" s="26" t="n">
        <x:v>104425.181</x:v>
      </x:c>
      <x:c r="G20" s="26" t="n">
        <x:v>110845.663</x:v>
      </x:c>
      <x:c r="H20" s="26" t="n">
        <x:v>109579.089</x:v>
      </x:c>
      <x:c r="I20" s="9" t="s">
        <x:v>98</x:v>
      </x:c>
    </x:row>
    <x:row r="21" ht="15" hidden="0">
      <x:c r="A21" t="s">
        <x:v>298</x:v>
      </x:c>
      <x:c r="B21" s="19" t="s">
        <x:v>948</x:v>
      </x:c>
      <x:c r="C21" s="26" t="n">
        <x:v>2.808</x:v>
      </x:c>
      <x:c r="D21" s="26" t="n">
        <x:v>202.087</x:v>
      </x:c>
      <x:c r="E21" s="26" t="n">
        <x:v>29802.17</x:v>
      </x:c>
      <x:c r="F21" s="26" t="n">
        <x:v>34531.172</x:v>
      </x:c>
      <x:c r="G21" s="26" t="n">
        <x:v>700.153</x:v>
      </x:c>
      <x:c r="H21" s="26" t="n">
        <x:v>296.574</x:v>
      </x:c>
      <x:c r="I21" s="9" t="s">
        <x:v>98</x:v>
      </x:c>
    </x:row>
    <x:row r="22" ht="15" hidden="0">
      <x:c r="A22" t="s">
        <x:v>300</x:v>
      </x:c>
      <x:c r="B22" s="19" t="s">
        <x:v>301</x:v>
      </x:c>
      <x:c r="C22" s="27" t="n">
        <x:f aca="0">C20-C21</x:f>
        <x:v>22062.363999999998</x:v>
      </x:c>
      <x:c r="D22" s="27" t="n">
        <x:f aca="0">D20-D21</x:f>
        <x:v>21220.128</x:v>
      </x:c>
      <x:c r="E22" s="27" t="n">
        <x:f aca="0">E20-E21</x:f>
        <x:v>44324.145000000004</x:v>
      </x:c>
      <x:c r="F22" s="27" t="n">
        <x:f aca="0">F20-F21</x:f>
        <x:v>69894.00899999999</x:v>
      </x:c>
      <x:c r="G22" s="27" t="n">
        <x:f aca="0">G20-G21</x:f>
        <x:v>110145.51</x:v>
      </x:c>
      <x:c r="H22" s="27" t="n">
        <x:f aca="0">H20-H21</x:f>
        <x:v>109282.51500000001</x:v>
      </x:c>
      <x:c r="I22" s="9" t="s">
        <x:v>98</x:v>
      </x:c>
    </x:row>
    <x:row r="23" ht="15" hidden="0">
      <x:c r="A23" t="s">
        <x:v>302</x:v>
      </x:c>
      <x:c r="B23" s="19" t="s">
        <x:v>949</x:v>
      </x:c>
      <x:c r="C23" s="26" t="n">
        <x:v>60.322</x:v>
      </x:c>
      <x:c r="D23" s="26" t="n">
        <x:v>89.334</x:v>
      </x:c>
      <x:c r="E23" s="26" t="n">
        <x:v>132.263</x:v>
      </x:c>
      <x:c r="F23" s="26" t="n">
        <x:v>181.38</x:v>
      </x:c>
      <x:c r="G23" s="26" t="n">
        <x:v>131.165</x:v>
      </x:c>
      <x:c r="H23" s="26" t="n">
        <x:v>126.445</x:v>
      </x:c>
      <x:c r="I23" s="9" t="s">
        <x:v>98</x:v>
      </x:c>
    </x:row>
    <x:row r="24" ht="15" hidden="0">
      <x:c r="A24" t="s">
        <x:v>304</x:v>
      </x:c>
      <x:c r="B24" s="19" t="s">
        <x:v>950</x:v>
      </x:c>
      <x:c r="C24" s="26" t="n">
        <x:v>0</x:v>
      </x:c>
      <x:c r="D24" s="26" t="n">
        <x:v>0</x:v>
      </x:c>
      <x:c r="E24" s="26" t="n">
        <x:v>11029.756</x:v>
      </x:c>
      <x:c r="F24" s="26" t="n">
        <x:v>10957.737</x:v>
      </x:c>
      <x:c r="G24" s="26" t="n">
        <x:v>10745.7</x:v>
      </x:c>
      <x:c r="H24" s="26" t="n">
        <x:v>10533.667</x:v>
      </x:c>
      <x:c r="I24" s="9" t="s">
        <x:v>98</x:v>
      </x:c>
    </x:row>
    <x:row r="25" ht="15" hidden="0">
      <x:c r="A25" t="s">
        <x:v>306</x:v>
      </x:c>
      <x:c r="B25" s="19" t="s">
        <x:v>951</x:v>
      </x:c>
      <x:c r="C25" s="26" t="n">
        <x:v>0</x:v>
      </x:c>
      <x:c r="D25" s="26" t="n">
        <x:v>0</x:v>
      </x:c>
      <x:c r="E25" s="26" t="n">
        <x:v>0</x:v>
      </x:c>
      <x:c r="F25" s="26" t="n">
        <x:v>0</x:v>
      </x:c>
      <x:c r="G25" s="26" t="n">
        <x:v>0</x:v>
      </x:c>
      <x:c r="H25" s="26" t="n">
        <x:v>0</x:v>
      </x:c>
      <x:c r="I25" s="9" t="s">
        <x:v>98</x:v>
      </x:c>
    </x:row>
    <x:row r="26" ht="15" hidden="0">
      <x:c r="A26" t="s">
        <x:v>308</x:v>
      </x:c>
      <x:c r="B26" s="19" t="s">
        <x:v>952</x:v>
      </x:c>
      <x:c r="C26" s="26" t="n">
        <x:v>0</x:v>
      </x:c>
      <x:c r="D26" s="26" t="n">
        <x:v>15.349</x:v>
      </x:c>
      <x:c r="E26" s="26" t="n">
        <x:v>66.657</x:v>
      </x:c>
      <x:c r="F26" s="26" t="n">
        <x:v>0</x:v>
      </x:c>
      <x:c r="G26" s="26" t="n">
        <x:v>0</x:v>
      </x:c>
      <x:c r="H26" s="26" t="n">
        <x:v>0</x:v>
      </x:c>
      <x:c r="I26" s="9" t="s">
        <x:v>98</x:v>
      </x:c>
    </x:row>
    <x:row r="27" ht="15" hidden="0">
      <x:c r="A27" t="s">
        <x:v>310</x:v>
      </x:c>
      <x:c r="B27" s="19" t="s">
        <x:v>953</x:v>
      </x:c>
      <x:c r="C27" s="26" t="n">
        <x:v>99.101</x:v>
      </x:c>
      <x:c r="D27" s="26" t="n">
        <x:v>86.601</x:v>
      </x:c>
      <x:c r="E27" s="26" t="n">
        <x:v>126.274</x:v>
      </x:c>
      <x:c r="F27" s="26" t="n">
        <x:v>129.7</x:v>
      </x:c>
      <x:c r="G27" s="26" t="n">
        <x:v>129.7</x:v>
      </x:c>
      <x:c r="H27" s="26" t="n">
        <x:v>133.425</x:v>
      </x:c>
      <x:c r="I27" s="9" t="s">
        <x:v>98</x:v>
      </x:c>
    </x:row>
    <x:row r="28" ht="15" hidden="0">
      <x:c r="A28" s="2" t="s">
        <x:v>312</x:v>
      </x:c>
      <x:c r="B28" s="19" t="s">
        <x:v>313</x:v>
      </x:c>
      <x:c r="C28" s="28" t="n">
        <x:f aca="0">C20+C23+C24+C25+C26+C27</x:f>
        <x:v>22224.594999999998</x:v>
      </x:c>
      <x:c r="D28" s="28" t="n">
        <x:f aca="0">D20+D23+D24+D25+D26+D27</x:f>
        <x:v>21613.498999999996</x:v>
      </x:c>
      <x:c r="E28" s="28" t="n">
        <x:f aca="0">E20+E23+E24+E25+E26+E27</x:f>
        <x:v>85481.26500000001</x:v>
      </x:c>
      <x:c r="F28" s="28" t="n">
        <x:f aca="0">F20+F23+F24+F25+F26+F27</x:f>
        <x:v>115693.99799999999</x:v>
      </x:c>
      <x:c r="G28" s="28" t="n">
        <x:f aca="0">G20+G23+G24+G25+G26+G27</x:f>
        <x:v>121852.22799999999</x:v>
      </x:c>
      <x:c r="H28" s="28" t="n">
        <x:f aca="0">H20+H23+H24+H25+H26+H27</x:f>
        <x:v>120372.62600000002</x:v>
      </x:c>
      <x:c r="I28" s="9" t="s">
        <x:v>98</x:v>
      </x:c>
    </x:row>
    <x:row r="29" ht="15" hidden="0">
      <x:c r="A29" s="24" t="s">
        <x:v>314</x:v>
      </x:c>
      <x:c r="B29" s="25"/>
      <x:c r="C29" s="25"/>
      <x:c r="D29" s="25"/>
      <x:c r="E29" s="25"/>
      <x:c r="F29" s="25"/>
      <x:c r="G29" s="25"/>
      <x:c r="H29" s="25"/>
      <x:c r="I29" s="25"/>
      <x:c r="J29" s="25"/>
    </x:row>
    <x:row r="30" ht="15" hidden="0">
      <x:c r="A30" t="s">
        <x:v>315</x:v>
      </x:c>
      <x:c r="B30" s="19" t="s">
        <x:v>954</x:v>
      </x:c>
      <x:c r="C30" s="26" t="n">
        <x:v>3505.809</x:v>
      </x:c>
      <x:c r="D30" s="26" t="n">
        <x:v>4250.754</x:v>
      </x:c>
      <x:c r="E30" s="26" t="n">
        <x:v>11939.147</x:v>
      </x:c>
      <x:c r="F30" s="26" t="n">
        <x:v>8011.181</x:v>
      </x:c>
      <x:c r="G30" s="26" t="n">
        <x:v>9099.13</x:v>
      </x:c>
      <x:c r="H30" s="26" t="n">
        <x:v>10377.008</x:v>
      </x:c>
      <x:c r="I30" s="9" t="s">
        <x:v>98</x:v>
      </x:c>
    </x:row>
    <x:row r="31" ht="15" hidden="0">
      <x:c r="A31" t="s">
        <x:v>317</x:v>
      </x:c>
      <x:c r="B31" s="19" t="s">
        <x:v>955</x:v>
      </x:c>
      <x:c r="C31" s="26" t="n">
        <x:v>1187.752</x:v>
      </x:c>
      <x:c r="D31" s="26" t="n">
        <x:v>1189.198</x:v>
      </x:c>
      <x:c r="E31" s="26" t="n">
        <x:v>3697.721</x:v>
      </x:c>
      <x:c r="F31" s="26" t="n">
        <x:v>7112.327</x:v>
      </x:c>
      <x:c r="G31" s="26" t="n">
        <x:v>7495.705</x:v>
      </x:c>
      <x:c r="H31" s="26" t="n">
        <x:v>9337.617</x:v>
      </x:c>
      <x:c r="I31" s="9" t="s">
        <x:v>98</x:v>
      </x:c>
    </x:row>
    <x:row r="32" ht="15" hidden="0">
      <x:c r="A32" t="s">
        <x:v>319</x:v>
      </x:c>
      <x:c r="B32" s="19" t="s">
        <x:v>956</x:v>
      </x:c>
      <x:c r="C32" s="26" t="n">
        <x:v>1050.64</x:v>
      </x:c>
      <x:c r="D32" s="26" t="n">
        <x:v>1449.6</x:v>
      </x:c>
      <x:c r="E32" s="26" t="n">
        <x:v>2412.758</x:v>
      </x:c>
      <x:c r="F32" s="26" t="n">
        <x:v>3572.445</x:v>
      </x:c>
      <x:c r="G32" s="26" t="n">
        <x:v>5545.241</x:v>
      </x:c>
      <x:c r="H32" s="26" t="n">
        <x:v>6911.322</x:v>
      </x:c>
      <x:c r="I32" s="9" t="s">
        <x:v>98</x:v>
      </x:c>
    </x:row>
    <x:row r="33" ht="15" hidden="0">
      <x:c r="A33" t="s">
        <x:v>321</x:v>
      </x:c>
      <x:c r="B33" s="19" t="s">
        <x:v>957</x:v>
      </x:c>
      <x:c r="C33" s="26" t="n">
        <x:v>0</x:v>
      </x:c>
      <x:c r="D33" s="26" t="n">
        <x:v>4397.699</x:v>
      </x:c>
      <x:c r="E33" s="26" t="n">
        <x:v>3843.01</x:v>
      </x:c>
      <x:c r="F33" s="26" t="n">
        <x:v>250</x:v>
      </x:c>
      <x:c r="G33" s="26" t="n">
        <x:v>250</x:v>
      </x:c>
      <x:c r="H33" s="26" t="n">
        <x:v>9210.1</x:v>
      </x:c>
      <x:c r="I33" s="9" t="s">
        <x:v>98</x:v>
      </x:c>
    </x:row>
    <x:row r="34" ht="15" hidden="0">
      <x:c r="A34" t="s">
        <x:v>323</x:v>
      </x:c>
      <x:c r="B34" s="19" t="s">
        <x:v>958</x:v>
      </x:c>
      <x:c r="C34" s="26" t="n">
        <x:v>561.174</x:v>
      </x:c>
      <x:c r="D34" s="26" t="n">
        <x:v>900.778</x:v>
      </x:c>
      <x:c r="E34" s="26" t="n">
        <x:v>2306.633</x:v>
      </x:c>
      <x:c r="F34" s="26" t="n">
        <x:v>970.457</x:v>
      </x:c>
      <x:c r="G34" s="26" t="n">
        <x:v>2932.984</x:v>
      </x:c>
      <x:c r="H34" s="26" t="n">
        <x:v>2665.338</x:v>
      </x:c>
      <x:c r="I34" s="9" t="s">
        <x:v>98</x:v>
      </x:c>
    </x:row>
    <x:row r="35" ht="15" hidden="0">
      <x:c r="A35" t="s">
        <x:v>325</x:v>
      </x:c>
      <x:c r="B35" s="19" t="s">
        <x:v>959</x:v>
      </x:c>
      <x:c r="C35" s="26" t="n">
        <x:v>677.946</x:v>
      </x:c>
      <x:c r="D35" s="26" t="n">
        <x:v>250.703</x:v>
      </x:c>
      <x:c r="E35" s="26" t="n">
        <x:v>4017.543</x:v>
      </x:c>
      <x:c r="F35" s="26" t="n">
        <x:v>3218.089</x:v>
      </x:c>
      <x:c r="G35" s="26" t="n">
        <x:v>461.011</x:v>
      </x:c>
      <x:c r="H35" s="26" t="n">
        <x:v>1971.18</x:v>
      </x:c>
      <x:c r="I35" s="9" t="s">
        <x:v>98</x:v>
      </x:c>
    </x:row>
    <x:row r="36" ht="15" hidden="0">
      <x:c r="A36" s="2" t="s">
        <x:v>327</x:v>
      </x:c>
      <x:c r="B36" s="19" t="s">
        <x:v>328</x:v>
      </x:c>
      <x:c r="C36" s="28" t="n">
        <x:f aca="0">C30+C31+C32+C33+C34+C35</x:f>
        <x:v>6983.321</x:v>
      </x:c>
      <x:c r="D36" s="28" t="n">
        <x:f aca="0">D30+D31+D32+D33+D34+D35</x:f>
        <x:v>12438.732</x:v>
      </x:c>
      <x:c r="E36" s="28" t="n">
        <x:f aca="0">E30+E31+E32+E33+E34+E35</x:f>
        <x:v>28216.812</x:v>
      </x:c>
      <x:c r="F36" s="28" t="n">
        <x:f aca="0">F30+F31+F32+F33+F34+F35</x:f>
        <x:v>23134.499</x:v>
      </x:c>
      <x:c r="G36" s="28" t="n">
        <x:f aca="0">G30+G31+G32+G33+G34+G35</x:f>
        <x:v>25784.071</x:v>
      </x:c>
      <x:c r="H36" s="28" t="n">
        <x:f aca="0">H30+H31+H32+H33+H34+H35</x:f>
        <x:v>40472.565</x:v>
      </x:c>
      <x:c r="I36" s="9" t="s">
        <x:v>98</x:v>
      </x:c>
    </x:row>
    <x:row r="37" ht="15" hidden="0">
      <x:c r="A37" s="2" t="s">
        <x:v>329</x:v>
      </x:c>
      <x:c r="B37" s="19" t="s">
        <x:v>330</x:v>
      </x:c>
      <x:c r="C37" s="28" t="n">
        <x:f aca="0">C28+C36</x:f>
        <x:v>29207.915999999997</x:v>
      </x:c>
      <x:c r="D37" s="28" t="n">
        <x:f aca="0">D28+D36</x:f>
        <x:v>34052.231</x:v>
      </x:c>
      <x:c r="E37" s="28" t="n">
        <x:f aca="0">E28+E36</x:f>
        <x:v>113698.07700000002</x:v>
      </x:c>
      <x:c r="F37" s="28" t="n">
        <x:f aca="0">F28+F36</x:f>
        <x:v>138828.497</x:v>
      </x:c>
      <x:c r="G37" s="28" t="n">
        <x:f aca="0">G28+G36</x:f>
        <x:v>147636.299</x:v>
      </x:c>
      <x:c r="H37" s="28" t="n">
        <x:f aca="0">H28+H36</x:f>
        <x:v>160845.19100000002</x:v>
      </x:c>
      <x:c r="I37" s="9" t="s">
        <x:v>98</x:v>
      </x:c>
    </x:row>
    <x:row r="38" ht="15" hidden="0">
      <x:c r="A38" s="24" t="s">
        <x:v>331</x:v>
      </x:c>
      <x:c r="B38" s="25"/>
      <x:c r="C38" s="25"/>
      <x:c r="D38" s="25"/>
      <x:c r="E38" s="25"/>
      <x:c r="F38" s="25"/>
      <x:c r="G38" s="25"/>
      <x:c r="H38" s="25"/>
      <x:c r="I38" s="25"/>
      <x:c r="J38" s="25"/>
    </x:row>
    <x:row r="39" ht="15" hidden="0">
      <x:c r="A39" t="s">
        <x:v>332</x:v>
      </x:c>
      <x:c r="B39" s="19" t="s">
        <x:v>960</x:v>
      </x:c>
      <x:c r="C39" s="26" t="n">
        <x:v>13798.15</x:v>
      </x:c>
      <x:c r="D39" s="26" t="n">
        <x:v>13798.15</x:v>
      </x:c>
      <x:c r="E39" s="26" t="n">
        <x:v>21803.09</x:v>
      </x:c>
      <x:c r="F39" s="26" t="n">
        <x:v>24528.476</x:v>
      </x:c>
      <x:c r="G39" s="26" t="n">
        <x:v>24528.476</x:v>
      </x:c>
      <x:c r="H39" s="26" t="n">
        <x:v>24528.476</x:v>
      </x:c>
      <x:c r="I39" s="9" t="s">
        <x:v>98</x:v>
      </x:c>
    </x:row>
    <x:row r="40" ht="15" hidden="0">
      <x:c r="A40" t="s">
        <x:v>334</x:v>
      </x:c>
      <x:c r="B40" s="19" t="s">
        <x:v>961</x:v>
      </x:c>
      <x:c r="C40" s="26" t="n">
        <x:v>6006.17</x:v>
      </x:c>
      <x:c r="D40" s="26" t="n">
        <x:v>9477.521</x:v>
      </x:c>
      <x:c r="E40" s="26" t="n">
        <x:v>35932.966</x:v>
      </x:c>
      <x:c r="F40" s="26" t="n">
        <x:v>40647.261</x:v>
      </x:c>
      <x:c r="G40" s="26" t="n">
        <x:v>48870.377</x:v>
      </x:c>
      <x:c r="H40" s="26" t="n">
        <x:v>59743.732</x:v>
      </x:c>
      <x:c r="I40" s="9" t="s">
        <x:v>98</x:v>
      </x:c>
    </x:row>
    <x:row r="41" ht="15" hidden="0">
      <x:c r="A41" s="2" t="s">
        <x:v>336</x:v>
      </x:c>
      <x:c r="B41" s="19" t="s">
        <x:v>337</x:v>
      </x:c>
      <x:c r="C41" s="28" t="n">
        <x:f aca="0">C39+C40</x:f>
        <x:v>19804.32</x:v>
      </x:c>
      <x:c r="D41" s="28" t="n">
        <x:f aca="0">D39+D40</x:f>
        <x:v>23275.671000000002</x:v>
      </x:c>
      <x:c r="E41" s="28" t="n">
        <x:f aca="0">E39+E40</x:f>
        <x:v>57736.056</x:v>
      </x:c>
      <x:c r="F41" s="28" t="n">
        <x:f aca="0">F39+F40</x:f>
        <x:v>65175.736999999994</x:v>
      </x:c>
      <x:c r="G41" s="28" t="n">
        <x:f aca="0">G39+G40</x:f>
        <x:v>73398.853</x:v>
      </x:c>
      <x:c r="H41" s="28" t="n">
        <x:f aca="0">H39+H40</x:f>
        <x:v>84272.208</x:v>
      </x:c>
      <x:c r="I41" s="9" t="s">
        <x:v>98</x:v>
      </x:c>
    </x:row>
    <x:row r="42" ht="15" hidden="0">
      <x:c r="A42" s="24" t="s">
        <x:v>338</x:v>
      </x:c>
      <x:c r="B42" s="25"/>
      <x:c r="C42" s="25"/>
      <x:c r="D42" s="25"/>
      <x:c r="E42" s="25"/>
      <x:c r="F42" s="25"/>
      <x:c r="G42" s="25"/>
      <x:c r="H42" s="25"/>
      <x:c r="I42" s="25"/>
      <x:c r="J42" s="25"/>
    </x:row>
    <x:row r="43" ht="15" hidden="0">
      <x:c r="A43" t="s">
        <x:v>339</x:v>
      </x:c>
      <x:c r="B43" s="19" t="s">
        <x:v>962</x:v>
      </x:c>
      <x:c r="C43" s="26" t="n">
        <x:v>447.327</x:v>
      </x:c>
      <x:c r="D43" s="26" t="n">
        <x:v>491.502</x:v>
      </x:c>
      <x:c r="E43" s="26" t="n">
        <x:v>19555.997</x:v>
      </x:c>
      <x:c r="F43" s="26" t="n">
        <x:v>31777.087</x:v>
      </x:c>
      <x:c r="G43" s="26" t="n">
        <x:v>29908.287</x:v>
      </x:c>
      <x:c r="H43" s="26" t="n">
        <x:v>24208.633</x:v>
      </x:c>
      <x:c r="I43" s="9" t="s">
        <x:v>98</x:v>
      </x:c>
    </x:row>
    <x:row r="44" ht="15" hidden="0">
      <x:c r="A44" t="s">
        <x:v>341</x:v>
      </x:c>
      <x:c r="B44" s="19" t="s">
        <x:v>963</x:v>
      </x:c>
      <x:c r="C44" s="26" t="n">
        <x:v>57.656</x:v>
      </x:c>
      <x:c r="D44" s="26" t="n">
        <x:v>73.593</x:v>
      </x:c>
      <x:c r="E44" s="26" t="n">
        <x:v>89.965</x:v>
      </x:c>
      <x:c r="F44" s="26" t="n">
        <x:v>118.972</x:v>
      </x:c>
      <x:c r="G44" s="26" t="n">
        <x:v>117.454</x:v>
      </x:c>
      <x:c r="H44" s="26" t="n">
        <x:v>101.211</x:v>
      </x:c>
      <x:c r="I44" s="9" t="s">
        <x:v>98</x:v>
      </x:c>
    </x:row>
    <x:row r="45" ht="15" hidden="0">
      <x:c r="A45" t="s">
        <x:v>343</x:v>
      </x:c>
      <x:c r="B45" s="19" t="s">
        <x:v>964</x:v>
      </x:c>
      <x:c r="C45" s="26" t="n">
        <x:v>0</x:v>
      </x:c>
      <x:c r="D45" s="26" t="n">
        <x:v>6.607</x:v>
      </x:c>
      <x:c r="E45" s="26" t="n">
        <x:v>1982.301</x:v>
      </x:c>
      <x:c r="F45" s="26" t="n">
        <x:v>2745.849</x:v>
      </x:c>
      <x:c r="G45" s="26" t="n">
        <x:v>2164.959</x:v>
      </x:c>
      <x:c r="H45" s="26" t="n">
        <x:v>1647.63</x:v>
      </x:c>
      <x:c r="I45" s="9" t="s">
        <x:v>98</x:v>
      </x:c>
    </x:row>
    <x:row r="46" ht="15" hidden="0">
      <x:c r="A46" t="s">
        <x:v>345</x:v>
      </x:c>
      <x:c r="B46" s="19" t="s">
        <x:v>965</x:v>
      </x:c>
      <x:c r="C46" s="26" t="n">
        <x:v>3643.608</x:v>
      </x:c>
      <x:c r="D46" s="26" t="n">
        <x:v>3960.489</x:v>
      </x:c>
      <x:c r="E46" s="26" t="n">
        <x:v>7433.214</x:v>
      </x:c>
      <x:c r="F46" s="26" t="n">
        <x:v>10312.402</x:v>
      </x:c>
      <x:c r="G46" s="26" t="n">
        <x:v>14931.049</x:v>
      </x:c>
      <x:c r="H46" s="26" t="n">
        <x:v>19694.422</x:v>
      </x:c>
      <x:c r="I46" s="9" t="s">
        <x:v>98</x:v>
      </x:c>
    </x:row>
    <x:row r="47" ht="15" hidden="0">
      <x:c r="A47" t="s">
        <x:v>347</x:v>
      </x:c>
      <x:c r="B47" s="19" t="s">
        <x:v>966</x:v>
      </x:c>
      <x:c r="C47" s="26" t="n">
        <x:v>72.547</x:v>
      </x:c>
      <x:c r="D47" s="26" t="n">
        <x:v>82.38</x:v>
      </x:c>
      <x:c r="E47" s="26" t="n">
        <x:v>179.291</x:v>
      </x:c>
      <x:c r="F47" s="26" t="n">
        <x:v>211.595</x:v>
      </x:c>
      <x:c r="G47" s="26" t="n">
        <x:v>250.23</x:v>
      </x:c>
      <x:c r="H47" s="26" t="n">
        <x:v>283.59</x:v>
      </x:c>
      <x:c r="I47" s="9" t="s">
        <x:v>98</x:v>
      </x:c>
    </x:row>
    <x:row r="48" ht="15" hidden="0">
      <x:c r="A48" s="2" t="s">
        <x:v>349</x:v>
      </x:c>
      <x:c r="B48" s="19" t="s">
        <x:v>350</x:v>
      </x:c>
      <x:c r="C48" s="28" t="n">
        <x:f aca="0">C43+C44+C45+C46+C47</x:f>
        <x:v>4221.138</x:v>
      </x:c>
      <x:c r="D48" s="28" t="n">
        <x:f aca="0">D43+D44+D45+D46+D47</x:f>
        <x:v>4614.571</x:v>
      </x:c>
      <x:c r="E48" s="28" t="n">
        <x:f aca="0">E43+E44+E45+E46+E47</x:f>
        <x:v>29240.768</x:v>
      </x:c>
      <x:c r="F48" s="28" t="n">
        <x:f aca="0">F43+F44+F45+F46+F47</x:f>
        <x:v>45165.905000000006</x:v>
      </x:c>
      <x:c r="G48" s="28" t="n">
        <x:f aca="0">G43+G44+G45+G46+G47</x:f>
        <x:v>47371.97900000001</x:v>
      </x:c>
      <x:c r="H48" s="28" t="n">
        <x:f aca="0">H43+H44+H45+H46+H47</x:f>
        <x:v>45935.486</x:v>
      </x:c>
      <x:c r="I48" s="9" t="s">
        <x:v>98</x:v>
      </x:c>
    </x:row>
    <x:row r="49" ht="15" hidden="0">
      <x:c r="A49" s="24" t="s">
        <x:v>351</x:v>
      </x:c>
      <x:c r="B49" s="25"/>
      <x:c r="C49" s="25"/>
      <x:c r="D49" s="25"/>
      <x:c r="E49" s="25"/>
      <x:c r="F49" s="25"/>
      <x:c r="G49" s="25"/>
      <x:c r="H49" s="25"/>
      <x:c r="I49" s="25"/>
      <x:c r="J49" s="25"/>
    </x:row>
    <x:row r="50" ht="15" hidden="0">
      <x:c r="A50" t="s">
        <x:v>352</x:v>
      </x:c>
      <x:c r="B50" s="19" t="s">
        <x:v>967</x:v>
      </x:c>
      <x:c r="C50" s="26" t="n">
        <x:v>1163.246</x:v>
      </x:c>
      <x:c r="D50" s="26" t="n">
        <x:v>1822.642</x:v>
      </x:c>
      <x:c r="E50" s="26" t="n">
        <x:v>6917.149</x:v>
      </x:c>
      <x:c r="F50" s="26" t="n">
        <x:v>6516.462</x:v>
      </x:c>
      <x:c r="G50" s="26" t="n">
        <x:v>6108.79</x:v>
      </x:c>
      <x:c r="H50" s="26" t="n">
        <x:v>3934.508</x:v>
      </x:c>
      <x:c r="I50" s="9" t="s">
        <x:v>98</x:v>
      </x:c>
    </x:row>
    <x:row r="51" ht="15" hidden="0">
      <x:c r="A51" t="s">
        <x:v>354</x:v>
      </x:c>
      <x:c r="B51" s="19" t="s">
        <x:v>968</x:v>
      </x:c>
      <x:c r="C51" s="26" t="n">
        <x:v>354.586</x:v>
      </x:c>
      <x:c r="D51" s="26" t="n">
        <x:v>863.038</x:v>
      </x:c>
      <x:c r="E51" s="26" t="n">
        <x:v>2683.21</x:v>
      </x:c>
      <x:c r="F51" s="26" t="n">
        <x:v>2623.342</x:v>
      </x:c>
      <x:c r="G51" s="26" t="n">
        <x:v>2726.664</x:v>
      </x:c>
      <x:c r="H51" s="26" t="n">
        <x:v>2034.141</x:v>
      </x:c>
      <x:c r="I51" s="9" t="s">
        <x:v>98</x:v>
      </x:c>
    </x:row>
    <x:row r="52" ht="15" hidden="0">
      <x:c r="A52" t="s">
        <x:v>356</x:v>
      </x:c>
      <x:c r="B52" s="19" t="s">
        <x:v>969</x:v>
      </x:c>
      <x:c r="C52" s="26" t="n">
        <x:v>367.952</x:v>
      </x:c>
      <x:c r="D52" s="26" t="n">
        <x:v>435.097</x:v>
      </x:c>
      <x:c r="E52" s="26" t="n">
        <x:v>862.309</x:v>
      </x:c>
      <x:c r="F52" s="26" t="n">
        <x:v>584.809</x:v>
      </x:c>
      <x:c r="G52" s="26" t="n">
        <x:v>432.704</x:v>
      </x:c>
      <x:c r="H52" s="26" t="n">
        <x:v>588.076</x:v>
      </x:c>
      <x:c r="I52" s="9" t="s">
        <x:v>98</x:v>
      </x:c>
    </x:row>
    <x:row r="53" ht="15" hidden="0">
      <x:c r="A53" t="s">
        <x:v>358</x:v>
      </x:c>
      <x:c r="B53" s="19" t="s">
        <x:v>970</x:v>
      </x:c>
      <x:c r="C53" s="26" t="n">
        <x:v>0</x:v>
      </x:c>
      <x:c r="D53" s="26" t="n">
        <x:v>0</x:v>
      </x:c>
      <x:c r="E53" s="26" t="n">
        <x:v>0</x:v>
      </x:c>
      <x:c r="F53" s="26" t="n">
        <x:v>0</x:v>
      </x:c>
      <x:c r="G53" s="26" t="n">
        <x:v>0</x:v>
      </x:c>
      <x:c r="H53" s="26" t="n">
        <x:v>0</x:v>
      </x:c>
      <x:c r="I53" s="9" t="s">
        <x:v>98</x:v>
      </x:c>
    </x:row>
    <x:row r="54" ht="15" hidden="0">
      <x:c r="A54" t="s">
        <x:v>360</x:v>
      </x:c>
      <x:c r="B54" s="19" t="s">
        <x:v>971</x:v>
      </x:c>
      <x:c r="C54" s="26" t="n">
        <x:v>1869.167</x:v>
      </x:c>
      <x:c r="D54" s="26" t="n">
        <x:v>1616.787</x:v>
      </x:c>
      <x:c r="E54" s="26" t="n">
        <x:v>10605.249</x:v>
      </x:c>
      <x:c r="F54" s="26" t="n">
        <x:v>11917.981</x:v>
      </x:c>
      <x:c r="G54" s="26" t="n">
        <x:v>8837.934</x:v>
      </x:c>
      <x:c r="H54" s="26" t="n">
        <x:v>9764.648</x:v>
      </x:c>
      <x:c r="I54" s="9" t="s">
        <x:v>98</x:v>
      </x:c>
    </x:row>
    <x:row r="55" ht="15" hidden="0">
      <x:c r="A55" t="s">
        <x:v>362</x:v>
      </x:c>
      <x:c r="B55" s="19" t="s">
        <x:v>972</x:v>
      </x:c>
      <x:c r="C55" s="26" t="n">
        <x:v>303.912</x:v>
      </x:c>
      <x:c r="D55" s="26" t="n">
        <x:v>361.521</x:v>
      </x:c>
      <x:c r="E55" s="26" t="n">
        <x:v>2985.087</x:v>
      </x:c>
      <x:c r="F55" s="26" t="n">
        <x:v>4176.493</x:v>
      </x:c>
      <x:c r="G55" s="26" t="n">
        <x:v>5066.868</x:v>
      </x:c>
      <x:c r="H55" s="26" t="n">
        <x:v>6104.065</x:v>
      </x:c>
      <x:c r="I55" s="9" t="s">
        <x:v>98</x:v>
      </x:c>
    </x:row>
    <x:row r="56" ht="15" hidden="0">
      <x:c r="A56" t="s">
        <x:v>364</x:v>
      </x:c>
      <x:c r="B56" s="19" t="s">
        <x:v>973</x:v>
      </x:c>
      <x:c r="C56" s="26" t="n">
        <x:v>23.737</x:v>
      </x:c>
      <x:c r="D56" s="26" t="n">
        <x:v>24.686</x:v>
      </x:c>
      <x:c r="E56" s="26" t="n">
        <x:v>68.332</x:v>
      </x:c>
      <x:c r="F56" s="26" t="n">
        <x:v>50.463</x:v>
      </x:c>
      <x:c r="G56" s="26" t="n">
        <x:v>46.206</x:v>
      </x:c>
      <x:c r="H56" s="26" t="n">
        <x:v>43.099</x:v>
      </x:c>
      <x:c r="I56" s="9" t="s">
        <x:v>98</x:v>
      </x:c>
    </x:row>
    <x:row r="57" ht="15" hidden="0">
      <x:c r="A57" t="s">
        <x:v>366</x:v>
      </x:c>
      <x:c r="B57" s="19" t="s">
        <x:v>974</x:v>
      </x:c>
      <x:c r="C57" s="26" t="n">
        <x:v>0</x:v>
      </x:c>
      <x:c r="D57" s="26" t="n">
        <x:v>15.654</x:v>
      </x:c>
      <x:c r="E57" s="26" t="n">
        <x:v>366.464</x:v>
      </x:c>
      <x:c r="F57" s="26" t="n">
        <x:v>604.292</x:v>
      </x:c>
      <x:c r="G57" s="26" t="n">
        <x:v>580.891</x:v>
      </x:c>
      <x:c r="H57" s="26" t="n">
        <x:v>515.175</x:v>
      </x:c>
      <x:c r="I57" s="9" t="s">
        <x:v>98</x:v>
      </x:c>
    </x:row>
    <x:row r="58" ht="15" hidden="0">
      <x:c r="A58" t="s">
        <x:v>368</x:v>
      </x:c>
      <x:c r="B58" s="19" t="s">
        <x:v>975</x:v>
      </x:c>
      <x:c r="C58" s="26" t="n">
        <x:v>40.051</x:v>
      </x:c>
      <x:c r="D58" s="26" t="n">
        <x:v>38.479</x:v>
      </x:c>
      <x:c r="E58" s="26" t="n">
        <x:v>37.157</x:v>
      </x:c>
      <x:c r="F58" s="26" t="n">
        <x:v>36.001</x:v>
      </x:c>
      <x:c r="G58" s="26" t="n">
        <x:v>35.646</x:v>
      </x:c>
      <x:c r="H58" s="26" t="n">
        <x:v>41.182</x:v>
      </x:c>
      <x:c r="I58" s="9" t="s">
        <x:v>98</x:v>
      </x:c>
    </x:row>
    <x:row r="59" ht="15" hidden="0">
      <x:c r="A59" t="s">
        <x:v>370</x:v>
      </x:c>
      <x:c r="B59" s="19" t="s">
        <x:v>976</x:v>
      </x:c>
      <x:c r="C59" s="26" t="n">
        <x:v>0</x:v>
      </x:c>
      <x:c r="D59" s="26" t="n">
        <x:v>0</x:v>
      </x:c>
      <x:c r="E59" s="26" t="n">
        <x:v>0</x:v>
      </x:c>
      <x:c r="F59" s="26" t="n">
        <x:v>0</x:v>
      </x:c>
      <x:c r="G59" s="26" t="n">
        <x:v>56.81</x:v>
      </x:c>
      <x:c r="H59" s="26" t="n">
        <x:v>0</x:v>
      </x:c>
      <x:c r="I59" s="9" t="s">
        <x:v>98</x:v>
      </x:c>
    </x:row>
    <x:row r="60" ht="15" hidden="0">
      <x:c r="A60" t="s">
        <x:v>372</x:v>
      </x:c>
      <x:c r="B60" s="19" t="s">
        <x:v>977</x:v>
      </x:c>
      <x:c r="C60" s="26" t="n">
        <x:v>1414.393</x:v>
      </x:c>
      <x:c r="D60" s="26" t="n">
        <x:v>1847.123</x:v>
      </x:c>
      <x:c r="E60" s="26" t="n">
        <x:v>4879.506</x:v>
      </x:c>
      <x:c r="F60" s="26" t="n">
        <x:v>4600.354</x:v>
      </x:c>
      <x:c r="G60" s="26" t="n">
        <x:v>5699.618</x:v>
      </x:c>
      <x:c r="H60" s="26" t="n">
        <x:v>9646.744</x:v>
      </x:c>
      <x:c r="I60" s="9" t="s">
        <x:v>98</x:v>
      </x:c>
    </x:row>
    <x:row r="61" ht="15" hidden="0">
      <x:c r="A61" s="2" t="s">
        <x:v>374</x:v>
      </x:c>
      <x:c r="B61" s="19" t="s">
        <x:v>375</x:v>
      </x:c>
      <x:c r="C61" s="28" t="n">
        <x:f aca="0">C50+C52+C53+C54+C55+C56+C57+C58+C59+C60</x:f>
        <x:v>5182.458</x:v>
      </x:c>
      <x:c r="D61" s="28" t="n">
        <x:f aca="0">D50+D52+D53+D54+D55+D56+D57+D58+D59+D60</x:f>
        <x:v>6161.989</x:v>
      </x:c>
      <x:c r="E61" s="28" t="n">
        <x:f aca="0">E50+E52+E53+E54+E55+E56+E57+E58+E59+E60</x:f>
        <x:v>26721.253</x:v>
      </x:c>
      <x:c r="F61" s="28" t="n">
        <x:f aca="0">F50+F52+F53+F54+F55+F56+F57+F58+F59+F60</x:f>
        <x:v>28486.855000000003</x:v>
      </x:c>
      <x:c r="G61" s="28" t="n">
        <x:f aca="0">G50+G52+G53+G54+G55+G56+G57+G58+G59+G60</x:f>
        <x:v>26865.467000000004</x:v>
      </x:c>
      <x:c r="H61" s="28" t="n">
        <x:f aca="0">H50+H52+H53+H54+H55+H56+H57+H58+H59+H60</x:f>
        <x:v>30637.496999999996</x:v>
      </x:c>
      <x:c r="I61" s="9" t="s">
        <x:v>98</x:v>
      </x:c>
      <x:c r="J61" s="9" t="s">
        <x:v>376</x:v>
      </x:c>
    </x:row>
    <x:row r="62" ht="15" hidden="0">
      <x:c r="A62" s="2" t="s">
        <x:v>377</x:v>
      </x:c>
      <x:c r="B62" s="19" t="s">
        <x:v>378</x:v>
      </x:c>
      <x:c r="C62" s="28" t="n">
        <x:f aca="0">C48+C61</x:f>
        <x:v>9403.596</x:v>
      </x:c>
      <x:c r="D62" s="28" t="n">
        <x:f aca="0">D48+D61</x:f>
        <x:v>10776.56</x:v>
      </x:c>
      <x:c r="E62" s="28" t="n">
        <x:f aca="0">E48+E61</x:f>
        <x:v>55962.021</x:v>
      </x:c>
      <x:c r="F62" s="28" t="n">
        <x:f aca="0">F48+F61</x:f>
        <x:v>73652.76000000001</x:v>
      </x:c>
      <x:c r="G62" s="28" t="n">
        <x:f aca="0">G48+G61</x:f>
        <x:v>74237.44600000001</x:v>
      </x:c>
      <x:c r="H62" s="28" t="n">
        <x:f aca="0">H48+H61</x:f>
        <x:v>76572.983</x:v>
      </x:c>
      <x:c r="I62" s="9" t="s">
        <x:v>98</x:v>
      </x:c>
    </x:row>
    <x:row r="63" ht="15" hidden="0">
      <x:c r="A63" s="2" t="s">
        <x:v>379</x:v>
      </x:c>
      <x:c r="B63" s="19" t="s">
        <x:v>380</x:v>
      </x:c>
      <x:c r="C63" s="28" t="n">
        <x:f aca="0">C41+C62</x:f>
        <x:v>29207.915999999997</x:v>
      </x:c>
      <x:c r="D63" s="28" t="n">
        <x:f aca="0">D41+D62</x:f>
        <x:v>34052.231</x:v>
      </x:c>
      <x:c r="E63" s="28" t="n">
        <x:f aca="0">E41+E62</x:f>
        <x:v>113698.07699999999</x:v>
      </x:c>
      <x:c r="F63" s="28" t="n">
        <x:f aca="0">F41+F62</x:f>
        <x:v>138828.497</x:v>
      </x:c>
      <x:c r="G63" s="28" t="n">
        <x:f aca="0">G41+G62</x:f>
        <x:v>147636.299</x:v>
      </x:c>
      <x:c r="H63" s="28" t="n">
        <x:f aca="0">H41+H62</x:f>
        <x:v>160845.191</x:v>
      </x:c>
      <x:c r="I63" s="9" t="s">
        <x:v>98</x:v>
      </x:c>
    </x:row>
    <x:row r="64" ht="15" hidden="0">
      <x:c r="A64" s="24" t="s">
        <x:v>381</x:v>
      </x:c>
      <x:c r="B64" s="25"/>
      <x:c r="C64" s="25"/>
      <x:c r="D64" s="25"/>
      <x:c r="E64" s="25"/>
      <x:c r="F64" s="25"/>
      <x:c r="G64" s="25"/>
      <x:c r="H64" s="25"/>
      <x:c r="I64" s="25"/>
      <x:c r="J64" s="25"/>
    </x:row>
    <x:row r="65" ht="15" hidden="0">
      <x:c r="A65" t="s">
        <x:v>382</x:v>
      </x:c>
      <x:c r="B65" s="19" t="s">
        <x:v>383</x:v>
      </x:c>
      <x:c r="C65" s="27" t="n">
        <x:f aca="0">C30+C31</x:f>
        <x:v>4693.561</x:v>
      </x:c>
      <x:c r="D65" s="27" t="n">
        <x:f aca="0">D30+D31</x:f>
        <x:v>5439.952</x:v>
      </x:c>
      <x:c r="E65" s="27" t="n">
        <x:f aca="0">E30+E31</x:f>
        <x:v>15636.868</x:v>
      </x:c>
      <x:c r="F65" s="27" t="n">
        <x:f aca="0">F30+F31</x:f>
        <x:v>15123.508</x:v>
      </x:c>
      <x:c r="G65" s="27" t="n">
        <x:f aca="0">G30+G31</x:f>
        <x:v>16594.835</x:v>
      </x:c>
      <x:c r="H65" s="27" t="n">
        <x:f aca="0">H30+H31</x:f>
        <x:v>19714.625</x:v>
      </x:c>
      <x:c r="I65" s="9" t="s">
        <x:v>98</x:v>
      </x:c>
    </x:row>
    <x:row r="66" ht="15" hidden="0">
      <x:c r="A66" t="s">
        <x:v>384</x:v>
      </x:c>
      <x:c r="B66" s="19" t="s">
        <x:v>385</x:v>
      </x:c>
      <x:c r="C66" s="27" t="n">
        <x:f aca="0">C43+C44+C54+C55+C56</x:f>
        <x:v>2701.799</x:v>
      </x:c>
      <x:c r="D66" s="27" t="n">
        <x:f aca="0">D43+D44+D54+D55+D56</x:f>
        <x:v>2568.0890000000004</x:v>
      </x:c>
      <x:c r="E66" s="27" t="n">
        <x:f aca="0">E43+E44+E54+E55+E56</x:f>
        <x:v>33304.630000000005</x:v>
      </x:c>
      <x:c r="F66" s="27" t="n">
        <x:f aca="0">F43+F44+F54+F55+F56</x:f>
        <x:v>48040.99600000001</x:v>
      </x:c>
      <x:c r="G66" s="27" t="n">
        <x:f aca="0">G43+G44+G54+G55+G56</x:f>
        <x:v>43976.749</x:v>
      </x:c>
      <x:c r="H66" s="27" t="n">
        <x:f aca="0">H43+H44+H54+H55+H56</x:f>
        <x:v>40221.656</x:v>
      </x:c>
      <x:c r="I66" s="9" t="s">
        <x:v>98</x:v>
      </x:c>
    </x:row>
    <x:row r="67" ht="15" hidden="0">
      <x:c r="A67" t="s">
        <x:v>386</x:v>
      </x:c>
      <x:c r="B67" s="19" t="s">
        <x:v>387</x:v>
      </x:c>
      <x:c r="C67" s="27" t="n">
        <x:f aca="0">C43+C44</x:f>
        <x:v>504.983</x:v>
      </x:c>
      <x:c r="D67" s="27" t="n">
        <x:f aca="0">D43+D44</x:f>
        <x:v>565.095</x:v>
      </x:c>
      <x:c r="E67" s="27" t="n">
        <x:f aca="0">E43+E44</x:f>
        <x:v>19645.962</x:v>
      </x:c>
      <x:c r="F67" s="27" t="n">
        <x:f aca="0">F43+F44</x:f>
        <x:v>31896.059</x:v>
      </x:c>
      <x:c r="G67" s="27" t="n">
        <x:f aca="0">G43+G44</x:f>
        <x:v>30025.741</x:v>
      </x:c>
      <x:c r="H67" s="27" t="n">
        <x:f aca="0">H43+H44</x:f>
        <x:v>24309.844</x:v>
      </x:c>
      <x:c r="I67" s="9" t="s">
        <x:v>98</x:v>
      </x:c>
    </x:row>
    <x:row r="68" ht="15" hidden="0">
      <x:c r="A68" t="s">
        <x:v>388</x:v>
      </x:c>
      <x:c r="B68" s="19" t="s">
        <x:v>389</x:v>
      </x:c>
      <x:c r="C68" s="27" t="n">
        <x:f aca="0">C66-C34</x:f>
        <x:v>2140.625</x:v>
      </x:c>
      <x:c r="D68" s="27" t="n">
        <x:f aca="0">D66-D34</x:f>
        <x:v>1667.3110000000004</x:v>
      </x:c>
      <x:c r="E68" s="27" t="n">
        <x:f aca="0">E66-E34</x:f>
        <x:v>30997.997000000003</x:v>
      </x:c>
      <x:c r="F68" s="27" t="n">
        <x:f aca="0">F66-F34</x:f>
        <x:v>47070.539000000004</x:v>
      </x:c>
      <x:c r="G68" s="27" t="n">
        <x:f aca="0">G66-G34</x:f>
        <x:v>41043.76500000001</x:v>
      </x:c>
      <x:c r="H68" s="27" t="n">
        <x:f aca="0">H66-H34</x:f>
        <x:v>37556.318</x:v>
      </x:c>
      <x:c r="I68" s="9" t="s">
        <x:v>98</x:v>
      </x:c>
    </x:row>
    <x:row r="69" ht="15" hidden="0">
      <x:c r="A69" t="s">
        <x:v>390</x:v>
      </x:c>
      <x:c r="B69" s="19" t="s">
        <x:v>391</x:v>
      </x:c>
      <x:c r="C69" s="27" t="n">
        <x:f aca="0">C66-C34-C33</x:f>
        <x:v>2140.625</x:v>
      </x:c>
      <x:c r="D69" s="27" t="n">
        <x:f aca="0">D66-D34-D33</x:f>
        <x:v>-2730.387999999999</x:v>
      </x:c>
      <x:c r="E69" s="27" t="n">
        <x:f aca="0">E66-E34-E33</x:f>
        <x:v>27154.987</x:v>
      </x:c>
      <x:c r="F69" s="27" t="n">
        <x:f aca="0">F66-F34-F33</x:f>
        <x:v>46820.539000000004</x:v>
      </x:c>
      <x:c r="G69" s="27" t="n">
        <x:f aca="0">G66-G34-G33</x:f>
        <x:v>40793.76500000001</x:v>
      </x:c>
      <x:c r="H69" s="27" t="n">
        <x:f aca="0">H66-H34-H33</x:f>
        <x:v>28346.218</x:v>
      </x:c>
      <x:c r="I69" s="9" t="s">
        <x:v>98</x:v>
      </x:c>
    </x:row>
    <x:row r="70" ht="15" hidden="0">
      <x:c r="A70" t="s">
        <x:v>392</x:v>
      </x:c>
      <x:c r="B70" s="19" t="s">
        <x:v>393</x:v>
      </x:c>
      <x:c r="C70" s="27" t="n">
        <x:f aca="0">C66+C41</x:f>
        <x:v>22506.119</x:v>
      </x:c>
      <x:c r="D70" s="27" t="n">
        <x:f aca="0">D66+D41</x:f>
        <x:v>25843.760000000002</x:v>
      </x:c>
      <x:c r="E70" s="27" t="n">
        <x:f aca="0">E66+E41</x:f>
        <x:v>91040.686</x:v>
      </x:c>
      <x:c r="F70" s="27" t="n">
        <x:f aca="0">F66+F41</x:f>
        <x:v>113216.73300000001</x:v>
      </x:c>
      <x:c r="G70" s="27" t="n">
        <x:f aca="0">G66+G41</x:f>
        <x:v>117375.60200000001</x:v>
      </x:c>
      <x:c r="H70" s="27" t="n">
        <x:f aca="0">H66+H41</x:f>
        <x:v>124493.864</x:v>
      </x:c>
      <x:c r="I70" s="9" t="s">
        <x:v>98</x:v>
      </x:c>
    </x:row>
    <x:row r="71" ht="15" hidden="0">
      <x:c r="A71" t="s">
        <x:v>394</x:v>
      </x:c>
      <x:c r="B71" s="19" t="s">
        <x:v>395</x:v>
      </x:c>
      <x:c r="C71" s="27" t="n">
        <x:f aca="0">C37-C61</x:f>
        <x:v>24025.458</x:v>
      </x:c>
      <x:c r="D71" s="27" t="n">
        <x:f aca="0">D37-D61</x:f>
        <x:v>27890.242</x:v>
      </x:c>
      <x:c r="E71" s="27" t="n">
        <x:f aca="0">E37-E61</x:f>
        <x:v>86976.82400000002</x:v>
      </x:c>
      <x:c r="F71" s="27" t="n">
        <x:f aca="0">F37-F61</x:f>
        <x:v>110341.64199999999</x:v>
      </x:c>
      <x:c r="G71" s="27" t="n">
        <x:f aca="0">G37-G61</x:f>
        <x:v>120770.832</x:v>
      </x:c>
      <x:c r="H71" s="27" t="n">
        <x:f aca="0">H37-H61</x:f>
        <x:v>130207.69400000002</x:v>
      </x:c>
      <x:c r="I71" s="9" t="s">
        <x:v>98</x:v>
      </x:c>
    </x:row>
    <x:row r="72" ht="15" hidden="0">
      <x:c r="A72" t="s">
        <x:v>396</x:v>
      </x:c>
      <x:c r="B72" s="19" t="s">
        <x:v>397</x:v>
      </x:c>
      <x:c r="C72" s="27" t="n">
        <x:f aca="0">C36-C34-C33</x:f>
        <x:v>6422.147</x:v>
      </x:c>
      <x:c r="D72" s="27" t="n">
        <x:f aca="0">D36-D34-D33</x:f>
        <x:v>7140.255</x:v>
      </x:c>
      <x:c r="E72" s="27" t="n">
        <x:f aca="0">E36-E34-E33</x:f>
        <x:v>22067.169</x:v>
      </x:c>
      <x:c r="F72" s="27" t="n">
        <x:f aca="0">F36-F34-F33</x:f>
        <x:v>21914.042</x:v>
      </x:c>
      <x:c r="G72" s="27" t="n">
        <x:f aca="0">G36-G34-G33</x:f>
        <x:v>22601.087</x:v>
      </x:c>
      <x:c r="H72" s="27" t="n">
        <x:f aca="0">H36-H34-H33</x:f>
        <x:v>28597.127</x:v>
      </x:c>
      <x:c r="I72" s="9" t="s">
        <x:v>98</x:v>
      </x:c>
    </x:row>
    <x:row r="73" ht="15" hidden="0">
      <x:c r="A73" t="s">
        <x:v>398</x:v>
      </x:c>
      <x:c r="B73" s="19" t="s">
        <x:v>399</x:v>
      </x:c>
      <x:c r="C73" s="27" t="n">
        <x:f aca="0">C61-C54-C55-C56-C57-C53-C58</x:f>
        <x:v>2945.591</x:v>
      </x:c>
      <x:c r="D73" s="27" t="n">
        <x:f aca="0">D61-D54-D55-D56-D57-D53-D58</x:f>
        <x:v>4104.861999999999</x:v>
      </x:c>
      <x:c r="E73" s="27" t="n">
        <x:f aca="0">E61-E54-E55-E56-E57-E53-E58</x:f>
        <x:v>12658.964000000002</x:v>
      </x:c>
      <x:c r="F73" s="27" t="n">
        <x:f aca="0">F61-F54-F55-F56-F57-F53-F58</x:f>
        <x:v>11701.625000000004</x:v>
      </x:c>
      <x:c r="G73" s="27" t="n">
        <x:f aca="0">G61-G54-G55-G56-G57-G53-G58</x:f>
        <x:v>12297.922000000002</x:v>
      </x:c>
      <x:c r="H73" s="27" t="n">
        <x:f aca="0">H61-H54-H55-H56-H57-H53-H58</x:f>
        <x:v>14169.327999999996</x:v>
      </x:c>
      <x:c r="I73" s="9" t="s">
        <x:v>98</x:v>
      </x:c>
    </x:row>
    <x:row r="74" ht="15" hidden="0">
      <x:c r="A74" s="24" t="s">
        <x:v>400</x:v>
      </x:c>
      <x:c r="B74" s="25"/>
      <x:c r="C74" s="25"/>
      <x:c r="D74" s="25"/>
      <x:c r="E74" s="25"/>
      <x:c r="F74" s="25"/>
      <x:c r="G74" s="25"/>
      <x:c r="H74" s="25"/>
      <x:c r="I74" s="25"/>
      <x:c r="J74" s="25"/>
    </x:row>
    <x:row r="75" ht="15" hidden="0">
      <x:c r="A75" t="s">
        <x:v>401</x:v>
      </x:c>
      <x:c r="B75" s="19" t="s">
        <x:v>978</x:v>
      </x:c>
      <x:c r="C75" s="26" t="n">
        <x:v>29207.916</x:v>
      </x:c>
      <x:c r="D75" s="26" t="n">
        <x:v>34052.231</x:v>
      </x:c>
      <x:c r="E75" s="26" t="n">
        <x:v>113698.077</x:v>
      </x:c>
      <x:c r="F75" s="26" t="n">
        <x:v>138828.497</x:v>
      </x:c>
      <x:c r="G75" s="26" t="n">
        <x:v>147636.299</x:v>
      </x:c>
      <x:c r="H75" s="26" t="n">
        <x:v>160845.191</x:v>
      </x:c>
      <x:c r="I75" s="9" t="s">
        <x:v>98</x:v>
      </x:c>
    </x:row>
    <x:row r="76" ht="15" hidden="0">
      <x:c r="A76" t="s">
        <x:v>403</x:v>
      </x:c>
      <x:c r="B76" s="19" t="s">
        <x:v>979</x:v>
      </x:c>
      <x:c r="C76" s="26" t="n">
        <x:v>19804.32</x:v>
      </x:c>
      <x:c r="D76" s="26" t="n">
        <x:v>23275.671</x:v>
      </x:c>
      <x:c r="E76" s="26" t="n">
        <x:v>57736.056</x:v>
      </x:c>
      <x:c r="F76" s="26" t="n">
        <x:v>65175.737</x:v>
      </x:c>
      <x:c r="G76" s="26" t="n">
        <x:v>73398.853</x:v>
      </x:c>
      <x:c r="H76" s="26" t="n">
        <x:v>84272.208</x:v>
      </x:c>
      <x:c r="I76" s="9" t="s">
        <x:v>98</x:v>
      </x:c>
    </x:row>
    <x:row r="77" ht="15" hidden="0">
      <x:c r="A77" t="s">
        <x:v>405</x:v>
      </x:c>
      <x:c r="B77" s="19" t="s">
        <x:v>980</x:v>
      </x:c>
      <x:c r="C77" s="26" t="n">
        <x:v>6983.321</x:v>
      </x:c>
      <x:c r="D77" s="26" t="n">
        <x:v>12438.732</x:v>
      </x:c>
      <x:c r="E77" s="26" t="n">
        <x:v>28216.812</x:v>
      </x:c>
      <x:c r="F77" s="26" t="n">
        <x:v>23134.499</x:v>
      </x:c>
      <x:c r="G77" s="26" t="n">
        <x:v>25784.071</x:v>
      </x:c>
      <x:c r="H77" s="26" t="n">
        <x:v>40472.565</x:v>
      </x:c>
      <x:c r="I77" s="9" t="s">
        <x:v>98</x:v>
      </x:c>
    </x:row>
    <x:row r="78" ht="15" hidden="0">
      <x:c r="A78" t="s">
        <x:v>407</x:v>
      </x:c>
      <x:c r="B78" s="19" t="s">
        <x:v>981</x:v>
      </x:c>
      <x:c r="C78" s="26" t="n">
        <x:v>5182.458</x:v>
      </x:c>
      <x:c r="D78" s="26" t="n">
        <x:v>6161.989</x:v>
      </x:c>
      <x:c r="E78" s="26" t="n">
        <x:v>26721.253</x:v>
      </x:c>
      <x:c r="F78" s="26" t="n">
        <x:v>28486.855</x:v>
      </x:c>
      <x:c r="G78" s="26" t="n">
        <x:v>26865.467</x:v>
      </x:c>
      <x:c r="H78" s="26" t="n">
        <x:v>30637.497</x:v>
      </x:c>
      <x:c r="I78" s="9" t="s">
        <x:v>98</x:v>
      </x:c>
    </x:row>
    <x:row r="79" ht="15" hidden="0">
      <x:c r="A79" t="s">
        <x:v>409</x:v>
      </x:c>
      <x:c r="B79" s="19" t="s">
        <x:v>410</x:v>
      </x:c>
      <x:c r="C79" s="29" t="str">
        <x:f aca="0">IF(ABS(C37-C63)&lt;0.005,"PASS","FAIL")</x:f>
        <x:v>PASS</x:v>
      </x:c>
      <x:c r="D79" s="29" t="str">
        <x:f aca="0">IF(ABS(D37-D63)&lt;0.005,"PASS","FAIL")</x:f>
        <x:v>PASS</x:v>
      </x:c>
      <x:c r="E79" s="29" t="str">
        <x:f aca="0">IF(ABS(E37-E63)&lt;0.005,"PASS","FAIL")</x:f>
        <x:v>PASS</x:v>
      </x:c>
      <x:c r="F79" s="29" t="str">
        <x:f aca="0">IF(ABS(F37-F63)&lt;0.005,"PASS","FAIL")</x:f>
        <x:v>PASS</x:v>
      </x:c>
      <x:c r="G79" s="29" t="str">
        <x:f aca="0">IF(ABS(G37-G63)&lt;0.005,"PASS","FAIL")</x:f>
        <x:v>PASS</x:v>
      </x:c>
      <x:c r="H79" s="29" t="str">
        <x:f aca="0">IF(ABS(H37-H63)&lt;0.005,"PASS","FAIL")</x:f>
        <x:v>PASS</x:v>
      </x:c>
      <x:c r="I79" s="9"/>
    </x:row>
    <x:row r="80" ht="15" hidden="0">
      <x:c r="A80" t="s">
        <x:v>411</x:v>
      </x:c>
      <x:c r="B80" s="19" t="s">
        <x:v>410</x:v>
      </x:c>
      <x:c r="C80" s="29" t="str">
        <x:f aca="0">IF(ABS(C37-C75)&lt;0.005,"PASS","FAIL")</x:f>
        <x:v>PASS</x:v>
      </x:c>
      <x:c r="D80" s="29" t="str">
        <x:f aca="0">IF(ABS(D37-D75)&lt;0.005,"PASS","FAIL")</x:f>
        <x:v>PASS</x:v>
      </x:c>
      <x:c r="E80" s="29" t="str">
        <x:f aca="0">IF(ABS(E37-E75)&lt;0.005,"PASS","FAIL")</x:f>
        <x:v>PASS</x:v>
      </x:c>
      <x:c r="F80" s="29" t="str">
        <x:f aca="0">IF(ABS(F37-F75)&lt;0.005,"PASS","FAIL")</x:f>
        <x:v>PASS</x:v>
      </x:c>
      <x:c r="G80" s="29" t="str">
        <x:f aca="0">IF(ABS(G37-G75)&lt;0.005,"PASS","FAIL")</x:f>
        <x:v>PASS</x:v>
      </x:c>
      <x:c r="H80" s="29" t="str">
        <x:f aca="0">IF(ABS(H37-H75)&lt;0.005,"PASS","FAIL")</x:f>
        <x:v>PASS</x:v>
      </x:c>
      <x:c r="I80" s="9"/>
    </x:row>
    <x:row r="81" ht="15" hidden="0">
      <x:c r="A81" t="s">
        <x:v>412</x:v>
      </x:c>
      <x:c r="B81" s="19" t="s">
        <x:v>410</x:v>
      </x:c>
      <x:c r="C81" s="29" t="str">
        <x:f aca="0">IF(AND(ABS(C41-C76)&lt;0.005,ABS(C36-C77)&lt;0.005,ABS(C61-C78)&lt;0.005),"PASS","FAIL")</x:f>
        <x:v>PASS</x:v>
      </x:c>
      <x:c r="D81" s="29" t="str">
        <x:f aca="0">IF(AND(ABS(D41-D76)&lt;0.005,ABS(D36-D77)&lt;0.005,ABS(D61-D78)&lt;0.005),"PASS","FAIL")</x:f>
        <x:v>PASS</x:v>
      </x:c>
      <x:c r="E81" s="29" t="str">
        <x:f aca="0">IF(AND(ABS(E41-E76)&lt;0.005,ABS(E36-E77)&lt;0.005,ABS(E61-E78)&lt;0.005),"PASS","FAIL")</x:f>
        <x:v>PASS</x:v>
      </x:c>
      <x:c r="F81" s="29" t="str">
        <x:f aca="0">IF(AND(ABS(F41-F76)&lt;0.005,ABS(F36-F77)&lt;0.005,ABS(F61-F78)&lt;0.005),"PASS","FAIL")</x:f>
        <x:v>PASS</x:v>
      </x:c>
      <x:c r="G81" s="29" t="str">
        <x:f aca="0">IF(AND(ABS(G41-G76)&lt;0.005,ABS(G36-G77)&lt;0.005,ABS(G61-G78)&lt;0.005),"PASS","FAIL")</x:f>
        <x:v>PASS</x:v>
      </x:c>
      <x:c r="H81" s="29" t="str">
        <x:f aca="0">IF(AND(ABS(H41-H76)&lt;0.005,ABS(H36-H77)&lt;0.005,ABS(H61-H78)&lt;0.005),"PASS","FAIL")</x:f>
        <x:v>PASS</x:v>
      </x:c>
      <x:c r="I81" s="9"/>
    </x:row>
    <x:row r="83" ht="15" hidden="0">
      <x:c r="A83" s="5" t="s">
        <x:v>413</x:v>
      </x:c>
      <x:c r="B83" s="20"/>
      <x:c r="C83" s="20"/>
      <x:c r="D83" s="20"/>
      <x:c r="E83" s="20"/>
      <x:c r="F83" s="20"/>
      <x:c r="G83" s="20"/>
      <x:c r="H83" s="20"/>
      <x:c r="I83" s="20"/>
      <x:c r="J83" s="20"/>
    </x:row>
    <x:row r="84" ht="15" hidden="0">
      <x:c r="A84" t="s">
        <x:v>414</x:v>
      </x:c>
      <x:c r="B84" s="19" t="s">
        <x:v>982</x:v>
      </x:c>
      <x:c r="C84" s="30"/>
      <x:c r="D84" s="26" t="n">
        <x:v>24271.285</x:v>
      </x:c>
      <x:c r="E84" s="26" t="n">
        <x:v>54243.118</x:v>
      </x:c>
      <x:c r="F84" s="26" t="n">
        <x:v>68069.282</x:v>
      </x:c>
      <x:c r="G84" s="26" t="n">
        <x:v>80026.226</x:v>
      </x:c>
      <x:c r="H84" s="26" t="n">
        <x:v>88956.328</x:v>
      </x:c>
      <x:c r="I84" s="9" t="s">
        <x:v>98</x:v>
      </x:c>
    </x:row>
    <x:row r="85" ht="15" hidden="0">
      <x:c r="A85" t="s">
        <x:v>416</x:v>
      </x:c>
      <x:c r="B85" s="19" t="s">
        <x:v>983</x:v>
      </x:c>
      <x:c r="C85" s="30"/>
      <x:c r="D85" s="26" t="n">
        <x:v>-18206.88</x:v>
      </x:c>
      <x:c r="E85" s="26" t="n">
        <x:v>-38779.542</x:v>
      </x:c>
      <x:c r="F85" s="26" t="n">
        <x:v>-47650.809</x:v>
      </x:c>
      <x:c r="G85" s="26" t="n">
        <x:v>-54345.821</x:v>
      </x:c>
      <x:c r="H85" s="26" t="n">
        <x:v>-57384.978</x:v>
      </x:c>
      <x:c r="I85" s="9" t="s">
        <x:v>98</x:v>
      </x:c>
    </x:row>
    <x:row r="86" ht="15" hidden="0">
      <x:c r="A86" s="2" t="s">
        <x:v>418</x:v>
      </x:c>
      <x:c r="B86" s="19" t="s">
        <x:v>419</x:v>
      </x:c>
      <x:c r="C86" s="31"/>
      <x:c r="D86" s="28" t="n">
        <x:f aca="0">D84+D85</x:f>
        <x:v>6064.404999999999</x:v>
      </x:c>
      <x:c r="E86" s="28" t="n">
        <x:f aca="0">E84+E85</x:f>
        <x:v>15463.576000000001</x:v>
      </x:c>
      <x:c r="F86" s="28" t="n">
        <x:f aca="0">F84+F85</x:f>
        <x:v>20418.473000000005</x:v>
      </x:c>
      <x:c r="G86" s="28" t="n">
        <x:f aca="0">G84+G85</x:f>
        <x:v>25680.40499999999</x:v>
      </x:c>
      <x:c r="H86" s="28" t="n">
        <x:f aca="0">H84+H85</x:f>
        <x:v>31571.34999999999</x:v>
      </x:c>
      <x:c r="I86" s="9" t="s">
        <x:v>98</x:v>
      </x:c>
    </x:row>
    <x:row r="87" ht="15" hidden="0">
      <x:c r="A87" t="s">
        <x:v>420</x:v>
      </x:c>
      <x:c r="B87" s="19" t="s">
        <x:v>984</x:v>
      </x:c>
      <x:c r="C87" s="30"/>
      <x:c r="D87" s="26" t="n">
        <x:v>-189.537</x:v>
      </x:c>
      <x:c r="E87" s="26" t="n">
        <x:v>-1603.323</x:v>
      </x:c>
      <x:c r="F87" s="26" t="n">
        <x:v>-2705.263</x:v>
      </x:c>
      <x:c r="G87" s="26" t="n">
        <x:v>-3285.923</x:v>
      </x:c>
      <x:c r="H87" s="26" t="n">
        <x:v>-2935.139</x:v>
      </x:c>
      <x:c r="I87" s="9" t="s">
        <x:v>98</x:v>
      </x:c>
    </x:row>
    <x:row r="88" ht="15" hidden="0">
      <x:c r="A88" t="s">
        <x:v>422</x:v>
      </x:c>
      <x:c r="B88" s="19" t="s">
        <x:v>985</x:v>
      </x:c>
      <x:c r="C88" s="30"/>
      <x:c r="D88" s="26" t="n">
        <x:v>-524.709</x:v>
      </x:c>
      <x:c r="E88" s="26" t="n">
        <x:v>-1299.439</x:v>
      </x:c>
      <x:c r="F88" s="26" t="n">
        <x:v>-1381.633</x:v>
      </x:c>
      <x:c r="G88" s="26" t="n">
        <x:v>-1516.046</x:v>
      </x:c>
      <x:c r="H88" s="26" t="n">
        <x:v>-1688.886</x:v>
      </x:c>
      <x:c r="I88" s="9" t="s">
        <x:v>98</x:v>
      </x:c>
    </x:row>
    <x:row r="89" ht="15" hidden="0">
      <x:c r="A89" t="s">
        <x:v>424</x:v>
      </x:c>
      <x:c r="B89" s="19" t="s">
        <x:v>986</x:v>
      </x:c>
      <x:c r="C89" s="30"/>
      <x:c r="D89" s="26" t="n">
        <x:v>0</x:v>
      </x:c>
      <x:c r="E89" s="26" t="n">
        <x:v>0</x:v>
      </x:c>
      <x:c r="F89" s="26" t="n">
        <x:v>0</x:v>
      </x:c>
      <x:c r="G89" s="26" t="n">
        <x:v>0</x:v>
      </x:c>
      <x:c r="H89" s="26" t="n">
        <x:v>0</x:v>
      </x:c>
      <x:c r="I89" s="9" t="s">
        <x:v>98</x:v>
      </x:c>
    </x:row>
    <x:row r="90" ht="15" hidden="0">
      <x:c r="A90" t="s">
        <x:v>426</x:v>
      </x:c>
      <x:c r="B90" s="19" t="s">
        <x:v>987</x:v>
      </x:c>
      <x:c r="C90" s="30"/>
      <x:c r="D90" s="26" t="n">
        <x:v>-377.946</x:v>
      </x:c>
      <x:c r="E90" s="26" t="n">
        <x:v>-808.964</x:v>
      </x:c>
      <x:c r="F90" s="26" t="n">
        <x:v>-750.078</x:v>
      </x:c>
      <x:c r="G90" s="26" t="n">
        <x:v>-826.875</x:v>
      </x:c>
      <x:c r="H90" s="26" t="n">
        <x:v>-1479.276</x:v>
      </x:c>
      <x:c r="I90" s="9" t="s">
        <x:v>98</x:v>
      </x:c>
    </x:row>
    <x:row r="91" ht="15" hidden="0">
      <x:c r="A91" t="s">
        <x:v>428</x:v>
      </x:c>
      <x:c r="B91" s="19" t="s">
        <x:v>429</x:v>
      </x:c>
      <x:c r="C91" s="30"/>
      <x:c r="D91" s="27" t="n">
        <x:f aca="0">D86+D87+D88+D89+D90</x:f>
        <x:v>4972.212999999999</x:v>
      </x:c>
      <x:c r="E91" s="27" t="n">
        <x:f aca="0">E86+E87+E88+E89+E90</x:f>
        <x:v>11751.85</x:v>
      </x:c>
      <x:c r="F91" s="27" t="n">
        <x:f aca="0">F86+F87+F88+F89+F90</x:f>
        <x:v>15581.499000000007</x:v>
      </x:c>
      <x:c r="G91" s="27" t="n">
        <x:f aca="0">G86+G87+G88+G89+G90</x:f>
        <x:v>20051.560999999994</x:v>
      </x:c>
      <x:c r="H91" s="27" t="n">
        <x:f aca="0">H86+H87+H88+H89+H90</x:f>
        <x:v>25468.04899999999</x:v>
      </x:c>
      <x:c r="I91" s="9" t="s">
        <x:v>98</x:v>
      </x:c>
    </x:row>
    <x:row r="92" ht="15" hidden="0">
      <x:c r="A92" t="s">
        <x:v>430</x:v>
      </x:c>
      <x:c r="B92" s="19" t="s">
        <x:v>988</x:v>
      </x:c>
      <x:c r="C92" s="30"/>
      <x:c r="D92" s="26" t="n">
        <x:v>81.71</x:v>
      </x:c>
      <x:c r="E92" s="26" t="n">
        <x:v>230.695</x:v>
      </x:c>
      <x:c r="F92" s="26" t="n">
        <x:v>436.173</x:v>
      </x:c>
      <x:c r="G92" s="26" t="n">
        <x:v>540.373</x:v>
      </x:c>
      <x:c r="H92" s="26" t="n">
        <x:v>760.772</x:v>
      </x:c>
      <x:c r="I92" s="9" t="s">
        <x:v>98</x:v>
      </x:c>
    </x:row>
    <x:row r="93" ht="15" hidden="0">
      <x:c r="A93" t="s">
        <x:v>432</x:v>
      </x:c>
      <x:c r="B93" s="19" t="s">
        <x:v>989</x:v>
      </x:c>
      <x:c r="C93" s="30"/>
      <x:c r="D93" s="26" t="n">
        <x:v>160.543</x:v>
      </x:c>
      <x:c r="E93" s="26" t="n">
        <x:v>745.852</x:v>
      </x:c>
      <x:c r="F93" s="26" t="n">
        <x:v>527.702</x:v>
      </x:c>
      <x:c r="G93" s="26" t="n">
        <x:v>299.318</x:v>
      </x:c>
      <x:c r="H93" s="26" t="n">
        <x:v>1068.831</x:v>
      </x:c>
      <x:c r="I93" s="9" t="s">
        <x:v>98</x:v>
      </x:c>
    </x:row>
    <x:row r="94" ht="15" hidden="0">
      <x:c r="A94" t="s">
        <x:v>434</x:v>
      </x:c>
      <x:c r="B94" s="19" t="s">
        <x:v>990</x:v>
      </x:c>
      <x:c r="C94" s="30"/>
      <x:c r="D94" s="26" t="n">
        <x:v>2.849</x:v>
      </x:c>
      <x:c r="E94" s="26" t="n">
        <x:v>1.308</x:v>
      </x:c>
      <x:c r="F94" s="26" t="n">
        <x:v>0</x:v>
      </x:c>
      <x:c r="G94" s="26" t="n">
        <x:v>0</x:v>
      </x:c>
      <x:c r="H94" s="26" t="n">
        <x:v>0</x:v>
      </x:c>
      <x:c r="I94" s="9" t="s">
        <x:v>98</x:v>
      </x:c>
    </x:row>
    <x:row r="95" ht="15" hidden="0">
      <x:c r="A95" t="s">
        <x:v>436</x:v>
      </x:c>
      <x:c r="B95" s="19" t="s">
        <x:v>991</x:v>
      </x:c>
      <x:c r="C95" s="30"/>
      <x:c r="D95" s="26" t="n">
        <x:v>-109.623</x:v>
      </x:c>
      <x:c r="E95" s="26" t="n">
        <x:v>-1201.612</x:v>
      </x:c>
      <x:c r="F95" s="26" t="n">
        <x:v>-3645.265</x:v>
      </x:c>
      <x:c r="G95" s="26" t="n">
        <x:v>-5536.298</x:v>
      </x:c>
      <x:c r="H95" s="26" t="n">
        <x:v>-5772.132</x:v>
      </x:c>
      <x:c r="I95" s="9" t="s">
        <x:v>98</x:v>
      </x:c>
    </x:row>
    <x:row r="96" ht="15" hidden="0">
      <x:c r="A96" s="2" t="s">
        <x:v>438</x:v>
      </x:c>
      <x:c r="B96" s="19" t="s">
        <x:v>439</x:v>
      </x:c>
      <x:c r="C96" s="31"/>
      <x:c r="D96" s="28" t="n">
        <x:f aca="0">D91+D92+D93+D94+D95</x:f>
        <x:v>5107.691999999999</x:v>
      </x:c>
      <x:c r="E96" s="28" t="n">
        <x:f aca="0">E91+E92+E93+E94+E95</x:f>
        <x:v>11528.093</x:v>
      </x:c>
      <x:c r="F96" s="28" t="n">
        <x:f aca="0">F91+F92+F93+F94+F95</x:f>
        <x:v>12900.109000000008</x:v>
      </x:c>
      <x:c r="G96" s="28" t="n">
        <x:f aca="0">G91+G92+G93+G94+G95</x:f>
        <x:v>15354.953999999994</x:v>
      </x:c>
      <x:c r="H96" s="28" t="n">
        <x:f aca="0">H91+H92+H93+H94+H95</x:f>
        <x:v>21525.51999999999</x:v>
      </x:c>
      <x:c r="I96" s="9" t="s">
        <x:v>98</x:v>
      </x:c>
    </x:row>
    <x:row r="97" ht="15" hidden="0">
      <x:c r="A97" t="s">
        <x:v>440</x:v>
      </x:c>
      <x:c r="B97" s="19" t="s">
        <x:v>992</x:v>
      </x:c>
      <x:c r="C97" s="30"/>
      <x:c r="D97" s="26" t="n">
        <x:v>0</x:v>
      </x:c>
      <x:c r="E97" s="26" t="n">
        <x:v>0</x:v>
      </x:c>
      <x:c r="F97" s="26" t="n">
        <x:v>-45.66</x:v>
      </x:c>
      <x:c r="G97" s="26" t="n">
        <x:v>-55.223</x:v>
      </x:c>
      <x:c r="H97" s="26" t="n">
        <x:v>0</x:v>
      </x:c>
      <x:c r="I97" s="9" t="s">
        <x:v>98</x:v>
      </x:c>
    </x:row>
    <x:row r="98" ht="15" hidden="0">
      <x:c r="A98" t="s">
        <x:v>442</x:v>
      </x:c>
      <x:c r="B98" s="19" t="s">
        <x:v>993</x:v>
      </x:c>
      <x:c r="C98" s="30"/>
      <x:c r="D98" s="26" t="n">
        <x:v>-1636.341</x:v>
      </x:c>
      <x:c r="E98" s="26" t="n">
        <x:v>-4415.553</x:v>
      </x:c>
      <x:c r="F98" s="26" t="n">
        <x:v>-5414.768</x:v>
      </x:c>
      <x:c r="G98" s="26" t="n">
        <x:v>-7076.615</x:v>
      </x:c>
      <x:c r="H98" s="26" t="n">
        <x:v>-8199.318</x:v>
      </x:c>
      <x:c r="I98" s="9" t="s">
        <x:v>98</x:v>
      </x:c>
    </x:row>
    <x:row r="99" ht="15" hidden="0">
      <x:c r="A99" s="2" t="s">
        <x:v>444</x:v>
      </x:c>
      <x:c r="B99" s="19" t="s">
        <x:v>445</x:v>
      </x:c>
      <x:c r="C99" s="31"/>
      <x:c r="D99" s="28" t="n">
        <x:f aca="0">D96+D97+D98</x:f>
        <x:v>3471.350999999999</x:v>
      </x:c>
      <x:c r="E99" s="28" t="n">
        <x:f aca="0">E96+E97+E98</x:f>
        <x:v>7112.540000000001</x:v>
      </x:c>
      <x:c r="F99" s="28" t="n">
        <x:f aca="0">F96+F97+F98</x:f>
        <x:v>7439.681000000008</x:v>
      </x:c>
      <x:c r="G99" s="28" t="n">
        <x:f aca="0">G96+G97+G98</x:f>
        <x:v>8223.115999999995</x:v>
      </x:c>
      <x:c r="H99" s="28" t="n">
        <x:f aca="0">H96+H97+H98</x:f>
        <x:v>13326.20199999999</x:v>
      </x:c>
      <x:c r="I99" s="9" t="s">
        <x:v>98</x:v>
      </x:c>
    </x:row>
    <x:row r="100" ht="15" hidden="0">
      <x:c r="A100" t="s">
        <x:v>446</x:v>
      </x:c>
      <x:c r="B100" s="19" t="s">
        <x:v>994</x:v>
      </x:c>
      <x:c r="C100" s="30"/>
      <x:c r="D100" s="26" t="n">
        <x:v>6064.405</x:v>
      </x:c>
      <x:c r="E100" s="26" t="n">
        <x:v>15463.576</x:v>
      </x:c>
      <x:c r="F100" s="26" t="n">
        <x:v>20418.473</x:v>
      </x:c>
      <x:c r="G100" s="26" t="n">
        <x:v>25680.405</x:v>
      </x:c>
      <x:c r="H100" s="26" t="n">
        <x:v>31571.35</x:v>
      </x:c>
      <x:c r="I100" s="9" t="s">
        <x:v>98</x:v>
      </x:c>
    </x:row>
    <x:row r="101" ht="15" hidden="0">
      <x:c r="A101" t="s">
        <x:v>448</x:v>
      </x:c>
      <x:c r="B101" s="19" t="s">
        <x:v>995</x:v>
      </x:c>
      <x:c r="C101" s="30"/>
      <x:c r="D101" s="26" t="n">
        <x:v>5107.692</x:v>
      </x:c>
      <x:c r="E101" s="26" t="n">
        <x:v>11528.093</x:v>
      </x:c>
      <x:c r="F101" s="26" t="n">
        <x:v>12900.109</x:v>
      </x:c>
      <x:c r="G101" s="26" t="n">
        <x:v>15354.954</x:v>
      </x:c>
      <x:c r="H101" s="26" t="n">
        <x:v>21525.52</x:v>
      </x:c>
      <x:c r="I101" s="9" t="s">
        <x:v>98</x:v>
      </x:c>
    </x:row>
    <x:row r="102" ht="15" hidden="0">
      <x:c r="A102" t="s">
        <x:v>450</x:v>
      </x:c>
      <x:c r="B102" s="19" t="s">
        <x:v>996</x:v>
      </x:c>
      <x:c r="C102" s="30"/>
      <x:c r="D102" s="26" t="n">
        <x:v>3471.351</x:v>
      </x:c>
      <x:c r="E102" s="26" t="n">
        <x:v>7112.54</x:v>
      </x:c>
      <x:c r="F102" s="26" t="n">
        <x:v>7439.681</x:v>
      </x:c>
      <x:c r="G102" s="26" t="n">
        <x:v>8223.116</x:v>
      </x:c>
      <x:c r="H102" s="26" t="n">
        <x:v>13326.202</x:v>
      </x:c>
      <x:c r="I102" s="9" t="s">
        <x:v>98</x:v>
      </x:c>
    </x:row>
    <x:row r="103" ht="15" hidden="0">
      <x:c r="A103" t="s">
        <x:v>452</x:v>
      </x:c>
      <x:c r="B103" s="19" t="s">
        <x:v>410</x:v>
      </x:c>
      <x:c r="C103" s="30"/>
      <x:c r="D103" s="29" t="str">
        <x:f aca="0">IF(AND(ABS(D86-D100)&lt;0.005,ABS(D96-D101)&lt;0.005,ABS(D99-D102)&lt;0.005),"PASS","FAIL")</x:f>
        <x:v>PASS</x:v>
      </x:c>
      <x:c r="E103" s="29" t="str">
        <x:f aca="0">IF(AND(ABS(E86-E100)&lt;0.005,ABS(E96-E101)&lt;0.005,ABS(E99-E102)&lt;0.005),"PASS","FAIL")</x:f>
        <x:v>PASS</x:v>
      </x:c>
      <x:c r="F103" s="29" t="str">
        <x:f aca="0">IF(AND(ABS(F86-F100)&lt;0.005,ABS(F96-F101)&lt;0.005,ABS(F99-F102)&lt;0.005),"PASS","FAIL")</x:f>
        <x:v>PASS</x:v>
      </x:c>
      <x:c r="G103" s="29" t="str">
        <x:f aca="0">IF(AND(ABS(G86-G100)&lt;0.005,ABS(G96-G101)&lt;0.005,ABS(G99-G102)&lt;0.005),"PASS","FAIL")</x:f>
        <x:v>PASS</x:v>
      </x:c>
      <x:c r="H103" s="29" t="str">
        <x:f aca="0">IF(AND(ABS(H86-H100)&lt;0.005,ABS(H96-H101)&lt;0.005,ABS(H99-H102)&lt;0.005),"PASS","FAIL")</x:f>
        <x:v>PASS</x:v>
      </x:c>
      <x:c r="I103" s="9"/>
    </x:row>
    <x:row r="104" ht="15" hidden="0">
      <x:c r="A104" s="24" t="s">
        <x:v>453</x:v>
      </x:c>
      <x:c r="B104" s="25"/>
      <x:c r="C104" s="25"/>
      <x:c r="D104" s="25"/>
      <x:c r="E104" s="25"/>
      <x:c r="F104" s="25"/>
      <x:c r="G104" s="25"/>
      <x:c r="H104" s="25"/>
      <x:c r="I104" s="25"/>
      <x:c r="J104" s="25"/>
    </x:row>
    <x:row r="105" ht="15" hidden="0">
      <x:c r="A105" t="s">
        <x:v>454</x:v>
      </x:c>
      <x:c r="B105" s="19" t="s">
        <x:v>997</x:v>
      </x:c>
      <x:c r="C105" s="30"/>
      <x:c r="D105" s="26" t="n">
        <x:v>17.511</x:v>
      </x:c>
      <x:c r="E105" s="26" t="n">
        <x:v>206.388</x:v>
      </x:c>
      <x:c r="F105" s="26" t="n">
        <x:v>1020.455</x:v>
      </x:c>
      <x:c r="G105" s="26" t="n">
        <x:v>12.561</x:v>
      </x:c>
      <x:c r="H105" s="26" t="n">
        <x:v>97.854</x:v>
      </x:c>
      <x:c r="I105" s="9" t="s">
        <x:v>98</x:v>
      </x:c>
    </x:row>
    <x:row r="106" ht="15" hidden="0">
      <x:c r="A106" t="s">
        <x:v>456</x:v>
      </x:c>
      <x:c r="B106" s="19" t="s">
        <x:v>457</x:v>
      </x:c>
      <x:c r="C106" s="30"/>
      <x:c r="D106" s="27" t="n">
        <x:f aca="0">-D95-D105</x:f>
        <x:v>92.11200000000001</x:v>
      </x:c>
      <x:c r="E106" s="27" t="n">
        <x:f aca="0">-E95-E105</x:f>
        <x:v>995.224</x:v>
      </x:c>
      <x:c r="F106" s="27" t="n">
        <x:f aca="0">-F95-F105</x:f>
        <x:v>2624.81</x:v>
      </x:c>
      <x:c r="G106" s="27" t="n">
        <x:f aca="0">-G95-G105</x:f>
        <x:v>5523.737</x:v>
      </x:c>
      <x:c r="H106" s="27" t="n">
        <x:f aca="0">-H95-H105</x:f>
        <x:v>5674.277999999999</x:v>
      </x:c>
      <x:c r="I106" s="9" t="s">
        <x:v>98</x:v>
      </x:c>
    </x:row>
    <x:row r="107" ht="15" hidden="0">
      <x:c r="A107" t="s">
        <x:v>458</x:v>
      </x:c>
      <x:c r="B107" s="19" t="s">
        <x:v>998</x:v>
      </x:c>
      <x:c r="C107" s="30"/>
      <x:c r="D107" s="26" t="n">
        <x:v>1599.551</x:v>
      </x:c>
      <x:c r="E107" s="26" t="n">
        <x:v>2950.143</x:v>
      </x:c>
      <x:c r="F107" s="26" t="n">
        <x:v>3649.886</x:v>
      </x:c>
      <x:c r="G107" s="26" t="n">
        <x:v>4058.051</x:v>
      </x:c>
      <x:c r="H107" s="26" t="n">
        <x:v>4969.739</x:v>
      </x:c>
      <x:c r="I107" s="9" t="s">
        <x:v>98</x:v>
      </x:c>
    </x:row>
    <x:row r="108" ht="15" hidden="0">
      <x:c r="A108" s="2" t="s">
        <x:v>460</x:v>
      </x:c>
      <x:c r="B108" s="19" t="s">
        <x:v>461</x:v>
      </x:c>
      <x:c r="C108" s="31"/>
      <x:c r="D108" s="28" t="n">
        <x:f aca="0">D96-D95</x:f>
        <x:v>5217.314999999999</x:v>
      </x:c>
      <x:c r="E108" s="28" t="n">
        <x:f aca="0">E96-E95</x:f>
        <x:v>12729.705000000002</x:v>
      </x:c>
      <x:c r="F108" s="28" t="n">
        <x:f aca="0">F96-F95</x:f>
        <x:v>16545.374000000007</x:v>
      </x:c>
      <x:c r="G108" s="28" t="n">
        <x:f aca="0">G96-G95</x:f>
        <x:v>20891.251999999993</x:v>
      </x:c>
      <x:c r="H108" s="28" t="n">
        <x:f aca="0">H96-H95</x:f>
        <x:v>27297.651999999987</x:v>
      </x:c>
      <x:c r="I108" s="9" t="s">
        <x:v>98</x:v>
      </x:c>
    </x:row>
    <x:row r="109" ht="15" hidden="0">
      <x:c r="A109" s="2" t="s">
        <x:v>462</x:v>
      </x:c>
      <x:c r="B109" s="19" t="s">
        <x:v>463</x:v>
      </x:c>
      <x:c r="C109" s="31"/>
      <x:c r="D109" s="28" t="n">
        <x:f aca="0">D108+D107</x:f>
        <x:v>6816.865999999998</x:v>
      </x:c>
      <x:c r="E109" s="28" t="n">
        <x:f aca="0">E108+E107</x:f>
        <x:v>15679.848000000002</x:v>
      </x:c>
      <x:c r="F109" s="28" t="n">
        <x:f aca="0">F108+F107</x:f>
        <x:v>20195.260000000006</x:v>
      </x:c>
      <x:c r="G109" s="28" t="n">
        <x:f aca="0">G108+G107</x:f>
        <x:v>24949.302999999993</x:v>
      </x:c>
      <x:c r="H109" s="28" t="n">
        <x:f aca="0">H108+H107</x:f>
        <x:v>32267.39099999999</x:v>
      </x:c>
      <x:c r="I109" s="9" t="s">
        <x:v>98</x:v>
      </x:c>
    </x:row>
    <x:row r="110" ht="15" hidden="0">
      <x:c r="A110" t="s">
        <x:v>464</x:v>
      </x:c>
      <x:c r="B110" s="19" t="s">
        <x:v>465</x:v>
      </x:c>
      <x:c r="C110" s="30"/>
      <x:c r="D110" s="27" t="n">
        <x:f aca="0">-(D97+D98)</x:f>
        <x:v>1636.341</x:v>
      </x:c>
      <x:c r="E110" s="27" t="n">
        <x:f aca="0">-(E97+E98)</x:f>
        <x:v>4415.553</x:v>
      </x:c>
      <x:c r="F110" s="27" t="n">
        <x:f aca="0">-(F97+F98)</x:f>
        <x:v>5460.428</x:v>
      </x:c>
      <x:c r="G110" s="27" t="n">
        <x:f aca="0">-(G97+G98)</x:f>
        <x:v>7131.838</x:v>
      </x:c>
      <x:c r="H110" s="27" t="n">
        <x:f aca="0">-(H97+H98)</x:f>
        <x:v>8199.318</x:v>
      </x:c>
      <x:c r="I110" s="9" t="s">
        <x:v>98</x:v>
      </x:c>
    </x:row>
    <x:row r="111" ht="15" hidden="0">
      <x:c r="A111" t="s">
        <x:v>466</x:v>
      </x:c>
      <x:c r="B111" s="19" t="s">
        <x:v>467</x:v>
      </x:c>
      <x:c r="C111" s="30"/>
      <x:c r="D111" s="32" t="n">
        <x:f aca="0">IF(D96&lt;=0,"n/m",D110/D96)</x:f>
        <x:v>0.32036798616674617</x:v>
      </x:c>
      <x:c r="E111" s="32" t="n">
        <x:f aca="0">IF(E96&lt;=0,"n/m",E110/E96)</x:f>
        <x:v>0.383025449222174</x:v>
      </x:c>
      <x:c r="F111" s="32" t="n">
        <x:f aca="0">IF(F96&lt;=0,"n/m",F110/F96)</x:f>
        <x:v>0.42328541565036365</x:v>
      </x:c>
      <x:c r="G111" s="32" t="n">
        <x:f aca="0">IF(G96&lt;=0,"n/m",G110/G96)</x:f>
        <x:v>0.4644649537862505</x:v>
      </x:c>
      <x:c r="H111" s="32" t="n">
        <x:f aca="0">IF(H96&lt;=0,"n/m",H110/H96)</x:f>
        <x:v>0.3809114948210312</x:v>
      </x:c>
      <x:c r="I111" s="9" t="s">
        <x:v>127</x:v>
      </x:c>
    </x:row>
    <x:row r="112" ht="15" hidden="0">
      <x:c r="A112" t="s">
        <x:v>468</x:v>
      </x:c>
      <x:c r="B112" s="19" t="s">
        <x:v>469</x:v>
      </x:c>
      <x:c r="C112" s="30"/>
      <x:c r="D112" s="32" t="n">
        <x:f aca="0">IF(AND(ISNUMBER(D111),D111&gt;=0,D111&lt;=0.6),D111,'Overview &amp; Methodology'!$C$35)</x:f>
        <x:v>0.32036798616674617</x:v>
      </x:c>
      <x:c r="E112" s="32" t="n">
        <x:f aca="0">IF(AND(ISNUMBER(E111),E111&gt;=0,E111&lt;=0.6),E111,'Overview &amp; Methodology'!$D$35)</x:f>
        <x:v>0.383025449222174</x:v>
      </x:c>
      <x:c r="F112" s="32" t="n">
        <x:f aca="0">IF(AND(ISNUMBER(F111),F111&gt;=0,F111&lt;=0.6),F111,'Overview &amp; Methodology'!$E$35)</x:f>
        <x:v>0.42328541565036365</x:v>
      </x:c>
      <x:c r="G112" s="32" t="n">
        <x:f aca="0">IF(AND(ISNUMBER(G111),G111&gt;=0,G111&lt;=0.6),G111,'Overview &amp; Methodology'!$F$35)</x:f>
        <x:v>0.4644649537862505</x:v>
      </x:c>
      <x:c r="H112" s="32" t="n">
        <x:f aca="0">IF(AND(ISNUMBER(H111),H111&gt;=0,H111&lt;=0.6),H111,'Overview &amp; Methodology'!$G$35)</x:f>
        <x:v>0.3809114948210312</x:v>
      </x:c>
      <x:c r="I112" s="9" t="s">
        <x:v>127</x:v>
      </x:c>
    </x:row>
    <x:row r="113" ht="15" hidden="0">
      <x:c r="A113" t="s">
        <x:v>470</x:v>
      </x:c>
      <x:c r="B113" s="19" t="s">
        <x:v>471</x:v>
      </x:c>
      <x:c r="C113" s="30"/>
      <x:c r="D113" s="27" t="n">
        <x:f aca="0">D108*(1-D112)</x:f>
        <x:v>3545.854300252442</x:v>
      </x:c>
      <x:c r="E113" s="27" t="n">
        <x:f aca="0">E108*(1-E112)</x:f>
        <x:v>7853.904023909246</x:v>
      </x:c>
      <x:c r="F113" s="27" t="n">
        <x:f aca="0">F108*(1-F112)</x:f>
        <x:v>9541.958489319286</x:v>
      </x:c>
      <x:c r="G113" s="27" t="n">
        <x:f aca="0">G108*(1-G112)</x:f>
        <x:v>11187.997605283083</x:v>
      </x:c>
      <x:c r="H113" s="27" t="n">
        <x:f aca="0">H108*(1-H112)</x:f>
        <x:v>16899.662571575678</x:v>
      </x:c>
      <x:c r="I113" s="9" t="s">
        <x:v>98</x:v>
      </x:c>
    </x:row>
    <x:row r="115" ht="15" hidden="0">
      <x:c r="A115" s="5" t="s">
        <x:v>472</x:v>
      </x:c>
      <x:c r="B115" s="20"/>
      <x:c r="C115" s="20"/>
      <x:c r="D115" s="20"/>
      <x:c r="E115" s="20"/>
      <x:c r="F115" s="20"/>
      <x:c r="G115" s="20"/>
      <x:c r="H115" s="20"/>
      <x:c r="I115" s="20"/>
      <x:c r="J115" s="20"/>
    </x:row>
    <x:row r="116" ht="15" hidden="0">
      <x:c r="A116" t="s">
        <x:v>473</x:v>
      </x:c>
      <x:c r="B116" s="19" t="s">
        <x:v>999</x:v>
      </x:c>
      <x:c r="C116" s="30"/>
      <x:c r="D116" s="26" t="n">
        <x:v>0</x:v>
      </x:c>
      <x:c r="E116" s="26" t="n">
        <x:v>0</x:v>
      </x:c>
      <x:c r="F116" s="26" t="n">
        <x:v>0</x:v>
      </x:c>
      <x:c r="G116" s="26" t="n">
        <x:v>0</x:v>
      </x:c>
      <x:c r="H116" s="26" t="n">
        <x:v>0</x:v>
      </x:c>
      <x:c r="I116" s="9" t="s">
        <x:v>98</x:v>
      </x:c>
    </x:row>
    <x:row r="117" ht="15" hidden="0">
      <x:c r="A117" t="s">
        <x:v>475</x:v>
      </x:c>
      <x:c r="B117" s="19" t="s">
        <x:v>1000</x:v>
      </x:c>
      <x:c r="C117" s="30"/>
      <x:c r="D117" s="26" t="n">
        <x:v>5739.097</x:v>
      </x:c>
      <x:c r="E117" s="26" t="n">
        <x:v>7567.564</x:v>
      </x:c>
      <x:c r="F117" s="26" t="n">
        <x:v>16030.998</x:v>
      </x:c>
      <x:c r="G117" s="26" t="n">
        <x:v>22284.607</x:v>
      </x:c>
      <x:c r="H117" s="26" t="n">
        <x:v>24313.208</x:v>
      </x:c>
      <x:c r="I117" s="9" t="s">
        <x:v>98</x:v>
      </x:c>
    </x:row>
    <x:row r="118" ht="15" hidden="0">
      <x:c r="A118" t="s">
        <x:v>477</x:v>
      </x:c>
      <x:c r="B118" s="19" t="s">
        <x:v>1001</x:v>
      </x:c>
      <x:c r="C118" s="30"/>
      <x:c r="D118" s="26" t="n">
        <x:v>-94.843</x:v>
      </x:c>
      <x:c r="E118" s="26" t="n">
        <x:v>-985.172</x:v>
      </x:c>
      <x:c r="F118" s="26" t="n">
        <x:v>-2483.101</x:v>
      </x:c>
      <x:c r="G118" s="26" t="n">
        <x:v>-6993.06</x:v>
      </x:c>
      <x:c r="H118" s="26" t="n">
        <x:v>-5559.451</x:v>
      </x:c>
      <x:c r="I118" s="9" t="s">
        <x:v>98</x:v>
      </x:c>
    </x:row>
    <x:row r="119" ht="15" hidden="0">
      <x:c r="A119" t="s">
        <x:v>479</x:v>
      </x:c>
      <x:c r="B119" s="19" t="s">
        <x:v>1002</x:v>
      </x:c>
      <x:c r="C119" s="30"/>
      <x:c r="D119" s="33" t="s">
        <x:v>914</x:v>
      </x:c>
      <x:c r="E119" s="33" t="s">
        <x:v>914</x:v>
      </x:c>
      <x:c r="F119" s="33" t="s">
        <x:v>914</x:v>
      </x:c>
      <x:c r="G119" s="33" t="s">
        <x:v>914</x:v>
      </x:c>
      <x:c r="H119" s="33" t="s">
        <x:v>914</x:v>
      </x:c>
      <x:c r="I119" s="9" t="s">
        <x:v>482</x:v>
      </x:c>
    </x:row>
    <x:row r="120" ht="15" hidden="0">
      <x:c r="A120" t="s">
        <x:v>483</x:v>
      </x:c>
      <x:c r="B120" s="19" t="s">
        <x:v>484</x:v>
      </x:c>
      <x:c r="C120" s="30"/>
      <x:c r="D120" s="27" t="n">
        <x:f aca="0">IF(D119="Financing",D117+D118,D117)</x:f>
        <x:v>5644.254</x:v>
      </x:c>
      <x:c r="E120" s="27" t="n">
        <x:f aca="0">IF(E119="Financing",E117+E118,E117)</x:f>
        <x:v>6582.392</x:v>
      </x:c>
      <x:c r="F120" s="27" t="n">
        <x:f aca="0">IF(F119="Financing",F117+F118,F117)</x:f>
        <x:v>13547.896999999999</x:v>
      </x:c>
      <x:c r="G120" s="27" t="n">
        <x:f aca="0">IF(G119="Financing",G117+G118,G117)</x:f>
        <x:v>15291.546999999999</x:v>
      </x:c>
      <x:c r="H120" s="27" t="n">
        <x:f aca="0">IF(H119="Financing",H117+H118,H117)</x:f>
        <x:v>18753.756999999998</x:v>
      </x:c>
      <x:c r="I120" s="9" t="s">
        <x:v>98</x:v>
      </x:c>
    </x:row>
    <x:row r="121" ht="15" hidden="0">
      <x:c r="A121" t="s">
        <x:v>485</x:v>
      </x:c>
      <x:c r="B121" s="19" t="s">
        <x:v>1003</x:v>
      </x:c>
      <x:c r="C121" s="30"/>
      <x:c r="D121" s="26" t="n">
        <x:v>-1007.205</x:v>
      </x:c>
      <x:c r="E121" s="26" t="n">
        <x:v>-28425.596</x:v>
      </x:c>
      <x:c r="F121" s="26" t="n">
        <x:v>-33903.442</x:v>
      </x:c>
      <x:c r="G121" s="26" t="n">
        <x:v>-8478.876</x:v>
      </x:c>
      <x:c r="H121" s="26" t="n">
        <x:v>-3477.647</x:v>
      </x:c>
      <x:c r="I121" s="9" t="s">
        <x:v>98</x:v>
      </x:c>
    </x:row>
    <x:row r="122" ht="15" hidden="0">
      <x:c r="A122" t="s">
        <x:v>487</x:v>
      </x:c>
      <x:c r="B122" s="19" t="s">
        <x:v>1004</x:v>
      </x:c>
      <x:c r="C122" s="30"/>
      <x:c r="D122" s="26" t="n">
        <x:v>-5141.658</x:v>
      </x:c>
      <x:c r="E122" s="26" t="n">
        <x:v>-26064.704</x:v>
      </x:c>
      <x:c r="F122" s="26" t="n">
        <x:v>-29667.173</x:v>
      </x:c>
      <x:c r="G122" s="26" t="n">
        <x:v>-8158.036</x:v>
      </x:c>
      <x:c r="H122" s="26" t="n">
        <x:v>-11259.19</x:v>
      </x:c>
      <x:c r="I122" s="9" t="s">
        <x:v>98</x:v>
      </x:c>
    </x:row>
    <x:row r="123" ht="15" hidden="0">
      <x:c r="A123" t="s">
        <x:v>489</x:v>
      </x:c>
      <x:c r="B123" s="19" t="s">
        <x:v>1005</x:v>
      </x:c>
      <x:c r="C123" s="30"/>
      <x:c r="D123" s="26" t="n">
        <x:v>-5.455</x:v>
      </x:c>
      <x:c r="E123" s="26" t="n">
        <x:v>19345.923</x:v>
      </x:c>
      <x:c r="F123" s="26" t="n">
        <x:v>10897.767</x:v>
      </x:c>
      <x:c r="G123" s="26" t="n">
        <x:v>-8479.996</x:v>
      </x:c>
      <x:c r="H123" s="26" t="n">
        <x:v>-12739.192</x:v>
      </x:c>
      <x:c r="I123" s="9" t="s">
        <x:v>98</x:v>
      </x:c>
    </x:row>
    <x:row r="124" ht="15" hidden="0">
      <x:c r="A124" t="s">
        <x:v>491</x:v>
      </x:c>
      <x:c r="B124" s="19" t="s">
        <x:v>1006</x:v>
      </x:c>
      <x:c r="C124" s="30"/>
      <x:c r="D124" s="26" t="n">
        <x:v>-1.572</x:v>
      </x:c>
      <x:c r="E124" s="26" t="n">
        <x:v>-1.322</x:v>
      </x:c>
      <x:c r="F124" s="26" t="n">
        <x:v>-1.156</x:v>
      </x:c>
      <x:c r="G124" s="26" t="n">
        <x:v>-0.355</x:v>
      </x:c>
      <x:c r="H124" s="26" t="n">
        <x:v>-2447.311</x:v>
      </x:c>
      <x:c r="I124" s="9" t="s">
        <x:v>98</x:v>
      </x:c>
    </x:row>
    <x:row r="126" ht="15" hidden="0">
      <x:c r="A126" s="5" t="s">
        <x:v>493</x:v>
      </x:c>
      <x:c r="B126" s="20"/>
      <x:c r="C126" s="20"/>
      <x:c r="D126" s="20"/>
      <x:c r="E126" s="20"/>
      <x:c r="F126" s="20"/>
      <x:c r="G126" s="20"/>
      <x:c r="H126" s="20"/>
      <x:c r="I126" s="20"/>
      <x:c r="J126" s="20"/>
    </x:row>
    <x:row r="127" ht="15" hidden="0">
      <x:c r="A127" t="s">
        <x:v>494</x:v>
      </x:c>
      <x:c r="B127" s="19" t="s">
        <x:v>1007</x:v>
      </x:c>
      <x:c r="C127" s="30"/>
      <x:c r="D127" s="34" t="n">
        <x:v>10</x:v>
      </x:c>
      <x:c r="E127" s="34" t="n">
        <x:v>10</x:v>
      </x:c>
      <x:c r="F127" s="34" t="n">
        <x:v>10</x:v>
      </x:c>
      <x:c r="G127" s="34" t="n">
        <x:v>10</x:v>
      </x:c>
      <x:c r="H127" s="34" t="n">
        <x:v>10</x:v>
      </x:c>
      <x:c r="I127" s="9" t="s">
        <x:v>158</x:v>
      </x:c>
    </x:row>
    <x:row r="128" ht="15" hidden="0">
      <x:c r="A128" t="s">
        <x:v>496</x:v>
      </x:c>
      <x:c r="B128" s="19" t="s">
        <x:v>497</x:v>
      </x:c>
      <x:c r="C128" s="30"/>
      <x:c r="D128" s="35" t="n">
        <x:f aca="0">D39/D127-D135</x:f>
        <x:v>1379.815</x:v>
      </x:c>
      <x:c r="E128" s="35" t="n">
        <x:f aca="0">E39/E127-E135</x:f>
        <x:v>2180.309</x:v>
      </x:c>
      <x:c r="F128" s="35" t="n">
        <x:f aca="0">F39/F127-F135</x:f>
        <x:v>2452.8476</x:v>
      </x:c>
      <x:c r="G128" s="35" t="n">
        <x:f aca="0">G39/G127-G135</x:f>
        <x:v>2452.8476</x:v>
      </x:c>
      <x:c r="H128" s="35" t="n">
        <x:f aca="0">H39/H127-H135</x:f>
        <x:v>2452.8476</x:v>
      </x:c>
      <x:c r="I128" s="9" t="s">
        <x:v>498</x:v>
      </x:c>
    </x:row>
    <x:row r="129" ht="15" hidden="0">
      <x:c r="A129" t="s">
        <x:v>499</x:v>
      </x:c>
      <x:c r="B129" s="19" t="s">
        <x:v>1008</x:v>
      </x:c>
      <x:c r="C129" s="30"/>
      <x:c r="D129" s="36" t="n">
        <x:v>1379.815</x:v>
      </x:c>
      <x:c r="E129" s="36" t="n">
        <x:v>2180.309</x:v>
      </x:c>
      <x:c r="F129" s="36" t="n">
        <x:f>F128</x:f>
        <x:v>2452.8476</x:v>
      </x:c>
      <x:c r="G129" s="36" t="n">
        <x:v>2452.847</x:v>
      </x:c>
      <x:c r="H129" s="36" t="n">
        <x:v>2452.847</x:v>
      </x:c>
      <x:c r="I129" s="9" t="s">
        <x:v>498</x:v>
      </x:c>
    </x:row>
    <x:row r="130" ht="15" hidden="0">
      <x:c r="A130" t="str">
        <x:v>FY-end share price (Rs; last PSX close)</x:v>
      </x:c>
      <x:c r="B130" s="19" t="s">
        <x:v>1009</x:v>
      </x:c>
      <x:c r="C130" s="30"/>
      <x:c r="D130" s="34" t="n">
        <x:v>23</x:v>
      </x:c>
      <x:c r="E130" s="34" t="n">
        <x:v>14.17</x:v>
      </x:c>
      <x:c r="F130" s="34" t="n">
        <x:v>11.76</x:v>
      </x:c>
      <x:c r="G130" s="34" t="n">
        <x:v>22.91</x:v>
      </x:c>
      <x:c r="H130" s="34" t="n">
        <x:v>44.67</x:v>
      </x:c>
      <x:c r="I130" s="9" t="s">
        <x:v>158</x:v>
      </x:c>
    </x:row>
    <x:row r="131" ht="15" hidden="0">
      <x:c r="A131" t="s">
        <x:v>502</x:v>
      </x:c>
      <x:c r="B131" s="19" t="s">
        <x:v>1010</x:v>
      </x:c>
      <x:c r="C131" s="30"/>
      <x:c r="D131" s="34" t="n">
        <x:v>0</x:v>
      </x:c>
      <x:c r="E131" s="34" t="n">
        <x:v>0</x:v>
      </x:c>
      <x:c r="F131" s="34" t="n">
        <x:v>0</x:v>
      </x:c>
      <x:c r="G131" s="34" t="n">
        <x:v>1</x:v>
      </x:c>
      <x:c r="H131" s="34" t="n">
        <x:v>1.25</x:v>
      </x:c>
      <x:c r="I131" s="9" t="s">
        <x:v>158</x:v>
      </x:c>
    </x:row>
    <x:row r="132" ht="15" hidden="0">
      <x:c r="A132" t="str">
        <x:v>Reported EPS (Rs; own-year report basis)</x:v>
      </x:c>
      <x:c r="B132" s="19" t="s">
        <x:v>1011</x:v>
      </x:c>
      <x:c r="C132" s="30"/>
      <x:c r="D132" s="34" t="n">
        <x:v>2.52</x:v>
      </x:c>
      <x:c r="E132" s="34" t="n">
        <x:v>3.26</x:v>
      </x:c>
      <x:c r="F132" s="34" t="n">
        <x:v>3.16</x:v>
      </x:c>
      <x:c r="G132" s="34" t="n">
        <x:v>3.35</x:v>
      </x:c>
      <x:c r="H132" s="34" t="n">
        <x:v>5.43</x:v>
      </x:c>
      <x:c r="I132" s="9" t="s">
        <x:v>158</x:v>
      </x:c>
    </x:row>
    <x:row r="133" ht="15" hidden="0">
      <x:c r="A133" t="s">
        <x:v>505</x:v>
      </x:c>
      <x:c r="B133" s="19" t="s">
        <x:v>506</x:v>
      </x:c>
      <x:c r="C133" s="30"/>
      <x:c r="D133" s="27" t="n">
        <x:f aca="0">D130*D128</x:f>
        <x:v>31735.745000000003</x:v>
      </x:c>
      <x:c r="E133" s="27" t="n">
        <x:f aca="0">E130*E128</x:f>
        <x:v>30894.978530000004</x:v>
      </x:c>
      <x:c r="F133" s="27" t="n">
        <x:f aca="0">F130*F128</x:f>
        <x:v>28845.487776</x:v>
      </x:c>
      <x:c r="G133" s="27" t="n">
        <x:f aca="0">G130*G128</x:f>
        <x:v>56194.738516000005</x:v>
      </x:c>
      <x:c r="H133" s="27" t="n">
        <x:f aca="0">H130*H128</x:f>
        <x:v>109568.702292</x:v>
      </x:c>
      <x:c r="I133" s="9" t="s">
        <x:v>98</x:v>
      </x:c>
    </x:row>
    <x:row r="134" ht="15" hidden="0">
      <x:c r="A134" t="str">
        <x:v>Factor to FY2025 annual-report split basis (memo)</x:v>
      </x:c>
      <x:c r="B134" s="19" t="s">
        <x:v>1012</x:v>
      </x:c>
      <x:c r="C134" s="30"/>
      <x:c r="D134" s="34" t="n">
        <x:v>1</x:v>
      </x:c>
      <x:c r="E134" s="34" t="n">
        <x:v>1</x:v>
      </x:c>
      <x:c r="F134" s="34" t="n">
        <x:v>1</x:v>
      </x:c>
      <x:c r="G134" s="34" t="n">
        <x:v>1</x:v>
      </x:c>
      <x:c r="H134" s="34" t="n">
        <x:v>1</x:v>
      </x:c>
      <x:c r="I134" s="9" t="s">
        <x:v>508</x:v>
      </x:c>
    </x:row>
    <x:row r="135">
      <x:c r="A135" t="str">
        <x:v>Treasury shares excluded (million)</x:v>
      </x:c>
      <x:c r="B135" s="19"/>
      <x:c r="C135" s="30"/>
      <x:c r="D135" s="34" t="n">
        <x:v>0</x:v>
      </x:c>
      <x:c r="E135" s="34" t="n">
        <x:v>0</x:v>
      </x:c>
      <x:c r="F135" s="34" t="n">
        <x:v>0</x:v>
      </x:c>
      <x:c r="G135" s="34" t="n">
        <x:v>0</x:v>
      </x:c>
      <x:c r="H135" s="34" t="n">
        <x:v>0</x:v>
      </x:c>
    </x:row>
    <x:row r="136" ht="15" hidden="0">
      <x:c r="A136" s="5" t="s">
        <x:v>509</x:v>
      </x:c>
      <x:c r="B136" s="20"/>
      <x:c r="C136" s="20"/>
      <x:c r="D136" s="20"/>
      <x:c r="E136" s="20"/>
      <x:c r="F136" s="20"/>
      <x:c r="G136" s="20"/>
      <x:c r="H136" s="20"/>
      <x:c r="I136" s="20"/>
      <x:c r="J136" s="20"/>
    </x:row>
    <x:row r="137" ht="15" hidden="0">
      <x:c r="A137" s="24" t="s">
        <x:v>510</x:v>
      </x:c>
      <x:c r="B137" s="25"/>
      <x:c r="C137" s="25"/>
      <x:c r="D137" s="25"/>
      <x:c r="E137" s="25"/>
      <x:c r="F137" s="25"/>
      <x:c r="G137" s="25"/>
      <x:c r="H137" s="25"/>
      <x:c r="I137" s="25"/>
      <x:c r="J137" s="25"/>
    </x:row>
    <x:row r="138" ht="15" hidden="0">
      <x:c r="A138" t="s">
        <x:v>87</x:v>
      </x:c>
      <x:c r="B138" s="19" t="s">
        <x:v>88</x:v>
      </x:c>
      <x:c r="C138" s="30"/>
      <x:c r="D138" s="37" t="n">
        <x:f aca="0">D36/D61</x:f>
        <x:v>2.01862288296847</x:v>
      </x:c>
      <x:c r="E138" s="37" t="n">
        <x:f aca="0">E36/E61</x:f>
        <x:v>1.0559688948718087</x:v>
      </x:c>
      <x:c r="F138" s="37" t="n">
        <x:f aca="0">F36/F61</x:f>
        <x:v>0.8121113755800701</x:v>
      </x:c>
      <x:c r="G138" s="37" t="n">
        <x:f aca="0">G36/G61</x:f>
        <x:v>0.9597477311673009</x:v>
      </x:c>
      <x:c r="H138" s="37" t="n">
        <x:f aca="0">H36/H61</x:f>
        <x:v>1.3210140828410366</x:v>
      </x:c>
      <x:c r="I138" s="9" t="s">
        <x:v>89</x:v>
      </x:c>
    </x:row>
    <x:row r="139" ht="15" hidden="0">
      <x:c r="A139" t="s">
        <x:v>92</x:v>
      </x:c>
      <x:c r="B139" s="19" t="s">
        <x:v>93</x:v>
      </x:c>
      <x:c r="C139" s="30"/>
      <x:c r="D139" s="37" t="n">
        <x:f aca="0">(D36-D65)/D61</x:f>
        <x:v>1.1357988467684703</x:v>
      </x:c>
      <x:c r="E139" s="37" t="n">
        <x:f aca="0">(E36-E65)/E61</x:f>
        <x:v>0.4707842106056928</x:v>
      </x:c>
      <x:c r="F139" s="37" t="n">
        <x:f aca="0">(F36-F65)/F61</x:f>
        <x:v>0.2812171087331332</x:v>
      </x:c>
      <x:c r="G139" s="37" t="n">
        <x:f aca="0">(G36-G65)/G61</x:f>
        <x:v>0.3420463898878065</x:v>
      </x:c>
      <x:c r="H139" s="37" t="n">
        <x:f aca="0">(H36-H65)/H61</x:f>
        <x:v>0.6775338076736492</x:v>
      </x:c>
      <x:c r="I139" s="9" t="s">
        <x:v>89</x:v>
      </x:c>
    </x:row>
    <x:row r="140" ht="15" hidden="0">
      <x:c r="A140" t="s">
        <x:v>94</x:v>
      </x:c>
      <x:c r="B140" s="19" t="s">
        <x:v>95</x:v>
      </x:c>
      <x:c r="C140" s="30"/>
      <x:c r="D140" s="37" t="n">
        <x:f aca="0">D34/D61</x:f>
        <x:v>0.14618299383526975</x:v>
      </x:c>
      <x:c r="E140" s="37" t="n">
        <x:f aca="0">E34/E61</x:f>
        <x:v>0.08632203736853207</x:v>
      </x:c>
      <x:c r="F140" s="37" t="n">
        <x:f aca="0">F34/F61</x:f>
        <x:v>0.03406683538776042</x:v>
      </x:c>
      <x:c r="G140" s="37" t="n">
        <x:f aca="0">G34/G61</x:f>
        <x:v>0.10917301381732912</x:v>
      </x:c>
      <x:c r="H140" s="37" t="n">
        <x:f aca="0">H34/H61</x:f>
        <x:v>0.08699594487108397</x:v>
      </x:c>
      <x:c r="I140" s="9" t="s">
        <x:v>89</x:v>
      </x:c>
    </x:row>
    <x:row r="141" ht="15" hidden="0">
      <x:c r="A141" t="s">
        <x:v>96</x:v>
      </x:c>
      <x:c r="B141" s="19" t="s">
        <x:v>97</x:v>
      </x:c>
      <x:c r="C141" s="30"/>
      <x:c r="D141" s="38" t="n">
        <x:f aca="0">D36-D61</x:f>
        <x:v>6276.743</x:v>
      </x:c>
      <x:c r="E141" s="38" t="n">
        <x:f aca="0">E36-E61</x:f>
        <x:v>1495.559000000001</x:v>
      </x:c>
      <x:c r="F141" s="38" t="n">
        <x:f aca="0">F36-F61</x:f>
        <x:v>-5352.356000000003</x:v>
      </x:c>
      <x:c r="G141" s="38" t="n">
        <x:f aca="0">G36-G61</x:f>
        <x:v>-1081.3960000000043</x:v>
      </x:c>
      <x:c r="H141" s="38" t="n">
        <x:f aca="0">H36-H61</x:f>
        <x:v>9835.068000000007</x:v>
      </x:c>
      <x:c r="I141" s="9" t="s">
        <x:v>98</x:v>
      </x:c>
    </x:row>
    <x:row r="142" ht="15" hidden="0">
      <x:c r="A142" t="s">
        <x:v>100</x:v>
      </x:c>
      <x:c r="B142" s="19" t="s">
        <x:v>101</x:v>
      </x:c>
      <x:c r="C142" s="30"/>
      <x:c r="D142" s="38" t="n">
        <x:f aca="0">D72-D73</x:f>
        <x:v>3035.393000000001</x:v>
      </x:c>
      <x:c r="E142" s="38" t="n">
        <x:f aca="0">E72-E73</x:f>
        <x:v>9408.205</x:v>
      </x:c>
      <x:c r="F142" s="38" t="n">
        <x:f aca="0">F72-F73</x:f>
        <x:v>10212.416999999998</x:v>
      </x:c>
      <x:c r="G142" s="38" t="n">
        <x:f aca="0">G72-G73</x:f>
        <x:v>10303.164999999997</x:v>
      </x:c>
      <x:c r="H142" s="38" t="n">
        <x:f aca="0">H72-H73</x:f>
        <x:v>14427.799000000005</x:v>
      </x:c>
      <x:c r="I142" s="9" t="s">
        <x:v>98</x:v>
      </x:c>
    </x:row>
    <x:row r="143" ht="15" hidden="0">
      <x:c r="A143" s="24" t="s">
        <x:v>511</x:v>
      </x:c>
      <x:c r="B143" s="25"/>
      <x:c r="C143" s="25"/>
      <x:c r="D143" s="25"/>
      <x:c r="E143" s="25"/>
      <x:c r="F143" s="25"/>
      <x:c r="G143" s="25"/>
      <x:c r="H143" s="25"/>
      <x:c r="I143" s="25"/>
      <x:c r="J143" s="25"/>
    </x:row>
    <x:row r="144" ht="15" hidden="0">
      <x:c r="A144" t="s">
        <x:v>102</x:v>
      </x:c>
      <x:c r="B144" s="19" t="s">
        <x:v>103</x:v>
      </x:c>
      <x:c r="C144" s="30"/>
      <x:c r="D144" s="37" t="n">
        <x:f aca="0">-D85/((C65+D65)/2)</x:f>
        <x:v>3.593399445976929</x:v>
      </x:c>
      <x:c r="E144" s="37" t="n">
        <x:f aca="0">-E85/((D65+E65)/2)</x:f>
        <x:v>3.679828550986344</x:v>
      </x:c>
      <x:c r="F144" s="37" t="n">
        <x:f aca="0">-F85/((E65+F65)/2)</x:f>
        <x:v>3.0981941833220765</x:v>
      </x:c>
      <x:c r="G144" s="37" t="n">
        <x:f aca="0">-G85/((F65+G65)/2)</x:f>
        <x:v>3.4267755412065504</x:v>
      </x:c>
      <x:c r="H144" s="37" t="n">
        <x:f aca="0">-H85/((G65+H65)/2)</x:f>
        <x:v>3.1608830315846066</x:v>
      </x:c>
      <x:c r="I144" s="9" t="s">
        <x:v>89</x:v>
      </x:c>
    </x:row>
    <x:row r="145" ht="15" hidden="0">
      <x:c r="A145" t="s">
        <x:v>105</x:v>
      </x:c>
      <x:c r="B145" s="19" t="s">
        <x:v>106</x:v>
      </x:c>
      <x:c r="C145" s="30"/>
      <x:c r="D145" s="37" t="n">
        <x:f aca="0">D84/((C32+D32)/2)</x:f>
        <x:v>19.415164144242155</x:v>
      </x:c>
      <x:c r="E145" s="37" t="n">
        <x:f aca="0">E84/((D32+E32)/2)</x:f>
        <x:v>28.088084014998095</x:v>
      </x:c>
      <x:c r="F145" s="37" t="n">
        <x:f aca="0">F84/((E32+F32)/2)</x:f>
        <x:v>22.74585573789227</x:v>
      </x:c>
      <x:c r="G145" s="37" t="n">
        <x:f aca="0">G84/((F32+G32)/2)</x:f>
        <x:v>17.554064923929165</x:v>
      </x:c>
      <x:c r="H145" s="37" t="n">
        <x:f aca="0">H84/((G32+H32)/2)</x:f>
        <x:v>14.28264409693107</x:v>
      </x:c>
      <x:c r="I145" s="9" t="s">
        <x:v>89</x:v>
      </x:c>
    </x:row>
    <x:row r="146" ht="15" hidden="0">
      <x:c r="A146" t="s">
        <x:v>107</x:v>
      </x:c>
      <x:c r="B146" s="19" t="s">
        <x:v>108</x:v>
      </x:c>
      <x:c r="C146" s="30"/>
      <x:c r="D146" s="37" t="n">
        <x:f aca="0">-D85/((C51+D51)/2)</x:f>
        <x:v>29.905586617872185</x:v>
      </x:c>
      <x:c r="E146" s="37" t="n">
        <x:f aca="0">-E85/((D51+E51)/2)</x:f>
        <x:v>21.870744516457957</x:v>
      </x:c>
      <x:c r="F146" s="37" t="n">
        <x:f aca="0">-F85/((E51+F51)/2)</x:f>
        <x:v>17.959235676951813</x:v>
      </x:c>
      <x:c r="G146" s="37" t="n">
        <x:f aca="0">-G85/((F51+G51)/2)</x:f>
        <x:v>20.3161719818632</x:v>
      </x:c>
      <x:c r="H146" s="37" t="n">
        <x:f aca="0">-H85/((G51+H51)/2)</x:f>
        <x:v>24.107258331311616</x:v>
      </x:c>
      <x:c r="I146" s="9" t="s">
        <x:v>89</x:v>
      </x:c>
    </x:row>
    <x:row r="147" ht="15" hidden="0">
      <x:c r="A147" t="s">
        <x:v>109</x:v>
      </x:c>
      <x:c r="B147" s="19" t="s">
        <x:v>110</x:v>
      </x:c>
      <x:c r="C147" s="30"/>
      <x:c r="D147" s="39" t="n">
        <x:f aca="0">365/D144</x:f>
        <x:v>101.57512558439446</x:v>
      </x:c>
      <x:c r="E147" s="39" t="n">
        <x:f aca="0">365/E144</x:f>
        <x:v>99.18940378408801</x:v>
      </x:c>
      <x:c r="F147" s="39" t="n">
        <x:f aca="0">365/F144</x:f>
        <x:v>117.81056267061489</x:v>
      </x:c>
      <x:c r="G147" s="39" t="n">
        <x:f aca="0">365/G144</x:f>
        <x:v>106.51412548353994</x:v>
      </x:c>
      <x:c r="H147" s="39" t="n">
        <x:f aca="0">365/H144</x:f>
        <x:v>115.47406099903009</x:v>
      </x:c>
      <x:c r="I147" s="9" t="s">
        <x:v>111</x:v>
      </x:c>
    </x:row>
    <x:row r="148" ht="15" hidden="0">
      <x:c r="A148" t="s">
        <x:v>113</x:v>
      </x:c>
      <x:c r="B148" s="19" t="s">
        <x:v>114</x:v>
      </x:c>
      <x:c r="C148" s="30"/>
      <x:c r="D148" s="39" t="n">
        <x:f aca="0">365/D145</x:f>
        <x:v>18.799738044359824</x:v>
      </x:c>
      <x:c r="E148" s="39" t="n">
        <x:f aca="0">365/E145</x:f>
        <x:v>12.994834386179642</x:v>
      </x:c>
      <x:c r="F148" s="39" t="n">
        <x:f aca="0">365/F145</x:f>
        <x:v>16.04687922960609</x:v>
      </x:c>
      <x:c r="G148" s="39" t="n">
        <x:f aca="0">365/G145</x:f>
        <x:v>20.792904753499183</x:v>
      </x:c>
      <x:c r="H148" s="39" t="n">
        <x:f aca="0">365/H145</x:f>
        <x:v>25.55549221298793</x:v>
      </x:c>
      <x:c r="I148" s="9" t="s">
        <x:v>111</x:v>
      </x:c>
    </x:row>
    <x:row r="149" ht="15" hidden="0">
      <x:c r="A149" t="s">
        <x:v>115</x:v>
      </x:c>
      <x:c r="B149" s="19" t="s">
        <x:v>116</x:v>
      </x:c>
      <x:c r="C149" s="30"/>
      <x:c r="D149" s="39" t="n">
        <x:f aca="0">365/D146</x:f>
        <x:v>12.205077421282503</x:v>
      </x:c>
      <x:c r="E149" s="39" t="n">
        <x:f aca="0">365/E146</x:f>
        <x:v>16.688960895928066</x:v>
      </x:c>
      <x:c r="F149" s="39" t="n">
        <x:f aca="0">365/F146</x:f>
        <x:v>20.323804785769745</x:v>
      </x:c>
      <x:c r="G149" s="39" t="n">
        <x:f aca="0">365/G146</x:f>
        <x:v>17.965982977789587</x:v>
      </x:c>
      <x:c r="H149" s="39" t="n">
        <x:f aca="0">365/H146</x:f>
        <x:v>15.14066821634052</x:v>
      </x:c>
      <x:c r="I149" s="9" t="s">
        <x:v>111</x:v>
      </x:c>
    </x:row>
    <x:row r="150" ht="15" hidden="0">
      <x:c r="A150" t="s">
        <x:v>117</x:v>
      </x:c>
      <x:c r="B150" s="19" t="s">
        <x:v>118</x:v>
      </x:c>
      <x:c r="C150" s="30"/>
      <x:c r="D150" s="39" t="n">
        <x:f aca="0">D147+D148</x:f>
        <x:v>120.37486362875428</x:v>
      </x:c>
      <x:c r="E150" s="39" t="n">
        <x:f aca="0">E147+E148</x:f>
        <x:v>112.18423817026766</x:v>
      </x:c>
      <x:c r="F150" s="39" t="n">
        <x:f aca="0">F147+F148</x:f>
        <x:v>133.85744190022098</x:v>
      </x:c>
      <x:c r="G150" s="39" t="n">
        <x:f aca="0">G147+G148</x:f>
        <x:v>127.30703023703913</x:v>
      </x:c>
      <x:c r="H150" s="39" t="n">
        <x:f aca="0">H147+H148</x:f>
        <x:v>141.02955321201802</x:v>
      </x:c>
      <x:c r="I150" s="9" t="s">
        <x:v>111</x:v>
      </x:c>
    </x:row>
    <x:row r="151" ht="15" hidden="0">
      <x:c r="A151" t="s">
        <x:v>119</x:v>
      </x:c>
      <x:c r="B151" s="19" t="s">
        <x:v>120</x:v>
      </x:c>
      <x:c r="C151" s="30"/>
      <x:c r="D151" s="39" t="n">
        <x:f aca="0">D147+D148-D149</x:f>
        <x:v>108.16978620747179</x:v>
      </x:c>
      <x:c r="E151" s="39" t="n">
        <x:f aca="0">E147+E148-E149</x:f>
        <x:v>95.4952772743396</x:v>
      </x:c>
      <x:c r="F151" s="39" t="n">
        <x:f aca="0">F147+F148-F149</x:f>
        <x:v>113.53363711445124</x:v>
      </x:c>
      <x:c r="G151" s="39" t="n">
        <x:f aca="0">G147+G148-G149</x:f>
        <x:v>109.34104725924954</x:v>
      </x:c>
      <x:c r="H151" s="39" t="n">
        <x:f aca="0">H147+H148-H149</x:f>
        <x:v>125.8888849956775</x:v>
      </x:c>
      <x:c r="I151" s="9" t="s">
        <x:v>111</x:v>
      </x:c>
    </x:row>
    <x:row r="152" ht="15" hidden="0">
      <x:c r="A152" t="s">
        <x:v>121</x:v>
      </x:c>
      <x:c r="B152" s="19" t="s">
        <x:v>122</x:v>
      </x:c>
      <x:c r="C152" s="30"/>
      <x:c r="D152" s="37" t="n">
        <x:f aca="0">D84/((C37+D37)/2)</x:f>
        <x:v>0.7673483591494026</x:v>
      </x:c>
      <x:c r="E152" s="37" t="n">
        <x:f aca="0">E84/((D37+E37)/2)</x:f>
        <x:v>0.7342538737719585</x:v>
      </x:c>
      <x:c r="F152" s="37" t="n">
        <x:f aca="0">F84/((E37+F37)/2)</x:f>
        <x:v>0.5391058922773014</x:v>
      </x:c>
      <x:c r="G152" s="37" t="n">
        <x:f aca="0">G84/((F37+G37)/2)</x:f>
        <x:v>0.5587159547520806</x:v>
      </x:c>
      <x:c r="H152" s="37" t="n">
        <x:f aca="0">H84/((G37+H37)/2)</x:f>
        <x:v>0.576736892706269</x:v>
      </x:c>
      <x:c r="I152" s="9" t="s">
        <x:v>89</x:v>
      </x:c>
    </x:row>
    <x:row r="153" ht="15" hidden="0">
      <x:c r="A153" t="s">
        <x:v>123</x:v>
      </x:c>
      <x:c r="B153" s="19" t="s">
        <x:v>124</x:v>
      </x:c>
      <x:c r="C153" s="30"/>
      <x:c r="D153" s="37" t="n">
        <x:f aca="0">D84/((C22+D22)/2)</x:f>
        <x:v>1.121529000686929</x:v>
      </x:c>
      <x:c r="E153" s="37" t="n">
        <x:f aca="0">E84/((D22+E22)/2)</x:f>
        <x:v>1.6551596506379742</x:v>
      </x:c>
      <x:c r="F153" s="37" t="n">
        <x:f aca="0">F84/((E22+F22)/2)</x:f>
        <x:v>1.1919170397378338</x:v>
      </x:c>
      <x:c r="G153" s="37" t="n">
        <x:f aca="0">G84/((F22+G22)/2)</x:f>
        <x:v>0.8889851122075039</x:v>
      </x:c>
      <x:c r="H153" s="37" t="n">
        <x:f aca="0">H84/((G22+H22)/2)</x:f>
        <x:v>0.8108018836700552</x:v>
      </x:c>
      <x:c r="I153" s="9" t="s">
        <x:v>89</x:v>
      </x:c>
    </x:row>
    <x:row r="154" ht="15" hidden="0">
      <x:c r="A154" s="24" t="s">
        <x:v>512</x:v>
      </x:c>
      <x:c r="B154" s="25"/>
      <x:c r="C154" s="25"/>
      <x:c r="D154" s="25"/>
      <x:c r="E154" s="25"/>
      <x:c r="F154" s="25"/>
      <x:c r="G154" s="25"/>
      <x:c r="H154" s="25"/>
      <x:c r="I154" s="25"/>
      <x:c r="J154" s="25"/>
    </x:row>
    <x:row r="155" ht="15" hidden="0">
      <x:c r="A155" t="s">
        <x:v>125</x:v>
      </x:c>
      <x:c r="B155" s="19" t="s">
        <x:v>126</x:v>
      </x:c>
      <x:c r="C155" s="30"/>
      <x:c r="D155" s="40" t="n">
        <x:f aca="0">D62/D37</x:f>
        <x:v>0.3164714817070282</x:v>
      </x:c>
      <x:c r="E155" s="40" t="n">
        <x:f aca="0">E62/E37</x:f>
        <x:v>0.4921984828292214</x:v>
      </x:c>
      <x:c r="F155" s="40" t="n">
        <x:f aca="0">F62/F37</x:f>
        <x:v>0.530530558146142</x:v>
      </x:c>
      <x:c r="G155" s="40" t="n">
        <x:f aca="0">G62/G37</x:f>
        <x:v>0.5028400637434024</x:v>
      </x:c>
      <x:c r="H155" s="40" t="n">
        <x:f aca="0">H62/H37</x:f>
        <x:v>0.4760663500346739</x:v>
      </x:c>
      <x:c r="I155" s="9" t="s">
        <x:v>127</x:v>
      </x:c>
    </x:row>
    <x:row r="156" ht="15" hidden="0">
      <x:c r="A156" t="s">
        <x:v>129</x:v>
      </x:c>
      <x:c r="B156" s="19" t="s">
        <x:v>130</x:v>
      </x:c>
      <x:c r="C156" s="30"/>
      <x:c r="D156" s="37" t="n">
        <x:f aca="0">D62/D41</x:f>
        <x:v>0.4629967488370152</x:v>
      </x:c>
      <x:c r="E156" s="37" t="n">
        <x:f aca="0">E62/E41</x:f>
        <x:v>0.9692733601339171</x:v>
      </x:c>
      <x:c r="F156" s="37" t="n">
        <x:f aca="0">F62/F41</x:f>
        <x:v>1.130064091181662</x:v>
      </x:c>
      <x:c r="G156" s="37" t="n">
        <x:f aca="0">G62/G41</x:f>
        <x:v>1.0114251512894896</x:v>
      </x:c>
      <x:c r="H156" s="37" t="n">
        <x:f aca="0">H62/H41</x:f>
        <x:v>0.9086386225931091</x:v>
      </x:c>
      <x:c r="I156" s="9" t="s">
        <x:v>89</x:v>
      </x:c>
    </x:row>
    <x:row r="157" ht="15" hidden="0">
      <x:c r="A157" t="s">
        <x:v>131</x:v>
      </x:c>
      <x:c r="B157" s="19" t="s">
        <x:v>132</x:v>
      </x:c>
      <x:c r="C157" s="30"/>
      <x:c r="D157" s="40" t="n">
        <x:f aca="0">D66/(D66+D41)</x:f>
        <x:v>0.09936978984482135</x:v>
      </x:c>
      <x:c r="E157" s="40" t="n">
        <x:f aca="0">E66/(E66+E41)</x:f>
        <x:v>0.36582138671494635</x:v>
      </x:c>
      <x:c r="F157" s="40" t="n">
        <x:f aca="0">F66/(F66+F41)</x:f>
        <x:v>0.42432770074720316</x:v>
      </x:c>
      <x:c r="G157" s="40" t="n">
        <x:f aca="0">G66/(G66+G41)</x:f>
        <x:v>0.3746668664583292</x:v>
      </x:c>
      <x:c r="H157" s="40" t="n">
        <x:f aca="0">H66/(H66+H41)</x:f>
        <x:v>0.3230814331540067</x:v>
      </x:c>
      <x:c r="I157" s="9" t="s">
        <x:v>127</x:v>
      </x:c>
    </x:row>
    <x:row r="158" ht="15" hidden="0">
      <x:c r="A158" t="s">
        <x:v>133</x:v>
      </x:c>
      <x:c r="B158" s="19" t="s">
        <x:v>134</x:v>
      </x:c>
      <x:c r="C158" s="30"/>
      <x:c r="D158" s="40" t="n">
        <x:f aca="0">D67/D37</x:f>
        <x:v>0.01659494791985876</x:v>
      </x:c>
      <x:c r="E158" s="40" t="n">
        <x:f aca="0">E67/E37</x:f>
        <x:v>0.1727906268810509</x:v>
      </x:c>
      <x:c r="F158" s="40" t="n">
        <x:f aca="0">F67/F37</x:f>
        <x:v>0.22975152572601862</x:v>
      </x:c>
      <x:c r="G158" s="40" t="n">
        <x:f aca="0">G67/G37</x:f>
        <x:v>0.203376413547186</x:v>
      </x:c>
      <x:c r="H158" s="40" t="n">
        <x:f aca="0">H67/H37</x:f>
        <x:v>0.15113814624398686</x:v>
      </x:c>
      <x:c r="I158" s="9" t="s">
        <x:v>127</x:v>
      </x:c>
    </x:row>
    <x:row r="159" ht="15" hidden="0">
      <x:c r="A159" t="s">
        <x:v>135</x:v>
      </x:c>
      <x:c r="B159" s="19" t="s">
        <x:v>136</x:v>
      </x:c>
      <x:c r="C159" s="30"/>
      <x:c r="D159" s="37" t="n">
        <x:f aca="0">IF(D106&lt;=0,"n/m",D108/D106)</x:f>
        <x:v>56.640991401771736</x:v>
      </x:c>
      <x:c r="E159" s="37" t="n">
        <x:f aca="0">IF(E106&lt;=0,"n/m",E108/E106)</x:f>
        <x:v>12.790793831338474</x:v>
      </x:c>
      <x:c r="F159" s="37" t="n">
        <x:f aca="0">IF(F106&lt;=0,"n/m",F108/F106)</x:f>
        <x:v>6.303455869186725</x:v>
      </x:c>
      <x:c r="G159" s="37" t="n">
        <x:f aca="0">IF(G106&lt;=0,"n/m",G108/G106)</x:f>
        <x:v>3.782086656189459</x:v>
      </x:c>
      <x:c r="H159" s="37" t="n">
        <x:f aca="0">IF(H106&lt;=0,"n/m",H108/H106)</x:f>
        <x:v>4.810770991481205</x:v>
      </x:c>
      <x:c r="I159" s="9" t="s">
        <x:v>89</x:v>
      </x:c>
    </x:row>
    <x:row r="160" ht="15" hidden="0">
      <x:c r="A160" t="s">
        <x:v>137</x:v>
      </x:c>
      <x:c r="B160" s="19" t="s">
        <x:v>138</x:v>
      </x:c>
      <x:c r="C160" s="30"/>
      <x:c r="D160" s="37" t="n">
        <x:f aca="0">IF(D109&lt;=0,"n/m",D68/D109)</x:f>
        <x:v>0.24458614853218485</x:v>
      </x:c>
      <x:c r="E160" s="37" t="n">
        <x:f aca="0">IF(E109&lt;=0,"n/m",E68/E109)</x:f>
        <x:v>1.9769322381186347</x:v>
      </x:c>
      <x:c r="F160" s="37" t="n">
        <x:f aca="0">IF(F109&lt;=0,"n/m",F68/F109)</x:f>
        <x:v>2.330771626609412</x:v>
      </x:c>
      <x:c r="G160" s="37" t="n">
        <x:f aca="0">IF(G109&lt;=0,"n/m",G68/G109)</x:f>
        <x:v>1.6450866382920604</x:v>
      </x:c>
      <x:c r="H160" s="37" t="n">
        <x:f aca="0">IF(H109&lt;=0,"n/m",H68/H109)</x:f>
        <x:v>1.1639093473655806</x:v>
      </x:c>
      <x:c r="I160" s="9" t="s">
        <x:v>89</x:v>
      </x:c>
    </x:row>
    <x:row r="161" ht="15" hidden="0">
      <x:c r="A161" s="24" t="s">
        <x:v>513</x:v>
      </x:c>
      <x:c r="B161" s="25"/>
      <x:c r="C161" s="25"/>
      <x:c r="D161" s="25"/>
      <x:c r="E161" s="25"/>
      <x:c r="F161" s="25"/>
      <x:c r="G161" s="25"/>
      <x:c r="H161" s="25"/>
      <x:c r="I161" s="25"/>
      <x:c r="J161" s="25"/>
    </x:row>
    <x:row r="162" ht="15" hidden="0">
      <x:c r="A162" t="s">
        <x:v>139</x:v>
      </x:c>
      <x:c r="B162" s="19" t="s">
        <x:v>140</x:v>
      </x:c>
      <x:c r="C162" s="30"/>
      <x:c r="D162" s="40" t="n">
        <x:f aca="0">D86/D84</x:f>
        <x:v>0.24985924725452316</x:v>
      </x:c>
      <x:c r="E162" s="40" t="n">
        <x:f aca="0">E86/E84</x:f>
        <x:v>0.28507903988852556</x:v>
      </x:c>
      <x:c r="F162" s="40" t="n">
        <x:f aca="0">F86/F84</x:f>
        <x:v>0.2999660404821077</x:v>
      </x:c>
      <x:c r="G162" s="40" t="n">
        <x:f aca="0">G86/G84</x:f>
        <x:v>0.3208998635022473</x:v>
      </x:c>
      <x:c r="H162" s="40" t="n">
        <x:f aca="0">H86/H84</x:f>
        <x:v>0.3549084220292905</x:v>
      </x:c>
      <x:c r="I162" s="9" t="s">
        <x:v>127</x:v>
      </x:c>
    </x:row>
    <x:row r="163" ht="15" hidden="0">
      <x:c r="A163" t="s">
        <x:v>142</x:v>
      </x:c>
      <x:c r="B163" s="19" t="s">
        <x:v>143</x:v>
      </x:c>
      <x:c r="C163" s="30"/>
      <x:c r="D163" s="40" t="n">
        <x:f aca="0">D91/D84</x:f>
        <x:v>0.20485989925955708</x:v>
      </x:c>
      <x:c r="E163" s="40" t="n">
        <x:f aca="0">E91/E84</x:f>
        <x:v>0.21665144691719232</x:v>
      </x:c>
      <x:c r="F163" s="40" t="n">
        <x:f aca="0">F91/F84</x:f>
        <x:v>0.2289064691471258</x:v>
      </x:c>
      <x:c r="G163" s="40" t="n">
        <x:f aca="0">G91/G84</x:f>
        <x:v>0.25056237189043495</x:v>
      </x:c>
      <x:c r="H163" s="40" t="n">
        <x:f aca="0">H91/H84</x:f>
        <x:v>0.2862983395627571</x:v>
      </x:c>
      <x:c r="I163" s="9" t="s">
        <x:v>127</x:v>
      </x:c>
    </x:row>
    <x:row r="164" ht="15" hidden="0">
      <x:c r="A164" t="s">
        <x:v>144</x:v>
      </x:c>
      <x:c r="B164" s="19" t="s">
        <x:v>145</x:v>
      </x:c>
      <x:c r="C164" s="30"/>
      <x:c r="D164" s="40" t="n">
        <x:f aca="0">D99/D84</x:f>
        <x:v>0.14302295902338913</x:v>
      </x:c>
      <x:c r="E164" s="40" t="n">
        <x:f aca="0">E99/E84</x:f>
        <x:v>0.13112336204567002</x:v>
      </x:c>
      <x:c r="F164" s="40" t="n">
        <x:f aca="0">F99/F84</x:f>
        <x:v>0.10929571726641699</x:v>
      </x:c>
      <x:c r="G164" s="40" t="n">
        <x:f aca="0">G99/G84</x:f>
        <x:v>0.10275526425549537</x:v>
      </x:c>
      <x:c r="H164" s="40" t="n">
        <x:f aca="0">H99/H84</x:f>
        <x:v>0.14980611609777766</x:v>
      </x:c>
      <x:c r="I164" s="9" t="s">
        <x:v>127</x:v>
      </x:c>
    </x:row>
    <x:row r="165" ht="15" hidden="0">
      <x:c r="A165" t="s">
        <x:v>146</x:v>
      </x:c>
      <x:c r="B165" s="19" t="s">
        <x:v>147</x:v>
      </x:c>
      <x:c r="C165" s="30"/>
      <x:c r="D165" s="40" t="n">
        <x:f aca="0">D99/((C37+D37)/2)</x:f>
        <x:v>0.10974843292728989</x:v>
      </x:c>
      <x:c r="E165" s="40" t="n">
        <x:f aca="0">E99/((D37+E37)/2)</x:f>
        <x:v>0.09627783652403621</x:v>
      </x:c>
      <x:c r="F165" s="40" t="n">
        <x:f aca="0">F99/((E37+F37)/2)</x:f>
        <x:v>0.0589219651789994</x:v>
      </x:c>
      <x:c r="G165" s="40" t="n">
        <x:f aca="0">G99/((F37+G37)/2)</x:f>
        <x:v>0.05741100557431145</x:v>
      </x:c>
      <x:c r="H165" s="40" t="n">
        <x:f aca="0">H99/((G37+H37)/2)</x:f>
        <x:v>0.08639871390662689</x:v>
      </x:c>
      <x:c r="I165" s="9" t="s">
        <x:v>127</x:v>
      </x:c>
    </x:row>
    <x:row r="166" ht="15" hidden="0">
      <x:c r="A166" t="s">
        <x:v>148</x:v>
      </x:c>
      <x:c r="B166" s="19" t="s">
        <x:v>149</x:v>
      </x:c>
      <x:c r="C166" s="30"/>
      <x:c r="D166" s="40" t="n">
        <x:f aca="0">D99/((C41+D41)/2)</x:f>
        <x:v>0.16115839021414832</x:v>
      </x:c>
      <x:c r="E166" s="40" t="n">
        <x:f aca="0">E99/((D41+E41)/2)</x:f>
        <x:v>0.17559284966237051</x:v>
      </x:c>
      <x:c r="F166" s="40" t="n">
        <x:f aca="0">F99/((E41+F41)/2)</x:f>
        <x:v>0.12105723655011702</x:v>
      </x:c>
      <x:c r="G166" s="40" t="n">
        <x:f aca="0">G99/((F41+G41)/2)</x:f>
        <x:v>0.11868144080382984</x:v>
      </x:c>
      <x:c r="H166" s="40" t="n">
        <x:f aca="0">H99/((G41+H41)/2)</x:f>
        <x:v>0.1690380202363196</x:v>
      </x:c>
      <x:c r="I166" s="9" t="s">
        <x:v>127</x:v>
      </x:c>
    </x:row>
    <x:row r="167" ht="15" hidden="0">
      <x:c r="A167" t="s">
        <x:v>150</x:v>
      </x:c>
      <x:c r="B167" s="19" t="s">
        <x:v>151</x:v>
      </x:c>
      <x:c r="C167" s="30"/>
      <x:c r="D167" s="40" t="n">
        <x:f aca="0">D113/((C70+D70)/2)</x:f>
        <x:v>0.14667479520486254</x:v>
      </x:c>
      <x:c r="E167" s="40" t="n">
        <x:f aca="0">E113/((D70+E70)/2)</x:f>
        <x:v>0.13438749624409813</x:v>
      </x:c>
      <x:c r="F167" s="40" t="n">
        <x:f aca="0">F113/((E70+F70)/2)</x:f>
        <x:v>0.09343071635815868</x:v>
      </x:c>
      <x:c r="G167" s="40" t="n">
        <x:f aca="0">G113/((F70+G70)/2)</x:f>
        <x:v>0.09703702948567723</x:v>
      </x:c>
      <x:c r="H167" s="40" t="n">
        <x:f aca="0">H113/((G70+H70)/2)</x:f>
        <x:v>0.1397420092007453</x:v>
      </x:c>
      <x:c r="I167" s="9" t="s">
        <x:v>127</x:v>
      </x:c>
    </x:row>
    <x:row r="168" ht="15" hidden="0">
      <x:c r="A168" t="s">
        <x:v>152</x:v>
      </x:c>
      <x:c r="B168" s="19" t="s">
        <x:v>153</x:v>
      </x:c>
      <x:c r="C168" s="30"/>
      <x:c r="D168" s="40" t="n">
        <x:f aca="0">D108/((C37+D37)/2)</x:f>
        <x:v>0.16494792527118216</x:v>
      </x:c>
      <x:c r="E168" s="40" t="n">
        <x:f aca="0">E108/((D37+E37)/2)</x:f>
        <x:v>0.1723137524694703</x:v>
      </x:c>
      <x:c r="F168" s="40" t="n">
        <x:f aca="0">F108/((E37+F37)/2)</x:f>
        <x:v>0.13103867634936517</x:v>
      </x:c>
      <x:c r="G168" s="40" t="n">
        <x:f aca="0">G108/((F37+G37)/2)</x:f>
        <x:v>0.1458556324666155</x:v>
      </x:c>
      <x:c r="H168" s="40" t="n">
        <x:f aca="0">H108/((G37+H37)/2)</x:f>
        <x:v>0.1769808100965798</x:v>
      </x:c>
      <x:c r="I168" s="9" t="s">
        <x:v>127</x:v>
      </x:c>
    </x:row>
    <x:row r="169" ht="15" hidden="0">
      <x:c r="A169" t="s">
        <x:v>154</x:v>
      </x:c>
      <x:c r="B169" s="19" t="s">
        <x:v>155</x:v>
      </x:c>
      <x:c r="C169" s="30"/>
      <x:c r="D169" s="40" t="n">
        <x:f aca="0">D109/D84</x:f>
        <x:v>0.28086135530113043</x:v>
      </x:c>
      <x:c r="E169" s="40" t="n">
        <x:f aca="0">E109/E84</x:f>
        <x:v>0.2890661263240804</x:v>
      </x:c>
      <x:c r="F169" s="40" t="n">
        <x:f aca="0">F109/F84</x:f>
        <x:v>0.29668683739017554</x:v>
      </x:c>
      <x:c r="G169" s="40" t="n">
        <x:f aca="0">G109/G84</x:f>
        <x:v>0.3117640834393464</x:v>
      </x:c>
      <x:c r="H169" s="40" t="n">
        <x:f aca="0">H109/H84</x:f>
        <x:v>0.36273294689052354</x:v>
      </x:c>
      <x:c r="I169" s="9" t="s">
        <x:v>127</x:v>
      </x:c>
    </x:row>
    <x:row r="170" ht="15" hidden="0">
      <x:c r="A170" s="24" t="s">
        <x:v>514</x:v>
      </x:c>
      <x:c r="B170" s="25"/>
      <x:c r="C170" s="25"/>
      <x:c r="D170" s="25"/>
      <x:c r="E170" s="25"/>
      <x:c r="F170" s="25"/>
      <x:c r="G170" s="25"/>
      <x:c r="H170" s="25"/>
      <x:c r="I170" s="25"/>
      <x:c r="J170" s="25"/>
    </x:row>
    <x:row r="171" ht="15" hidden="0">
      <x:c r="A171" t="s">
        <x:v>156</x:v>
      </x:c>
      <x:c r="B171" s="19" t="s">
        <x:v>157</x:v>
      </x:c>
      <x:c r="C171" s="30"/>
      <x:c r="D171" s="41" t="n">
        <x:f aca="0">D41/D128</x:f>
        <x:v>16.868689643176804</x:v>
      </x:c>
      <x:c r="E171" s="41" t="n">
        <x:f aca="0">E41/E128</x:f>
        <x:v>26.480675904195227</x:v>
      </x:c>
      <x:c r="F171" s="41" t="n">
        <x:f aca="0">F41/F128</x:f>
        <x:v>26.57145800660424</x:v>
      </x:c>
      <x:c r="G171" s="41" t="n">
        <x:f aca="0">G41/G128</x:f>
        <x:v>29.923935347634316</x:v>
      </x:c>
      <x:c r="H171" s="41" t="n">
        <x:f aca="0">H41/H128</x:f>
        <x:v>34.35688707280468</x:v>
      </x:c>
      <x:c r="I171" s="9" t="s">
        <x:v>158</x:v>
      </x:c>
    </x:row>
    <x:row r="172" ht="15" hidden="0">
      <x:c r="A172" t="s">
        <x:v>160</x:v>
      </x:c>
      <x:c r="B172" s="19" t="s">
        <x:v>161</x:v>
      </x:c>
      <x:c r="C172" s="30"/>
      <x:c r="D172" s="37" t="n">
        <x:f aca="0">D130/D171</x:f>
        <x:v>1.3634728296339984</x:v>
      </x:c>
      <x:c r="E172" s="37" t="n">
        <x:f aca="0">E130/E171</x:f>
        <x:v>0.535107187266134</x:v>
      </x:c>
      <x:c r="F172" s="37" t="n">
        <x:f aca="0">F130/F171</x:f>
        <x:v>0.4425801548818697</x:v>
      </x:c>
      <x:c r="G172" s="37" t="n">
        <x:f aca="0">G130/G171</x:f>
        <x:v>0.7656078565151421</x:v>
      </x:c>
      <x:c r="H172" s="37" t="n">
        <x:f aca="0">H130/H171</x:f>
        <x:v>1.3001759998029245</x:v>
      </x:c>
      <x:c r="I172" s="9" t="s">
        <x:v>89</x:v>
      </x:c>
    </x:row>
    <x:row r="173" ht="15" hidden="0">
      <x:c r="A173" t="s">
        <x:v>162</x:v>
      </x:c>
      <x:c r="B173" s="19" t="s">
        <x:v>163</x:v>
      </x:c>
      <x:c r="C173" s="30"/>
      <x:c r="D173" s="41" t="n">
        <x:f aca="0">D99/D129</x:f>
        <x:v>2.5158090033808875</x:v>
      </x:c>
      <x:c r="E173" s="41" t="n">
        <x:f aca="0">E99/E129</x:f>
        <x:v>3.2621706372812294</x:v>
      </x:c>
      <x:c r="F173" s="41" t="n">
        <x:f aca="0">F99/F129</x:f>
        <x:v>3.0330791851886794</x:v>
      </x:c>
      <x:c r="G173" s="41" t="n">
        <x:f aca="0">G99/G129</x:f>
        <x:v>3.3524781610919856</x:v>
      </x:c>
      <x:c r="H173" s="41" t="n">
        <x:f aca="0">H99/H129</x:f>
        <x:v>5.432952809531124</x:v>
      </x:c>
      <x:c r="I173" s="9" t="s">
        <x:v>158</x:v>
      </x:c>
    </x:row>
    <x:row r="174" ht="15" hidden="0">
      <x:c r="A174" t="s">
        <x:v>164</x:v>
      </x:c>
      <x:c r="B174" s="19" t="s">
        <x:v>165</x:v>
      </x:c>
      <x:c r="C174" s="30"/>
      <x:c r="D174" s="37" t="n">
        <x:f aca="0">IF(D173&lt;=0,"n/m",D130/D173)</x:f>
        <x:v>9.14218844478706</x:v>
      </x:c>
      <x:c r="E174" s="37" t="n">
        <x:f aca="0">IF(E173&lt;=0,"n/m",E130/E173)</x:f>
        <x:v>4.343733536823694</x:v>
      </x:c>
      <x:c r="F174" s="37" t="n">
        <x:f aca="0">IF(F173&lt;=0,"n/m",F130/F173)</x:f>
        <x:v>3.877247932539039</x:v>
      </x:c>
      <x:c r="G174" s="37" t="n">
        <x:f aca="0">IF(G173&lt;=0,"n/m",G130/G173)</x:f>
        <x:v>6.833750705936781</x:v>
      </x:c>
      <x:c r="H174" s="37" t="n">
        <x:f aca="0">IF(H173&lt;=0,"n/m",H130/H173)</x:f>
        <x:v>8.222048224242743</x:v>
      </x:c>
      <x:c r="I174" s="9" t="s">
        <x:v>89</x:v>
      </x:c>
    </x:row>
    <x:row r="175" ht="15" hidden="0">
      <x:c r="A175" t="s">
        <x:v>166</x:v>
      </x:c>
      <x:c r="B175" s="19" t="s">
        <x:v>167</x:v>
      </x:c>
      <x:c r="C175" s="30"/>
      <x:c r="D175" s="40" t="n">
        <x:f aca="0">D131/D130</x:f>
        <x:v>0</x:v>
      </x:c>
      <x:c r="E175" s="40" t="n">
        <x:f aca="0">E131/E130</x:f>
        <x:v>0</x:v>
      </x:c>
      <x:c r="F175" s="40" t="n">
        <x:f aca="0">F131/F130</x:f>
        <x:v>0</x:v>
      </x:c>
      <x:c r="G175" s="40" t="n">
        <x:f aca="0">G131/G130</x:f>
        <x:v>0.04364906154517678</x:v>
      </x:c>
      <x:c r="H175" s="40" t="n">
        <x:f aca="0">H131/H130</x:f>
        <x:v>0.027982986344302664</x:v>
      </x:c>
      <x:c r="I175" s="9" t="s">
        <x:v>127</x:v>
      </x:c>
    </x:row>
    <x:row r="176" ht="15" hidden="0">
      <x:c r="A176" t="s">
        <x:v>168</x:v>
      </x:c>
      <x:c r="B176" s="19" t="s">
        <x:v>169</x:v>
      </x:c>
      <x:c r="C176" s="30"/>
      <x:c r="D176" s="40" t="n">
        <x:f aca="0">IF(D173&lt;=0,"n/m",D131/D173)</x:f>
        <x:v>0</x:v>
      </x:c>
      <x:c r="E176" s="40" t="n">
        <x:f aca="0">IF(E173&lt;=0,"n/m",E131/E173)</x:f>
        <x:v>0</x:v>
      </x:c>
      <x:c r="F176" s="40" t="n">
        <x:f aca="0">IF(F173&lt;=0,"n/m",F131/F173)</x:f>
        <x:v>0</x:v>
      </x:c>
      <x:c r="G176" s="40" t="n">
        <x:f aca="0">IF(G173&lt;=0,"n/m",G131/G173)</x:f>
        <x:v>0.29828680514782985</x:v>
      </x:c>
      <x:c r="H176" s="40" t="n">
        <x:f aca="0">IF(H173&lt;=0,"n/m",H131/H173)</x:f>
        <x:v>0.23007746318118263</x:v>
      </x:c>
      <x:c r="I176" s="9" t="s">
        <x:v>127</x:v>
      </x:c>
    </x:row>
    <x:row r="177" ht="15" hidden="0">
      <x:c r="A177" s="24" t="s">
        <x:v>515</x:v>
      </x:c>
      <x:c r="B177" s="25"/>
      <x:c r="C177" s="25"/>
      <x:c r="D177" s="25"/>
      <x:c r="E177" s="25"/>
      <x:c r="F177" s="25"/>
      <x:c r="G177" s="25"/>
      <x:c r="H177" s="25"/>
      <x:c r="I177" s="25"/>
      <x:c r="J177" s="25"/>
    </x:row>
    <x:row r="178" ht="15" hidden="0">
      <x:c r="A178" t="s">
        <x:v>170</x:v>
      </x:c>
      <x:c r="B178" s="19" t="s">
        <x:v>171</x:v>
      </x:c>
      <x:c r="C178" s="30"/>
      <x:c r="D178" s="37" t="n">
        <x:f aca="0">D117/((C61+D61)/2)</x:f>
        <x:v>1.0117896447486598</x:v>
      </x:c>
      <x:c r="E178" s="37" t="n">
        <x:f aca="0">E117/((D61+E61)/2)</x:f>
        <x:v>0.46026872897751386</x:v>
      </x:c>
      <x:c r="F178" s="37" t="n">
        <x:f aca="0">F117/((E61+F61)/2)</x:f>
        <x:v>0.5807479582527986</x:v>
      </x:c>
      <x:c r="G178" s="37" t="n">
        <x:f aca="0">G117/((F61+G61)/2)</x:f>
        <x:v>0.8051914064237449</x:v>
      </x:c>
      <x:c r="H178" s="37" t="n">
        <x:f aca="0">H117/((G61+H61)/2)</x:f>
        <x:v>0.8456332094463861</x:v>
      </x:c>
      <x:c r="I178" s="9" t="s">
        <x:v>89</x:v>
      </x:c>
    </x:row>
    <x:row r="179" ht="15" hidden="0">
      <x:c r="A179" s="24" t="s">
        <x:v>516</x:v>
      </x:c>
      <x:c r="B179" s="25"/>
      <x:c r="C179" s="25"/>
      <x:c r="D179" s="25"/>
      <x:c r="E179" s="25"/>
      <x:c r="F179" s="25"/>
      <x:c r="G179" s="25"/>
      <x:c r="H179" s="25"/>
      <x:c r="I179" s="25"/>
      <x:c r="J179" s="25"/>
    </x:row>
    <x:row r="180" ht="15" hidden="0">
      <x:c r="A180" t="s">
        <x:v>173</x:v>
      </x:c>
      <x:c r="B180" s="19" t="s">
        <x:v>174</x:v>
      </x:c>
      <x:c r="C180" s="30"/>
      <x:c r="D180" s="40" t="n">
        <x:f aca="0">D108/((C71+D71)/2)</x:f>
        <x:v>0.2009918001683498</x:v>
      </x:c>
      <x:c r="E180" s="40" t="n">
        <x:f aca="0">E108/((D71+E71)/2)</x:f>
        <x:v>0.2216423809414615</x:v>
      </x:c>
      <x:c r="F180" s="40" t="n">
        <x:f aca="0">F108/((E71+F71)/2)</x:f>
        <x:v>0.16770223624179204</x:v>
      </x:c>
      <x:c r="G180" s="40" t="n">
        <x:f aca="0">G108/((F71+G71)/2)</x:f>
        <x:v>0.18078861463791</x:v>
      </x:c>
      <x:c r="H180" s="40" t="n">
        <x:f aca="0">H108/((G71+H71)/2)</x:f>
        <x:v>0.21752978181089475</x:v>
      </x:c>
      <x:c r="I180" s="9" t="s">
        <x:v>127</x:v>
      </x:c>
    </x:row>
    <x:row r="181" ht="15" hidden="0">
      <x:c r="A181" t="s">
        <x:v>176</x:v>
      </x:c>
      <x:c r="B181" s="19" t="s">
        <x:v>177</x:v>
      </x:c>
      <x:c r="C181" s="30"/>
      <x:c r="D181" s="40" t="n">
        <x:f aca="0">D117/D84</x:f>
        <x:v>0.2364562486081804</x:v>
      </x:c>
      <x:c r="E181" s="40" t="n">
        <x:f aca="0">E117/E84</x:f>
        <x:v>0.13951196537042726</x:v>
      </x:c>
      <x:c r="F181" s="40" t="n">
        <x:f aca="0">F117/F84</x:f>
        <x:v>0.23551002051116093</x:v>
      </x:c>
      <x:c r="G181" s="40" t="n">
        <x:f aca="0">G117/G84</x:f>
        <x:v>0.27846629928543676</x:v>
      </x:c>
      <x:c r="H181" s="40" t="n">
        <x:f aca="0">H117/H84</x:f>
        <x:v>0.2733162277111978</x:v>
      </x:c>
      <x:c r="I181" s="9" t="s">
        <x:v>127</x:v>
      </x:c>
    </x:row>
    <x:row r="182" ht="15" hidden="0">
      <x:c r="A182" t="s">
        <x:v>178</x:v>
      </x:c>
      <x:c r="B182" s="19" t="s">
        <x:v>179</x:v>
      </x:c>
      <x:c r="C182" s="30"/>
      <x:c r="D182" s="37" t="n">
        <x:f aca="0">D66/D41</x:f>
        <x:v>0.11033361830900601</x:v>
      </x:c>
      <x:c r="E182" s="37" t="n">
        <x:f aca="0">E66/E41</x:f>
        <x:v>0.5768428311071336</x:v>
      </x:c>
      <x:c r="F182" s="37" t="n">
        <x:f aca="0">F66/F41</x:f>
        <x:v>0.737099390222469</x:v>
      </x:c>
      <x:c r="G182" s="37" t="n">
        <x:f aca="0">G66/G41</x:f>
        <x:v>0.5991476324568723</x:v>
      </x:c>
      <x:c r="H182" s="37" t="n">
        <x:f aca="0">H66/H41</x:f>
        <x:v>0.4772825698360722</x:v>
      </x:c>
      <x:c r="I182" s="9" t="s">
        <x:v>89</x:v>
      </x:c>
    </x:row>
    <x:row r="183" ht="15" hidden="0">
      <x:c r="A183" s="24" t="s">
        <x:v>517</x:v>
      </x:c>
      <x:c r="B183" s="25"/>
      <x:c r="C183" s="25"/>
      <x:c r="D183" s="25"/>
      <x:c r="E183" s="25"/>
      <x:c r="F183" s="25"/>
      <x:c r="G183" s="25"/>
      <x:c r="H183" s="25"/>
      <x:c r="I183" s="25"/>
      <x:c r="J183" s="25"/>
    </x:row>
    <x:row r="184" ht="15" hidden="0">
      <x:c r="A184" t="s">
        <x:v>518</x:v>
      </x:c>
      <x:c r="B184" s="19" t="s">
        <x:v>519</x:v>
      </x:c>
      <x:c r="C184" s="30"/>
      <x:c r="D184" s="37" t="n">
        <x:f aca="0">(D34+D33)/D61</x:f>
        <x:v>0.8598647287426187</x:v>
      </x:c>
      <x:c r="E184" s="37" t="n">
        <x:f aca="0">(E34+E33)/E61</x:f>
        <x:v>0.23014051773694894</x:v>
      </x:c>
      <x:c r="F184" s="37" t="n">
        <x:f aca="0">(F34+F33)/F61</x:f>
        <x:v>0.042842812939511914</x:v>
      </x:c>
      <x:c r="G184" s="37" t="n">
        <x:f aca="0">(G34+G33)/G61</x:f>
        <x:v>0.11847864025590918</x:v>
      </x:c>
      <x:c r="H184" s="37" t="n">
        <x:f aca="0">(H34+H33)/H61</x:f>
        <x:v>0.38761123338502496</x:v>
      </x:c>
      <x:c r="I184" s="9" t="s">
        <x:v>89</x:v>
      </x:c>
    </x:row>
    <x:row r="185" ht="15" hidden="0">
      <x:c r="A185" t="s">
        <x:v>520</x:v>
      </x:c>
      <x:c r="B185" s="19" t="s">
        <x:v>521</x:v>
      </x:c>
      <x:c r="C185" s="30"/>
      <x:c r="D185" s="37" t="n">
        <x:f aca="0">IF(D109&lt;=0,"n/m",D69/D109)</x:f>
        <x:v>-0.40053420442766513</x:v>
      </x:c>
      <x:c r="E185" s="37" t="n">
        <x:f aca="0">IF(E109&lt;=0,"n/m",E69/E109)</x:f>
        <x:v>1.7318399387545083</x:v>
      </x:c>
      <x:c r="F185" s="37" t="n">
        <x:f aca="0">IF(F109&lt;=0,"n/m",F69/F109)</x:f>
        <x:v>2.3183924841769796</x:v>
      </x:c>
      <x:c r="G185" s="37" t="n">
        <x:f aca="0">IF(G109&lt;=0,"n/m",G69/G109)</x:f>
        <x:v>1.6350663182855256</x:v>
      </x:c>
      <x:c r="H185" s="37" t="n">
        <x:f aca="0">IF(H109&lt;=0,"n/m",H69/H109)</x:f>
        <x:v>0.878478771339152</x:v>
      </x:c>
      <x:c r="I185" s="9" t="s">
        <x:v>89</x:v>
      </x:c>
    </x:row>
    <x:row r="186" ht="15" hidden="0">
      <x:c r="A186" t="s">
        <x:v>522</x:v>
      </x:c>
      <x:c r="B186" s="19" t="s">
        <x:v>523</x:v>
      </x:c>
      <x:c r="C186" s="30"/>
      <x:c r="D186" s="39" t="n">
        <x:f aca="0">365/(-D85/((C31+D31)/2))</x:f>
        <x:v>23.825794150343164</x:v>
      </x:c>
      <x:c r="E186" s="39" t="n">
        <x:f aca="0">365/(-E85/((D31+E31)/2))</x:f>
        <x:v>22.99827877028563</x:v>
      </x:c>
      <x:c r="F186" s="39" t="n">
        <x:f aca="0">365/(-F85/((E31+F31)/2))</x:f>
        <x:v>41.401894351888124</x:v>
      </x:c>
      <x:c r="G186" s="39" t="n">
        <x:f aca="0">365/(-G85/((F31+G31)/2))</x:f>
        <x:v>49.055581292993985</x:v>
      </x:c>
      <x:c r="H186" s="39" t="n">
        <x:f aca="0">365/(-H85/((G31+H31)/2))</x:f>
        <x:v>53.534589923516215</x:v>
      </x:c>
      <x:c r="I186" s="9" t="s">
        <x:v>111</x:v>
      </x:c>
    </x:row>
    <x:row r="187" ht="15" hidden="0">
      <x:c r="A187" t="s">
        <x:v>524</x:v>
      </x:c>
      <x:c r="B187" s="19" t="s">
        <x:v>525</x:v>
      </x:c>
      <x:c r="C187" s="30"/>
      <x:c r="D187" s="37" t="n">
        <x:f aca="0">D120/((C61+D61)/2)</x:f>
        <x:v>0.995069041267503</x:v>
      </x:c>
      <x:c r="E187" s="37" t="n">
        <x:f aca="0">E120/((D61+E61)/2)</x:f>
        <x:v>0.40034933295202463</x:v>
      </x:c>
      <x:c r="F187" s="37" t="n">
        <x:f aca="0">F120/((E61+F61)/2)</x:f>
        <x:v>0.49079374355665284</x:v>
      </x:c>
      <x:c r="G187" s="37" t="n">
        <x:f aca="0">G120/((F61+G61)/2)</x:f>
        <x:v>0.5525169115759948</x:v>
      </x:c>
      <x:c r="H187" s="37" t="n">
        <x:f aca="0">H120/((G61+H61)/2)</x:f>
        <x:v>0.6522709681539198</x:v>
      </x:c>
      <x:c r="I187" s="9" t="s">
        <x:v>89</x:v>
      </x:c>
    </x:row>
    <x:row r="188" ht="15" hidden="0">
      <x:c r="A188" t="str">
        <x:v>M5. EPS on FY2025 annual-report split basis (Rs)</x:v>
      </x:c>
      <x:c r="B188" s="19" t="s">
        <x:v>526</x:v>
      </x:c>
      <x:c r="C188" s="30"/>
      <x:c r="D188" s="41" t="n">
        <x:f aca="0">D173/D134</x:f>
        <x:v>2.5158090033808875</x:v>
      </x:c>
      <x:c r="E188" s="41" t="n">
        <x:f aca="0">E173/E134</x:f>
        <x:v>3.2621706372812294</x:v>
      </x:c>
      <x:c r="F188" s="41" t="n">
        <x:f aca="0">F173/F134</x:f>
        <x:v>3.0330791851886794</x:v>
      </x:c>
      <x:c r="G188" s="41" t="n">
        <x:f aca="0">G173/G134</x:f>
        <x:v>3.3524781610919856</x:v>
      </x:c>
      <x:c r="H188" s="41" t="n">
        <x:f aca="0">H173/H134</x:f>
        <x:v>5.432952809531124</x:v>
      </x:c>
      <x:c r="I188" s="9" t="s">
        <x:v>158</x:v>
      </x:c>
    </x:row>
    <x:row r="189" ht="15" hidden="0">
      <x:c r="A189" t="s">
        <x:v>527</x:v>
      </x:c>
      <x:c r="B189" s="19" t="s">
        <x:v>528</x:v>
      </x:c>
      <x:c r="C189" s="30"/>
      <x:c r="D189" s="40" t="n">
        <x:f aca="0">D108/D84</x:f>
        <x:v>0.21495833450927707</x:v>
      </x:c>
      <x:c r="E189" s="40" t="n">
        <x:f aca="0">E108/E84</x:f>
        <x:v>0.2346787107629027</x:v>
      </x:c>
      <x:c r="F189" s="40" t="n">
        <x:f aca="0">F108/F84</x:f>
        <x:v>0.24306667433336532</x:v>
      </x:c>
      <x:c r="G189" s="40" t="n">
        <x:f aca="0">G108/G84</x:f>
        <x:v>0.26105506962180114</x:v>
      </x:c>
      <x:c r="H189" s="40" t="n">
        <x:f aca="0">H108/H84</x:f>
        <x:v>0.3068657690097099</x:v>
      </x:c>
      <x:c r="I189" s="9" t="s">
        <x:v>127</x:v>
      </x:c>
    </x:row>
    <x:row r="191" ht="15" hidden="0">
      <x:c r="A191" s="5" t="s">
        <x:v>529</x:v>
      </x:c>
      <x:c r="B191" s="20"/>
      <x:c r="C191" s="20"/>
      <x:c r="D191" s="20"/>
      <x:c r="E191" s="20"/>
      <x:c r="F191" s="20"/>
      <x:c r="G191" s="20"/>
      <x:c r="H191" s="20"/>
      <x:c r="I191" s="20"/>
      <x:c r="J191" s="20"/>
    </x:row>
    <x:row r="192" ht="15" hidden="0">
      <x:c r="A192" s="24" t="s">
        <x:v>530</x:v>
      </x:c>
      <x:c r="B192" s="25"/>
      <x:c r="C192" s="25"/>
      <x:c r="D192" s="25"/>
      <x:c r="E192" s="25"/>
      <x:c r="F192" s="25"/>
      <x:c r="G192" s="25"/>
      <x:c r="H192" s="25"/>
      <x:c r="I192" s="25"/>
      <x:c r="J192" s="25"/>
    </x:row>
    <x:row r="193" ht="15" hidden="0">
      <x:c r="A193" t="s">
        <x:v>531</x:v>
      </x:c>
      <x:c r="B193" s="19" t="s">
        <x:v>532</x:v>
      </x:c>
      <x:c r="C193" s="42" t="n">
        <x:f aca="0">IF(C37=0,"n/m",C22/C37)</x:f>
        <x:v>0.755355637149874</x:v>
      </x:c>
      <x:c r="D193" s="42" t="n">
        <x:f aca="0">IF(D37=0,"n/m",D22/D37)</x:f>
        <x:v>0.6231641034033865</x:v>
      </x:c>
      <x:c r="E193" s="42" t="n">
        <x:f aca="0">IF(E37=0,"n/m",E22/E37)</x:f>
        <x:v>0.38984076221447433</x:v>
      </x:c>
      <x:c r="F193" s="42" t="n">
        <x:f aca="0">IF(F37=0,"n/m",F22/F37)</x:f>
        <x:v>0.5034557782470266</x:v>
      </x:c>
      <x:c r="G193" s="42" t="n">
        <x:f aca="0">IF(G37=0,"n/m",G22/G37)</x:f>
        <x:v>0.7460598155471236</x:v>
      </x:c>
      <x:c r="H193" s="42" t="n">
        <x:f aca="0">IF(H37=0,"n/m",H22/H37)</x:f>
        <x:v>0.6794266855015889</x:v>
      </x:c>
      <x:c r="I193" s="11" t="s">
        <x:v>127</x:v>
      </x:c>
    </x:row>
    <x:row r="194" ht="15" hidden="0">
      <x:c r="A194" t="s">
        <x:v>533</x:v>
      </x:c>
      <x:c r="B194" s="19" t="s">
        <x:v>534</x:v>
      </x:c>
      <x:c r="C194" s="42" t="n">
        <x:f aca="0">IF(C37=0,"n/m",C21/C37)</x:f>
        <x:v>0.00009613832085794824</x:v>
      </x:c>
      <x:c r="D194" s="42" t="n">
        <x:f aca="0">IF(D37=0,"n/m",D21/D37)</x:f>
        <x:v>0.005934618498271082</x:v>
      </x:c>
      <x:c r="E194" s="42" t="n">
        <x:f aca="0">IF(E37=0,"n/m",E21/E37)</x:f>
        <x:v>0.2621167462665177</x:v>
      </x:c>
      <x:c r="F194" s="42" t="n">
        <x:f aca="0">IF(F37=0,"n/m",F21/F37)</x:f>
        <x:v>0.24873259270393167</x:v>
      </x:c>
      <x:c r="G194" s="42" t="n">
        <x:f aca="0">IF(G37=0,"n/m",G21/G37)</x:f>
        <x:v>0.004742417716661944</x:v>
      </x:c>
      <x:c r="H194" s="42" t="n">
        <x:f aca="0">IF(H37=0,"n/m",H21/H37)</x:f>
        <x:v>0.001843847479406456</x:v>
      </x:c>
      <x:c r="I194" s="11" t="s">
        <x:v>127</x:v>
      </x:c>
    </x:row>
    <x:row r="195" ht="15" hidden="0">
      <x:c r="A195" t="s">
        <x:v>312</x:v>
      </x:c>
      <x:c r="B195" s="19" t="s">
        <x:v>535</x:v>
      </x:c>
      <x:c r="C195" s="42" t="n">
        <x:f aca="0">IF(C37=0,"n/m",C28/C37)</x:f>
        <x:v>0.7609099875526895</x:v>
      </x:c>
      <x:c r="D195" s="42" t="n">
        <x:f aca="0">IF(D37=0,"n/m",D28/D37)</x:f>
        <x:v>0.6347160924639562</x:v>
      </x:c>
      <x:c r="E195" s="42" t="n">
        <x:f aca="0">IF(E37=0,"n/m",E28/E37)</x:f>
        <x:v>0.751826831688631</x:v>
      </x:c>
      <x:c r="F195" s="42" t="n">
        <x:f aca="0">IF(F37=0,"n/m",F28/F37)</x:f>
        <x:v>0.8333591481581767</x:v>
      </x:c>
      <x:c r="G195" s="42" t="n">
        <x:f aca="0">IF(G37=0,"n/m",G28/G37)</x:f>
        <x:v>0.8253541224302838</x:v>
      </x:c>
      <x:c r="H195" s="42" t="n">
        <x:f aca="0">IF(H37=0,"n/m",H28/H37)</x:f>
        <x:v>0.7483756601712761</x:v>
      </x:c>
      <x:c r="I195" s="11" t="s">
        <x:v>127</x:v>
      </x:c>
    </x:row>
    <x:row r="196" ht="15" hidden="0">
      <x:c r="A196" t="s">
        <x:v>536</x:v>
      </x:c>
      <x:c r="B196" s="19" t="s">
        <x:v>537</x:v>
      </x:c>
      <x:c r="C196" s="42" t="n">
        <x:f aca="0">IF(C37=0,"n/m",C65/C37)</x:f>
        <x:v>0.1606948267038292</x:v>
      </x:c>
      <x:c r="D196" s="42" t="n">
        <x:f aca="0">IF(D37=0,"n/m",D65/D37)</x:f>
        <x:v>0.15975317446895038</x:v>
      </x:c>
      <x:c r="E196" s="42" t="n">
        <x:f aca="0">IF(E37=0,"n/m",E65/E37)</x:f>
        <x:v>0.1375297490739443</x:v>
      </x:c>
      <x:c r="F196" s="42" t="n">
        <x:f aca="0">IF(F37=0,"n/m",F65/F37)</x:f>
        <x:v>0.10893662559784105</x:v>
      </x:c>
      <x:c r="G196" s="42" t="n">
        <x:f aca="0">IF(G37=0,"n/m",G65/G37)</x:f>
        <x:v>0.11240348825054196</x:v>
      </x:c>
      <x:c r="H196" s="42" t="n">
        <x:f aca="0">IF(H37=0,"n/m",H65/H37)</x:f>
        <x:v>0.12256894270466562</x:v>
      </x:c>
      <x:c r="I196" s="11" t="s">
        <x:v>127</x:v>
      </x:c>
    </x:row>
    <x:row r="197" ht="15" hidden="0">
      <x:c r="A197" t="s">
        <x:v>319</x:v>
      </x:c>
      <x:c r="B197" s="19" t="s">
        <x:v>538</x:v>
      </x:c>
      <x:c r="C197" s="42" t="n">
        <x:f aca="0">IF(C37=0,"n/m",C32/C37)</x:f>
        <x:v>0.035971070308473914</x:v>
      </x:c>
      <x:c r="D197" s="42" t="n">
        <x:f aca="0">IF(D37=0,"n/m",D32/D37)</x:f>
        <x:v>0.04256989798994374</x:v>
      </x:c>
      <x:c r="E197" s="42" t="n">
        <x:f aca="0">IF(E37=0,"n/m",E32/E37)</x:f>
        <x:v>0.021220745888252793</x:v>
      </x:c>
      <x:c r="F197" s="42" t="n">
        <x:f aca="0">IF(F37=0,"n/m",F32/F37)</x:f>
        <x:v>0.02573279317430052</x:v>
      </x:c>
      <x:c r="G197" s="42" t="n">
        <x:f aca="0">IF(G37=0,"n/m",G32/G37)</x:f>
        <x:v>0.0375601463702365</x:v>
      </x:c>
      <x:c r="H197" s="42" t="n">
        <x:f aca="0">IF(H37=0,"n/m",H32/H37)</x:f>
        <x:v>0.04296878232436554</x:v>
      </x:c>
      <x:c r="I197" s="11" t="s">
        <x:v>127</x:v>
      </x:c>
    </x:row>
    <x:row r="198" ht="15" hidden="0">
      <x:c r="A198" t="s">
        <x:v>321</x:v>
      </x:c>
      <x:c r="B198" s="19" t="s">
        <x:v>539</x:v>
      </x:c>
      <x:c r="C198" s="42" t="n">
        <x:f aca="0">IF(C37=0,"n/m",C33/C37)</x:f>
        <x:v>0</x:v>
      </x:c>
      <x:c r="D198" s="42" t="n">
        <x:f aca="0">IF(D37=0,"n/m",D33/D37)</x:f>
        <x:v>0.12914569386070474</x:v>
      </x:c>
      <x:c r="E198" s="42" t="n">
        <x:f aca="0">IF(E37=0,"n/m",E33/E37)</x:f>
        <x:v>0.03380013190548508</x:v>
      </x:c>
      <x:c r="F198" s="42" t="n">
        <x:f aca="0">IF(F37=0,"n/m",F33/F37)</x:f>
        <x:v>0.0018007830193537283</x:v>
      </x:c>
      <x:c r="G198" s="42" t="n">
        <x:f aca="0">IF(G37=0,"n/m",G33/G37)</x:f>
        <x:v>0.0016933504950567746</x:v>
      </x:c>
      <x:c r="H198" s="42" t="n">
        <x:f aca="0">IF(H37=0,"n/m",H33/H37)</x:f>
        <x:v>0.05726064884339625</x:v>
      </x:c>
      <x:c r="I198" s="11" t="s">
        <x:v>127</x:v>
      </x:c>
    </x:row>
    <x:row r="199" ht="15" hidden="0">
      <x:c r="A199" t="s">
        <x:v>540</x:v>
      </x:c>
      <x:c r="B199" s="19" t="s">
        <x:v>541</x:v>
      </x:c>
      <x:c r="C199" s="42" t="n">
        <x:f aca="0">IF(C37=0,"n/m",C34/C37)</x:f>
        <x:v>0.019213079084450944</x:v>
      </x:c>
      <x:c r="D199" s="42" t="n">
        <x:f aca="0">IF(D37=0,"n/m",D34/D37)</x:f>
        <x:v>0.02645283358966994</x:v>
      </x:c>
      <x:c r="E199" s="42" t="n">
        <x:f aca="0">IF(E37=0,"n/m",E34/E37)</x:f>
        <x:v>0.020287352793134747</x:v>
      </x:c>
      <x:c r="F199" s="42" t="n">
        <x:f aca="0">IF(F37=0,"n/m",F34/F37)</x:f>
        <x:v>0.006990329946451844</x:v>
      </x:c>
      <x:c r="G199" s="42" t="n">
        <x:f aca="0">IF(G37=0,"n/m",G34/G37)</x:f>
        <x:v>0.019866279633574395</x:v>
      </x:c>
      <x:c r="H199" s="42" t="n">
        <x:f aca="0">IF(H37=0,"n/m",H34/H37)</x:f>
        <x:v>0.016570828033024624</x:v>
      </x:c>
      <x:c r="I199" s="11" t="s">
        <x:v>127</x:v>
      </x:c>
    </x:row>
    <x:row r="200" ht="15" hidden="0">
      <x:c r="A200" t="s">
        <x:v>327</x:v>
      </x:c>
      <x:c r="B200" s="19" t="s">
        <x:v>542</x:v>
      </x:c>
      <x:c r="C200" s="42" t="n">
        <x:f aca="0">IF(C37=0,"n/m",C36/C37)</x:f>
        <x:v>0.23909001244731054</x:v>
      </x:c>
      <x:c r="D200" s="42" t="n">
        <x:f aca="0">IF(D37=0,"n/m",D36/D37)</x:f>
        <x:v>0.3652839075360437</x:v>
      </x:c>
      <x:c r="E200" s="42" t="n">
        <x:f aca="0">IF(E37=0,"n/m",E36/E37)</x:f>
        <x:v>0.24817316831136904</x:v>
      </x:c>
      <x:c r="F200" s="42" t="n">
        <x:f aca="0">IF(F37=0,"n/m",F36/F37)</x:f>
        <x:v>0.16664085184182323</x:v>
      </x:c>
      <x:c r="G200" s="42" t="n">
        <x:f aca="0">IF(G37=0,"n/m",G36/G37)</x:f>
        <x:v>0.1746458775697161</x:v>
      </x:c>
      <x:c r="H200" s="42" t="n">
        <x:f aca="0">IF(H37=0,"n/m",H36/H37)</x:f>
        <x:v>0.25162433982872384</x:v>
      </x:c>
      <x:c r="I200" s="11" t="s">
        <x:v>127</x:v>
      </x:c>
    </x:row>
    <x:row r="201" ht="15" hidden="0">
      <x:c r="A201" t="s">
        <x:v>336</x:v>
      </x:c>
      <x:c r="B201" s="19" t="s">
        <x:v>543</x:v>
      </x:c>
      <x:c r="C201" s="42" t="n">
        <x:f aca="0">IF(C37=0,"n/m",C41/C37)</x:f>
        <x:v>0.6780463214150575</x:v>
      </x:c>
      <x:c r="D201" s="42" t="n">
        <x:f aca="0">IF(D37=0,"n/m",D41/D37)</x:f>
        <x:v>0.6835285182929718</x:v>
      </x:c>
      <x:c r="E201" s="42" t="n">
        <x:f aca="0">IF(E37=0,"n/m",E41/E37)</x:f>
        <x:v>0.5078015171707784</x:v>
      </x:c>
      <x:c r="F201" s="42" t="n">
        <x:f aca="0">IF(F37=0,"n/m",F41/F37)</x:f>
        <x:v>0.46946944185385797</x:v>
      </x:c>
      <x:c r="G201" s="42" t="n">
        <x:f aca="0">IF(G37=0,"n/m",G41/G37)</x:f>
        <x:v>0.4971599362565977</x:v>
      </x:c>
      <x:c r="H201" s="42" t="n">
        <x:f aca="0">IF(H37=0,"n/m",H41/H37)</x:f>
        <x:v>0.5239336499653259</x:v>
      </x:c>
      <x:c r="I201" s="11" t="s">
        <x:v>127</x:v>
      </x:c>
    </x:row>
    <x:row r="202" ht="15" hidden="0">
      <x:c r="A202" t="s">
        <x:v>544</x:v>
      </x:c>
      <x:c r="B202" s="19" t="s">
        <x:v>545</x:v>
      </x:c>
      <x:c r="C202" s="42" t="n">
        <x:f aca="0">IF(C37=0,"n/m",C67/C37)</x:f>
        <x:v>0.017289251311185642</x:v>
      </x:c>
      <x:c r="D202" s="42" t="n">
        <x:f aca="0">IF(D37=0,"n/m",D67/D37)</x:f>
        <x:v>0.01659494791985876</x:v>
      </x:c>
      <x:c r="E202" s="42" t="n">
        <x:f aca="0">IF(E37=0,"n/m",E67/E37)</x:f>
        <x:v>0.1727906268810509</x:v>
      </x:c>
      <x:c r="F202" s="42" t="n">
        <x:f aca="0">IF(F37=0,"n/m",F67/F37)</x:f>
        <x:v>0.22975152572601862</x:v>
      </x:c>
      <x:c r="G202" s="42" t="n">
        <x:f aca="0">IF(G37=0,"n/m",G67/G37)</x:f>
        <x:v>0.203376413547186</x:v>
      </x:c>
      <x:c r="H202" s="42" t="n">
        <x:f aca="0">IF(H37=0,"n/m",H67/H37)</x:f>
        <x:v>0.15113814624398686</x:v>
      </x:c>
      <x:c r="I202" s="11" t="s">
        <x:v>127</x:v>
      </x:c>
    </x:row>
    <x:row r="203" ht="15" hidden="0">
      <x:c r="A203" t="s">
        <x:v>349</x:v>
      </x:c>
      <x:c r="B203" s="19" t="s">
        <x:v>546</x:v>
      </x:c>
      <x:c r="C203" s="42" t="n">
        <x:f aca="0">IF(C37=0,"n/m",C48/C37)</x:f>
        <x:v>0.14452034167723574</x:v>
      </x:c>
      <x:c r="D203" s="42" t="n">
        <x:f aca="0">IF(D37=0,"n/m",D48/D37)</x:f>
        <x:v>0.1355144983011539</x:v>
      </x:c>
      <x:c r="E203" s="42" t="n">
        <x:f aca="0">IF(E37=0,"n/m",E48/E37)</x:f>
        <x:v>0.25717909019692564</x:v>
      </x:c>
      <x:c r="F203" s="42" t="n">
        <x:f aca="0">IF(F37=0,"n/m",F48/F37)</x:f>
        <x:v>0.3253359791109746</x:v>
      </x:c>
      <x:c r="G203" s="42" t="n">
        <x:f aca="0">IF(G37=0,"n/m",G48/G37)</x:f>
        <x:v>0.32086945636587655</x:v>
      </x:c>
      <x:c r="H203" s="42" t="n">
        <x:f aca="0">IF(H37=0,"n/m",H48/H37)</x:f>
        <x:v>0.285588183982448</x:v>
      </x:c>
      <x:c r="I203" s="11" t="s">
        <x:v>127</x:v>
      </x:c>
    </x:row>
    <x:row r="204" ht="15" hidden="0">
      <x:c r="A204" t="s">
        <x:v>352</x:v>
      </x:c>
      <x:c r="B204" s="19" t="s">
        <x:v>547</x:v>
      </x:c>
      <x:c r="C204" s="42" t="n">
        <x:f aca="0">IF(C37=0,"n/m",C50/C37)</x:f>
        <x:v>0.03982639500880515</x:v>
      </x:c>
      <x:c r="D204" s="42" t="n">
        <x:f aca="0">IF(D37=0,"n/m",D50/D37)</x:f>
        <x:v>0.05352489239251314</x:v>
      </x:c>
      <x:c r="E204" s="42" t="n">
        <x:f aca="0">IF(E37=0,"n/m",E50/E37)</x:f>
        <x:v>0.060837871514748655</x:v>
      </x:c>
      <x:c r="F204" s="42" t="n">
        <x:f aca="0">IF(F37=0,"n/m",F50/F37)</x:f>
        <x:v>0.04693893646345534</x:v>
      </x:c>
      <x:c r="G204" s="42" t="n">
        <x:f aca="0">IF(G37=0,"n/m",G50/G37)</x:f>
        <x:v>0.041377290282791496</x:v>
      </x:c>
      <x:c r="H204" s="42" t="n">
        <x:f aca="0">IF(H37=0,"n/m",H50/H37)</x:f>
        <x:v>0.024461458720267237</x:v>
      </x:c>
      <x:c r="I204" s="11" t="s">
        <x:v>127</x:v>
      </x:c>
    </x:row>
    <x:row r="205" ht="15" hidden="0">
      <x:c r="A205" t="s">
        <x:v>548</x:v>
      </x:c>
      <x:c r="B205" s="19" t="s">
        <x:v>549</x:v>
      </x:c>
      <x:c r="C205" s="42" t="n">
        <x:f aca="0">IF(C37=0,"n/m",C66/C37)</x:f>
        <x:v>0.09250228602410389</x:v>
      </x:c>
      <x:c r="D205" s="42" t="n">
        <x:f aca="0">IF(D37=0,"n/m",D66/D37)</x:f>
        <x:v>0.07541617464065718</x:v>
      </x:c>
      <x:c r="E205" s="42" t="n">
        <x:f aca="0">IF(E37=0,"n/m",E66/E37)</x:f>
        <x:v>0.29292166480528953</x:v>
      </x:c>
      <x:c r="F205" s="42" t="n">
        <x:f aca="0">IF(F37=0,"n/m",F66/F37)</x:f>
        <x:v>0.3460456393185616</x:v>
      </x:c>
      <x:c r="G205" s="42" t="n">
        <x:f aca="0">IF(G37=0,"n/m",G66/G37)</x:f>
        <x:v>0.2978721987605501</x:v>
      </x:c>
      <x:c r="H205" s="42" t="n">
        <x:f aca="0">IF(H37=0,"n/m",H66/H37)</x:f>
        <x:v>0.25006439887904386</x:v>
      </x:c>
      <x:c r="I205" s="11" t="s">
        <x:v>127</x:v>
      </x:c>
    </x:row>
    <x:row r="206" ht="15" hidden="0">
      <x:c r="A206" t="s">
        <x:v>374</x:v>
      </x:c>
      <x:c r="B206" s="19" t="s">
        <x:v>550</x:v>
      </x:c>
      <x:c r="C206" s="42" t="n">
        <x:f aca="0">IF(C37=0,"n/m",C61/C37)</x:f>
        <x:v>0.1774333369077068</x:v>
      </x:c>
      <x:c r="D206" s="42" t="n">
        <x:f aca="0">IF(D37=0,"n/m",D61/D37)</x:f>
        <x:v>0.18095698340587432</x:v>
      </x:c>
      <x:c r="E206" s="42" t="n">
        <x:f aca="0">IF(E37=0,"n/m",E61/E37)</x:f>
        <x:v>0.23501939263229576</x:v>
      </x:c>
      <x:c r="F206" s="42" t="n">
        <x:f aca="0">IF(F37=0,"n/m",F61/F37)</x:f>
        <x:v>0.2051945790351674</x:v>
      </x:c>
      <x:c r="G206" s="42" t="n">
        <x:f aca="0">IF(G37=0,"n/m",G61/G37)</x:f>
        <x:v>0.1819706073775258</x:v>
      </x:c>
      <x:c r="H206" s="42" t="n">
        <x:f aca="0">IF(H37=0,"n/m",H61/H37)</x:f>
        <x:v>0.1904781660522259</x:v>
      </x:c>
      <x:c r="I206" s="11" t="s">
        <x:v>127</x:v>
      </x:c>
    </x:row>
    <x:row r="207" ht="15" hidden="0">
      <x:c r="A207" t="s">
        <x:v>377</x:v>
      </x:c>
      <x:c r="B207" s="19" t="s">
        <x:v>551</x:v>
      </x:c>
      <x:c r="C207" s="42" t="n">
        <x:f aca="0">IF(C37=0,"n/m",C62/C37)</x:f>
        <x:v>0.32195367858494256</x:v>
      </x:c>
      <x:c r="D207" s="42" t="n">
        <x:f aca="0">IF(D37=0,"n/m",D62/D37)</x:f>
        <x:v>0.3164714817070282</x:v>
      </x:c>
      <x:c r="E207" s="42" t="n">
        <x:f aca="0">IF(E37=0,"n/m",E62/E37)</x:f>
        <x:v>0.4921984828292214</x:v>
      </x:c>
      <x:c r="F207" s="42" t="n">
        <x:f aca="0">IF(F37=0,"n/m",F62/F37)</x:f>
        <x:v>0.530530558146142</x:v>
      </x:c>
      <x:c r="G207" s="42" t="n">
        <x:f aca="0">IF(G37=0,"n/m",G62/G37)</x:f>
        <x:v>0.5028400637434024</x:v>
      </x:c>
      <x:c r="H207" s="42" t="n">
        <x:f aca="0">IF(H37=0,"n/m",H62/H37)</x:f>
        <x:v>0.4760663500346739</x:v>
      </x:c>
      <x:c r="I207" s="11" t="s">
        <x:v>127</x:v>
      </x:c>
    </x:row>
    <x:row r="208" ht="15" hidden="0">
      <x:c r="A208" s="24" t="s">
        <x:v>552</x:v>
      </x:c>
      <x:c r="B208" s="25"/>
      <x:c r="C208" s="25"/>
      <x:c r="D208" s="25"/>
      <x:c r="E208" s="25"/>
      <x:c r="F208" s="25"/>
      <x:c r="G208" s="25"/>
      <x:c r="H208" s="25"/>
      <x:c r="I208" s="25"/>
      <x:c r="J208" s="25"/>
    </x:row>
    <x:row r="209" ht="15" hidden="0">
      <x:c r="A209" t="s">
        <x:v>416</x:v>
      </x:c>
      <x:c r="B209" s="19" t="s">
        <x:v>553</x:v>
      </x:c>
      <x:c r="C209" s="30"/>
      <x:c r="D209" s="42" t="n">
        <x:f aca="0">IF(D84=0,"n/m",D85/D84)</x:f>
        <x:v>-0.7501407527454769</x:v>
      </x:c>
      <x:c r="E209" s="42" t="n">
        <x:f aca="0">IF(E84=0,"n/m",E85/E84)</x:f>
        <x:v>-0.7149209601114744</x:v>
      </x:c>
      <x:c r="F209" s="42" t="n">
        <x:f aca="0">IF(F84=0,"n/m",F85/F84)</x:f>
        <x:v>-0.7000339595178923</x:v>
      </x:c>
      <x:c r="G209" s="42" t="n">
        <x:f aca="0">IF(G84=0,"n/m",G85/G84)</x:f>
        <x:v>-0.6791001364977527</x:v>
      </x:c>
      <x:c r="H209" s="42" t="n">
        <x:f aca="0">IF(H84=0,"n/m",H85/H84)</x:f>
        <x:v>-0.6450915779707095</x:v>
      </x:c>
      <x:c r="I209" s="11" t="s">
        <x:v>127</x:v>
      </x:c>
    </x:row>
    <x:row r="210" ht="15" hidden="0">
      <x:c r="A210" t="s">
        <x:v>418</x:v>
      </x:c>
      <x:c r="B210" s="19" t="s">
        <x:v>554</x:v>
      </x:c>
      <x:c r="C210" s="30"/>
      <x:c r="D210" s="42" t="n">
        <x:f aca="0">IF(D84=0,"n/m",D86/D84)</x:f>
        <x:v>0.24985924725452316</x:v>
      </x:c>
      <x:c r="E210" s="42" t="n">
        <x:f aca="0">IF(E84=0,"n/m",E86/E84)</x:f>
        <x:v>0.28507903988852556</x:v>
      </x:c>
      <x:c r="F210" s="42" t="n">
        <x:f aca="0">IF(F84=0,"n/m",F86/F84)</x:f>
        <x:v>0.2999660404821077</x:v>
      </x:c>
      <x:c r="G210" s="42" t="n">
        <x:f aca="0">IF(G84=0,"n/m",G86/G84)</x:f>
        <x:v>0.3208998635022473</x:v>
      </x:c>
      <x:c r="H210" s="42" t="n">
        <x:f aca="0">IF(H84=0,"n/m",H86/H84)</x:f>
        <x:v>0.3549084220292905</x:v>
      </x:c>
      <x:c r="I210" s="11" t="s">
        <x:v>127</x:v>
      </x:c>
    </x:row>
    <x:row r="211" ht="15" hidden="0">
      <x:c r="A211" t="s">
        <x:v>555</x:v>
      </x:c>
      <x:c r="B211" s="19" t="s">
        <x:v>556</x:v>
      </x:c>
      <x:c r="C211" s="30"/>
      <x:c r="D211" s="42" t="n">
        <x:f aca="0">IF(D84=0,"n/m",D87/D84)</x:f>
        <x:v>-0.007809104462330693</x:v>
      </x:c>
      <x:c r="E211" s="42" t="n">
        <x:f aca="0">IF(E84=0,"n/m",E87/E84)</x:f>
        <x:v>-0.029558090668755435</x:v>
      </x:c>
      <x:c r="F211" s="42" t="n">
        <x:f aca="0">IF(F84=0,"n/m",F87/F84)</x:f>
        <x:v>-0.039742787355976514</x:v>
      </x:c>
      <x:c r="G211" s="42" t="n">
        <x:f aca="0">IF(G84=0,"n/m",G87/G84)</x:f>
        <x:v>-0.04106057681640516</x:v>
      </x:c>
      <x:c r="H211" s="42" t="n">
        <x:f aca="0">IF(H84=0,"n/m",H87/H84)</x:f>
        <x:v>-0.03299528056059149</x:v>
      </x:c>
      <x:c r="I211" s="11" t="s">
        <x:v>127</x:v>
      </x:c>
    </x:row>
    <x:row r="212" ht="15" hidden="0">
      <x:c r="A212" t="s">
        <x:v>557</x:v>
      </x:c>
      <x:c r="B212" s="19" t="s">
        <x:v>558</x:v>
      </x:c>
      <x:c r="C212" s="30"/>
      <x:c r="D212" s="42" t="n">
        <x:f aca="0">IF(D84=0,"n/m",D88/D84)</x:f>
        <x:v>-0.021618509279586966</x:v>
      </x:c>
      <x:c r="E212" s="42" t="n">
        <x:f aca="0">IF(E84=0,"n/m",E88/E84)</x:f>
        <x:v>-0.023955831595079028</x:v>
      </x:c>
      <x:c r="F212" s="42" t="n">
        <x:f aca="0">IF(F84=0,"n/m",F88/F84)</x:f>
        <x:v>-0.02029745223403414</x:v>
      </x:c>
      <x:c r="G212" s="42" t="n">
        <x:f aca="0">IF(G84=0,"n/m",G88/G84)</x:f>
        <x:v>-0.01894436456368691</x:v>
      </x:c>
      <x:c r="H212" s="42" t="n">
        <x:f aca="0">IF(H84=0,"n/m",H88/H84)</x:f>
        <x:v>-0.01898556334294734</x:v>
      </x:c>
      <x:c r="I212" s="11" t="s">
        <x:v>127</x:v>
      </x:c>
    </x:row>
    <x:row r="213" ht="15" hidden="0">
      <x:c r="A213" t="s">
        <x:v>559</x:v>
      </x:c>
      <x:c r="B213" s="19" t="s">
        <x:v>560</x:v>
      </x:c>
      <x:c r="C213" s="30"/>
      <x:c r="D213" s="42" t="n">
        <x:f aca="0">IF(D84=0,"n/m",(D90+D89)/D84)</x:f>
        <x:v>-0.015571734253048407</x:v>
      </x:c>
      <x:c r="E213" s="42" t="n">
        <x:f aca="0">IF(E84=0,"n/m",(E90+E89)/E84)</x:f>
        <x:v>-0.014913670707498784</x:v>
      </x:c>
      <x:c r="F213" s="42" t="n">
        <x:f aca="0">IF(F84=0,"n/m",(F90+F89)/F84)</x:f>
        <x:v>-0.011019331744971246</x:v>
      </x:c>
      <x:c r="G213" s="42" t="n">
        <x:f aca="0">IF(G84=0,"n/m",(G90+G89)/G84)</x:f>
        <x:v>-0.010332550231720286</x:v>
      </x:c>
      <x:c r="H213" s="42" t="n">
        <x:f aca="0">IF(H84=0,"n/m",(H90+H89)/H84)</x:f>
        <x:v>-0.016629238562994645</x:v>
      </x:c>
      <x:c r="I213" s="11" t="s">
        <x:v>127</x:v>
      </x:c>
    </x:row>
    <x:row r="214" ht="15" hidden="0">
      <x:c r="A214" t="s">
        <x:v>561</x:v>
      </x:c>
      <x:c r="B214" s="19" t="s">
        <x:v>562</x:v>
      </x:c>
      <x:c r="C214" s="30"/>
      <x:c r="D214" s="42" t="n">
        <x:f aca="0">IF(D84=0,"n/m",D91/D84)</x:f>
        <x:v>0.20485989925955708</x:v>
      </x:c>
      <x:c r="E214" s="42" t="n">
        <x:f aca="0">IF(E84=0,"n/m",E91/E84)</x:f>
        <x:v>0.21665144691719232</x:v>
      </x:c>
      <x:c r="F214" s="42" t="n">
        <x:f aca="0">IF(F84=0,"n/m",F91/F84)</x:f>
        <x:v>0.2289064691471258</x:v>
      </x:c>
      <x:c r="G214" s="42" t="n">
        <x:f aca="0">IF(G84=0,"n/m",G91/G84)</x:f>
        <x:v>0.25056237189043495</x:v>
      </x:c>
      <x:c r="H214" s="42" t="n">
        <x:f aca="0">IF(H84=0,"n/m",H91/H84)</x:f>
        <x:v>0.2862983395627571</x:v>
      </x:c>
      <x:c r="I214" s="11" t="s">
        <x:v>127</x:v>
      </x:c>
    </x:row>
    <x:row r="215" ht="15" hidden="0">
      <x:c r="A215" t="s">
        <x:v>430</x:v>
      </x:c>
      <x:c r="B215" s="19" t="s">
        <x:v>563</x:v>
      </x:c>
      <x:c r="C215" s="30"/>
      <x:c r="D215" s="42" t="n">
        <x:f aca="0">IF(D84=0,"n/m",(D92+D93+D94)/D84)</x:f>
        <x:v>0.010098435249719987</x:v>
      </x:c>
      <x:c r="E215" s="42" t="n">
        <x:f aca="0">IF(E84=0,"n/m",(E92+E93+E94)/E84)</x:f>
        <x:v>0.018027263845710344</x:v>
      </x:c>
      <x:c r="F215" s="42" t="n">
        <x:f aca="0">IF(F84=0,"n/m",(F92+F93+F94)/F84)</x:f>
        <x:v>0.014160205186239512</x:v>
      </x:c>
      <x:c r="G215" s="42" t="n">
        <x:f aca="0">IF(G84=0,"n/m",(G92+G93+G94)/G84)</x:f>
        <x:v>0.010492697731366216</x:v>
      </x:c>
      <x:c r="H215" s="42" t="n">
        <x:f aca="0">IF(H84=0,"n/m",(H92+H93+H94)/H84)</x:f>
        <x:v>0.020567429446952893</x:v>
      </x:c>
      <x:c r="I215" s="11" t="s">
        <x:v>127</x:v>
      </x:c>
    </x:row>
    <x:row r="216" ht="15" hidden="0">
      <x:c r="A216" t="s">
        <x:v>436</x:v>
      </x:c>
      <x:c r="B216" s="19" t="s">
        <x:v>564</x:v>
      </x:c>
      <x:c r="C216" s="30"/>
      <x:c r="D216" s="42" t="n">
        <x:f aca="0">IF(D84=0,"n/m",D95/D84)</x:f>
        <x:v>-0.004516571743111253</x:v>
      </x:c>
      <x:c r="E216" s="42" t="n">
        <x:f aca="0">IF(E84=0,"n/m",E95/E84)</x:f>
        <x:v>-0.022152340136494367</x:v>
      </x:c>
      <x:c r="F216" s="42" t="n">
        <x:f aca="0">IF(F84=0,"n/m",F95/F84)</x:f>
        <x:v>-0.05355227634103735</x:v>
      </x:c>
      <x:c r="G216" s="42" t="n">
        <x:f aca="0">IF(G84=0,"n/m",G95/G84)</x:f>
        <x:v>-0.06918104572368564</x:v>
      </x:c>
      <x:c r="H216" s="42" t="n">
        <x:f aca="0">IF(H84=0,"n/m",H95/H84)</x:f>
        <x:v>-0.06488725568798208</x:v>
      </x:c>
      <x:c r="I216" s="11" t="s">
        <x:v>127</x:v>
      </x:c>
    </x:row>
    <x:row r="217" ht="15" hidden="0">
      <x:c r="A217" t="s">
        <x:v>565</x:v>
      </x:c>
      <x:c r="B217" s="19" t="s">
        <x:v>566</x:v>
      </x:c>
      <x:c r="C217" s="30"/>
      <x:c r="D217" s="42" t="n">
        <x:f aca="0">IF(D84=0,"n/m",D96/D84)</x:f>
        <x:v>0.21044176276616583</x:v>
      </x:c>
      <x:c r="E217" s="42" t="n">
        <x:f aca="0">IF(E84=0,"n/m",E96/E84)</x:f>
        <x:v>0.2125263706264083</x:v>
      </x:c>
      <x:c r="F217" s="42" t="n">
        <x:f aca="0">IF(F84=0,"n/m",F96/F84)</x:f>
        <x:v>0.18951439799232797</x:v>
      </x:c>
      <x:c r="G217" s="42" t="n">
        <x:f aca="0">IF(G84=0,"n/m",G96/G84)</x:f>
        <x:v>0.19187402389811553</x:v>
      </x:c>
      <x:c r="H217" s="42" t="n">
        <x:f aca="0">IF(H84=0,"n/m",H96/H84)</x:f>
        <x:v>0.24197851332172784</x:v>
      </x:c>
      <x:c r="I217" s="11" t="s">
        <x:v>127</x:v>
      </x:c>
    </x:row>
    <x:row r="218" ht="15" hidden="0">
      <x:c r="A218" t="s">
        <x:v>567</x:v>
      </x:c>
      <x:c r="B218" s="19" t="s">
        <x:v>568</x:v>
      </x:c>
      <x:c r="C218" s="30"/>
      <x:c r="D218" s="42" t="n">
        <x:f aca="0">IF(D84=0,"n/m",-D110/D84)</x:f>
        <x:v>-0.0674188037427767</x:v>
      </x:c>
      <x:c r="E218" s="42" t="n">
        <x:f aca="0">IF(E84=0,"n/m",-E110/E84)</x:f>
        <x:v>-0.08140300858073829</x:v>
      </x:c>
      <x:c r="F218" s="42" t="n">
        <x:f aca="0">IF(F84=0,"n/m",-F110/F84)</x:f>
        <x:v>-0.08021868072591098</x:v>
      </x:c>
      <x:c r="G218" s="42" t="n">
        <x:f aca="0">IF(G84=0,"n/m",-G110/G84)</x:f>
        <x:v>-0.08911875964262016</x:v>
      </x:c>
      <x:c r="H218" s="42" t="n">
        <x:f aca="0">IF(H84=0,"n/m",-H110/H84)</x:f>
        <x:v>-0.09217239722395015</x:v>
      </x:c>
      <x:c r="I218" s="11" t="s">
        <x:v>127</x:v>
      </x:c>
    </x:row>
    <x:row r="219" ht="15" hidden="0">
      <x:c r="A219" t="s">
        <x:v>569</x:v>
      </x:c>
      <x:c r="B219" s="19" t="s">
        <x:v>570</x:v>
      </x:c>
      <x:c r="C219" s="30"/>
      <x:c r="D219" s="42" t="n">
        <x:f aca="0">IF(D84=0,"n/m",D99/D84)</x:f>
        <x:v>0.14302295902338913</x:v>
      </x:c>
      <x:c r="E219" s="42" t="n">
        <x:f aca="0">IF(E84=0,"n/m",E99/E84)</x:f>
        <x:v>0.13112336204567002</x:v>
      </x:c>
      <x:c r="F219" s="42" t="n">
        <x:f aca="0">IF(F84=0,"n/m",F99/F84)</x:f>
        <x:v>0.10929571726641699</x:v>
      </x:c>
      <x:c r="G219" s="42" t="n">
        <x:f aca="0">IF(G84=0,"n/m",G99/G84)</x:f>
        <x:v>0.10275526425549537</x:v>
      </x:c>
      <x:c r="H219" s="42" t="n">
        <x:f aca="0">IF(H84=0,"n/m",H99/H84)</x:f>
        <x:v>0.14980611609777766</x:v>
      </x:c>
      <x:c r="I219" s="11" t="s">
        <x:v>127</x:v>
      </x:c>
    </x:row>
    <x:row r="220" ht="15" hidden="0">
      <x:c r="A220" t="s">
        <x:v>571</x:v>
      </x:c>
      <x:c r="B220" s="19" t="s">
        <x:v>572</x:v>
      </x:c>
      <x:c r="C220" s="30"/>
      <x:c r="D220" s="42" t="n">
        <x:f aca="0">IF(D84=0,"n/m",D109/D84)</x:f>
        <x:v>0.28086135530113043</x:v>
      </x:c>
      <x:c r="E220" s="42" t="n">
        <x:f aca="0">IF(E84=0,"n/m",E109/E84)</x:f>
        <x:v>0.2890661263240804</x:v>
      </x:c>
      <x:c r="F220" s="42" t="n">
        <x:f aca="0">IF(F84=0,"n/m",F109/F84)</x:f>
        <x:v>0.29668683739017554</x:v>
      </x:c>
      <x:c r="G220" s="42" t="n">
        <x:f aca="0">IF(G84=0,"n/m",G109/G84)</x:f>
        <x:v>0.3117640834393464</x:v>
      </x:c>
      <x:c r="H220" s="42" t="n">
        <x:f aca="0">IF(H84=0,"n/m",H109/H84)</x:f>
        <x:v>0.36273294689052354</x:v>
      </x:c>
      <x:c r="I220" s="11" t="s">
        <x:v>127</x:v>
      </x:c>
    </x:row>
    <x:row r="222" ht="15" hidden="0">
      <x:c r="A222" s="5" t="s">
        <x:v>573</x:v>
      </x:c>
      <x:c r="B222" s="20"/>
      <x:c r="C222" s="20"/>
      <x:c r="D222" s="20"/>
      <x:c r="E222" s="20"/>
      <x:c r="F222" s="20"/>
      <x:c r="G222" s="20"/>
      <x:c r="H222" s="20"/>
      <x:c r="I222" s="20"/>
      <x:c r="J222" s="20"/>
    </x:row>
    <x:row r="223" ht="15" hidden="0">
      <x:c r="A223" t="s">
        <x:v>574</x:v>
      </x:c>
      <x:c r="B223" s="19" t="s">
        <x:v>575</x:v>
      </x:c>
      <x:c r="C223" s="30"/>
      <x:c r="D223" s="43" t="s">
        <x:v>576</x:v>
      </x:c>
      <x:c r="E223" s="44" t="n">
        <x:f aca="0">E84-D84</x:f>
        <x:v>29971.833000000002</x:v>
      </x:c>
      <x:c r="F223" s="44" t="n">
        <x:f aca="0">F84-E84</x:f>
        <x:v>13826.164000000004</x:v>
      </x:c>
      <x:c r="G223" s="44" t="n">
        <x:f aca="0">G84-F84</x:f>
        <x:v>11956.943999999989</x:v>
      </x:c>
      <x:c r="H223" s="44" t="n">
        <x:f aca="0">H84-G84</x:f>
        <x:v>8930.101999999999</x:v>
      </x:c>
      <x:c r="I223" s="11" t="s">
        <x:v>98</x:v>
      </x:c>
    </x:row>
    <x:row r="224" ht="15" hidden="0">
      <x:c r="A224" t="s">
        <x:v>577</x:v>
      </x:c>
      <x:c r="B224" s="19" t="s">
        <x:v>578</x:v>
      </x:c>
      <x:c r="C224" s="30"/>
      <x:c r="D224" s="43" t="s">
        <x:v>576</x:v>
      </x:c>
      <x:c r="E224" s="42" t="n">
        <x:f aca="0">IF(D84&lt;=0,"n/m",(E84-D84)/D84)</x:f>
        <x:v>1.234867993186187</x:v>
      </x:c>
      <x:c r="F224" s="42" t="n">
        <x:f aca="0">IF(E84&lt;=0,"n/m",(F84-E84)/E84)</x:f>
        <x:v>0.25489250083300896</x:v>
      </x:c>
      <x:c r="G224" s="42" t="n">
        <x:f aca="0">IF(F84&lt;=0,"n/m",(G84-F84)/F84)</x:f>
        <x:v>0.1756584416447934</x:v>
      </x:c>
      <x:c r="H224" s="42" t="n">
        <x:f aca="0">IF(G84&lt;=0,"n/m",(H84-G84)/G84)</x:f>
        <x:v>0.11158969310885658</x:v>
      </x:c>
      <x:c r="I224" s="11" t="s">
        <x:v>127</x:v>
      </x:c>
    </x:row>
    <x:row r="225" ht="15" hidden="0">
      <x:c r="A225" t="s">
        <x:v>579</x:v>
      </x:c>
      <x:c r="B225" s="19" t="s">
        <x:v>575</x:v>
      </x:c>
      <x:c r="C225" s="30"/>
      <x:c r="D225" s="43" t="s">
        <x:v>576</x:v>
      </x:c>
      <x:c r="E225" s="44" t="n">
        <x:f aca="0">E86-D86</x:f>
        <x:v>9399.171000000002</x:v>
      </x:c>
      <x:c r="F225" s="44" t="n">
        <x:f aca="0">F86-E86</x:f>
        <x:v>4954.8970000000045</x:v>
      </x:c>
      <x:c r="G225" s="44" t="n">
        <x:f aca="0">G86-F86</x:f>
        <x:v>5261.931999999986</x:v>
      </x:c>
      <x:c r="H225" s="44" t="n">
        <x:f aca="0">H86-G86</x:f>
        <x:v>5890.945</x:v>
      </x:c>
      <x:c r="I225" s="11" t="s">
        <x:v>98</x:v>
      </x:c>
    </x:row>
    <x:row r="226" ht="15" hidden="0">
      <x:c r="A226" t="s">
        <x:v>580</x:v>
      </x:c>
      <x:c r="B226" s="19" t="s">
        <x:v>578</x:v>
      </x:c>
      <x:c r="C226" s="30"/>
      <x:c r="D226" s="43" t="s">
        <x:v>576</x:v>
      </x:c>
      <x:c r="E226" s="42" t="n">
        <x:f aca="0">IF(D86&lt;=0,"n/m",(E86-D86)/D86)</x:f>
        <x:v>1.5498917041325577</x:v>
      </x:c>
      <x:c r="F226" s="42" t="n">
        <x:f aca="0">IF(E86&lt;=0,"n/m",(F86-E86)/E86)</x:f>
        <x:v>0.32042374933197887</x:v>
      </x:c>
      <x:c r="G226" s="42" t="n">
        <x:f aca="0">IF(F86&lt;=0,"n/m",(G86-F86)/F86)</x:f>
        <x:v>0.25770448162308635</x:v>
      </x:c>
      <x:c r="H226" s="42" t="n">
        <x:f aca="0">IF(G86&lt;=0,"n/m",(H86-G86)/G86)</x:f>
        <x:v>0.2293945519940204</x:v>
      </x:c>
      <x:c r="I226" s="11" t="s">
        <x:v>127</x:v>
      </x:c>
    </x:row>
    <x:row r="227" ht="15" hidden="0">
      <x:c r="A227" t="s">
        <x:v>581</x:v>
      </x:c>
      <x:c r="B227" s="19" t="s">
        <x:v>575</x:v>
      </x:c>
      <x:c r="C227" s="30"/>
      <x:c r="D227" s="43" t="s">
        <x:v>576</x:v>
      </x:c>
      <x:c r="E227" s="44" t="n">
        <x:f aca="0">E91-D91</x:f>
        <x:v>6779.6370000000015</x:v>
      </x:c>
      <x:c r="F227" s="44" t="n">
        <x:f aca="0">F91-E91</x:f>
        <x:v>3829.6490000000067</x:v>
      </x:c>
      <x:c r="G227" s="44" t="n">
        <x:f aca="0">G91-F91</x:f>
        <x:v>4470.061999999987</x:v>
      </x:c>
      <x:c r="H227" s="44" t="n">
        <x:f aca="0">H91-G91</x:f>
        <x:v>5416.487999999998</x:v>
      </x:c>
      <x:c r="I227" s="11" t="s">
        <x:v>98</x:v>
      </x:c>
    </x:row>
    <x:row r="228" ht="15" hidden="0">
      <x:c r="A228" t="s">
        <x:v>582</x:v>
      </x:c>
      <x:c r="B228" s="19" t="s">
        <x:v>578</x:v>
      </x:c>
      <x:c r="C228" s="30"/>
      <x:c r="D228" s="43" t="s">
        <x:v>576</x:v>
      </x:c>
      <x:c r="E228" s="42" t="n">
        <x:f aca="0">IF(D91&lt;=0,"n/m",(E91-D91)/D91)</x:f>
        <x:v>1.3635049423667094</x:v>
      </x:c>
      <x:c r="F228" s="42" t="n">
        <x:f aca="0">IF(E91&lt;=0,"n/m",(F91-E91)/E91)</x:f>
        <x:v>0.32587626628998895</x:v>
      </x:c>
      <x:c r="G228" s="42" t="n">
        <x:f aca="0">IF(F91&lt;=0,"n/m",(G91-F91)/F91)</x:f>
        <x:v>0.28688266770738713</x:v>
      </x:c>
      <x:c r="H228" s="42" t="n">
        <x:f aca="0">IF(G91&lt;=0,"n/m",(H91-G91)/G91)</x:f>
        <x:v>0.2701279965185752</x:v>
      </x:c>
      <x:c r="I228" s="11" t="s">
        <x:v>127</x:v>
      </x:c>
    </x:row>
    <x:row r="229" ht="15" hidden="0">
      <x:c r="A229" t="s">
        <x:v>583</x:v>
      </x:c>
      <x:c r="B229" s="19" t="s">
        <x:v>575</x:v>
      </x:c>
      <x:c r="C229" s="30"/>
      <x:c r="D229" s="43" t="s">
        <x:v>576</x:v>
      </x:c>
      <x:c r="E229" s="44" t="n">
        <x:f aca="0">E109-D109</x:f>
        <x:v>8862.982000000004</x:v>
      </x:c>
      <x:c r="F229" s="44" t="n">
        <x:f aca="0">F109-E109</x:f>
        <x:v>4515.412000000004</x:v>
      </x:c>
      <x:c r="G229" s="44" t="n">
        <x:f aca="0">G109-F109</x:f>
        <x:v>4754.042999999987</x:v>
      </x:c>
      <x:c r="H229" s="44" t="n">
        <x:f aca="0">H109-G109</x:f>
        <x:v>7318.087999999996</x:v>
      </x:c>
      <x:c r="I229" s="11" t="s">
        <x:v>98</x:v>
      </x:c>
    </x:row>
    <x:row r="230" ht="15" hidden="0">
      <x:c r="A230" t="s">
        <x:v>584</x:v>
      </x:c>
      <x:c r="B230" s="19" t="s">
        <x:v>578</x:v>
      </x:c>
      <x:c r="C230" s="30"/>
      <x:c r="D230" s="43" t="s">
        <x:v>576</x:v>
      </x:c>
      <x:c r="E230" s="42" t="n">
        <x:f aca="0">IF(D109&lt;=0,"n/m",(E109-D109)/D109)</x:f>
        <x:v>1.3001549392345406</x:v>
      </x:c>
      <x:c r="F230" s="42" t="n">
        <x:f aca="0">IF(E109&lt;=0,"n/m",(F109-E109)/E109)</x:f>
        <x:v>0.2879754956808257</x:v>
      </x:c>
      <x:c r="G230" s="42" t="n">
        <x:f aca="0">IF(F109&lt;=0,"n/m",(G109-F109)/F109)</x:f>
        <x:v>0.2354039017076277</x:v>
      </x:c>
      <x:c r="H230" s="42" t="n">
        <x:f aca="0">IF(G109&lt;=0,"n/m",(H109-G109)/G109)</x:f>
        <x:v>0.2933183343839304</x:v>
      </x:c>
      <x:c r="I230" s="11" t="s">
        <x:v>127</x:v>
      </x:c>
    </x:row>
    <x:row r="231" ht="15" hidden="0">
      <x:c r="A231" t="s">
        <x:v>585</x:v>
      </x:c>
      <x:c r="B231" s="19" t="s">
        <x:v>575</x:v>
      </x:c>
      <x:c r="C231" s="30"/>
      <x:c r="D231" s="43" t="s">
        <x:v>576</x:v>
      </x:c>
      <x:c r="E231" s="44" t="n">
        <x:f aca="0">E99-D99</x:f>
        <x:v>3641.1890000000017</x:v>
      </x:c>
      <x:c r="F231" s="44" t="n">
        <x:f aca="0">F99-E99</x:f>
        <x:v>327.1410000000069</x:v>
      </x:c>
      <x:c r="G231" s="44" t="n">
        <x:f aca="0">G99-F99</x:f>
        <x:v>783.4349999999868</x:v>
      </x:c>
      <x:c r="H231" s="44" t="n">
        <x:f aca="0">H99-G99</x:f>
        <x:v>5103.085999999996</x:v>
      </x:c>
      <x:c r="I231" s="11" t="s">
        <x:v>98</x:v>
      </x:c>
    </x:row>
    <x:row r="232" ht="15" hidden="0">
      <x:c r="A232" t="s">
        <x:v>586</x:v>
      </x:c>
      <x:c r="B232" s="19" t="s">
        <x:v>578</x:v>
      </x:c>
      <x:c r="C232" s="30"/>
      <x:c r="D232" s="43" t="s">
        <x:v>576</x:v>
      </x:c>
      <x:c r="E232" s="42" t="n">
        <x:f aca="0">IF(D99&lt;=0,"n/m",(E99-D99)/D99)</x:f>
        <x:v>1.0489256200251724</x:v>
      </x:c>
      <x:c r="F232" s="42" t="n">
        <x:f aca="0">IF(E99&lt;=0,"n/m",(F99-E99)/E99)</x:f>
        <x:v>0.04599496101252251</x:v>
      </x:c>
      <x:c r="G232" s="42" t="n">
        <x:f aca="0">IF(F99&lt;=0,"n/m",(G99-F99)/F99)</x:f>
        <x:v>0.10530491831571621</x:v>
      </x:c>
      <x:c r="H232" s="42" t="n">
        <x:f aca="0">IF(G99&lt;=0,"n/m",(H99-G99)/G99)</x:f>
        <x:v>0.6205781360739651</x:v>
      </x:c>
      <x:c r="I232" s="11" t="s">
        <x:v>127</x:v>
      </x:c>
    </x:row>
    <x:row r="233" ht="15" hidden="0">
      <x:c r="A233" t="s">
        <x:v>587</x:v>
      </x:c>
      <x:c r="B233" s="19" t="s">
        <x:v>575</x:v>
      </x:c>
      <x:c r="C233" s="30"/>
      <x:c r="D233" s="43" t="s">
        <x:v>576</x:v>
      </x:c>
      <x:c r="E233" s="44" t="n">
        <x:f aca="0">E117-D117</x:f>
        <x:v>1828.4670000000006</x:v>
      </x:c>
      <x:c r="F233" s="44" t="n">
        <x:f aca="0">F117-E117</x:f>
        <x:v>8463.434</x:v>
      </x:c>
      <x:c r="G233" s="44" t="n">
        <x:f aca="0">G117-F117</x:f>
        <x:v>6253.609</x:v>
      </x:c>
      <x:c r="H233" s="44" t="n">
        <x:f aca="0">H117-G117</x:f>
        <x:v>2028.6009999999987</x:v>
      </x:c>
      <x:c r="I233" s="11" t="s">
        <x:v>98</x:v>
      </x:c>
    </x:row>
    <x:row r="234" ht="15" hidden="0">
      <x:c r="A234" t="s">
        <x:v>588</x:v>
      </x:c>
      <x:c r="B234" s="19" t="s">
        <x:v>578</x:v>
      </x:c>
      <x:c r="C234" s="30"/>
      <x:c r="D234" s="43" t="s">
        <x:v>576</x:v>
      </x:c>
      <x:c r="E234" s="42" t="n">
        <x:f aca="0">IF(D117&lt;=0,"n/m",(E117-D117)/D117)</x:f>
        <x:v>0.3185983788041918</x:v>
      </x:c>
      <x:c r="F234" s="42" t="n">
        <x:f aca="0">IF(E117&lt;=0,"n/m",(F117-E117)/E117)</x:f>
        <x:v>1.118382877237642</x:v>
      </x:c>
      <x:c r="G234" s="42" t="n">
        <x:f aca="0">IF(F117&lt;=0,"n/m",(G117-F117)/F117)</x:f>
        <x:v>0.39009480258184803</x:v>
      </x:c>
      <x:c r="H234" s="42" t="n">
        <x:f aca="0">IF(G117&lt;=0,"n/m",(H117-G117)/G117)</x:f>
        <x:v>0.09103149093003968</x:v>
      </x:c>
      <x:c r="I234" s="11" t="s">
        <x:v>127</x:v>
      </x:c>
    </x:row>
    <x:row r="235" ht="15" hidden="0">
      <x:c r="A235" t="s">
        <x:v>589</x:v>
      </x:c>
      <x:c r="B235" s="19" t="s">
        <x:v>575</x:v>
      </x:c>
      <x:c r="C235" s="30"/>
      <x:c r="D235" s="44" t="n">
        <x:f aca="0">D37-C37</x:f>
        <x:v>4844.315000000002</x:v>
      </x:c>
      <x:c r="E235" s="44" t="n">
        <x:f aca="0">E37-D37</x:f>
        <x:v>79645.84600000002</x:v>
      </x:c>
      <x:c r="F235" s="44" t="n">
        <x:f aca="0">F37-E37</x:f>
        <x:v>25130.419999999984</x:v>
      </x:c>
      <x:c r="G235" s="44" t="n">
        <x:f aca="0">G37-F37</x:f>
        <x:v>8807.801999999996</x:v>
      </x:c>
      <x:c r="H235" s="44" t="n">
        <x:f aca="0">H37-G37</x:f>
        <x:v>13208.892000000022</x:v>
      </x:c>
      <x:c r="I235" s="11" t="s">
        <x:v>98</x:v>
      </x:c>
    </x:row>
    <x:row r="236" ht="15" hidden="0">
      <x:c r="A236" t="s">
        <x:v>590</x:v>
      </x:c>
      <x:c r="B236" s="19" t="s">
        <x:v>578</x:v>
      </x:c>
      <x:c r="C236" s="30"/>
      <x:c r="D236" s="42" t="n">
        <x:f aca="0">IF(C37&lt;=0,"n/m",(D37-C37)/C37)</x:f>
        <x:v>0.1658562356862435</x:v>
      </x:c>
      <x:c r="E236" s="42" t="n">
        <x:f aca="0">IF(D37&lt;=0,"n/m",(E37-D37)/D37)</x:f>
        <x:v>2.3389318015609613</x:v>
      </x:c>
      <x:c r="F236" s="42" t="n">
        <x:f aca="0">IF(E37&lt;=0,"n/m",(F37-E37)/E37)</x:f>
        <x:v>0.2210276608284235</x:v>
      </x:c>
      <x:c r="G236" s="42" t="n">
        <x:f aca="0">IF(F37&lt;=0,"n/m",(G37-F37)/F37)</x:f>
        <x:v>0.0634437611177192</x:v>
      </x:c>
      <x:c r="H236" s="42" t="n">
        <x:f aca="0">IF(G37&lt;=0,"n/m",(H37-G37)/G37)</x:f>
        <x:v>0.08946913522940603</x:v>
      </x:c>
      <x:c r="I236" s="11" t="s">
        <x:v>127</x:v>
      </x:c>
    </x:row>
    <x:row r="237" ht="15" hidden="0">
      <x:c r="A237" t="s">
        <x:v>591</x:v>
      </x:c>
      <x:c r="B237" s="19" t="s">
        <x:v>575</x:v>
      </x:c>
      <x:c r="C237" s="30"/>
      <x:c r="D237" s="44" t="n">
        <x:f aca="0">D41-C41</x:f>
        <x:v>3471.3510000000024</x:v>
      </x:c>
      <x:c r="E237" s="44" t="n">
        <x:f aca="0">E41-D41</x:f>
        <x:v>34460.384999999995</x:v>
      </x:c>
      <x:c r="F237" s="44" t="n">
        <x:f aca="0">F41-E41</x:f>
        <x:v>7439.680999999997</x:v>
      </x:c>
      <x:c r="G237" s="44" t="n">
        <x:f aca="0">G41-F41</x:f>
        <x:v>8223.116000000009</x:v>
      </x:c>
      <x:c r="H237" s="44" t="n">
        <x:f aca="0">H41-G41</x:f>
        <x:v>10873.354999999996</x:v>
      </x:c>
      <x:c r="I237" s="11" t="s">
        <x:v>98</x:v>
      </x:c>
    </x:row>
    <x:row r="238" ht="15" hidden="0">
      <x:c r="A238" t="s">
        <x:v>592</x:v>
      </x:c>
      <x:c r="B238" s="19" t="s">
        <x:v>578</x:v>
      </x:c>
      <x:c r="C238" s="30"/>
      <x:c r="D238" s="42" t="n">
        <x:f aca="0">IF(C41&lt;=0,"n/m",(D41-C41)/C41)</x:f>
        <x:v>0.17528251411813192</x:v>
      </x:c>
      <x:c r="E238" s="42" t="n">
        <x:f aca="0">IF(D41&lt;=0,"n/m",(E41-D41)/D41)</x:f>
        <x:v>1.4805323979703955</x:v>
      </x:c>
      <x:c r="F238" s="42" t="n">
        <x:f aca="0">IF(E41&lt;=0,"n/m",(F41-E41)/E41)</x:f>
        <x:v>0.12885675807159389</x:v>
      </x:c>
      <x:c r="G238" s="42" t="n">
        <x:f aca="0">IF(F41&lt;=0,"n/m",(G41-F41)/F41)</x:f>
        <x:v>0.12616836231556552</x:v>
      </x:c>
      <x:c r="H238" s="42" t="n">
        <x:f aca="0">IF(G41&lt;=0,"n/m",(H41-G41)/G41)</x:f>
        <x:v>0.14814066644883395</x:v>
      </x:c>
      <x:c r="I238" s="11" t="s">
        <x:v>127</x:v>
      </x:c>
    </x:row>
    <x:row r="239" ht="15" hidden="0">
      <x:c r="A239" t="s">
        <x:v>593</x:v>
      </x:c>
      <x:c r="B239" s="19" t="s">
        <x:v>575</x:v>
      </x:c>
      <x:c r="C239" s="30"/>
      <x:c r="D239" s="44" t="n">
        <x:f aca="0">D66-C66</x:f>
        <x:v>-133.70999999999958</x:v>
      </x:c>
      <x:c r="E239" s="44" t="n">
        <x:f aca="0">E66-D66</x:f>
        <x:v>30736.541000000005</x:v>
      </x:c>
      <x:c r="F239" s="44" t="n">
        <x:f aca="0">F66-E66</x:f>
        <x:v>14736.366000000002</x:v>
      </x:c>
      <x:c r="G239" s="44" t="n">
        <x:f aca="0">G66-F66</x:f>
        <x:v>-4064.247000000003</x:v>
      </x:c>
      <x:c r="H239" s="44" t="n">
        <x:f aca="0">H66-G66</x:f>
        <x:v>-3755.0930000000008</x:v>
      </x:c>
      <x:c r="I239" s="11" t="s">
        <x:v>98</x:v>
      </x:c>
    </x:row>
    <x:row r="240" ht="15" hidden="0">
      <x:c r="A240" t="s">
        <x:v>594</x:v>
      </x:c>
      <x:c r="B240" s="19" t="s">
        <x:v>578</x:v>
      </x:c>
      <x:c r="C240" s="30"/>
      <x:c r="D240" s="42" t="n">
        <x:f aca="0">IF(C66&lt;=0,"n/m",(D66-C66)/C66)</x:f>
        <x:v>-0.049489247719759905</x:v>
      </x:c>
      <x:c r="E240" s="42" t="n">
        <x:f aca="0">IF(D66&lt;=0,"n/m",(E66-D66)/D66)</x:f>
        <x:v>11.968643220698349</x:v>
      </x:c>
      <x:c r="F240" s="42" t="n">
        <x:f aca="0">IF(E66&lt;=0,"n/m",(F66-E66)/E66)</x:f>
        <x:v>0.44247199263285614</x:v>
      </x:c>
      <x:c r="G240" s="42" t="n">
        <x:f aca="0">IF(F66&lt;=0,"n/m",(G66-F66)/F66)</x:f>
        <x:v>-0.08459955742799342</x:v>
      </x:c>
      <x:c r="H240" s="42" t="n">
        <x:f aca="0">IF(G66&lt;=0,"n/m",(H66-G66)/G66)</x:f>
        <x:v>-0.08538814453974304</x:v>
      </x:c>
      <x:c r="I240" s="11" t="s">
        <x:v>127</x:v>
      </x:c>
    </x:row>
    <x:row r="241" ht="15" hidden="0">
      <x:c r="A241" t="s">
        <x:v>595</x:v>
      </x:c>
      <x:c r="B241" s="19" t="s">
        <x:v>575</x:v>
      </x:c>
      <x:c r="C241" s="30"/>
      <x:c r="D241" s="44" t="n">
        <x:f aca="0">D65-C65</x:f>
        <x:v>746.3910000000005</x:v>
      </x:c>
      <x:c r="E241" s="44" t="n">
        <x:f aca="0">E65-D65</x:f>
        <x:v>10196.916000000001</x:v>
      </x:c>
      <x:c r="F241" s="44" t="n">
        <x:f aca="0">F65-E65</x:f>
        <x:v>-513.3600000000006</x:v>
      </x:c>
      <x:c r="G241" s="44" t="n">
        <x:f aca="0">G65-F65</x:f>
        <x:v>1471.3269999999993</x:v>
      </x:c>
      <x:c r="H241" s="44" t="n">
        <x:f aca="0">H65-G65</x:f>
        <x:v>3119.790000000001</x:v>
      </x:c>
      <x:c r="I241" s="11" t="s">
        <x:v>98</x:v>
      </x:c>
    </x:row>
    <x:row r="242" ht="15" hidden="0">
      <x:c r="A242" t="s">
        <x:v>596</x:v>
      </x:c>
      <x:c r="B242" s="19" t="s">
        <x:v>578</x:v>
      </x:c>
      <x:c r="C242" s="30"/>
      <x:c r="D242" s="42" t="n">
        <x:f aca="0">IF(C65&lt;=0,"n/m",(D65-C65)/C65)</x:f>
        <x:v>0.15902445925385877</x:v>
      </x:c>
      <x:c r="E242" s="42" t="n">
        <x:f aca="0">IF(D65&lt;=0,"n/m",(E65-D65)/D65)</x:f>
        <x:v>1.8744496274967133</x:v>
      </x:c>
      <x:c r="F242" s="42" t="n">
        <x:f aca="0">IF(E65&lt;=0,"n/m",(F65-E65)/E65)</x:f>
        <x:v>-0.03283010382897653</x:v>
      </x:c>
      <x:c r="G242" s="42" t="n">
        <x:f aca="0">IF(F65&lt;=0,"n/m",(G65-F65)/F65)</x:f>
        <x:v>0.09728741506269573</x:v>
      </x:c>
      <x:c r="H242" s="42" t="n">
        <x:f aca="0">IF(G65&lt;=0,"n/m",(H65-G65)/G65)</x:f>
        <x:v>0.18799765107637412</x:v>
      </x:c>
      <x:c r="I242" s="11" t="s">
        <x:v>127</x:v>
      </x:c>
    </x:row>
    <x:row r="243" ht="15" hidden="0">
      <x:c r="A243" t="s">
        <x:v>597</x:v>
      </x:c>
      <x:c r="B243" s="19" t="s">
        <x:v>575</x:v>
      </x:c>
      <x:c r="C243" s="30"/>
      <x:c r="D243" s="44" t="n">
        <x:f aca="0">D32-C32</x:f>
        <x:v>398.9599999999998</x:v>
      </x:c>
      <x:c r="E243" s="44" t="n">
        <x:f aca="0">E32-D32</x:f>
        <x:v>963.1579999999999</x:v>
      </x:c>
      <x:c r="F243" s="44" t="n">
        <x:f aca="0">F32-E32</x:f>
        <x:v>1159.6870000000004</x:v>
      </x:c>
      <x:c r="G243" s="44" t="n">
        <x:f aca="0">G32-F32</x:f>
        <x:v>1972.7959999999998</x:v>
      </x:c>
      <x:c r="H243" s="44" t="n">
        <x:f aca="0">H32-G32</x:f>
        <x:v>1366.0810000000001</x:v>
      </x:c>
      <x:c r="I243" s="11" t="s">
        <x:v>98</x:v>
      </x:c>
    </x:row>
    <x:row r="244" ht="15" hidden="0">
      <x:c r="A244" t="s">
        <x:v>598</x:v>
      </x:c>
      <x:c r="B244" s="19" t="s">
        <x:v>578</x:v>
      </x:c>
      <x:c r="C244" s="30"/>
      <x:c r="D244" s="42" t="n">
        <x:f aca="0">IF(C32&lt;=0,"n/m",(D32-C32)/C32)</x:f>
        <x:v>0.3797304500114214</x:v>
      </x:c>
      <x:c r="E244" s="42" t="n">
        <x:f aca="0">IF(D32&lt;=0,"n/m",(E32-D32)/D32)</x:f>
        <x:v>0.664430187637969</x:v>
      </x:c>
      <x:c r="F244" s="42" t="n">
        <x:f aca="0">IF(E32&lt;=0,"n/m",(F32-E32)/E32)</x:f>
        <x:v>0.4806478726834604</x:v>
      </x:c>
      <x:c r="G244" s="42" t="n">
        <x:f aca="0">IF(F32&lt;=0,"n/m",(G32-F32)/F32)</x:f>
        <x:v>0.5522257165610667</x:v>
      </x:c>
      <x:c r="H244" s="42" t="n">
        <x:f aca="0">IF(G32&lt;=0,"n/m",(H32-G32)/G32)</x:f>
        <x:v>0.24635196197965067</x:v>
      </x:c>
      <x:c r="I244" s="11" t="s">
        <x:v>127</x:v>
      </x:c>
    </x:row>
    <x:row r="245" ht="15" hidden="0">
      <x:c r="A245" t="s">
        <x:v>599</x:v>
      </x:c>
      <x:c r="B245" s="19" t="s">
        <x:v>575</x:v>
      </x:c>
      <x:c r="C245" s="30"/>
      <x:c r="D245" s="44" t="n">
        <x:f aca="0">D34-C34</x:f>
        <x:v>339.60400000000004</x:v>
      </x:c>
      <x:c r="E245" s="44" t="n">
        <x:f aca="0">E34-D34</x:f>
        <x:v>1405.8549999999998</x:v>
      </x:c>
      <x:c r="F245" s="44" t="n">
        <x:f aca="0">F34-E34</x:f>
        <x:v>-1336.176</x:v>
      </x:c>
      <x:c r="G245" s="44" t="n">
        <x:f aca="0">G34-F34</x:f>
        <x:v>1962.527</x:v>
      </x:c>
      <x:c r="H245" s="44" t="n">
        <x:f aca="0">H34-G34</x:f>
        <x:v>-267.64599999999973</x:v>
      </x:c>
      <x:c r="I245" s="11" t="s">
        <x:v>98</x:v>
      </x:c>
    </x:row>
    <x:row r="246" ht="15" hidden="0">
      <x:c r="A246" t="s">
        <x:v>600</x:v>
      </x:c>
      <x:c r="B246" s="19" t="s">
        <x:v>578</x:v>
      </x:c>
      <x:c r="C246" s="30"/>
      <x:c r="D246" s="42" t="n">
        <x:f aca="0">IF(C34&lt;=0,"n/m",(D34-C34)/C34)</x:f>
        <x:v>0.6051670248443443</x:v>
      </x:c>
      <x:c r="E246" s="42" t="n">
        <x:f aca="0">IF(D34&lt;=0,"n/m",(E34-D34)/D34)</x:f>
        <x:v>1.5607119623259003</x:v>
      </x:c>
      <x:c r="F246" s="42" t="n">
        <x:f aca="0">IF(E34&lt;=0,"n/m",(F34-E34)/E34)</x:f>
        <x:v>-0.5792755067667895</x:v>
      </x:c>
      <x:c r="G246" s="42" t="n">
        <x:f aca="0">IF(F34&lt;=0,"n/m",(G34-F34)/F34)</x:f>
        <x:v>2.0222709506964245</x:v>
      </x:c>
      <x:c r="H246" s="42" t="n">
        <x:f aca="0">IF(G34&lt;=0,"n/m",(H34-G34)/G34)</x:f>
        <x:v>-0.09125382204607994</x:v>
      </x:c>
      <x:c r="I246" s="11" t="s">
        <x:v>127</x:v>
      </x:c>
    </x:row>
    <x:row r="248" ht="15" hidden="0">
      <x:c r="A248" s="5" t="s">
        <x:v>601</x:v>
      </x:c>
      <x:c r="B248" s="20"/>
      <x:c r="C248" s="20"/>
      <x:c r="D248" s="20"/>
      <x:c r="E248" s="20"/>
      <x:c r="F248" s="20"/>
      <x:c r="G248" s="20"/>
      <x:c r="H248" s="20"/>
      <x:c r="I248" s="20"/>
      <x:c r="J248" s="20"/>
    </x:row>
    <x:row r="250" ht="15" hidden="0">
      <x:c r="A250" s="5" t="s">
        <x:v>602</x:v>
      </x:c>
      <x:c r="B250" s="20"/>
      <x:c r="C250" s="20"/>
      <x:c r="D250" s="20"/>
      <x:c r="E250" s="20"/>
      <x:c r="F250" s="20"/>
      <x:c r="G250" s="20"/>
      <x:c r="H250" s="20"/>
      <x:c r="I250" s="20"/>
      <x:c r="J250" s="20"/>
    </x:row>
    <x:row r="251" ht="15" hidden="0">
      <x:c r="A251" s="45" t="s">
        <x:v>1013</x:v>
      </x:c>
    </x:row>
    <x:row r="252" ht="15" hidden="0">
      <x:c r="A252" s="24" t="s">
        <x:v>82</x:v>
      </x:c>
      <x:c r="B252" s="24" t="s">
        <x:v>604</x:v>
      </x:c>
      <x:c r="C252" s="24"/>
      <x:c r="D252" s="24" t="s">
        <x:v>73</x:v>
      </x:c>
      <x:c r="E252" s="24" t="s">
        <x:v>74</x:v>
      </x:c>
      <x:c r="F252" s="24" t="s">
        <x:v>75</x:v>
      </x:c>
      <x:c r="G252" s="24" t="s">
        <x:v>76</x:v>
      </x:c>
      <x:c r="H252" s="24" t="s">
        <x:v>77</x:v>
      </x:c>
      <x:c r="I252" s="24"/>
      <x:c r="J252" s="24" t="s">
        <x:v>605</x:v>
      </x:c>
    </x:row>
    <x:row r="253" ht="15" hidden="0">
      <x:c r="A253" t="s">
        <x:v>1014</x:v>
      </x:c>
      <x:c r="B253" s="9" t="s">
        <x:v>936</x:v>
      </x:c>
      <x:c r="D253" s="46" t="n">
        <x:f aca="0">D159</x:f>
        <x:v>56.640991401771736</x:v>
      </x:c>
      <x:c r="E253" s="46" t="n">
        <x:f aca="0">E159</x:f>
        <x:v>12.790793831338474</x:v>
      </x:c>
      <x:c r="F253" s="46" t="n">
        <x:f aca="0">F159</x:f>
        <x:v>6.303455869186725</x:v>
      </x:c>
      <x:c r="G253" s="46" t="n">
        <x:f aca="0">G159</x:f>
        <x:v>3.782086656189459</x:v>
      </x:c>
      <x:c r="H253" s="46" t="n">
        <x:f aca="0">H159</x:f>
        <x:v>4.810770991481205</x:v>
      </x:c>
      <x:c r="J253" s="9"/>
    </x:row>
    <x:row r="254" ht="15" hidden="0">
      <x:c r="A254" t="s">
        <x:v>1015</x:v>
      </x:c>
      <x:c r="D254" s="47" t="n">
        <x:v>48</x:v>
      </x:c>
      <x:c r="E254" s="47" t="n">
        <x:v>11</x:v>
      </x:c>
      <x:c r="F254" s="47" t="n">
        <x:v>6.38</x:v>
      </x:c>
      <x:c r="G254" s="47" t="n">
        <x:v>3.82</x:v>
      </x:c>
      <x:c r="H254" s="47" t="n">
        <x:v>4.84</x:v>
      </x:c>
    </x:row>
    <x:row r="255" ht="15" hidden="0">
      <x:c r="A255" t="s">
        <x:v>609</x:v>
      </x:c>
      <x:c r="D255" s="46" t="n">
        <x:f aca="0">IF(AND(ISNUMBER(D253),ISNUMBER(D254)),D253-D254,"n/a")</x:f>
        <x:v>8.640991401771736</x:v>
      </x:c>
      <x:c r="E255" s="46" t="n">
        <x:f aca="0">IF(AND(ISNUMBER(E253),ISNUMBER(E254)),E253-E254,"n/a")</x:f>
        <x:v>1.7907938313384744</x:v>
      </x:c>
      <x:c r="F255" s="46" t="n">
        <x:f aca="0">IF(AND(ISNUMBER(F253),ISNUMBER(F254)),F253-F254,"n/a")</x:f>
        <x:v>-0.07654413081327505</x:v>
      </x:c>
      <x:c r="G255" s="46" t="n">
        <x:f aca="0">IF(AND(ISNUMBER(G253),ISNUMBER(G254)),G253-G254,"n/a")</x:f>
        <x:v>-0.03791334381054101</x:v>
      </x:c>
      <x:c r="H255" s="46" t="n">
        <x:f aca="0">IF(AND(ISNUMBER(H253),ISNUMBER(H254)),H253-H254,"n/a")</x:f>
        <x:v>-0.029229008518794508</x:v>
      </x:c>
    </x:row>
    <x:row r="256" ht="15" hidden="0">
      <x:c r="A256" t="s">
        <x:v>194</x:v>
      </x:c>
      <x:c r="D256" s="48" t="str">
        <x:f aca="0">IF(NOT(ISNUMBER(D255)),"n/a",IF(ABS(D255)&lt;=MAX(0.01,0.02*ABS(D254)),"Agrees","Differs"))</x:f>
        <x:v>Differs</x:v>
      </x:c>
      <x:c r="E256" s="48" t="str">
        <x:f aca="0">IF(NOT(ISNUMBER(E255)),"n/a",IF(ABS(E255)&lt;=MAX(0.01,0.02*ABS(E254)),"Agrees","Differs"))</x:f>
        <x:v>Differs</x:v>
      </x:c>
      <x:c r="F256" s="48" t="str">
        <x:f aca="0">IF(NOT(ISNUMBER(F255)),"n/a",IF(ABS(F255)&lt;=MAX(0.01,0.02*ABS(F254)),"Agrees","Differs"))</x:f>
        <x:v>Agrees</x:v>
      </x:c>
      <x:c r="G256" s="48" t="str">
        <x:f aca="0">IF(NOT(ISNUMBER(G255)),"n/a",IF(ABS(G255)&lt;=MAX(0.01,0.02*ABS(G254)),"Agrees","Differs"))</x:f>
        <x:v>Agrees</x:v>
      </x:c>
      <x:c r="H256" s="48" t="str">
        <x:f aca="0">IF(NOT(ISNUMBER(H255)),"n/a",IF(ABS(H255)&lt;=MAX(0.01,0.02*ABS(H254)),"Agrees","Differs"))</x:f>
        <x:v>Agrees</x:v>
      </x:c>
    </x:row>
    <x:row r="257" ht="15" hidden="0">
      <x:c r="A257" t="s">
        <x:v>1016</x:v>
      </x:c>
      <x:c r="B257" s="9" t="s">
        <x:v>1017</x:v>
      </x:c>
      <x:c r="D257" s="52" t="n">
        <x:f aca="0">D171</x:f>
        <x:v>16.868689643176804</x:v>
      </x:c>
      <x:c r="E257" s="52" t="n">
        <x:f aca="0">E171</x:f>
        <x:v>26.480675904195227</x:v>
      </x:c>
      <x:c r="F257" s="52" t="n">
        <x:f aca="0">F171</x:f>
        <x:v>26.57145800660424</x:v>
      </x:c>
      <x:c r="G257" s="52" t="n">
        <x:f aca="0">G171</x:f>
        <x:v>29.923935347634316</x:v>
      </x:c>
      <x:c r="H257" s="52" t="n">
        <x:f aca="0">H171</x:f>
        <x:v>34.35688707280468</x:v>
      </x:c>
      <x:c r="J257" s="9"/>
    </x:row>
    <x:row r="258" ht="15" hidden="0">
      <x:c r="A258" t="s">
        <x:v>1018</x:v>
      </x:c>
      <x:c r="D258" s="34" t="n">
        <x:v>16.87</x:v>
      </x:c>
      <x:c r="E258" s="34" t="n">
        <x:v>26.48</x:v>
      </x:c>
      <x:c r="F258" s="34" t="n">
        <x:v>26.57</x:v>
      </x:c>
      <x:c r="G258" s="34" t="n">
        <x:v>29.92</x:v>
      </x:c>
      <x:c r="H258" s="34" t="n">
        <x:v>34.36</x:v>
      </x:c>
    </x:row>
    <x:row r="259" ht="15" hidden="0">
      <x:c r="A259" t="s">
        <x:v>609</x:v>
      </x:c>
      <x:c r="D259" s="52" t="n">
        <x:f aca="0">IF(AND(ISNUMBER(D257),ISNUMBER(D258)),D257-D258,"n/a")</x:f>
        <x:v>-0.001310356823196912</x:v>
      </x:c>
      <x:c r="E259" s="52" t="n">
        <x:f aca="0">IF(AND(ISNUMBER(E257),ISNUMBER(E258)),E257-E258,"n/a")</x:f>
        <x:v>0.0006759041952264511</x:v>
      </x:c>
      <x:c r="F259" s="52" t="n">
        <x:f aca="0">IF(AND(ISNUMBER(F257),ISNUMBER(F258)),F257-F258,"n/a")</x:f>
        <x:v>0.0014580066042384487</x:v>
      </x:c>
      <x:c r="G259" s="52" t="n">
        <x:f aca="0">IF(AND(ISNUMBER(G257),ISNUMBER(G258)),G257-G258,"n/a")</x:f>
        <x:v>0.003935347634314468</x:v>
      </x:c>
      <x:c r="H259" s="52" t="n">
        <x:f aca="0">IF(AND(ISNUMBER(H257),ISNUMBER(H258)),H257-H258,"n/a")</x:f>
        <x:v>-0.0031129271953176385</x:v>
      </x:c>
    </x:row>
    <x:row r="260" ht="15" hidden="0">
      <x:c r="A260" t="s">
        <x:v>194</x:v>
      </x:c>
      <x:c r="D260" s="48" t="str">
        <x:f aca="0">IF(NOT(ISNUMBER(D259)),"n/a",IF(ABS(D259)&lt;=MAX(0.01,0.02*ABS(D258)),"Agrees","Differs"))</x:f>
        <x:v>Agrees</x:v>
      </x:c>
      <x:c r="E260" s="48" t="str">
        <x:f aca="0">IF(NOT(ISNUMBER(E259)),"n/a",IF(ABS(E259)&lt;=MAX(0.01,0.02*ABS(E258)),"Agrees","Differs"))</x:f>
        <x:v>Agrees</x:v>
      </x:c>
      <x:c r="F260" s="48" t="str">
        <x:f aca="0">IF(NOT(ISNUMBER(F259)),"n/a",IF(ABS(F259)&lt;=MAX(0.01,0.02*ABS(F258)),"Agrees","Differs"))</x:f>
        <x:v>Agrees</x:v>
      </x:c>
      <x:c r="G260" s="48" t="str">
        <x:f aca="0">IF(NOT(ISNUMBER(G259)),"n/a",IF(ABS(G259)&lt;=MAX(0.01,0.02*ABS(G258)),"Agrees","Differs"))</x:f>
        <x:v>Agrees</x:v>
      </x:c>
      <x:c r="H260" s="48" t="str">
        <x:f aca="0">IF(NOT(ISNUMBER(H259)),"n/a",IF(ABS(H259)&lt;=MAX(0.01,0.02*ABS(H258)),"Agrees","Differs"))</x:f>
        <x:v>Agrees</x:v>
      </x:c>
    </x:row>
    <x:row r="261" ht="15" hidden="0">
      <x:c r="A261" t="s">
        <x:v>1019</x:v>
      </x:c>
      <x:c r="B261" s="9" t="s">
        <x:v>1020</x:v>
      </x:c>
      <x:c r="D261" s="52" t="n">
        <x:f aca="0">D173</x:f>
        <x:v>2.5158090033808875</x:v>
      </x:c>
      <x:c r="E261" s="52" t="n">
        <x:f aca="0">E173</x:f>
        <x:v>3.2621706372812294</x:v>
      </x:c>
      <x:c r="F261" s="52" t="n">
        <x:f aca="0">F173</x:f>
        <x:v>3.0330791851886794</x:v>
      </x:c>
      <x:c r="G261" s="52" t="n">
        <x:f aca="0">G173</x:f>
        <x:v>3.3524781610919856</x:v>
      </x:c>
      <x:c r="H261" s="52" t="n">
        <x:f aca="0">H173</x:f>
        <x:v>5.432952809531124</x:v>
      </x:c>
      <x:c r="J261" s="9" t="s">
        <x:v>1021</x:v>
      </x:c>
    </x:row>
    <x:row r="262" ht="15" hidden="0">
      <x:c r="A262" t="s">
        <x:v>1022</x:v>
      </x:c>
      <x:c r="D262" s="34" t="n">
        <x:v>2.52</x:v>
      </x:c>
      <x:c r="E262" s="34" t="n">
        <x:v>3.02</x:v>
      </x:c>
      <x:c r="F262" s="34" t="n">
        <x:v>3.16</x:v>
      </x:c>
      <x:c r="G262" s="34" t="n">
        <x:v>3.35</x:v>
      </x:c>
      <x:c r="H262" s="34" t="n">
        <x:v>5.43</x:v>
      </x:c>
    </x:row>
    <x:row r="263" ht="15" hidden="0">
      <x:c r="A263" t="s">
        <x:v>609</x:v>
      </x:c>
      <x:c r="D263" s="52" t="n">
        <x:f aca="0">IF(AND(ISNUMBER(D261),ISNUMBER(D262)),D261-D262,"n/a")</x:f>
        <x:v>-0.004190996619112486</x:v>
      </x:c>
      <x:c r="E263" s="52" t="n">
        <x:f aca="0">IF(AND(ISNUMBER(E261),ISNUMBER(E262)),E261-E262,"n/a")</x:f>
        <x:v>0.24217063728122934</x:v>
      </x:c>
      <x:c r="F263" s="52" t="n">
        <x:f aca="0">IF(AND(ISNUMBER(F261),ISNUMBER(F262)),F261-F262,"n/a")</x:f>
        <x:v>-0.12692081481132078</x:v>
      </x:c>
      <x:c r="G263" s="52" t="n">
        <x:f aca="0">IF(AND(ISNUMBER(G261),ISNUMBER(G262)),G261-G262,"n/a")</x:f>
        <x:v>0.002478161091985509</x:v>
      </x:c>
      <x:c r="H263" s="52" t="n">
        <x:f aca="0">IF(AND(ISNUMBER(H261),ISNUMBER(H262)),H261-H262,"n/a")</x:f>
        <x:v>0.002952809531124423</x:v>
      </x:c>
    </x:row>
    <x:row r="264" ht="15" hidden="0">
      <x:c r="A264" t="s">
        <x:v>194</x:v>
      </x:c>
      <x:c r="D264" s="48" t="str">
        <x:f aca="0">IF(NOT(ISNUMBER(D263)),"n/a",IF(ABS(D263)&lt;=MAX(0.01,0.02*ABS(D262)),"Agrees","Differs"))</x:f>
        <x:v>Agrees</x:v>
      </x:c>
      <x:c r="E264" s="48" t="str">
        <x:f aca="0">IF(NOT(ISNUMBER(E263)),"n/a",IF(ABS(E263)&lt;=MAX(0.01,0.02*ABS(E262)),"Agrees","Differs"))</x:f>
        <x:v>Differs</x:v>
      </x:c>
      <x:c r="F264" s="48" t="str">
        <x:f aca="0">IF(NOT(ISNUMBER(F263)),"n/a",IF(ABS(F263)&lt;=MAX(0.01,0.02*ABS(F262)),"Agrees","Differs"))</x:f>
        <x:v>Differs</x:v>
      </x:c>
      <x:c r="G264" s="48" t="str">
        <x:f aca="0">IF(NOT(ISNUMBER(G263)),"n/a",IF(ABS(G263)&lt;=MAX(0.01,0.02*ABS(G262)),"Agrees","Differs"))</x:f>
        <x:v>Agrees</x:v>
      </x:c>
      <x:c r="H264" s="48" t="str">
        <x:f aca="0">IF(NOT(ISNUMBER(H263)),"n/a",IF(ABS(H263)&lt;=MAX(0.01,0.02*ABS(H262)),"Agrees","Differs"))</x:f>
        <x:v>Agrees</x:v>
      </x:c>
    </x:row>
    <x:row r="265" ht="15" hidden="0">
      <x:c r="A265" t="s">
        <x:v>848</x:v>
      </x:c>
      <x:c r="B265" s="9" t="s">
        <x:v>1023</x:v>
      </x:c>
      <x:c r="D265" s="46" t="n">
        <x:f aca="0">D174</x:f>
        <x:v>9.14218844478706</x:v>
      </x:c>
      <x:c r="E265" s="46" t="n">
        <x:f aca="0">E174</x:f>
        <x:v>4.343733536823694</x:v>
      </x:c>
      <x:c r="F265" s="46" t="n">
        <x:f aca="0">F174</x:f>
        <x:v>3.877247932539039</x:v>
      </x:c>
      <x:c r="G265" s="46" t="n">
        <x:f aca="0">G174</x:f>
        <x:v>6.833750705936781</x:v>
      </x:c>
      <x:c r="H265" s="46" t="n">
        <x:f aca="0">H174</x:f>
        <x:v>8.222048224242743</x:v>
      </x:c>
      <x:c r="J265" s="9" t="s">
        <x:v>1024</x:v>
      </x:c>
    </x:row>
    <x:row r="266" ht="15" hidden="0">
      <x:c r="A266" t="s">
        <x:v>851</x:v>
      </x:c>
      <x:c r="D266" s="47" t="n">
        <x:v>7.96</x:v>
      </x:c>
      <x:c r="E266" s="47" t="n">
        <x:v>6</x:v>
      </x:c>
      <x:c r="F266" s="47" t="n">
        <x:v>3.92</x:v>
      </x:c>
      <x:c r="G266" s="47" t="n">
        <x:v>5.26</x:v>
      </x:c>
      <x:c r="H266" s="47" t="n">
        <x:v>6.69</x:v>
      </x:c>
    </x:row>
    <x:row r="267" ht="15" hidden="0">
      <x:c r="A267" t="s">
        <x:v>609</x:v>
      </x:c>
      <x:c r="D267" s="46" t="n">
        <x:f aca="0">IF(AND(ISNUMBER(D265),ISNUMBER(D266)),D265-D266,"n/a")</x:f>
        <x:v>1.1821884447870596</x:v>
      </x:c>
      <x:c r="E267" s="46" t="n">
        <x:f aca="0">IF(AND(ISNUMBER(E265),ISNUMBER(E266)),E265-E266,"n/a")</x:f>
        <x:v>-1.6562664631763058</x:v>
      </x:c>
      <x:c r="F267" s="46" t="n">
        <x:f aca="0">IF(AND(ISNUMBER(F265),ISNUMBER(F266)),F265-F266,"n/a")</x:f>
        <x:v>-0.04275206746096094</x:v>
      </x:c>
      <x:c r="G267" s="46" t="n">
        <x:f aca="0">IF(AND(ISNUMBER(G265),ISNUMBER(G266)),G265-G266,"n/a")</x:f>
        <x:v>1.5737507059367815</x:v>
      </x:c>
      <x:c r="H267" s="46" t="n">
        <x:f aca="0">IF(AND(ISNUMBER(H265),ISNUMBER(H266)),H265-H266,"n/a")</x:f>
        <x:v>1.5320482242427422</x:v>
      </x:c>
    </x:row>
    <x:row r="268" ht="15" hidden="0">
      <x:c r="A268" t="s">
        <x:v>194</x:v>
      </x:c>
      <x:c r="D268" s="48" t="str">
        <x:f aca="0">IF(NOT(ISNUMBER(D267)),"n/a",IF(ABS(D267)&lt;=MAX(0.01,0.02*ABS(D266)),"Agrees","Differs"))</x:f>
        <x:v>Differs</x:v>
      </x:c>
      <x:c r="E268" s="48" t="str">
        <x:f aca="0">IF(NOT(ISNUMBER(E267)),"n/a",IF(ABS(E267)&lt;=MAX(0.01,0.02*ABS(E266)),"Agrees","Differs"))</x:f>
        <x:v>Differs</x:v>
      </x:c>
      <x:c r="F268" s="48" t="str">
        <x:f aca="0">IF(NOT(ISNUMBER(F267)),"n/a",IF(ABS(F267)&lt;=MAX(0.01,0.02*ABS(F266)),"Agrees","Differs"))</x:f>
        <x:v>Agrees</x:v>
      </x:c>
      <x:c r="G268" s="48" t="str">
        <x:f aca="0">IF(NOT(ISNUMBER(G267)),"n/a",IF(ABS(G267)&lt;=MAX(0.01,0.02*ABS(G266)),"Agrees","Differs"))</x:f>
        <x:v>Differs</x:v>
      </x:c>
      <x:c r="H268" s="48" t="str">
        <x:f aca="0">IF(NOT(ISNUMBER(H267)),"n/a",IF(ABS(H267)&lt;=MAX(0.01,0.02*ABS(H266)),"Agrees","Differs"))</x:f>
        <x:v>Differs</x:v>
      </x:c>
    </x:row>
    <x:row r="269" ht="15" hidden="0">
      <x:c r="A269" t="s">
        <x:v>852</x:v>
      </x:c>
      <x:c r="B269" s="9" t="s">
        <x:v>1025</x:v>
      </x:c>
      <x:c r="D269" s="42" t="n">
        <x:f aca="0">D175</x:f>
        <x:v>0</x:v>
      </x:c>
      <x:c r="E269" s="42" t="n">
        <x:f aca="0">E175</x:f>
        <x:v>0</x:v>
      </x:c>
      <x:c r="F269" s="42" t="n">
        <x:f aca="0">F175</x:f>
        <x:v>0</x:v>
      </x:c>
      <x:c r="G269" s="42" t="n">
        <x:f aca="0">G175</x:f>
        <x:v>0.04364906154517678</x:v>
      </x:c>
      <x:c r="H269" s="42" t="n">
        <x:f aca="0">H175</x:f>
        <x:v>0.027982986344302664</x:v>
      </x:c>
      <x:c r="J269" s="9"/>
    </x:row>
    <x:row r="270" ht="15" hidden="0">
      <x:c r="A270" t="s">
        <x:v>854</x:v>
      </x:c>
      <x:c r="D270" s="51" t="n">
        <x:v>0</x:v>
      </x:c>
      <x:c r="E270" s="51" t="n">
        <x:v>0</x:v>
      </x:c>
      <x:c r="F270" s="51" t="n">
        <x:v>0</x:v>
      </x:c>
      <x:c r="G270" s="51" t="n">
        <x:v>0.0436</x:v>
      </x:c>
      <x:c r="H270" s="51" t="n">
        <x:v>0.028</x:v>
      </x:c>
    </x:row>
    <x:row r="271" ht="15" hidden="0">
      <x:c r="A271" t="s">
        <x:v>609</x:v>
      </x:c>
      <x:c r="D271" s="42" t="n">
        <x:f aca="0">IF(AND(ISNUMBER(D269),ISNUMBER(D270)),D269-D270,"n/a")</x:f>
        <x:v>0</x:v>
      </x:c>
      <x:c r="E271" s="42" t="n">
        <x:f aca="0">IF(AND(ISNUMBER(E269),ISNUMBER(E270)),E269-E270,"n/a")</x:f>
        <x:v>0</x:v>
      </x:c>
      <x:c r="F271" s="42" t="n">
        <x:f aca="0">IF(AND(ISNUMBER(F269),ISNUMBER(F270)),F269-F270,"n/a")</x:f>
        <x:v>0</x:v>
      </x:c>
      <x:c r="G271" s="42" t="n">
        <x:f aca="0">IF(AND(ISNUMBER(G269),ISNUMBER(G270)),G269-G270,"n/a")</x:f>
        <x:v>0.00004906154517678174</x:v>
      </x:c>
      <x:c r="H271" s="42" t="n">
        <x:f aca="0">IF(AND(ISNUMBER(H269),ISNUMBER(H270)),H269-H270,"n/a")</x:f>
        <x:v>-0.000017013655697336455</x:v>
      </x:c>
    </x:row>
    <x:row r="272" ht="15" hidden="0">
      <x:c r="A272" t="s">
        <x:v>194</x:v>
      </x:c>
      <x:c r="D272" s="48" t="str">
        <x:f aca="0">IF(NOT(ISNUMBER(D271)),"n/a",IF(ABS(D271)&lt;=MAX(0.002,0.02*ABS(D270)),"Agrees","Differs"))</x:f>
        <x:v>Agrees</x:v>
      </x:c>
      <x:c r="E272" s="48" t="str">
        <x:f aca="0">IF(NOT(ISNUMBER(E271)),"n/a",IF(ABS(E271)&lt;=MAX(0.002,0.02*ABS(E270)),"Agrees","Differs"))</x:f>
        <x:v>Agrees</x:v>
      </x:c>
      <x:c r="F272" s="48" t="str">
        <x:f aca="0">IF(NOT(ISNUMBER(F271)),"n/a",IF(ABS(F271)&lt;=MAX(0.002,0.02*ABS(F270)),"Agrees","Differs"))</x:f>
        <x:v>Agrees</x:v>
      </x:c>
      <x:c r="G272" s="48" t="str">
        <x:f aca="0">IF(NOT(ISNUMBER(G271)),"n/a",IF(ABS(G271)&lt;=MAX(0.002,0.02*ABS(G270)),"Agrees","Differs"))</x:f>
        <x:v>Agrees</x:v>
      </x:c>
      <x:c r="H272" s="48" t="str">
        <x:f aca="0">IF(NOT(ISNUMBER(H271)),"n/a",IF(ABS(H271)&lt;=MAX(0.002,0.02*ABS(H270)),"Agrees","Differs"))</x:f>
        <x:v>Agrees</x:v>
      </x:c>
    </x:row>
    <x:row r="273" ht="15" hidden="0">
      <x:c r="A273" t="s">
        <x:v>1026</x:v>
      </x:c>
      <x:c r="B273" s="9" t="s">
        <x:v>1027</x:v>
      </x:c>
      <x:c r="D273" s="42" t="n">
        <x:f aca="0">D176</x:f>
        <x:v>0</x:v>
      </x:c>
      <x:c r="E273" s="42" t="n">
        <x:f aca="0">E176</x:f>
        <x:v>0</x:v>
      </x:c>
      <x:c r="F273" s="42" t="n">
        <x:f aca="0">F176</x:f>
        <x:v>0</x:v>
      </x:c>
      <x:c r="G273" s="42" t="n">
        <x:f aca="0">G176</x:f>
        <x:v>0.29828680514782985</x:v>
      </x:c>
      <x:c r="H273" s="42" t="n">
        <x:f aca="0">H176</x:f>
        <x:v>0.23007746318118263</x:v>
      </x:c>
      <x:c r="J273" s="9"/>
    </x:row>
    <x:row r="274" ht="15" hidden="0">
      <x:c r="A274" t="s">
        <x:v>1028</x:v>
      </x:c>
      <x:c r="D274" s="51" t="n">
        <x:v>0</x:v>
      </x:c>
      <x:c r="E274" s="51" t="n">
        <x:v>0</x:v>
      </x:c>
      <x:c r="F274" s="51" t="n">
        <x:v>0</x:v>
      </x:c>
      <x:c r="G274" s="51" t="n">
        <x:v>0.2983</x:v>
      </x:c>
      <x:c r="H274" s="51" t="n">
        <x:v>0.2301</x:v>
      </x:c>
    </x:row>
    <x:row r="275" ht="15" hidden="0">
      <x:c r="A275" t="s">
        <x:v>609</x:v>
      </x:c>
      <x:c r="D275" s="42" t="n">
        <x:f aca="0">IF(AND(ISNUMBER(D273),ISNUMBER(D274)),D273-D274,"n/a")</x:f>
        <x:v>0</x:v>
      </x:c>
      <x:c r="E275" s="42" t="n">
        <x:f aca="0">IF(AND(ISNUMBER(E273),ISNUMBER(E274)),E273-E274,"n/a")</x:f>
        <x:v>0</x:v>
      </x:c>
      <x:c r="F275" s="42" t="n">
        <x:f aca="0">IF(AND(ISNUMBER(F273),ISNUMBER(F274)),F273-F274,"n/a")</x:f>
        <x:v>0</x:v>
      </x:c>
      <x:c r="G275" s="42" t="n">
        <x:f aca="0">IF(AND(ISNUMBER(G273),ISNUMBER(G274)),G273-G274,"n/a")</x:f>
        <x:v>-0.00001319485217016192</x:v>
      </x:c>
      <x:c r="H275" s="42" t="n">
        <x:f aca="0">IF(AND(ISNUMBER(H273),ISNUMBER(H274)),H273-H274,"n/a")</x:f>
        <x:v>-0.00002253681881736469</x:v>
      </x:c>
    </x:row>
    <x:row r="276" ht="15" hidden="0">
      <x:c r="A276" t="s">
        <x:v>194</x:v>
      </x:c>
      <x:c r="D276" s="48" t="str">
        <x:f aca="0">IF(NOT(ISNUMBER(D275)),"n/a",IF(ABS(D275)&lt;=MAX(0.002,0.02*ABS(D274)),"Agrees","Differs"))</x:f>
        <x:v>Agrees</x:v>
      </x:c>
      <x:c r="E276" s="48" t="str">
        <x:f aca="0">IF(NOT(ISNUMBER(E275)),"n/a",IF(ABS(E275)&lt;=MAX(0.002,0.02*ABS(E274)),"Agrees","Differs"))</x:f>
        <x:v>Agrees</x:v>
      </x:c>
      <x:c r="F276" s="48" t="str">
        <x:f aca="0">IF(NOT(ISNUMBER(F275)),"n/a",IF(ABS(F275)&lt;=MAX(0.002,0.02*ABS(F274)),"Agrees","Differs"))</x:f>
        <x:v>Agrees</x:v>
      </x:c>
      <x:c r="G276" s="48" t="str">
        <x:f aca="0">IF(NOT(ISNUMBER(G275)),"n/a",IF(ABS(G275)&lt;=MAX(0.002,0.02*ABS(G274)),"Agrees","Differs"))</x:f>
        <x:v>Agrees</x:v>
      </x:c>
      <x:c r="H276" s="48" t="str">
        <x:f aca="0">IF(NOT(ISNUMBER(H275)),"n/a",IF(ABS(H275)&lt;=MAX(0.002,0.02*ABS(H274)),"Agrees","Differs"))</x:f>
        <x:v>Agrees</x:v>
      </x:c>
    </x:row>
    <x:row r="277" ht="15" hidden="0">
      <x:c r="A277" t="s">
        <x:v>1029</x:v>
      </x:c>
      <x:c r="B277" s="9" t="s">
        <x:v>1030</x:v>
      </x:c>
      <x:c r="D277" s="46" t="n">
        <x:f aca="0">D182</x:f>
        <x:v>0.11033361830900601</x:v>
      </x:c>
      <x:c r="E277" s="46" t="n">
        <x:f aca="0">E182</x:f>
        <x:v>0.5768428311071336</x:v>
      </x:c>
      <x:c r="F277" s="46" t="n">
        <x:f aca="0">F182</x:f>
        <x:v>0.737099390222469</x:v>
      </x:c>
      <x:c r="G277" s="46" t="n">
        <x:f aca="0">G182</x:f>
        <x:v>0.5991476324568723</x:v>
      </x:c>
      <x:c r="H277" s="46" t="n">
        <x:f aca="0">H182</x:f>
        <x:v>0.4772825698360722</x:v>
      </x:c>
      <x:c r="J277" s="9" t="s">
        <x:v>661</x:v>
      </x:c>
    </x:row>
    <x:row r="278" ht="15" hidden="0">
      <x:c r="A278" t="s">
        <x:v>1031</x:v>
      </x:c>
      <x:c r="D278" s="47" t="n">
        <x:v>0.04</x:v>
      </x:c>
      <x:c r="E278" s="47" t="n">
        <x:v>0.43</x:v>
      </x:c>
      <x:c r="F278" s="47" t="n">
        <x:v>0.6</x:v>
      </x:c>
      <x:c r="G278" s="47" t="n">
        <x:v>0.51</x:v>
      </x:c>
      <x:c r="H278" s="47" t="n">
        <x:v>0.39</x:v>
      </x:c>
    </x:row>
    <x:row r="279" ht="15" hidden="0">
      <x:c r="A279" t="s">
        <x:v>609</x:v>
      </x:c>
      <x:c r="D279" s="46" t="n">
        <x:f aca="0">IF(AND(ISNUMBER(D277),ISNUMBER(D278)),D277-D278,"n/a")</x:f>
        <x:v>0.070333618309006</x:v>
      </x:c>
      <x:c r="E279" s="46" t="n">
        <x:f aca="0">IF(AND(ISNUMBER(E277),ISNUMBER(E278)),E277-E278,"n/a")</x:f>
        <x:v>0.14684283110713364</x:v>
      </x:c>
      <x:c r="F279" s="46" t="n">
        <x:f aca="0">IF(AND(ISNUMBER(F277),ISNUMBER(F278)),F277-F278,"n/a")</x:f>
        <x:v>0.13709939022246898</x:v>
      </x:c>
      <x:c r="G279" s="46" t="n">
        <x:f aca="0">IF(AND(ISNUMBER(G277),ISNUMBER(G278)),G277-G278,"n/a")</x:f>
        <x:v>0.0891476324568723</x:v>
      </x:c>
      <x:c r="H279" s="46" t="n">
        <x:f aca="0">IF(AND(ISNUMBER(H277),ISNUMBER(H278)),H277-H278,"n/a")</x:f>
        <x:v>0.08728256983607219</x:v>
      </x:c>
    </x:row>
    <x:row r="280" ht="15" hidden="0">
      <x:c r="A280" t="s">
        <x:v>194</x:v>
      </x:c>
      <x:c r="D280" s="48" t="str">
        <x:f aca="0">IF(NOT(ISNUMBER(D279)),"n/a",IF(ABS(D279)&lt;=MAX(0.01,0.02*ABS(D278)),"Agrees","Differs"))</x:f>
        <x:v>Differs</x:v>
      </x:c>
      <x:c r="E280" s="48" t="str">
        <x:f aca="0">IF(NOT(ISNUMBER(E279)),"n/a",IF(ABS(E279)&lt;=MAX(0.01,0.02*ABS(E278)),"Agrees","Differs"))</x:f>
        <x:v>Differs</x:v>
      </x:c>
      <x:c r="F280" s="48" t="str">
        <x:f aca="0">IF(NOT(ISNUMBER(F279)),"n/a",IF(ABS(F279)&lt;=MAX(0.01,0.02*ABS(F278)),"Agrees","Differs"))</x:f>
        <x:v>Differs</x:v>
      </x:c>
      <x:c r="G280" s="48" t="str">
        <x:f aca="0">IF(NOT(ISNUMBER(G279)),"n/a",IF(ABS(G279)&lt;=MAX(0.01,0.02*ABS(G278)),"Agrees","Differs"))</x:f>
        <x:v>Differs</x:v>
      </x:c>
      <x:c r="H280" s="48" t="str">
        <x:f aca="0">IF(NOT(ISNUMBER(H279)),"n/a",IF(ABS(H279)&lt;=MAX(0.01,0.02*ABS(H278)),"Agrees","Differs"))</x:f>
        <x:v>Differs</x:v>
      </x:c>
    </x:row>
  </x:sheetData>
  <x:mergeCells>
    <x:mergeCell ref="B6:J6"/>
    <x:mergeCell ref="B7:J7"/>
    <x:mergeCell ref="B8:J8"/>
    <x:mergeCell ref="B9:J9"/>
    <x:mergeCell ref="B10:J10"/>
    <x:mergeCell ref="B11:J11"/>
    <x:mergeCell ref="B12:J12"/>
    <x:mergeCell ref="B13:J13"/>
    <x:mergeCell ref="B14:J14"/>
    <x:mergeCell ref="B15:J15"/>
  </x:mergeCells>
  <x:pageMargins left="0.7" right="0.7" top="0.75" bottom="0.75" header="0.3" footer="0.3"/>
  <x:drawing xmlns:r="http://schemas.openxmlformats.org/officeDocument/2006/relationships" r:id="Raf213da68a644cda"/>
</x:worksheet>
</file>

<file path=xl/worksheets/sheet8.xml><?xml version="1.0" encoding="utf-8"?>
<x:worksheet xmlns:x="http://schemas.openxmlformats.org/spreadsheetml/2006/main">
  <x:sheetViews>
    <x:sheetView showGridLines="0" workbookViewId="0">
      <x:pane xSplit="4" ySplit="4" topLeftCell="E5" activePane="bottomRight" state="frozen"/>
    </x:sheetView>
  </x:sheetViews>
  <x:sheetFormatPr defaultColWidth="8.6796875" defaultRowHeight="15"/>
  <x:cols>
    <x:col min="1" max="1" width="16" hidden="0" customWidth="1"/>
    <x:col min="2" max="2" width="6" hidden="0" customWidth="1"/>
    <x:col min="3" max="3" width="44" hidden="0" customWidth="1"/>
    <x:col min="4" max="4" width="8" hidden="0" customWidth="1"/>
    <x:col min="5" max="9" width="11" hidden="0" customWidth="1"/>
    <x:col min="10" max="10" width="12" hidden="0" customWidth="1"/>
    <x:col min="11" max="11" width="7" hidden="0" customWidth="1"/>
    <x:col min="12" max="13" width="12" hidden="0" customWidth="1"/>
    <x:col min="14" max="14" width="11" hidden="0" customWidth="1"/>
    <x:col min="15" max="15" width="10" hidden="0" customWidth="1"/>
    <x:col min="16" max="16" width="30" hidden="0" customWidth="1"/>
    <x:col min="17" max="17" width="40" hidden="0" customWidth="1"/>
    <x:col min="18" max="18" width="8" hidden="0" customWidth="1"/>
  </x:cols>
  <x:sheetData>
    <x:row r="1" ht="17.350000381469727" hidden="0">
      <x:c r="A1" s="17" t="s">
        <x:v>1032</x:v>
      </x:c>
    </x:row>
    <x:row r="2" ht="15" hidden="0">
      <x:c r="A2" s="45" t="s">
        <x:v>1033</x:v>
      </x:c>
    </x:row>
    <x:row r="4" ht="30" hidden="0" customHeight="1">
      <x:c r="A4" s="53" t="s">
        <x:v>86</x:v>
      </x:c>
      <x:c r="B4" s="53" t="s">
        <x:v>1034</x:v>
      </x:c>
      <x:c r="C4" s="53" t="s">
        <x:v>82</x:v>
      </x:c>
      <x:c r="D4" s="53" t="s">
        <x:v>1035</x:v>
      </x:c>
      <x:c r="E4" s="53" t="s">
        <x:v>25</x:v>
      </x:c>
      <x:c r="F4" s="53" t="s">
        <x:v>31</x:v>
      </x:c>
      <x:c r="G4" s="53" t="s">
        <x:v>37</x:v>
      </x:c>
      <x:c r="H4" s="53" t="s">
        <x:v>42</x:v>
      </x:c>
      <x:c r="I4" s="53" t="s">
        <x:v>46</x:v>
      </x:c>
      <x:c r="J4" s="53" t="s">
        <x:v>1036</x:v>
      </x:c>
      <x:c r="K4" s="53" t="s">
        <x:v>1037</x:v>
      </x:c>
      <x:c r="L4" s="53" t="s">
        <x:v>1038</x:v>
      </x:c>
      <x:c r="M4" s="53" t="s">
        <x:v>1039</x:v>
      </x:c>
      <x:c r="N4" s="53" t="s">
        <x:v>1040</x:v>
      </x:c>
      <x:c r="O4" s="53" t="s">
        <x:v>1041</x:v>
      </x:c>
      <x:c r="P4" s="53" t="s">
        <x:v>1042</x:v>
      </x:c>
      <x:c r="Q4" s="53" t="s">
        <x:v>1043</x:v>
      </x:c>
      <x:c r="R4" s="53" t="s">
        <x:v>1044</x:v>
      </x:c>
    </x:row>
    <x:row r="5" ht="15" hidden="0">
      <x:c r="A5" s="5" t="s">
        <x:v>1045</x:v>
      </x:c>
      <x:c r="B5" s="20"/>
      <x:c r="C5" s="20"/>
      <x:c r="D5" s="20"/>
      <x:c r="E5" s="20"/>
      <x:c r="F5" s="20"/>
      <x:c r="G5" s="20"/>
      <x:c r="H5" s="20"/>
      <x:c r="I5" s="20"/>
      <x:c r="J5" s="20"/>
      <x:c r="K5" s="20"/>
      <x:c r="L5" s="20"/>
      <x:c r="M5" s="20"/>
      <x:c r="N5" s="20"/>
      <x:c r="O5" s="20"/>
      <x:c r="P5" s="20"/>
      <x:c r="Q5" s="20"/>
      <x:c r="R5" s="20"/>
    </x:row>
    <x:row r="6" ht="15" hidden="0">
      <x:c r="A6" s="54" t="s">
        <x:v>91</x:v>
      </x:c>
      <x:c r="B6" s="25" t="n">
        <x:v>1</x:v>
      </x:c>
      <x:c r="C6" s="24" t="s">
        <x:v>87</x:v>
      </x:c>
      <x:c r="D6" s="25"/>
      <x:c r="E6" s="25"/>
      <x:c r="F6" s="25"/>
      <x:c r="G6" s="25"/>
      <x:c r="H6" s="25"/>
      <x:c r="I6" s="25"/>
      <x:c r="J6" s="25"/>
      <x:c r="K6" s="25"/>
      <x:c r="L6" s="25"/>
      <x:c r="M6" s="25"/>
      <x:c r="N6" s="25"/>
      <x:c r="O6" s="25"/>
      <x:c r="P6" s="25"/>
      <x:c r="Q6" s="55"/>
      <x:c r="R6" s="25"/>
    </x:row>
    <x:row r="7" ht="15" hidden="0">
      <x:c r="C7" s="56" t="s">
        <x:v>87</x:v>
      </x:c>
      <x:c r="D7" s="11" t="s">
        <x:v>73</x:v>
      </x:c>
      <x:c r="E7" s="57" t="n">
        <x:f aca="0">KOHC!D138</x:f>
        <x:v>1.3006446691414961</x:v>
      </x:c>
      <x:c r="F7" s="57" t="n">
        <x:f aca="0">LUCK!D138</x:f>
        <x:v>1.3386079458938223</x:v>
      </x:c>
      <x:c r="G7" s="57" t="n">
        <x:f aca="0">DGKC!D138</x:f>
        <x:v>0.9145250886450902</x:v>
      </x:c>
      <x:c r="H7" s="57" t="n">
        <x:f aca="0">MLCF!D138</x:f>
        <x:v>1.4780988568182505</x:v>
      </x:c>
      <x:c r="I7" s="57" t="n">
        <x:f aca="0">FCCL!D138</x:f>
        <x:v>2.01862288296847</x:v>
      </x:c>
      <x:c r="J7" s="58" t="n">
        <x:f aca="0">IF(COUNT(E7:I7)=0,"n/m",AVERAGE(E7:I7))</x:f>
        <x:v>1.410099888693426</x:v>
      </x:c>
      <x:c r="K7" s="11" t="n">
        <x:f aca="0">COUNT(E7:I7)</x:f>
        <x:v>5</x:v>
      </x:c>
      <x:c r="L7" s="46" t="n">
        <x:f aca="0">IF(AND(ISNUMBER(E7),ISNUMBER(J7)),E7-J7,"n/m")</x:f>
        <x:v>-0.10945521955192983</x:v>
      </x:c>
      <x:c r="M7" s="46" t="n">
        <x:f aca="0">IF(COUNT(F7:I7)=0,"n/m",AVERAGE(F7:I7))</x:f>
        <x:v>1.437463693581408</x:v>
      </x:c>
      <x:c r="N7" s="46" t="n">
        <x:f aca="0">IF(COUNT(E7:I7)=0,"n/m",MEDIAN(E7:I7))</x:f>
        <x:v>1.3386079458938223</x:v>
      </x:c>
      <x:c r="O7" s="11" t="s">
        <x:v>90</x:v>
      </x:c>
      <x:c r="P7" s="9" t="str">
        <x:f aca="0">IF(NOT(ISNUMBER(L7)),"n/m",IF(O7="Higher",IF(L7&gt;=0,"Above avg - favourable","Below avg - unfavourable"),IF(O7="Lower",IF(L7&lt;=0,"Below avg - favourable","Above avg - unfavourable"),IF(L7&gt;=0,"Above avg - context-dependent","Below avg - context-dependent"))))&amp;IF(K7&lt;5," (N="&amp;K7&amp;")","")</x:f>
        <x:v>Below avg - unfavourable</x:v>
      </x:c>
      <x:c r="R7" s="59" t="str">
        <x:f aca="0">IF(K7=0,"n/m",IF(ABS(J7-SUM(E7:I7)/K7)&lt;0.000000001,"OK","ERR"))</x:f>
        <x:v>OK</x:v>
      </x:c>
    </x:row>
    <x:row r="8" ht="15" hidden="0">
      <x:c r="C8" s="56" t="s">
        <x:v>87</x:v>
      </x:c>
      <x:c r="D8" s="11" t="s">
        <x:v>74</x:v>
      </x:c>
      <x:c r="E8" s="57" t="n">
        <x:f aca="0">KOHC!E138</x:f>
        <x:v>1.8735085276109804</x:v>
      </x:c>
      <x:c r="F8" s="57" t="n">
        <x:f aca="0">LUCK!E138</x:f>
        <x:v>1.4760766300374313</x:v>
      </x:c>
      <x:c r="G8" s="57" t="n">
        <x:f aca="0">DGKC!E138</x:f>
        <x:v>0.8855287714771004</x:v>
      </x:c>
      <x:c r="H8" s="57" t="n">
        <x:f aca="0">MLCF!E138</x:f>
        <x:v>1.2549557408945418</x:v>
      </x:c>
      <x:c r="I8" s="57" t="n">
        <x:f aca="0">FCCL!E138</x:f>
        <x:v>1.0559688948718087</x:v>
      </x:c>
      <x:c r="J8" s="58" t="n">
        <x:f aca="0">IF(COUNT(E8:I8)=0,"n/m",AVERAGE(E8:I8))</x:f>
        <x:v>1.3092077129783726</x:v>
      </x:c>
      <x:c r="K8" s="11" t="n">
        <x:f aca="0">COUNT(E8:I8)</x:f>
        <x:v>5</x:v>
      </x:c>
      <x:c r="L8" s="46" t="n">
        <x:f aca="0">IF(AND(ISNUMBER(E8),ISNUMBER(J8)),E8-J8,"n/m")</x:f>
        <x:v>0.5643008146326078</x:v>
      </x:c>
      <x:c r="M8" s="46" t="n">
        <x:f aca="0">IF(COUNT(F8:I8)=0,"n/m",AVERAGE(F8:I8))</x:f>
        <x:v>1.1681325093202206</x:v>
      </x:c>
      <x:c r="N8" s="46" t="n">
        <x:f aca="0">IF(COUNT(E8:I8)=0,"n/m",MEDIAN(E8:I8))</x:f>
        <x:v>1.2549557408945418</x:v>
      </x:c>
      <x:c r="O8" s="11" t="s">
        <x:v>90</x:v>
      </x:c>
      <x:c r="P8" s="9" t="str">
        <x:f aca="0">IF(NOT(ISNUMBER(L8)),"n/m",IF(O8="Higher",IF(L8&gt;=0,"Above avg - favourable","Below avg - unfavourable"),IF(O8="Lower",IF(L8&lt;=0,"Below avg - favourable","Above avg - unfavourable"),IF(L8&gt;=0,"Above avg - context-dependent","Below avg - context-dependent"))))&amp;IF(K8&lt;5," (N="&amp;K8&amp;")","")</x:f>
        <x:v>Above avg - favourable</x:v>
      </x:c>
      <x:c r="R8" s="59" t="str">
        <x:f aca="0">IF(K8=0,"n/m",IF(ABS(J8-SUM(E8:I8)/K8)&lt;0.000000001,"OK","ERR"))</x:f>
        <x:v>OK</x:v>
      </x:c>
    </x:row>
    <x:row r="9" ht="15" hidden="0">
      <x:c r="C9" s="56" t="s">
        <x:v>87</x:v>
      </x:c>
      <x:c r="D9" s="11" t="s">
        <x:v>75</x:v>
      </x:c>
      <x:c r="E9" s="57" t="n">
        <x:f aca="0">KOHC!F138</x:f>
        <x:v>2.311570515459215</x:v>
      </x:c>
      <x:c r="F9" s="57" t="n">
        <x:f aca="0">LUCK!F138</x:f>
        <x:v>1.290071633326858</x:v>
      </x:c>
      <x:c r="G9" s="57" t="n">
        <x:f aca="0">DGKC!F138</x:f>
        <x:v>0.8017674905738562</x:v>
      </x:c>
      <x:c r="H9" s="57" t="n">
        <x:f aca="0">MLCF!F138</x:f>
        <x:v>1.3715472215546312</x:v>
      </x:c>
      <x:c r="I9" s="57" t="n">
        <x:f aca="0">FCCL!F138</x:f>
        <x:v>0.8121113755800701</x:v>
      </x:c>
      <x:c r="J9" s="58" t="n">
        <x:f aca="0">IF(COUNT(E9:I9)=0,"n/m",AVERAGE(E9:I9))</x:f>
        <x:v>1.3174136472989262</x:v>
      </x:c>
      <x:c r="K9" s="11" t="n">
        <x:f aca="0">COUNT(E9:I9)</x:f>
        <x:v>5</x:v>
      </x:c>
      <x:c r="L9" s="46" t="n">
        <x:f aca="0">IF(AND(ISNUMBER(E9),ISNUMBER(J9)),E9-J9,"n/m")</x:f>
        <x:v>0.9941568681602888</x:v>
      </x:c>
      <x:c r="M9" s="46" t="n">
        <x:f aca="0">IF(COUNT(F9:I9)=0,"n/m",AVERAGE(F9:I9))</x:f>
        <x:v>1.068874430258854</x:v>
      </x:c>
      <x:c r="N9" s="46" t="n">
        <x:f aca="0">IF(COUNT(E9:I9)=0,"n/m",MEDIAN(E9:I9))</x:f>
        <x:v>1.290071633326858</x:v>
      </x:c>
      <x:c r="O9" s="11" t="s">
        <x:v>90</x:v>
      </x:c>
      <x:c r="P9" s="9" t="str">
        <x:f aca="0">IF(NOT(ISNUMBER(L9)),"n/m",IF(O9="Higher",IF(L9&gt;=0,"Above avg - favourable","Below avg - unfavourable"),IF(O9="Lower",IF(L9&lt;=0,"Below avg - favourable","Above avg - unfavourable"),IF(L9&gt;=0,"Above avg - context-dependent","Below avg - context-dependent"))))&amp;IF(K9&lt;5," (N="&amp;K9&amp;")","")</x:f>
        <x:v>Above avg - favourable</x:v>
      </x:c>
      <x:c r="R9" s="59" t="str">
        <x:f aca="0">IF(K9=0,"n/m",IF(ABS(J9-SUM(E9:I9)/K9)&lt;0.000000001,"OK","ERR"))</x:f>
        <x:v>OK</x:v>
      </x:c>
    </x:row>
    <x:row r="10" ht="15" hidden="0">
      <x:c r="C10" s="56" t="s">
        <x:v>87</x:v>
      </x:c>
      <x:c r="D10" s="11" t="s">
        <x:v>76</x:v>
      </x:c>
      <x:c r="E10" s="57" t="n">
        <x:f aca="0">KOHC!G138</x:f>
        <x:v>2.903159053016002</x:v>
      </x:c>
      <x:c r="F10" s="57" t="n">
        <x:f aca="0">LUCK!G138</x:f>
        <x:v>1.2632222354743232</x:v>
      </x:c>
      <x:c r="G10" s="57" t="n">
        <x:f aca="0">DGKC!G138</x:f>
        <x:v>1.296185931254842</x:v>
      </x:c>
      <x:c r="H10" s="57" t="n">
        <x:f aca="0">MLCF!G138</x:f>
        <x:v>1.444678241512437</x:v>
      </x:c>
      <x:c r="I10" s="57" t="n">
        <x:f aca="0">FCCL!G138</x:f>
        <x:v>0.9597477311673009</x:v>
      </x:c>
      <x:c r="J10" s="58" t="n">
        <x:f aca="0">IF(COUNT(E10:I10)=0,"n/m",AVERAGE(E10:I10))</x:f>
        <x:v>1.5733986384849812</x:v>
      </x:c>
      <x:c r="K10" s="11" t="n">
        <x:f aca="0">COUNT(E10:I10)</x:f>
        <x:v>5</x:v>
      </x:c>
      <x:c r="L10" s="46" t="n">
        <x:f aca="0">IF(AND(ISNUMBER(E10),ISNUMBER(J10)),E10-J10,"n/m")</x:f>
        <x:v>1.3297604145310207</x:v>
      </x:c>
      <x:c r="M10" s="46" t="n">
        <x:f aca="0">IF(COUNT(F10:I10)=0,"n/m",AVERAGE(F10:I10))</x:f>
        <x:v>1.2409585348522258</x:v>
      </x:c>
      <x:c r="N10" s="46" t="n">
        <x:f aca="0">IF(COUNT(E10:I10)=0,"n/m",MEDIAN(E10:I10))</x:f>
        <x:v>1.296185931254842</x:v>
      </x:c>
      <x:c r="O10" s="11" t="s">
        <x:v>90</x:v>
      </x:c>
      <x:c r="P10" s="9" t="str">
        <x:f aca="0">IF(NOT(ISNUMBER(L10)),"n/m",IF(O10="Higher",IF(L10&gt;=0,"Above avg - favourable","Below avg - unfavourable"),IF(O10="Lower",IF(L10&lt;=0,"Below avg - favourable","Above avg - unfavourable"),IF(L10&gt;=0,"Above avg - context-dependent","Below avg - context-dependent"))))&amp;IF(K10&lt;5," (N="&amp;K10&amp;")","")</x:f>
        <x:v>Above avg - favourable</x:v>
      </x:c>
      <x:c r="R10" s="59" t="str">
        <x:f aca="0">IF(K10=0,"n/m",IF(ABS(J10-SUM(E10:I10)/K10)&lt;0.000000001,"OK","ERR"))</x:f>
        <x:v>OK</x:v>
      </x:c>
    </x:row>
    <x:row r="11" ht="15" hidden="0">
      <x:c r="C11" s="56" t="s">
        <x:v>87</x:v>
      </x:c>
      <x:c r="D11" s="11" t="s">
        <x:v>77</x:v>
      </x:c>
      <x:c r="E11" s="57" t="n">
        <x:f aca="0">KOHC!H138</x:f>
        <x:v>3.311248687172772</x:v>
      </x:c>
      <x:c r="F11" s="57" t="n">
        <x:f aca="0">LUCK!H138</x:f>
        <x:v>1.7146143875904156</x:v>
      </x:c>
      <x:c r="G11" s="57" t="n">
        <x:f aca="0">DGKC!H138</x:f>
        <x:v>1.8489517932979607</x:v>
      </x:c>
      <x:c r="H11" s="57" t="n">
        <x:f aca="0">MLCF!H138</x:f>
        <x:v>1.5324411303645513</x:v>
      </x:c>
      <x:c r="I11" s="57" t="n">
        <x:f aca="0">FCCL!H138</x:f>
        <x:v>1.3210140828410366</x:v>
      </x:c>
      <x:c r="J11" s="58" t="n">
        <x:f aca="0">IF(COUNT(E11:I11)=0,"n/m",AVERAGE(E11:I11))</x:f>
        <x:v>1.9456540162533476</x:v>
      </x:c>
      <x:c r="K11" s="11" t="n">
        <x:f aca="0">COUNT(E11:I11)</x:f>
        <x:v>5</x:v>
      </x:c>
      <x:c r="L11" s="46" t="n">
        <x:f aca="0">IF(AND(ISNUMBER(E11),ISNUMBER(J11)),E11-J11,"n/m")</x:f>
        <x:v>1.3655946709194244</x:v>
      </x:c>
      <x:c r="M11" s="46" t="n">
        <x:f aca="0">IF(COUNT(F11:I11)=0,"n/m",AVERAGE(F11:I11))</x:f>
        <x:v>1.6042553485234912</x:v>
      </x:c>
      <x:c r="N11" s="46" t="n">
        <x:f aca="0">IF(COUNT(E11:I11)=0,"n/m",MEDIAN(E11:I11))</x:f>
        <x:v>1.7146143875904156</x:v>
      </x:c>
      <x:c r="O11" s="11" t="s">
        <x:v>90</x:v>
      </x:c>
      <x:c r="P11" s="9" t="str">
        <x:f aca="0">IF(NOT(ISNUMBER(L11)),"n/m",IF(O11="Higher",IF(L11&gt;=0,"Above avg - favourable","Below avg - unfavourable"),IF(O11="Lower",IF(L11&lt;=0,"Below avg - favourable","Above avg - unfavourable"),IF(L11&gt;=0,"Above avg - context-dependent","Below avg - context-dependent"))))&amp;IF(K11&lt;5," (N="&amp;K11&amp;")","")</x:f>
        <x:v>Above avg - favourable</x:v>
      </x:c>
      <x:c r="R11" s="59" t="str">
        <x:f aca="0">IF(K11=0,"n/m",IF(ABS(J11-SUM(E11:I11)/K11)&lt;0.000000001,"OK","ERR"))</x:f>
        <x:v>OK</x:v>
      </x:c>
    </x:row>
    <x:row r="12" ht="15" hidden="0">
      <x:c r="A12" s="54" t="s">
        <x:v>91</x:v>
      </x:c>
      <x:c r="B12" s="25" t="n">
        <x:v>2</x:v>
      </x:c>
      <x:c r="C12" s="24" t="s">
        <x:v>92</x:v>
      </x:c>
      <x:c r="D12" s="25"/>
      <x:c r="E12" s="25"/>
      <x:c r="F12" s="25"/>
      <x:c r="G12" s="25"/>
      <x:c r="H12" s="25"/>
      <x:c r="I12" s="25"/>
      <x:c r="J12" s="25"/>
      <x:c r="K12" s="25"/>
      <x:c r="L12" s="25"/>
      <x:c r="M12" s="25"/>
      <x:c r="N12" s="25"/>
      <x:c r="O12" s="25"/>
      <x:c r="P12" s="25"/>
      <x:c r="Q12" s="55"/>
      <x:c r="R12" s="25"/>
    </x:row>
    <x:row r="13" ht="15" hidden="0">
      <x:c r="C13" s="56" t="s">
        <x:v>92</x:v>
      </x:c>
      <x:c r="D13" s="11" t="s">
        <x:v>73</x:v>
      </x:c>
      <x:c r="E13" s="57" t="n">
        <x:f aca="0">KOHC!D139</x:f>
        <x:v>0.748160438555549</x:v>
      </x:c>
      <x:c r="F13" s="57" t="n">
        <x:f aca="0">LUCK!D139</x:f>
        <x:v>0.890008861006851</x:v>
      </x:c>
      <x:c r="G13" s="57" t="n">
        <x:f aca="0">DGKC!D139</x:f>
        <x:v>0.527188307782106</x:v>
      </x:c>
      <x:c r="H13" s="57" t="n">
        <x:f aca="0">MLCF!D139</x:f>
        <x:v>0.439716919103873</x:v>
      </x:c>
      <x:c r="I13" s="57" t="n">
        <x:f aca="0">FCCL!D139</x:f>
        <x:v>1.1357988467684703</x:v>
      </x:c>
      <x:c r="J13" s="58" t="n">
        <x:f aca="0">IF(COUNT(E13:I13)=0,"n/m",AVERAGE(E13:I13))</x:f>
        <x:v>0.74817467464337</x:v>
      </x:c>
      <x:c r="K13" s="11" t="n">
        <x:f aca="0">COUNT(E13:I13)</x:f>
        <x:v>5</x:v>
      </x:c>
      <x:c r="L13" s="46" t="n">
        <x:f aca="0">IF(AND(ISNUMBER(E13),ISNUMBER(J13)),E13-J13,"n/m")</x:f>
        <x:v>-0.000014236087820918009</x:v>
      </x:c>
      <x:c r="M13" s="46" t="n">
        <x:f aca="0">IF(COUNT(F13:I13)=0,"n/m",AVERAGE(F13:I13))</x:f>
        <x:v>0.7481782336653251</x:v>
      </x:c>
      <x:c r="N13" s="46" t="n">
        <x:f aca="0">IF(COUNT(E13:I13)=0,"n/m",MEDIAN(E13:I13))</x:f>
        <x:v>0.748160438555549</x:v>
      </x:c>
      <x:c r="O13" s="11" t="s">
        <x:v>90</x:v>
      </x:c>
      <x:c r="P13" s="9" t="str">
        <x:f aca="0">IF(NOT(ISNUMBER(L13)),"n/m",IF(O13="Higher",IF(L13&gt;=0,"Above avg - favourable","Below avg - unfavourable"),IF(O13="Lower",IF(L13&lt;=0,"Below avg - favourable","Above avg - unfavourable"),IF(L13&gt;=0,"Above avg - context-dependent","Below avg - context-dependent"))))&amp;IF(K13&lt;5," (N="&amp;K13&amp;")","")</x:f>
        <x:v>Below avg - unfavourable</x:v>
      </x:c>
      <x:c r="R13" s="59" t="str">
        <x:f aca="0">IF(K13=0,"n/m",IF(ABS(J13-SUM(E13:I13)/K13)&lt;0.000000001,"OK","ERR"))</x:f>
        <x:v>OK</x:v>
      </x:c>
    </x:row>
    <x:row r="14" ht="15" hidden="0">
      <x:c r="C14" s="56" t="s">
        <x:v>92</x:v>
      </x:c>
      <x:c r="D14" s="11" t="s">
        <x:v>74</x:v>
      </x:c>
      <x:c r="E14" s="57" t="n">
        <x:f aca="0">KOHC!E139</x:f>
        <x:v>1.2758070110452304</x:v>
      </x:c>
      <x:c r="F14" s="57" t="n">
        <x:f aca="0">LUCK!E139</x:f>
        <x:v>0.8707609191920863</x:v>
      </x:c>
      <x:c r="G14" s="57" t="n">
        <x:f aca="0">DGKC!E139</x:f>
        <x:v>0.3909339078966533</x:v>
      </x:c>
      <x:c r="H14" s="57" t="n">
        <x:f aca="0">MLCF!E139</x:f>
        <x:v>0.29473524106223353</x:v>
      </x:c>
      <x:c r="I14" s="57" t="n">
        <x:f aca="0">FCCL!E139</x:f>
        <x:v>0.4707842106056928</x:v>
      </x:c>
      <x:c r="J14" s="58" t="n">
        <x:f aca="0">IF(COUNT(E14:I14)=0,"n/m",AVERAGE(E14:I14))</x:f>
        <x:v>0.6606042579603792</x:v>
      </x:c>
      <x:c r="K14" s="11" t="n">
        <x:f aca="0">COUNT(E14:I14)</x:f>
        <x:v>5</x:v>
      </x:c>
      <x:c r="L14" s="46" t="n">
        <x:f aca="0">IF(AND(ISNUMBER(E14),ISNUMBER(J14)),E14-J14,"n/m")</x:f>
        <x:v>0.6152027530848512</x:v>
      </x:c>
      <x:c r="M14" s="46" t="n">
        <x:f aca="0">IF(COUNT(F14:I14)=0,"n/m",AVERAGE(F14:I14))</x:f>
        <x:v>0.5068035696891665</x:v>
      </x:c>
      <x:c r="N14" s="46" t="n">
        <x:f aca="0">IF(COUNT(E14:I14)=0,"n/m",MEDIAN(E14:I14))</x:f>
        <x:v>0.4707842106056928</x:v>
      </x:c>
      <x:c r="O14" s="11" t="s">
        <x:v>90</x:v>
      </x:c>
      <x:c r="P14" s="9" t="str">
        <x:f aca="0">IF(NOT(ISNUMBER(L14)),"n/m",IF(O14="Higher",IF(L14&gt;=0,"Above avg - favourable","Below avg - unfavourable"),IF(O14="Lower",IF(L14&lt;=0,"Below avg - favourable","Above avg - unfavourable"),IF(L14&gt;=0,"Above avg - context-dependent","Below avg - context-dependent"))))&amp;IF(K14&lt;5," (N="&amp;K14&amp;")","")</x:f>
        <x:v>Above avg - favourable</x:v>
      </x:c>
      <x:c r="R14" s="59" t="str">
        <x:f aca="0">IF(K14=0,"n/m",IF(ABS(J14-SUM(E14:I14)/K14)&lt;0.000000001,"OK","ERR"))</x:f>
        <x:v>OK</x:v>
      </x:c>
    </x:row>
    <x:row r="15" ht="15" hidden="0">
      <x:c r="C15" s="56" t="s">
        <x:v>92</x:v>
      </x:c>
      <x:c r="D15" s="11" t="s">
        <x:v>75</x:v>
      </x:c>
      <x:c r="E15" s="57" t="n">
        <x:f aca="0">KOHC!F139</x:f>
        <x:v>1.5392110300634694</x:v>
      </x:c>
      <x:c r="F15" s="57" t="n">
        <x:f aca="0">LUCK!F139</x:f>
        <x:v>0.8541222656242641</x:v>
      </x:c>
      <x:c r="G15" s="57" t="n">
        <x:f aca="0">DGKC!F139</x:f>
        <x:v>0.3348993616744587</x:v>
      </x:c>
      <x:c r="H15" s="57" t="n">
        <x:f aca="0">MLCF!F139</x:f>
        <x:v>0.5204561252187091</x:v>
      </x:c>
      <x:c r="I15" s="57" t="n">
        <x:f aca="0">FCCL!F139</x:f>
        <x:v>0.2812171087331332</x:v>
      </x:c>
      <x:c r="J15" s="58" t="n">
        <x:f aca="0">IF(COUNT(E15:I15)=0,"n/m",AVERAGE(E15:I15))</x:f>
        <x:v>0.7059811782628069</x:v>
      </x:c>
      <x:c r="K15" s="11" t="n">
        <x:f aca="0">COUNT(E15:I15)</x:f>
        <x:v>5</x:v>
      </x:c>
      <x:c r="L15" s="46" t="n">
        <x:f aca="0">IF(AND(ISNUMBER(E15),ISNUMBER(J15)),E15-J15,"n/m")</x:f>
        <x:v>0.8332298518006624</x:v>
      </x:c>
      <x:c r="M15" s="46" t="n">
        <x:f aca="0">IF(COUNT(F15:I15)=0,"n/m",AVERAGE(F15:I15))</x:f>
        <x:v>0.4976737153126413</x:v>
      </x:c>
      <x:c r="N15" s="46" t="n">
        <x:f aca="0">IF(COUNT(E15:I15)=0,"n/m",MEDIAN(E15:I15))</x:f>
        <x:v>0.5204561252187091</x:v>
      </x:c>
      <x:c r="O15" s="11" t="s">
        <x:v>90</x:v>
      </x:c>
      <x:c r="P15" s="9" t="str">
        <x:f aca="0">IF(NOT(ISNUMBER(L15)),"n/m",IF(O15="Higher",IF(L15&gt;=0,"Above avg - favourable","Below avg - unfavourable"),IF(O15="Lower",IF(L15&lt;=0,"Below avg - favourable","Above avg - unfavourable"),IF(L15&gt;=0,"Above avg - context-dependent","Below avg - context-dependent"))))&amp;IF(K15&lt;5," (N="&amp;K15&amp;")","")</x:f>
        <x:v>Above avg - favourable</x:v>
      </x:c>
      <x:c r="R15" s="59" t="str">
        <x:f aca="0">IF(K15=0,"n/m",IF(ABS(J15-SUM(E15:I15)/K15)&lt;0.000000001,"OK","ERR"))</x:f>
        <x:v>OK</x:v>
      </x:c>
    </x:row>
    <x:row r="16" ht="15" hidden="0">
      <x:c r="C16" s="56" t="s">
        <x:v>92</x:v>
      </x:c>
      <x:c r="D16" s="11" t="s">
        <x:v>76</x:v>
      </x:c>
      <x:c r="E16" s="57" t="n">
        <x:f aca="0">KOHC!G139</x:f>
        <x:v>2.220059339921235</x:v>
      </x:c>
      <x:c r="F16" s="57" t="n">
        <x:f aca="0">LUCK!G139</x:f>
        <x:v>0.8369831163170072</x:v>
      </x:c>
      <x:c r="G16" s="57" t="n">
        <x:f aca="0">DGKC!G139</x:f>
        <x:v>0.6677176492302713</x:v>
      </x:c>
      <x:c r="H16" s="57" t="n">
        <x:f aca="0">MLCF!G139</x:f>
        <x:v>0.6094267063846261</x:v>
      </x:c>
      <x:c r="I16" s="57" t="n">
        <x:f aca="0">FCCL!G139</x:f>
        <x:v>0.3420463898878065</x:v>
      </x:c>
      <x:c r="J16" s="58" t="n">
        <x:f aca="0">IF(COUNT(E16:I16)=0,"n/m",AVERAGE(E16:I16))</x:f>
        <x:v>0.9352466403481893</x:v>
      </x:c>
      <x:c r="K16" s="11" t="n">
        <x:f aca="0">COUNT(E16:I16)</x:f>
        <x:v>5</x:v>
      </x:c>
      <x:c r="L16" s="46" t="n">
        <x:f aca="0">IF(AND(ISNUMBER(E16),ISNUMBER(J16)),E16-J16,"n/m")</x:f>
        <x:v>1.2848126995730458</x:v>
      </x:c>
      <x:c r="M16" s="46" t="n">
        <x:f aca="0">IF(COUNT(F16:I16)=0,"n/m",AVERAGE(F16:I16))</x:f>
        <x:v>0.6140434654549278</x:v>
      </x:c>
      <x:c r="N16" s="46" t="n">
        <x:f aca="0">IF(COUNT(E16:I16)=0,"n/m",MEDIAN(E16:I16))</x:f>
        <x:v>0.6677176492302713</x:v>
      </x:c>
      <x:c r="O16" s="11" t="s">
        <x:v>90</x:v>
      </x:c>
      <x:c r="P16" s="9" t="str">
        <x:f aca="0">IF(NOT(ISNUMBER(L16)),"n/m",IF(O16="Higher",IF(L16&gt;=0,"Above avg - favourable","Below avg - unfavourable"),IF(O16="Lower",IF(L16&lt;=0,"Below avg - favourable","Above avg - unfavourable"),IF(L16&gt;=0,"Above avg - context-dependent","Below avg - context-dependent"))))&amp;IF(K16&lt;5," (N="&amp;K16&amp;")","")</x:f>
        <x:v>Above avg - favourable</x:v>
      </x:c>
      <x:c r="R16" s="59" t="str">
        <x:f aca="0">IF(K16=0,"n/m",IF(ABS(J16-SUM(E16:I16)/K16)&lt;0.000000001,"OK","ERR"))</x:f>
        <x:v>OK</x:v>
      </x:c>
    </x:row>
    <x:row r="17" ht="15" hidden="0">
      <x:c r="C17" s="56" t="s">
        <x:v>92</x:v>
      </x:c>
      <x:c r="D17" s="11" t="s">
        <x:v>77</x:v>
      </x:c>
      <x:c r="E17" s="57" t="n">
        <x:f aca="0">KOHC!H139</x:f>
        <x:v>2.6677003784340947</x:v>
      </x:c>
      <x:c r="F17" s="57" t="n">
        <x:f aca="0">LUCK!H139</x:f>
        <x:v>1.2939267138361998</x:v>
      </x:c>
      <x:c r="G17" s="57" t="n">
        <x:f aca="0">DGKC!H139</x:f>
        <x:v>1.0579587679634685</x:v>
      </x:c>
      <x:c r="H17" s="57" t="n">
        <x:f aca="0">MLCF!H139</x:f>
        <x:v>0.8078828259550986</x:v>
      </x:c>
      <x:c r="I17" s="57" t="n">
        <x:f aca="0">FCCL!H139</x:f>
        <x:v>0.6775338076736492</x:v>
      </x:c>
      <x:c r="J17" s="58" t="n">
        <x:f aca="0">IF(COUNT(E17:I17)=0,"n/m",AVERAGE(E17:I17))</x:f>
        <x:v>1.3010004987725021</x:v>
      </x:c>
      <x:c r="K17" s="11" t="n">
        <x:f aca="0">COUNT(E17:I17)</x:f>
        <x:v>5</x:v>
      </x:c>
      <x:c r="L17" s="46" t="n">
        <x:f aca="0">IF(AND(ISNUMBER(E17),ISNUMBER(J17)),E17-J17,"n/m")</x:f>
        <x:v>1.3666998796615926</x:v>
      </x:c>
      <x:c r="M17" s="46" t="n">
        <x:f aca="0">IF(COUNT(F17:I17)=0,"n/m",AVERAGE(F17:I17))</x:f>
        <x:v>0.9593255288571041</x:v>
      </x:c>
      <x:c r="N17" s="46" t="n">
        <x:f aca="0">IF(COUNT(E17:I17)=0,"n/m",MEDIAN(E17:I17))</x:f>
        <x:v>1.0579587679634685</x:v>
      </x:c>
      <x:c r="O17" s="11" t="s">
        <x:v>90</x:v>
      </x:c>
      <x:c r="P17" s="9" t="str">
        <x:f aca="0">IF(NOT(ISNUMBER(L17)),"n/m",IF(O17="Higher",IF(L17&gt;=0,"Above avg - favourable","Below avg - unfavourable"),IF(O17="Lower",IF(L17&lt;=0,"Below avg - favourable","Above avg - unfavourable"),IF(L17&gt;=0,"Above avg - context-dependent","Below avg - context-dependent"))))&amp;IF(K17&lt;5," (N="&amp;K17&amp;")","")</x:f>
        <x:v>Above avg - favourable</x:v>
      </x:c>
      <x:c r="R17" s="59" t="str">
        <x:f aca="0">IF(K17=0,"n/m",IF(ABS(J17-SUM(E17:I17)/K17)&lt;0.000000001,"OK","ERR"))</x:f>
        <x:v>OK</x:v>
      </x:c>
    </x:row>
    <x:row r="18" ht="15" hidden="0">
      <x:c r="A18" s="54" t="s">
        <x:v>91</x:v>
      </x:c>
      <x:c r="B18" s="25" t="n">
        <x:v>3</x:v>
      </x:c>
      <x:c r="C18" s="24" t="s">
        <x:v>94</x:v>
      </x:c>
      <x:c r="D18" s="25"/>
      <x:c r="E18" s="25"/>
      <x:c r="F18" s="25"/>
      <x:c r="G18" s="25"/>
      <x:c r="H18" s="25"/>
      <x:c r="I18" s="25"/>
      <x:c r="J18" s="25"/>
      <x:c r="K18" s="25"/>
      <x:c r="L18" s="25"/>
      <x:c r="M18" s="25"/>
      <x:c r="N18" s="25"/>
      <x:c r="O18" s="25"/>
      <x:c r="P18" s="25"/>
      <x:c r="Q18" s="55"/>
      <x:c r="R18" s="25"/>
    </x:row>
    <x:row r="19" ht="15" hidden="0">
      <x:c r="C19" s="56" t="s">
        <x:v>94</x:v>
      </x:c>
      <x:c r="D19" s="11" t="s">
        <x:v>73</x:v>
      </x:c>
      <x:c r="E19" s="57" t="n">
        <x:f aca="0">KOHC!D140</x:f>
        <x:v>0.15817363525137568</x:v>
      </x:c>
      <x:c r="F19" s="57" t="n">
        <x:f aca="0">LUCK!D140</x:f>
        <x:v>0.09298113875159913</x:v>
      </x:c>
      <x:c r="G19" s="57" t="n">
        <x:f aca="0">DGKC!D140</x:f>
        <x:v>0.020011480184397672</x:v>
      </x:c>
      <x:c r="H19" s="57" t="n">
        <x:f aca="0">MLCF!D140</x:f>
        <x:v>0.0428255580531044</x:v>
      </x:c>
      <x:c r="I19" s="57" t="n">
        <x:f aca="0">FCCL!D140</x:f>
        <x:v>0.14618299383526975</x:v>
      </x:c>
      <x:c r="J19" s="58" t="n">
        <x:f aca="0">IF(COUNT(E19:I19)=0,"n/m",AVERAGE(E19:I19))</x:f>
        <x:v>0.09203496121514934</x:v>
      </x:c>
      <x:c r="K19" s="11" t="n">
        <x:f aca="0">COUNT(E19:I19)</x:f>
        <x:v>5</x:v>
      </x:c>
      <x:c r="L19" s="46" t="n">
        <x:f aca="0">IF(AND(ISNUMBER(E19),ISNUMBER(J19)),E19-J19,"n/m")</x:f>
        <x:v>0.06613867403622634</x:v>
      </x:c>
      <x:c r="M19" s="46" t="n">
        <x:f aca="0">IF(COUNT(F19:I19)=0,"n/m",AVERAGE(F19:I19))</x:f>
        <x:v>0.07550029270609274</x:v>
      </x:c>
      <x:c r="N19" s="46" t="n">
        <x:f aca="0">IF(COUNT(E19:I19)=0,"n/m",MEDIAN(E19:I19))</x:f>
        <x:v>0.09298113875159913</x:v>
      </x:c>
      <x:c r="O19" s="11" t="s">
        <x:v>90</x:v>
      </x:c>
      <x:c r="P19" s="9" t="str">
        <x:f aca="0">IF(NOT(ISNUMBER(L19)),"n/m",IF(O19="Higher",IF(L19&gt;=0,"Above avg - favourable","Below avg - unfavourable"),IF(O19="Lower",IF(L19&lt;=0,"Below avg - favourable","Above avg - unfavourable"),IF(L19&gt;=0,"Above avg - context-dependent","Below avg - context-dependent"))))&amp;IF(K19&lt;5," (N="&amp;K19&amp;")","")</x:f>
        <x:v>Above avg - favourable</x:v>
      </x:c>
      <x:c r="R19" s="59" t="str">
        <x:f aca="0">IF(K19=0,"n/m",IF(ABS(J19-SUM(E19:I19)/K19)&lt;0.000000001,"OK","ERR"))</x:f>
        <x:v>OK</x:v>
      </x:c>
    </x:row>
    <x:row r="20" ht="15" hidden="0">
      <x:c r="C20" s="56" t="s">
        <x:v>94</x:v>
      </x:c>
      <x:c r="D20" s="11" t="s">
        <x:v>74</x:v>
      </x:c>
      <x:c r="E20" s="57" t="n">
        <x:f aca="0">KOHC!E140</x:f>
        <x:v>0.05067096377572231</x:v>
      </x:c>
      <x:c r="F20" s="57" t="n">
        <x:f aca="0">LUCK!E140</x:f>
        <x:v>0.12750015990720837</x:v>
      </x:c>
      <x:c r="G20" s="57" t="n">
        <x:f aca="0">DGKC!E140</x:f>
        <x:v>0.008913248794490819</x:v>
      </x:c>
      <x:c r="H20" s="57" t="n">
        <x:f aca="0">MLCF!E140</x:f>
        <x:v>0.04900616554000333</x:v>
      </x:c>
      <x:c r="I20" s="57" t="n">
        <x:f aca="0">FCCL!E140</x:f>
        <x:v>0.08632203736853207</x:v>
      </x:c>
      <x:c r="J20" s="58" t="n">
        <x:f aca="0">IF(COUNT(E20:I20)=0,"n/m",AVERAGE(E20:I20))</x:f>
        <x:v>0.06448251507719138</x:v>
      </x:c>
      <x:c r="K20" s="11" t="n">
        <x:f aca="0">COUNT(E20:I20)</x:f>
        <x:v>5</x:v>
      </x:c>
      <x:c r="L20" s="46" t="n">
        <x:f aca="0">IF(AND(ISNUMBER(E20),ISNUMBER(J20)),E20-J20,"n/m")</x:f>
        <x:v>-0.01381155130146907</x:v>
      </x:c>
      <x:c r="M20" s="46" t="n">
        <x:f aca="0">IF(COUNT(F20:I20)=0,"n/m",AVERAGE(F20:I20))</x:f>
        <x:v>0.06793540290255864</x:v>
      </x:c>
      <x:c r="N20" s="46" t="n">
        <x:f aca="0">IF(COUNT(E20:I20)=0,"n/m",MEDIAN(E20:I20))</x:f>
        <x:v>0.05067096377572231</x:v>
      </x:c>
      <x:c r="O20" s="11" t="s">
        <x:v>90</x:v>
      </x:c>
      <x:c r="P20" s="9" t="str">
        <x:f aca="0">IF(NOT(ISNUMBER(L20)),"n/m",IF(O20="Higher",IF(L20&gt;=0,"Above avg - favourable","Below avg - unfavourable"),IF(O20="Lower",IF(L20&lt;=0,"Below avg - favourable","Above avg - unfavourable"),IF(L20&gt;=0,"Above avg - context-dependent","Below avg - context-dependent"))))&amp;IF(K20&lt;5," (N="&amp;K20&amp;")","")</x:f>
        <x:v>Below avg - unfavourable</x:v>
      </x:c>
      <x:c r="R20" s="59" t="str">
        <x:f aca="0">IF(K20=0,"n/m",IF(ABS(J20-SUM(E20:I20)/K20)&lt;0.000000001,"OK","ERR"))</x:f>
        <x:v>OK</x:v>
      </x:c>
    </x:row>
    <x:row r="21" ht="15" hidden="0">
      <x:c r="C21" s="56" t="s">
        <x:v>94</x:v>
      </x:c>
      <x:c r="D21" s="11" t="s">
        <x:v>75</x:v>
      </x:c>
      <x:c r="E21" s="57" t="n">
        <x:f aca="0">KOHC!F140</x:f>
        <x:v>0.09417804645207263</x:v>
      </x:c>
      <x:c r="F21" s="57" t="n">
        <x:f aca="0">LUCK!F140</x:f>
        <x:v>0.08913171618062964</x:v>
      </x:c>
      <x:c r="G21" s="57" t="n">
        <x:f aca="0">DGKC!F140</x:f>
        <x:v>0.013866688142092815</x:v>
      </x:c>
      <x:c r="H21" s="57" t="n">
        <x:f aca="0">MLCF!F140</x:f>
        <x:v>0.04568029853307005</x:v>
      </x:c>
      <x:c r="I21" s="57" t="n">
        <x:f aca="0">FCCL!F140</x:f>
        <x:v>0.03406683538776042</x:v>
      </x:c>
      <x:c r="J21" s="58" t="n">
        <x:f aca="0">IF(COUNT(E21:I21)=0,"n/m",AVERAGE(E21:I21))</x:f>
        <x:v>0.05538471693912511</x:v>
      </x:c>
      <x:c r="K21" s="11" t="n">
        <x:f aca="0">COUNT(E21:I21)</x:f>
        <x:v>5</x:v>
      </x:c>
      <x:c r="L21" s="46" t="n">
        <x:f aca="0">IF(AND(ISNUMBER(E21),ISNUMBER(J21)),E21-J21,"n/m")</x:f>
        <x:v>0.03879332951294752</x:v>
      </x:c>
      <x:c r="M21" s="46" t="n">
        <x:f aca="0">IF(COUNT(F21:I21)=0,"n/m",AVERAGE(F21:I21))</x:f>
        <x:v>0.04568638456088823</x:v>
      </x:c>
      <x:c r="N21" s="46" t="n">
        <x:f aca="0">IF(COUNT(E21:I21)=0,"n/m",MEDIAN(E21:I21))</x:f>
        <x:v>0.04568029853307005</x:v>
      </x:c>
      <x:c r="O21" s="11" t="s">
        <x:v>90</x:v>
      </x:c>
      <x:c r="P21" s="9" t="str">
        <x:f aca="0">IF(NOT(ISNUMBER(L21)),"n/m",IF(O21="Higher",IF(L21&gt;=0,"Above avg - favourable","Below avg - unfavourable"),IF(O21="Lower",IF(L21&lt;=0,"Below avg - favourable","Above avg - unfavourable"),IF(L21&gt;=0,"Above avg - context-dependent","Below avg - context-dependent"))))&amp;IF(K21&lt;5," (N="&amp;K21&amp;")","")</x:f>
        <x:v>Above avg - favourable</x:v>
      </x:c>
      <x:c r="R21" s="59" t="str">
        <x:f aca="0">IF(K21=0,"n/m",IF(ABS(J21-SUM(E21:I21)/K21)&lt;0.000000001,"OK","ERR"))</x:f>
        <x:v>OK</x:v>
      </x:c>
    </x:row>
    <x:row r="22" ht="15" hidden="0">
      <x:c r="C22" s="56" t="s">
        <x:v>94</x:v>
      </x:c>
      <x:c r="D22" s="11" t="s">
        <x:v>76</x:v>
      </x:c>
      <x:c r="E22" s="57" t="n">
        <x:f aca="0">KOHC!G140</x:f>
        <x:v>0.09937683148978137</x:v>
      </x:c>
      <x:c r="F22" s="57" t="n">
        <x:f aca="0">LUCK!G140</x:f>
        <x:v>0.04737494632853006</x:v>
      </x:c>
      <x:c r="G22" s="57" t="n">
        <x:f aca="0">DGKC!G140</x:f>
        <x:v>0.022719990993528554</x:v>
      </x:c>
      <x:c r="H22" s="57" t="n">
        <x:f aca="0">MLCF!G140</x:f>
        <x:v>0.06094333738399166</x:v>
      </x:c>
      <x:c r="I22" s="57" t="n">
        <x:f aca="0">FCCL!G140</x:f>
        <x:v>0.10917301381732912</x:v>
      </x:c>
      <x:c r="J22" s="58" t="n">
        <x:f aca="0">IF(COUNT(E22:I22)=0,"n/m",AVERAGE(E22:I22))</x:f>
        <x:v>0.06791762400263215</x:v>
      </x:c>
      <x:c r="K22" s="11" t="n">
        <x:f aca="0">COUNT(E22:I22)</x:f>
        <x:v>5</x:v>
      </x:c>
      <x:c r="L22" s="46" t="n">
        <x:f aca="0">IF(AND(ISNUMBER(E22),ISNUMBER(J22)),E22-J22,"n/m")</x:f>
        <x:v>0.03145920748714921</x:v>
      </x:c>
      <x:c r="M22" s="46" t="n">
        <x:f aca="0">IF(COUNT(F22:I22)=0,"n/m",AVERAGE(F22:I22))</x:f>
        <x:v>0.060052822130844855</x:v>
      </x:c>
      <x:c r="N22" s="46" t="n">
        <x:f aca="0">IF(COUNT(E22:I22)=0,"n/m",MEDIAN(E22:I22))</x:f>
        <x:v>0.06094333738399166</x:v>
      </x:c>
      <x:c r="O22" s="11" t="s">
        <x:v>90</x:v>
      </x:c>
      <x:c r="P22" s="9" t="str">
        <x:f aca="0">IF(NOT(ISNUMBER(L22)),"n/m",IF(O22="Higher",IF(L22&gt;=0,"Above avg - favourable","Below avg - unfavourable"),IF(O22="Lower",IF(L22&lt;=0,"Below avg - favourable","Above avg - unfavourable"),IF(L22&gt;=0,"Above avg - context-dependent","Below avg - context-dependent"))))&amp;IF(K22&lt;5," (N="&amp;K22&amp;")","")</x:f>
        <x:v>Above avg - favourable</x:v>
      </x:c>
      <x:c r="R22" s="59" t="str">
        <x:f aca="0">IF(K22=0,"n/m",IF(ABS(J22-SUM(E22:I22)/K22)&lt;0.000000001,"OK","ERR"))</x:f>
        <x:v>OK</x:v>
      </x:c>
    </x:row>
    <x:row r="23" ht="15" hidden="0">
      <x:c r="C23" s="56" t="s">
        <x:v>94</x:v>
      </x:c>
      <x:c r="D23" s="11" t="s">
        <x:v>77</x:v>
      </x:c>
      <x:c r="E23" s="57" t="n">
        <x:f aca="0">KOHC!H140</x:f>
        <x:v>0.1243988942257843</x:v>
      </x:c>
      <x:c r="F23" s="57" t="n">
        <x:f aca="0">LUCK!H140</x:f>
        <x:v>0.04758283071188822</x:v>
      </x:c>
      <x:c r="G23" s="57" t="n">
        <x:f aca="0">DGKC!H140</x:f>
        <x:v>0.02195336946739058</x:v>
      </x:c>
      <x:c r="H23" s="57" t="n">
        <x:f aca="0">MLCF!H140</x:f>
        <x:v>0.06924333482737245</x:v>
      </x:c>
      <x:c r="I23" s="57" t="n">
        <x:f aca="0">FCCL!H140</x:f>
        <x:v>0.08699594487108397</x:v>
      </x:c>
      <x:c r="J23" s="58" t="n">
        <x:f aca="0">IF(COUNT(E23:I23)=0,"n/m",AVERAGE(E23:I23))</x:f>
        <x:v>0.0700348748207039</x:v>
      </x:c>
      <x:c r="K23" s="11" t="n">
        <x:f aca="0">COUNT(E23:I23)</x:f>
        <x:v>5</x:v>
      </x:c>
      <x:c r="L23" s="46" t="n">
        <x:f aca="0">IF(AND(ISNUMBER(E23),ISNUMBER(J23)),E23-J23,"n/m")</x:f>
        <x:v>0.0543640194050804</x:v>
      </x:c>
      <x:c r="M23" s="46" t="n">
        <x:f aca="0">IF(COUNT(F23:I23)=0,"n/m",AVERAGE(F23:I23))</x:f>
        <x:v>0.056443869969433805</x:v>
      </x:c>
      <x:c r="N23" s="46" t="n">
        <x:f aca="0">IF(COUNT(E23:I23)=0,"n/m",MEDIAN(E23:I23))</x:f>
        <x:v>0.06924333482737245</x:v>
      </x:c>
      <x:c r="O23" s="11" t="s">
        <x:v>90</x:v>
      </x:c>
      <x:c r="P23" s="9" t="str">
        <x:f aca="0">IF(NOT(ISNUMBER(L23)),"n/m",IF(O23="Higher",IF(L23&gt;=0,"Above avg - favourable","Below avg - unfavourable"),IF(O23="Lower",IF(L23&lt;=0,"Below avg - favourable","Above avg - unfavourable"),IF(L23&gt;=0,"Above avg - context-dependent","Below avg - context-dependent"))))&amp;IF(K23&lt;5," (N="&amp;K23&amp;")","")</x:f>
        <x:v>Above avg - favourable</x:v>
      </x:c>
      <x:c r="R23" s="59" t="str">
        <x:f aca="0">IF(K23=0,"n/m",IF(ABS(J23-SUM(E23:I23)/K23)&lt;0.000000001,"OK","ERR"))</x:f>
        <x:v>OK</x:v>
      </x:c>
    </x:row>
    <x:row r="24" ht="15" hidden="0">
      <x:c r="A24" s="54" t="s">
        <x:v>91</x:v>
      </x:c>
      <x:c r="B24" s="25" t="n">
        <x:v>4</x:v>
      </x:c>
      <x:c r="C24" s="24" t="s">
        <x:v>96</x:v>
      </x:c>
      <x:c r="D24" s="25"/>
      <x:c r="E24" s="25"/>
      <x:c r="F24" s="25"/>
      <x:c r="G24" s="25"/>
      <x:c r="H24" s="25"/>
      <x:c r="I24" s="25"/>
      <x:c r="J24" s="25"/>
      <x:c r="K24" s="25"/>
      <x:c r="L24" s="25"/>
      <x:c r="M24" s="25"/>
      <x:c r="N24" s="25"/>
      <x:c r="O24" s="25"/>
      <x:c r="P24" s="25"/>
      <x:c r="Q24" s="55" t="s">
        <x:v>1046</x:v>
      </x:c>
      <x:c r="R24" s="25"/>
    </x:row>
    <x:row r="25" ht="15" hidden="0">
      <x:c r="C25" s="56" t="s">
        <x:v>96</x:v>
      </x:c>
      <x:c r="D25" s="11" t="s">
        <x:v>73</x:v>
      </x:c>
      <x:c r="E25" s="60" t="n">
        <x:f aca="0">KOHC!D141</x:f>
        <x:v>2276.5547739999984</x:v>
      </x:c>
      <x:c r="F25" s="60" t="n">
        <x:f aca="0">LUCK!D141</x:f>
        <x:v>10289.302000000007</x:v>
      </x:c>
      <x:c r="G25" s="60" t="n">
        <x:f aca="0">DGKC!D141</x:f>
        <x:v>-3444.255999999994</x:v>
      </x:c>
      <x:c r="H25" s="60" t="n">
        <x:f aca="0">MLCF!D141</x:f>
        <x:v>5473.968000000003</x:v>
      </x:c>
      <x:c r="I25" s="60" t="n">
        <x:f aca="0">FCCL!D141</x:f>
        <x:v>6276.743</x:v>
      </x:c>
      <x:c r="J25" s="61" t="n">
        <x:f aca="0">IF(COUNT(E25:I25)=0,"n/m",AVERAGE(E25:I25))</x:f>
        <x:v>4174.462354800004</x:v>
      </x:c>
      <x:c r="K25" s="11" t="n">
        <x:f aca="0">COUNT(E25:I25)</x:f>
        <x:v>5</x:v>
      </x:c>
      <x:c r="L25" s="62" t="n">
        <x:f aca="0">IF(AND(ISNUMBER(E25),ISNUMBER(J25)),E25-J25,"n/m")</x:f>
        <x:v>-1897.9075808000052</x:v>
      </x:c>
      <x:c r="M25" s="62" t="n">
        <x:f aca="0">IF(COUNT(F25:I25)=0,"n/m",AVERAGE(F25:I25))</x:f>
        <x:v>4648.939250000004</x:v>
      </x:c>
      <x:c r="N25" s="62" t="n">
        <x:f aca="0">IF(COUNT(E25:I25)=0,"n/m",MEDIAN(E25:I25))</x:f>
        <x:v>5473.968000000003</x:v>
      </x:c>
      <x:c r="O25" s="11" t="s">
        <x:v>99</x:v>
      </x:c>
      <x:c r="P25" s="9" t="str">
        <x:f aca="0">IF(NOT(ISNUMBER(L25)),"n/m",IF(O25="Higher",IF(L25&gt;=0,"Above avg - favourable","Below avg - unfavourable"),IF(O25="Lower",IF(L25&lt;=0,"Below avg - favourable","Above avg - unfavourable"),IF(L25&gt;=0,"Above avg - context-dependent","Below avg - context-dependent"))))&amp;IF(K25&lt;5," (N="&amp;K25&amp;")","")</x:f>
        <x:v>Below avg - context-dependent</x:v>
      </x:c>
      <x:c r="R25" s="59" t="str">
        <x:f aca="0">IF(K25=0,"n/m",IF(ABS(J25-SUM(E25:I25)/K25)&lt;0.000000001,"OK","ERR"))</x:f>
        <x:v>OK</x:v>
      </x:c>
    </x:row>
    <x:row r="26" ht="15" hidden="0">
      <x:c r="C26" s="56" t="s">
        <x:v>96</x:v>
      </x:c>
      <x:c r="D26" s="11" t="s">
        <x:v>74</x:v>
      </x:c>
      <x:c r="E26" s="60" t="n">
        <x:f aca="0">KOHC!E141</x:f>
        <x:v>8287.840767999996</x:v>
      </x:c>
      <x:c r="F26" s="60" t="n">
        <x:f aca="0">LUCK!E141</x:f>
        <x:v>14454.333000000006</x:v>
      </x:c>
      <x:c r="G26" s="60" t="n">
        <x:f aca="0">DGKC!E141</x:f>
        <x:v>-5275.868000000002</x:v>
      </x:c>
      <x:c r="H26" s="60" t="n">
        <x:f aca="0">MLCF!E141</x:f>
        <x:v>4128.598000000004</x:v>
      </x:c>
      <x:c r="I26" s="60" t="n">
        <x:f aca="0">FCCL!E141</x:f>
        <x:v>1495.559000000001</x:v>
      </x:c>
      <x:c r="J26" s="61" t="n">
        <x:f aca="0">IF(COUNT(E26:I26)=0,"n/m",AVERAGE(E26:I26))</x:f>
        <x:v>4618.092553600001</x:v>
      </x:c>
      <x:c r="K26" s="11" t="n">
        <x:f aca="0">COUNT(E26:I26)</x:f>
        <x:v>5</x:v>
      </x:c>
      <x:c r="L26" s="62" t="n">
        <x:f aca="0">IF(AND(ISNUMBER(E26),ISNUMBER(J26)),E26-J26,"n/m")</x:f>
        <x:v>3669.748214399995</x:v>
      </x:c>
      <x:c r="M26" s="62" t="n">
        <x:f aca="0">IF(COUNT(F26:I26)=0,"n/m",AVERAGE(F26:I26))</x:f>
        <x:v>3700.655500000002</x:v>
      </x:c>
      <x:c r="N26" s="62" t="n">
        <x:f aca="0">IF(COUNT(E26:I26)=0,"n/m",MEDIAN(E26:I26))</x:f>
        <x:v>4128.598000000004</x:v>
      </x:c>
      <x:c r="O26" s="11" t="s">
        <x:v>99</x:v>
      </x:c>
      <x:c r="P26" s="9" t="str">
        <x:f aca="0">IF(NOT(ISNUMBER(L26)),"n/m",IF(O26="Higher",IF(L26&gt;=0,"Above avg - favourable","Below avg - unfavourable"),IF(O26="Lower",IF(L26&lt;=0,"Below avg - favourable","Above avg - unfavourable"),IF(L26&gt;=0,"Above avg - context-dependent","Below avg - context-dependent"))))&amp;IF(K26&lt;5," (N="&amp;K26&amp;")","")</x:f>
        <x:v>Above avg - context-dependent</x:v>
      </x:c>
      <x:c r="R26" s="59" t="str">
        <x:f aca="0">IF(K26=0,"n/m",IF(ABS(J26-SUM(E26:I26)/K26)&lt;0.000000001,"OK","ERR"))</x:f>
        <x:v>OK</x:v>
      </x:c>
    </x:row>
    <x:row r="27" ht="15" hidden="0">
      <x:c r="C27" s="56" t="s">
        <x:v>96</x:v>
      </x:c>
      <x:c r="D27" s="11" t="s">
        <x:v>75</x:v>
      </x:c>
      <x:c r="E27" s="60" t="n">
        <x:f aca="0">KOHC!F141</x:f>
        <x:v>13000.905238000001</x:v>
      </x:c>
      <x:c r="F27" s="60" t="n">
        <x:f aca="0">LUCK!F141</x:f>
        <x:v>13395.762999999999</x:v>
      </x:c>
      <x:c r="G27" s="60" t="n">
        <x:f aca="0">DGKC!F141</x:f>
        <x:v>-9649.123999999996</x:v>
      </x:c>
      <x:c r="H27" s="60" t="n">
        <x:f aca="0">MLCF!F141</x:f>
        <x:v>6024.645999999997</x:v>
      </x:c>
      <x:c r="I27" s="60" t="n">
        <x:f aca="0">FCCL!F141</x:f>
        <x:v>-5352.356000000003</x:v>
      </x:c>
      <x:c r="J27" s="61" t="n">
        <x:f aca="0">IF(COUNT(E27:I27)=0,"n/m",AVERAGE(E27:I27))</x:f>
        <x:v>3483.9668475999993</x:v>
      </x:c>
      <x:c r="K27" s="11" t="n">
        <x:f aca="0">COUNT(E27:I27)</x:f>
        <x:v>5</x:v>
      </x:c>
      <x:c r="L27" s="62" t="n">
        <x:f aca="0">IF(AND(ISNUMBER(E27),ISNUMBER(J27)),E27-J27,"n/m")</x:f>
        <x:v>9516.938390400002</x:v>
      </x:c>
      <x:c r="M27" s="62" t="n">
        <x:f aca="0">IF(COUNT(F27:I27)=0,"n/m",AVERAGE(F27:I27))</x:f>
        <x:v>1104.732249999999</x:v>
      </x:c>
      <x:c r="N27" s="62" t="n">
        <x:f aca="0">IF(COUNT(E27:I27)=0,"n/m",MEDIAN(E27:I27))</x:f>
        <x:v>6024.645999999997</x:v>
      </x:c>
      <x:c r="O27" s="11" t="s">
        <x:v>99</x:v>
      </x:c>
      <x:c r="P27" s="9" t="str">
        <x:f aca="0">IF(NOT(ISNUMBER(L27)),"n/m",IF(O27="Higher",IF(L27&gt;=0,"Above avg - favourable","Below avg - unfavourable"),IF(O27="Lower",IF(L27&lt;=0,"Below avg - favourable","Above avg - unfavourable"),IF(L27&gt;=0,"Above avg - context-dependent","Below avg - context-dependent"))))&amp;IF(K27&lt;5," (N="&amp;K27&amp;")","")</x:f>
        <x:v>Above avg - context-dependent</x:v>
      </x:c>
      <x:c r="R27" s="59" t="str">
        <x:f aca="0">IF(K27=0,"n/m",IF(ABS(J27-SUM(E27:I27)/K27)&lt;0.000000001,"OK","ERR"))</x:f>
        <x:v>OK</x:v>
      </x:c>
    </x:row>
    <x:row r="28" ht="15" hidden="0">
      <x:c r="C28" s="56" t="s">
        <x:v>96</x:v>
      </x:c>
      <x:c r="D28" s="11" t="s">
        <x:v>76</x:v>
      </x:c>
      <x:c r="E28" s="60" t="n">
        <x:f aca="0">KOHC!G141</x:f>
        <x:v>21116.760542</x:v>
      </x:c>
      <x:c r="F28" s="60" t="n">
        <x:f aca="0">LUCK!G141</x:f>
        <x:v>14263.611000000004</x:v>
      </x:c>
      <x:c r="G28" s="60" t="n">
        <x:f aca="0">DGKC!G141</x:f>
        <x:v>9544.803999999993</x:v>
      </x:c>
      <x:c r="H28" s="60" t="n">
        <x:f aca="0">MLCF!G141</x:f>
        <x:v>8270.037</x:v>
      </x:c>
      <x:c r="I28" s="60" t="n">
        <x:f aca="0">FCCL!G141</x:f>
        <x:v>-1081.3960000000043</x:v>
      </x:c>
      <x:c r="J28" s="61" t="n">
        <x:f aca="0">IF(COUNT(E28:I28)=0,"n/m",AVERAGE(E28:I28))</x:f>
        <x:v>10422.763308399997</x:v>
      </x:c>
      <x:c r="K28" s="11" t="n">
        <x:f aca="0">COUNT(E28:I28)</x:f>
        <x:v>5</x:v>
      </x:c>
      <x:c r="L28" s="62" t="n">
        <x:f aca="0">IF(AND(ISNUMBER(E28),ISNUMBER(J28)),E28-J28,"n/m")</x:f>
        <x:v>10693.997233600003</x:v>
      </x:c>
      <x:c r="M28" s="62" t="n">
        <x:f aca="0">IF(COUNT(F28:I28)=0,"n/m",AVERAGE(F28:I28))</x:f>
        <x:v>7749.263999999998</x:v>
      </x:c>
      <x:c r="N28" s="62" t="n">
        <x:f aca="0">IF(COUNT(E28:I28)=0,"n/m",MEDIAN(E28:I28))</x:f>
        <x:v>9544.803999999993</x:v>
      </x:c>
      <x:c r="O28" s="11" t="s">
        <x:v>99</x:v>
      </x:c>
      <x:c r="P28" s="9" t="str">
        <x:f aca="0">IF(NOT(ISNUMBER(L28)),"n/m",IF(O28="Higher",IF(L28&gt;=0,"Above avg - favourable","Below avg - unfavourable"),IF(O28="Lower",IF(L28&lt;=0,"Below avg - favourable","Above avg - unfavourable"),IF(L28&gt;=0,"Above avg - context-dependent","Below avg - context-dependent"))))&amp;IF(K28&lt;5," (N="&amp;K28&amp;")","")</x:f>
        <x:v>Above avg - context-dependent</x:v>
      </x:c>
      <x:c r="R28" s="59" t="str">
        <x:f aca="0">IF(K28=0,"n/m",IF(ABS(J28-SUM(E28:I28)/K28)&lt;0.000000001,"OK","ERR"))</x:f>
        <x:v>OK</x:v>
      </x:c>
    </x:row>
    <x:row r="29" ht="15" hidden="0">
      <x:c r="C29" s="56" t="s">
        <x:v>96</x:v>
      </x:c>
      <x:c r="D29" s="11" t="s">
        <x:v>77</x:v>
      </x:c>
      <x:c r="E29" s="60" t="n">
        <x:f aca="0">KOHC!H141</x:f>
        <x:v>26953.091383000003</x:v>
      </x:c>
      <x:c r="F29" s="60" t="n">
        <x:f aca="0">LUCK!H141</x:f>
        <x:v>41905.97600000001</x:v>
      </x:c>
      <x:c r="G29" s="60" t="n">
        <x:f aca="0">DGKC!H141</x:f>
        <x:v>21997.122</x:v>
      </x:c>
      <x:c r="H29" s="60" t="n">
        <x:f aca="0">MLCF!H141</x:f>
        <x:v>12422.112999999994</x:v>
      </x:c>
      <x:c r="I29" s="60" t="n">
        <x:f aca="0">FCCL!H141</x:f>
        <x:v>9835.068000000007</x:v>
      </x:c>
      <x:c r="J29" s="61" t="n">
        <x:f aca="0">IF(COUNT(E29:I29)=0,"n/m",AVERAGE(E29:I29))</x:f>
        <x:v>22622.674076600008</x:v>
      </x:c>
      <x:c r="K29" s="11" t="n">
        <x:f aca="0">COUNT(E29:I29)</x:f>
        <x:v>5</x:v>
      </x:c>
      <x:c r="L29" s="62" t="n">
        <x:f aca="0">IF(AND(ISNUMBER(E29),ISNUMBER(J29)),E29-J29,"n/m")</x:f>
        <x:v>4330.417306399995</x:v>
      </x:c>
      <x:c r="M29" s="62" t="n">
        <x:f aca="0">IF(COUNT(F29:I29)=0,"n/m",AVERAGE(F29:I29))</x:f>
        <x:v>21540.069750000002</x:v>
      </x:c>
      <x:c r="N29" s="62" t="n">
        <x:f aca="0">IF(COUNT(E29:I29)=0,"n/m",MEDIAN(E29:I29))</x:f>
        <x:v>21997.122</x:v>
      </x:c>
      <x:c r="O29" s="11" t="s">
        <x:v>99</x:v>
      </x:c>
      <x:c r="P29" s="9" t="str">
        <x:f aca="0">IF(NOT(ISNUMBER(L29)),"n/m",IF(O29="Higher",IF(L29&gt;=0,"Above avg - favourable","Below avg - unfavourable"),IF(O29="Lower",IF(L29&lt;=0,"Below avg - favourable","Above avg - unfavourable"),IF(L29&gt;=0,"Above avg - context-dependent","Below avg - context-dependent"))))&amp;IF(K29&lt;5," (N="&amp;K29&amp;")","")</x:f>
        <x:v>Above avg - context-dependent</x:v>
      </x:c>
      <x:c r="R29" s="59" t="str">
        <x:f aca="0">IF(K29=0,"n/m",IF(ABS(J29-SUM(E29:I29)/K29)&lt;0.000000001,"OK","ERR"))</x:f>
        <x:v>OK</x:v>
      </x:c>
    </x:row>
    <x:row r="30" ht="15" hidden="0">
      <x:c r="A30" s="54" t="s">
        <x:v>91</x:v>
      </x:c>
      <x:c r="B30" s="25" t="n">
        <x:v>5</x:v>
      </x:c>
      <x:c r="C30" s="24" t="s">
        <x:v>100</x:v>
      </x:c>
      <x:c r="D30" s="25"/>
      <x:c r="E30" s="25"/>
      <x:c r="F30" s="25"/>
      <x:c r="G30" s="25"/>
      <x:c r="H30" s="25"/>
      <x:c r="I30" s="25"/>
      <x:c r="J30" s="25"/>
      <x:c r="K30" s="25"/>
      <x:c r="L30" s="25"/>
      <x:c r="M30" s="25"/>
      <x:c r="N30" s="25"/>
      <x:c r="O30" s="25"/>
      <x:c r="P30" s="25"/>
      <x:c r="Q30" s="55" t="s">
        <x:v>1046</x:v>
      </x:c>
      <x:c r="R30" s="25"/>
    </x:row>
    <x:row r="31" ht="15" hidden="0">
      <x:c r="C31" s="56" t="s">
        <x:v>100</x:v>
      </x:c>
      <x:c r="D31" s="11" t="s">
        <x:v>73</x:v>
      </x:c>
      <x:c r="E31" s="60" t="n">
        <x:f aca="0">KOHC!D142</x:f>
        <x:v>-106.83863200000178</x:v>
      </x:c>
      <x:c r="F31" s="60" t="n">
        <x:f aca="0">LUCK!D142</x:f>
        <x:v>-1081.9909999999945</x:v>
      </x:c>
      <x:c r="G31" s="60" t="n">
        <x:f aca="0">DGKC!D142</x:f>
        <x:v>8099.147000000006</x:v>
      </x:c>
      <x:c r="H31" s="60" t="n">
        <x:f aca="0">MLCF!D142</x:f>
        <x:v>8772.302000000001</x:v>
      </x:c>
      <x:c r="I31" s="60" t="n">
        <x:f aca="0">FCCL!D142</x:f>
        <x:v>3035.393000000001</x:v>
      </x:c>
      <x:c r="J31" s="61" t="n">
        <x:f aca="0">IF(COUNT(E31:I31)=0,"n/m",AVERAGE(E31:I31))</x:f>
        <x:v>3743.602473600002</x:v>
      </x:c>
      <x:c r="K31" s="11" t="n">
        <x:f aca="0">COUNT(E31:I31)</x:f>
        <x:v>5</x:v>
      </x:c>
      <x:c r="L31" s="62" t="n">
        <x:f aca="0">IF(AND(ISNUMBER(E31),ISNUMBER(J31)),E31-J31,"n/m")</x:f>
        <x:v>-3850.441105600004</x:v>
      </x:c>
      <x:c r="M31" s="62" t="n">
        <x:f aca="0">IF(COUNT(F31:I31)=0,"n/m",AVERAGE(F31:I31))</x:f>
        <x:v>4706.212750000003</x:v>
      </x:c>
      <x:c r="N31" s="62" t="n">
        <x:f aca="0">IF(COUNT(E31:I31)=0,"n/m",MEDIAN(E31:I31))</x:f>
        <x:v>3035.393000000001</x:v>
      </x:c>
      <x:c r="O31" s="11" t="s">
        <x:v>99</x:v>
      </x:c>
      <x:c r="P31" s="9" t="str">
        <x:f aca="0">IF(NOT(ISNUMBER(L31)),"n/m",IF(O31="Higher",IF(L31&gt;=0,"Above avg - favourable","Below avg - unfavourable"),IF(O31="Lower",IF(L31&lt;=0,"Below avg - favourable","Above avg - unfavourable"),IF(L31&gt;=0,"Above avg - context-dependent","Below avg - context-dependent"))))&amp;IF(K31&lt;5," (N="&amp;K31&amp;")","")</x:f>
        <x:v>Below avg - context-dependent</x:v>
      </x:c>
      <x:c r="R31" s="59" t="str">
        <x:f aca="0">IF(K31=0,"n/m",IF(ABS(J31-SUM(E31:I31)/K31)&lt;0.000000001,"OK","ERR"))</x:f>
        <x:v>OK</x:v>
      </x:c>
    </x:row>
    <x:row r="32" ht="15" hidden="0">
      <x:c r="C32" s="56" t="s">
        <x:v>100</x:v>
      </x:c>
      <x:c r="D32" s="11" t="s">
        <x:v>74</x:v>
      </x:c>
      <x:c r="E32" s="60" t="n">
        <x:f aca="0">KOHC!E142</x:f>
        <x:v>-1057.2881590000015</x:v>
      </x:c>
      <x:c r="F32" s="60" t="n">
        <x:f aca="0">LUCK!E142</x:f>
        <x:v>-494.2159999999931</x:v>
      </x:c>
      <x:c r="G32" s="60" t="n">
        <x:f aca="0">DGKC!E142</x:f>
        <x:v>17790.203999999998</x:v>
      </x:c>
      <x:c r="H32" s="60" t="n">
        <x:f aca="0">MLCF!E142</x:f>
        <x:v>10212.653</x:v>
      </x:c>
      <x:c r="I32" s="60" t="n">
        <x:f aca="0">FCCL!E142</x:f>
        <x:v>9408.205</x:v>
      </x:c>
      <x:c r="J32" s="61" t="n">
        <x:f aca="0">IF(COUNT(E32:I32)=0,"n/m",AVERAGE(E32:I32))</x:f>
        <x:v>7171.9115682</x:v>
      </x:c>
      <x:c r="K32" s="11" t="n">
        <x:f aca="0">COUNT(E32:I32)</x:f>
        <x:v>5</x:v>
      </x:c>
      <x:c r="L32" s="62" t="n">
        <x:f aca="0">IF(AND(ISNUMBER(E32),ISNUMBER(J32)),E32-J32,"n/m")</x:f>
        <x:v>-8229.1997272</x:v>
      </x:c>
      <x:c r="M32" s="62" t="n">
        <x:f aca="0">IF(COUNT(F32:I32)=0,"n/m",AVERAGE(F32:I32))</x:f>
        <x:v>9229.211500000001</x:v>
      </x:c>
      <x:c r="N32" s="62" t="n">
        <x:f aca="0">IF(COUNT(E32:I32)=0,"n/m",MEDIAN(E32:I32))</x:f>
        <x:v>9408.205</x:v>
      </x:c>
      <x:c r="O32" s="11" t="s">
        <x:v>99</x:v>
      </x:c>
      <x:c r="P32" s="9" t="str">
        <x:f aca="0">IF(NOT(ISNUMBER(L32)),"n/m",IF(O32="Higher",IF(L32&gt;=0,"Above avg - favourable","Below avg - unfavourable"),IF(O32="Lower",IF(L32&lt;=0,"Below avg - favourable","Above avg - unfavourable"),IF(L32&gt;=0,"Above avg - context-dependent","Below avg - context-dependent"))))&amp;IF(K32&lt;5," (N="&amp;K32&amp;")","")</x:f>
        <x:v>Below avg - context-dependent</x:v>
      </x:c>
      <x:c r="R32" s="59" t="str">
        <x:f aca="0">IF(K32=0,"n/m",IF(ABS(J32-SUM(E32:I32)/K32)&lt;0.000000001,"OK","ERR"))</x:f>
        <x:v>OK</x:v>
      </x:c>
    </x:row>
    <x:row r="33" ht="15" hidden="0">
      <x:c r="C33" s="56" t="s">
        <x:v>100</x:v>
      </x:c>
      <x:c r="D33" s="11" t="s">
        <x:v>75</x:v>
      </x:c>
      <x:c r="E33" s="60" t="n">
        <x:f aca="0">KOHC!F142</x:f>
        <x:v>1004.8001120000008</x:v>
      </x:c>
      <x:c r="F33" s="60" t="n">
        <x:f aca="0">LUCK!F142</x:f>
        <x:v>-5586.400999999998</x:v>
      </x:c>
      <x:c r="G33" s="60" t="n">
        <x:f aca="0">DGKC!F142</x:f>
        <x:v>15215.495000000003</x:v>
      </x:c>
      <x:c r="H33" s="60" t="n">
        <x:f aca="0">MLCF!F142</x:f>
        <x:v>5291.223999999998</x:v>
      </x:c>
      <x:c r="I33" s="60" t="n">
        <x:f aca="0">FCCL!F142</x:f>
        <x:v>10212.416999999998</x:v>
      </x:c>
      <x:c r="J33" s="61" t="n">
        <x:f aca="0">IF(COUNT(E33:I33)=0,"n/m",AVERAGE(E33:I33))</x:f>
        <x:v>5227.5070224</x:v>
      </x:c>
      <x:c r="K33" s="11" t="n">
        <x:f aca="0">COUNT(E33:I33)</x:f>
        <x:v>5</x:v>
      </x:c>
      <x:c r="L33" s="62" t="n">
        <x:f aca="0">IF(AND(ISNUMBER(E33),ISNUMBER(J33)),E33-J33,"n/m")</x:f>
        <x:v>-4222.706910399999</x:v>
      </x:c>
      <x:c r="M33" s="62" t="n">
        <x:f aca="0">IF(COUNT(F33:I33)=0,"n/m",AVERAGE(F33:I33))</x:f>
        <x:v>6283.18375</x:v>
      </x:c>
      <x:c r="N33" s="62" t="n">
        <x:f aca="0">IF(COUNT(E33:I33)=0,"n/m",MEDIAN(E33:I33))</x:f>
        <x:v>5291.223999999998</x:v>
      </x:c>
      <x:c r="O33" s="11" t="s">
        <x:v>99</x:v>
      </x:c>
      <x:c r="P33" s="9" t="str">
        <x:f aca="0">IF(NOT(ISNUMBER(L33)),"n/m",IF(O33="Higher",IF(L33&gt;=0,"Above avg - favourable","Below avg - unfavourable"),IF(O33="Lower",IF(L33&lt;=0,"Below avg - favourable","Above avg - unfavourable"),IF(L33&gt;=0,"Above avg - context-dependent","Below avg - context-dependent"))))&amp;IF(K33&lt;5," (N="&amp;K33&amp;")","")</x:f>
        <x:v>Below avg - context-dependent</x:v>
      </x:c>
      <x:c r="R33" s="59" t="str">
        <x:f aca="0">IF(K33=0,"n/m",IF(ABS(J33-SUM(E33:I33)/K33)&lt;0.000000001,"OK","ERR"))</x:f>
        <x:v>OK</x:v>
      </x:c>
    </x:row>
    <x:row r="34" ht="15" hidden="0">
      <x:c r="C34" s="56" t="s">
        <x:v>100</x:v>
      </x:c>
      <x:c r="D34" s="11" t="s">
        <x:v>76</x:v>
      </x:c>
      <x:c r="E34" s="60" t="n">
        <x:f aca="0">KOHC!G142</x:f>
        <x:v>949.0612429999965</x:v>
      </x:c>
      <x:c r="F34" s="60" t="n">
        <x:f aca="0">LUCK!G142</x:f>
        <x:v>-10154.963000000003</x:v>
      </x:c>
      <x:c r="G34" s="60" t="n">
        <x:f aca="0">DGKC!G142</x:f>
        <x:v>10223.228999999994</x:v>
      </x:c>
      <x:c r="H34" s="60" t="n">
        <x:f aca="0">MLCF!G142</x:f>
        <x:v>9031.93</x:v>
      </x:c>
      <x:c r="I34" s="60" t="n">
        <x:f aca="0">FCCL!G142</x:f>
        <x:v>10303.164999999997</x:v>
      </x:c>
      <x:c r="J34" s="61" t="n">
        <x:f aca="0">IF(COUNT(E34:I34)=0,"n/m",AVERAGE(E34:I34))</x:f>
        <x:v>4070.4844485999974</x:v>
      </x:c>
      <x:c r="K34" s="11" t="n">
        <x:f aca="0">COUNT(E34:I34)</x:f>
        <x:v>5</x:v>
      </x:c>
      <x:c r="L34" s="62" t="n">
        <x:f aca="0">IF(AND(ISNUMBER(E34),ISNUMBER(J34)),E34-J34,"n/m")</x:f>
        <x:v>-3121.423205600001</x:v>
      </x:c>
      <x:c r="M34" s="62" t="n">
        <x:f aca="0">IF(COUNT(F34:I34)=0,"n/m",AVERAGE(F34:I34))</x:f>
        <x:v>4850.8402499999975</x:v>
      </x:c>
      <x:c r="N34" s="62" t="n">
        <x:f aca="0">IF(COUNT(E34:I34)=0,"n/m",MEDIAN(E34:I34))</x:f>
        <x:v>9031.93</x:v>
      </x:c>
      <x:c r="O34" s="11" t="s">
        <x:v>99</x:v>
      </x:c>
      <x:c r="P34" s="9" t="str">
        <x:f aca="0">IF(NOT(ISNUMBER(L34)),"n/m",IF(O34="Higher",IF(L34&gt;=0,"Above avg - favourable","Below avg - unfavourable"),IF(O34="Lower",IF(L34&lt;=0,"Below avg - favourable","Above avg - unfavourable"),IF(L34&gt;=0,"Above avg - context-dependent","Below avg - context-dependent"))))&amp;IF(K34&lt;5," (N="&amp;K34&amp;")","")</x:f>
        <x:v>Below avg - context-dependent</x:v>
      </x:c>
      <x:c r="R34" s="59" t="str">
        <x:f aca="0">IF(K34=0,"n/m",IF(ABS(J34-SUM(E34:I34)/K34)&lt;0.000000001,"OK","ERR"))</x:f>
        <x:v>OK</x:v>
      </x:c>
    </x:row>
    <x:row r="35" ht="15" hidden="0">
      <x:c r="C35" s="56" t="s">
        <x:v>100</x:v>
      </x:c>
      <x:c r="D35" s="11" t="s">
        <x:v>77</x:v>
      </x:c>
      <x:c r="E35" s="60" t="n">
        <x:f aca="0">KOHC!H142</x:f>
        <x:v>-555.9981459999999</x:v>
      </x:c>
      <x:c r="F35" s="60" t="n">
        <x:f aca="0">LUCK!H142</x:f>
        <x:v>-13579.952999999994</x:v>
      </x:c>
      <x:c r="G35" s="60" t="n">
        <x:f aca="0">DGKC!H142</x:f>
        <x:v>9579.732</x:v>
      </x:c>
      <x:c r="H35" s="60" t="n">
        <x:f aca="0">MLCF!H142</x:f>
        <x:v>4949.648999999998</x:v>
      </x:c>
      <x:c r="I35" s="60" t="n">
        <x:f aca="0">FCCL!H142</x:f>
        <x:v>14427.799000000005</x:v>
      </x:c>
      <x:c r="J35" s="61" t="n">
        <x:f aca="0">IF(COUNT(E35:I35)=0,"n/m",AVERAGE(E35:I35))</x:f>
        <x:v>2964.2457708000015</x:v>
      </x:c>
      <x:c r="K35" s="11" t="n">
        <x:f aca="0">COUNT(E35:I35)</x:f>
        <x:v>5</x:v>
      </x:c>
      <x:c r="L35" s="62" t="n">
        <x:f aca="0">IF(AND(ISNUMBER(E35),ISNUMBER(J35)),E35-J35,"n/m")</x:f>
        <x:v>-3520.2439168000014</x:v>
      </x:c>
      <x:c r="M35" s="62" t="n">
        <x:f aca="0">IF(COUNT(F35:I35)=0,"n/m",AVERAGE(F35:I35))</x:f>
        <x:v>3844.306750000002</x:v>
      </x:c>
      <x:c r="N35" s="62" t="n">
        <x:f aca="0">IF(COUNT(E35:I35)=0,"n/m",MEDIAN(E35:I35))</x:f>
        <x:v>4949.648999999998</x:v>
      </x:c>
      <x:c r="O35" s="11" t="s">
        <x:v>99</x:v>
      </x:c>
      <x:c r="P35" s="9" t="str">
        <x:f aca="0">IF(NOT(ISNUMBER(L35)),"n/m",IF(O35="Higher",IF(L35&gt;=0,"Above avg - favourable","Below avg - unfavourable"),IF(O35="Lower",IF(L35&lt;=0,"Below avg - favourable","Above avg - unfavourable"),IF(L35&gt;=0,"Above avg - context-dependent","Below avg - context-dependent"))))&amp;IF(K35&lt;5," (N="&amp;K35&amp;")","")</x:f>
        <x:v>Below avg - context-dependent</x:v>
      </x:c>
      <x:c r="R35" s="59" t="str">
        <x:f aca="0">IF(K35=0,"n/m",IF(ABS(J35-SUM(E35:I35)/K35)&lt;0.000000001,"OK","ERR"))</x:f>
        <x:v>OK</x:v>
      </x:c>
    </x:row>
    <x:row r="36" ht="15" hidden="0">
      <x:c r="A36" s="5" t="s">
        <x:v>1047</x:v>
      </x:c>
      <x:c r="B36" s="20"/>
      <x:c r="C36" s="20"/>
      <x:c r="D36" s="20"/>
      <x:c r="E36" s="20"/>
      <x:c r="F36" s="20"/>
      <x:c r="G36" s="20"/>
      <x:c r="H36" s="20"/>
      <x:c r="I36" s="20"/>
      <x:c r="J36" s="20"/>
      <x:c r="K36" s="20"/>
      <x:c r="L36" s="20"/>
      <x:c r="M36" s="20"/>
      <x:c r="N36" s="20"/>
      <x:c r="O36" s="20"/>
      <x:c r="P36" s="20"/>
      <x:c r="Q36" s="20"/>
      <x:c r="R36" s="20"/>
    </x:row>
    <x:row r="37" ht="15" hidden="0">
      <x:c r="A37" s="54" t="s">
        <x:v>104</x:v>
      </x:c>
      <x:c r="B37" s="25" t="n">
        <x:v>6</x:v>
      </x:c>
      <x:c r="C37" s="24" t="s">
        <x:v>102</x:v>
      </x:c>
      <x:c r="D37" s="25"/>
      <x:c r="E37" s="25"/>
      <x:c r="F37" s="25"/>
      <x:c r="G37" s="25"/>
      <x:c r="H37" s="25"/>
      <x:c r="I37" s="25"/>
      <x:c r="J37" s="25"/>
      <x:c r="K37" s="25"/>
      <x:c r="L37" s="25"/>
      <x:c r="M37" s="25"/>
      <x:c r="N37" s="25"/>
      <x:c r="O37" s="25"/>
      <x:c r="P37" s="25"/>
      <x:c r="Q37" s="55" t="s">
        <x:v>1048</x:v>
      </x:c>
      <x:c r="R37" s="25"/>
    </x:row>
    <x:row r="38" ht="15" hidden="0">
      <x:c r="C38" s="56" t="s">
        <x:v>102</x:v>
      </x:c>
      <x:c r="D38" s="11" t="s">
        <x:v>73</x:v>
      </x:c>
      <x:c r="E38" s="57" t="n">
        <x:f aca="0">KOHC!D144</x:f>
        <x:v>4.857098601325517</x:v>
      </x:c>
      <x:c r="F38" s="57" t="n">
        <x:f aca="0">LUCK!D144</x:f>
        <x:v>3.813607312713928</x:v>
      </x:c>
      <x:c r="G38" s="57" t="n">
        <x:f aca="0">DGKC!D144</x:f>
        <x:v>2.626752753172622</x:v>
      </x:c>
      <x:c r="H38" s="57" t="n">
        <x:f aca="0">MLCF!D144</x:f>
        <x:v>2.5503561154199565</x:v>
      </x:c>
      <x:c r="I38" s="57" t="n">
        <x:f aca="0">FCCL!D144</x:f>
        <x:v>3.593399445976929</x:v>
      </x:c>
      <x:c r="J38" s="58" t="n">
        <x:f aca="0">IF(COUNT(E38:I38)=0,"n/m",AVERAGE(E38:I38))</x:f>
        <x:v>3.4882428457217904</x:v>
      </x:c>
      <x:c r="K38" s="11" t="n">
        <x:f aca="0">COUNT(E38:I38)</x:f>
        <x:v>5</x:v>
      </x:c>
      <x:c r="L38" s="46" t="n">
        <x:f aca="0">IF(AND(ISNUMBER(E38),ISNUMBER(J38)),E38-J38,"n/m")</x:f>
        <x:v>1.3688557556037266</x:v>
      </x:c>
      <x:c r="M38" s="46" t="n">
        <x:f aca="0">IF(COUNT(F38:I38)=0,"n/m",AVERAGE(F38:I38))</x:f>
        <x:v>3.1460289068208587</x:v>
      </x:c>
      <x:c r="N38" s="46" t="n">
        <x:f aca="0">IF(COUNT(E38:I38)=0,"n/m",MEDIAN(E38:I38))</x:f>
        <x:v>3.593399445976929</x:v>
      </x:c>
      <x:c r="O38" s="11" t="s">
        <x:v>90</x:v>
      </x:c>
      <x:c r="P38" s="9" t="str">
        <x:f aca="0">IF(NOT(ISNUMBER(L38)),"n/m",IF(O38="Higher",IF(L38&gt;=0,"Above avg - favourable","Below avg - unfavourable"),IF(O38="Lower",IF(L38&lt;=0,"Below avg - favourable","Above avg - unfavourable"),IF(L38&gt;=0,"Above avg - context-dependent","Below avg - context-dependent"))))&amp;IF(K38&lt;5," (N="&amp;K38&amp;")","")</x:f>
        <x:v>Above avg - favourable</x:v>
      </x:c>
      <x:c r="R38" s="59" t="str">
        <x:f aca="0">IF(K38=0,"n/m",IF(ABS(J38-SUM(E38:I38)/K38)&lt;0.000000001,"OK","ERR"))</x:f>
        <x:v>OK</x:v>
      </x:c>
    </x:row>
    <x:row r="39" ht="15" hidden="0">
      <x:c r="C39" s="56" t="s">
        <x:v>102</x:v>
      </x:c>
      <x:c r="D39" s="11" t="s">
        <x:v>74</x:v>
      </x:c>
      <x:c r="E39" s="57" t="n">
        <x:f aca="0">KOHC!E144</x:f>
        <x:v>4.681131721571692</x:v>
      </x:c>
      <x:c r="F39" s="57" t="n">
        <x:f aca="0">LUCK!E144</x:f>
        <x:v>3.657733126059421</x:v>
      </x:c>
      <x:c r="G39" s="57" t="n">
        <x:f aca="0">DGKC!E144</x:f>
        <x:v>2.479761249901864</x:v>
      </x:c>
      <x:c r="H39" s="57" t="n">
        <x:f aca="0">MLCF!E144</x:f>
        <x:v>2.6418827583195736</x:v>
      </x:c>
      <x:c r="I39" s="57" t="n">
        <x:f aca="0">FCCL!E144</x:f>
        <x:v>3.679828550986344</x:v>
      </x:c>
      <x:c r="J39" s="58" t="n">
        <x:f aca="0">IF(COUNT(E39:I39)=0,"n/m",AVERAGE(E39:I39))</x:f>
        <x:v>3.428067481367779</x:v>
      </x:c>
      <x:c r="K39" s="11" t="n">
        <x:f aca="0">COUNT(E39:I39)</x:f>
        <x:v>5</x:v>
      </x:c>
      <x:c r="L39" s="46" t="n">
        <x:f aca="0">IF(AND(ISNUMBER(E39),ISNUMBER(J39)),E39-J39,"n/m")</x:f>
        <x:v>1.253064240203913</x:v>
      </x:c>
      <x:c r="M39" s="46" t="n">
        <x:f aca="0">IF(COUNT(F39:I39)=0,"n/m",AVERAGE(F39:I39))</x:f>
        <x:v>3.114801421316801</x:v>
      </x:c>
      <x:c r="N39" s="46" t="n">
        <x:f aca="0">IF(COUNT(E39:I39)=0,"n/m",MEDIAN(E39:I39))</x:f>
        <x:v>3.657733126059421</x:v>
      </x:c>
      <x:c r="O39" s="11" t="s">
        <x:v>90</x:v>
      </x:c>
      <x:c r="P39" s="9" t="str">
        <x:f aca="0">IF(NOT(ISNUMBER(L39)),"n/m",IF(O39="Higher",IF(L39&gt;=0,"Above avg - favourable","Below avg - unfavourable"),IF(O39="Lower",IF(L39&lt;=0,"Below avg - favourable","Above avg - unfavourable"),IF(L39&gt;=0,"Above avg - context-dependent","Below avg - context-dependent"))))&amp;IF(K39&lt;5," (N="&amp;K39&amp;")","")</x:f>
        <x:v>Above avg - favourable</x:v>
      </x:c>
      <x:c r="R39" s="59" t="str">
        <x:f aca="0">IF(K39=0,"n/m",IF(ABS(J39-SUM(E39:I39)/K39)&lt;0.000000001,"OK","ERR"))</x:f>
        <x:v>OK</x:v>
      </x:c>
    </x:row>
    <x:row r="40" ht="15" hidden="0">
      <x:c r="C40" s="56" t="s">
        <x:v>102</x:v>
      </x:c>
      <x:c r="D40" s="11" t="s">
        <x:v>75</x:v>
      </x:c>
      <x:c r="E40" s="57" t="n">
        <x:f aca="0">KOHC!F144</x:f>
        <x:v>4.275379143771386</x:v>
      </x:c>
      <x:c r="F40" s="57" t="n">
        <x:f aca="0">LUCK!F144</x:f>
        <x:v>3.6234818387767853</x:v>
      </x:c>
      <x:c r="G40" s="57" t="n">
        <x:f aca="0">DGKC!F144</x:f>
        <x:v>2.4352964976956684</x:v>
      </x:c>
      <x:c r="H40" s="57" t="n">
        <x:f aca="0">MLCF!F144</x:f>
        <x:v>2.991643999189634</x:v>
      </x:c>
      <x:c r="I40" s="57" t="n">
        <x:f aca="0">FCCL!F144</x:f>
        <x:v>3.0981941833220765</x:v>
      </x:c>
      <x:c r="J40" s="58" t="n">
        <x:f aca="0">IF(COUNT(E40:I40)=0,"n/m",AVERAGE(E40:I40))</x:f>
        <x:v>3.28479913255111</x:v>
      </x:c>
      <x:c r="K40" s="11" t="n">
        <x:f aca="0">COUNT(E40:I40)</x:f>
        <x:v>5</x:v>
      </x:c>
      <x:c r="L40" s="46" t="n">
        <x:f aca="0">IF(AND(ISNUMBER(E40),ISNUMBER(J40)),E40-J40,"n/m")</x:f>
        <x:v>0.9905800112202758</x:v>
      </x:c>
      <x:c r="M40" s="46" t="n">
        <x:f aca="0">IF(COUNT(F40:I40)=0,"n/m",AVERAGE(F40:I40))</x:f>
        <x:v>3.037154129746041</x:v>
      </x:c>
      <x:c r="N40" s="46" t="n">
        <x:f aca="0">IF(COUNT(E40:I40)=0,"n/m",MEDIAN(E40:I40))</x:f>
        <x:v>3.0981941833220765</x:v>
      </x:c>
      <x:c r="O40" s="11" t="s">
        <x:v>90</x:v>
      </x:c>
      <x:c r="P40" s="9" t="str">
        <x:f aca="0">IF(NOT(ISNUMBER(L40)),"n/m",IF(O40="Higher",IF(L40&gt;=0,"Above avg - favourable","Below avg - unfavourable"),IF(O40="Lower",IF(L40&lt;=0,"Below avg - favourable","Above avg - unfavourable"),IF(L40&gt;=0,"Above avg - context-dependent","Below avg - context-dependent"))))&amp;IF(K40&lt;5," (N="&amp;K40&amp;")","")</x:f>
        <x:v>Above avg - favourable</x:v>
      </x:c>
      <x:c r="R40" s="59" t="str">
        <x:f aca="0">IF(K40=0,"n/m",IF(ABS(J40-SUM(E40:I40)/K40)&lt;0.000000001,"OK","ERR"))</x:f>
        <x:v>OK</x:v>
      </x:c>
    </x:row>
    <x:row r="41" ht="15" hidden="0">
      <x:c r="C41" s="56" t="s">
        <x:v>102</x:v>
      </x:c>
      <x:c r="D41" s="11" t="s">
        <x:v>76</x:v>
      </x:c>
      <x:c r="E41" s="57" t="n">
        <x:f aca="0">KOHC!G144</x:f>
        <x:v>3.5957369645110586</x:v>
      </x:c>
      <x:c r="F41" s="57" t="n">
        <x:f aca="0">LUCK!G144</x:f>
        <x:v>3.5401699550948362</x:v>
      </x:c>
      <x:c r="G41" s="57" t="n">
        <x:f aca="0">DGKC!G144</x:f>
        <x:v>2.583201095183174</x:v>
      </x:c>
      <x:c r="H41" s="57" t="n">
        <x:f aca="0">MLCF!G144</x:f>
        <x:v>3.101356599565812</x:v>
      </x:c>
      <x:c r="I41" s="57" t="n">
        <x:f aca="0">FCCL!G144</x:f>
        <x:v>3.4267755412065504</x:v>
      </x:c>
      <x:c r="J41" s="58" t="n">
        <x:f aca="0">IF(COUNT(E41:I41)=0,"n/m",AVERAGE(E41:I41))</x:f>
        <x:v>3.2494480311122858</x:v>
      </x:c>
      <x:c r="K41" s="11" t="n">
        <x:f aca="0">COUNT(E41:I41)</x:f>
        <x:v>5</x:v>
      </x:c>
      <x:c r="L41" s="46" t="n">
        <x:f aca="0">IF(AND(ISNUMBER(E41),ISNUMBER(J41)),E41-J41,"n/m")</x:f>
        <x:v>0.34628893339877287</x:v>
      </x:c>
      <x:c r="M41" s="46" t="n">
        <x:f aca="0">IF(COUNT(F41:I41)=0,"n/m",AVERAGE(F41:I41))</x:f>
        <x:v>3.162875797762593</x:v>
      </x:c>
      <x:c r="N41" s="46" t="n">
        <x:f aca="0">IF(COUNT(E41:I41)=0,"n/m",MEDIAN(E41:I41))</x:f>
        <x:v>3.4267755412065504</x:v>
      </x:c>
      <x:c r="O41" s="11" t="s">
        <x:v>90</x:v>
      </x:c>
      <x:c r="P41" s="9" t="str">
        <x:f aca="0">IF(NOT(ISNUMBER(L41)),"n/m",IF(O41="Higher",IF(L41&gt;=0,"Above avg - favourable","Below avg - unfavourable"),IF(O41="Lower",IF(L41&lt;=0,"Below avg - favourable","Above avg - unfavourable"),IF(L41&gt;=0,"Above avg - context-dependent","Below avg - context-dependent"))))&amp;IF(K41&lt;5," (N="&amp;K41&amp;")","")</x:f>
        <x:v>Above avg - favourable</x:v>
      </x:c>
      <x:c r="R41" s="59" t="str">
        <x:f aca="0">IF(K41=0,"n/m",IF(ABS(J41-SUM(E41:I41)/K41)&lt;0.000000001,"OK","ERR"))</x:f>
        <x:v>OK</x:v>
      </x:c>
    </x:row>
    <x:row r="42" ht="15" hidden="0">
      <x:c r="C42" s="56" t="s">
        <x:v>102</x:v>
      </x:c>
      <x:c r="D42" s="11" t="s">
        <x:v>77</x:v>
      </x:c>
      <x:c r="E42" s="57" t="n">
        <x:f aca="0">KOHC!H144</x:f>
        <x:v>3.024880626442934</x:v>
      </x:c>
      <x:c r="F42" s="57" t="n">
        <x:f aca="0">LUCK!H144</x:f>
        <x:v>3.426094952590027</x:v>
      </x:c>
      <x:c r="G42" s="57" t="n">
        <x:f aca="0">DGKC!H144</x:f>
        <x:v>2.6203448800361673</x:v>
      </x:c>
      <x:c r="H42" s="57" t="n">
        <x:f aca="0">MLCF!H144</x:f>
        <x:v>2.786573287705566</x:v>
      </x:c>
      <x:c r="I42" s="57" t="n">
        <x:f aca="0">FCCL!H144</x:f>
        <x:v>3.1608830315846066</x:v>
      </x:c>
      <x:c r="J42" s="58" t="n">
        <x:f aca="0">IF(COUNT(E42:I42)=0,"n/m",AVERAGE(E42:I42))</x:f>
        <x:v>3.00375535567186</x:v>
      </x:c>
      <x:c r="K42" s="11" t="n">
        <x:f aca="0">COUNT(E42:I42)</x:f>
        <x:v>5</x:v>
      </x:c>
      <x:c r="L42" s="46" t="n">
        <x:f aca="0">IF(AND(ISNUMBER(E42),ISNUMBER(J42)),E42-J42,"n/m")</x:f>
        <x:v>0.021125270771074067</x:v>
      </x:c>
      <x:c r="M42" s="46" t="n">
        <x:f aca="0">IF(COUNT(F42:I42)=0,"n/m",AVERAGE(F42:I42))</x:f>
        <x:v>2.9984740379790917</x:v>
      </x:c>
      <x:c r="N42" s="46" t="n">
        <x:f aca="0">IF(COUNT(E42:I42)=0,"n/m",MEDIAN(E42:I42))</x:f>
        <x:v>3.024880626442934</x:v>
      </x:c>
      <x:c r="O42" s="11" t="s">
        <x:v>90</x:v>
      </x:c>
      <x:c r="P42" s="9" t="str">
        <x:f aca="0">IF(NOT(ISNUMBER(L42)),"n/m",IF(O42="Higher",IF(L42&gt;=0,"Above avg - favourable","Below avg - unfavourable"),IF(O42="Lower",IF(L42&lt;=0,"Below avg - favourable","Above avg - unfavourable"),IF(L42&gt;=0,"Above avg - context-dependent","Below avg - context-dependent"))))&amp;IF(K42&lt;5," (N="&amp;K42&amp;")","")</x:f>
        <x:v>Above avg - favourable</x:v>
      </x:c>
      <x:c r="R42" s="59" t="str">
        <x:f aca="0">IF(K42=0,"n/m",IF(ABS(J42-SUM(E42:I42)/K42)&lt;0.000000001,"OK","ERR"))</x:f>
        <x:v>OK</x:v>
      </x:c>
    </x:row>
    <x:row r="43" ht="15" hidden="0">
      <x:c r="A43" s="54" t="s">
        <x:v>104</x:v>
      </x:c>
      <x:c r="B43" s="25" t="n">
        <x:v>7</x:v>
      </x:c>
      <x:c r="C43" s="24" t="s">
        <x:v>105</x:v>
      </x:c>
      <x:c r="D43" s="25"/>
      <x:c r="E43" s="25"/>
      <x:c r="F43" s="25"/>
      <x:c r="G43" s="25"/>
      <x:c r="H43" s="25"/>
      <x:c r="I43" s="25"/>
      <x:c r="J43" s="25"/>
      <x:c r="K43" s="25"/>
      <x:c r="L43" s="25"/>
      <x:c r="M43" s="25"/>
      <x:c r="N43" s="25"/>
      <x:c r="O43" s="25"/>
      <x:c r="P43" s="25"/>
      <x:c r="Q43" s="55" t="s">
        <x:v>1049</x:v>
      </x:c>
      <x:c r="R43" s="25"/>
    </x:row>
    <x:row r="44" ht="15" hidden="0">
      <x:c r="C44" s="56" t="s">
        <x:v>105</x:v>
      </x:c>
      <x:c r="D44" s="11" t="s">
        <x:v>73</x:v>
      </x:c>
      <x:c r="E44" s="57" t="n">
        <x:f aca="0">KOHC!D145</x:f>
        <x:v>32.55652715218313</x:v>
      </x:c>
      <x:c r="F44" s="57" t="n">
        <x:f aca="0">LUCK!D145</x:f>
        <x:v>20.525799758937445</x:v>
      </x:c>
      <x:c r="G44" s="57" t="n">
        <x:f aca="0">DGKC!D145</x:f>
        <x:v>22.768270883109405</x:v>
      </x:c>
      <x:c r="H44" s="57" t="n">
        <x:f aca="0">MLCF!D145</x:f>
        <x:v>15.020941563038772</x:v>
      </x:c>
      <x:c r="I44" s="57" t="n">
        <x:f aca="0">FCCL!D145</x:f>
        <x:v>19.415164144242155</x:v>
      </x:c>
      <x:c r="J44" s="58" t="n">
        <x:f aca="0">IF(COUNT(E44:I44)=0,"n/m",AVERAGE(E44:I44))</x:f>
        <x:v>22.057340700302184</x:v>
      </x:c>
      <x:c r="K44" s="11" t="n">
        <x:f aca="0">COUNT(E44:I44)</x:f>
        <x:v>5</x:v>
      </x:c>
      <x:c r="L44" s="46" t="n">
        <x:f aca="0">IF(AND(ISNUMBER(E44),ISNUMBER(J44)),E44-J44,"n/m")</x:f>
        <x:v>10.499186451880945</x:v>
      </x:c>
      <x:c r="M44" s="46" t="n">
        <x:f aca="0">IF(COUNT(F44:I44)=0,"n/m",AVERAGE(F44:I44))</x:f>
        <x:v>19.432544087331944</x:v>
      </x:c>
      <x:c r="N44" s="46" t="n">
        <x:f aca="0">IF(COUNT(E44:I44)=0,"n/m",MEDIAN(E44:I44))</x:f>
        <x:v>20.525799758937445</x:v>
      </x:c>
      <x:c r="O44" s="11" t="s">
        <x:v>90</x:v>
      </x:c>
      <x:c r="P44" s="9" t="str">
        <x:f aca="0">IF(NOT(ISNUMBER(L44)),"n/m",IF(O44="Higher",IF(L44&gt;=0,"Above avg - favourable","Below avg - unfavourable"),IF(O44="Lower",IF(L44&lt;=0,"Below avg - favourable","Above avg - unfavourable"),IF(L44&gt;=0,"Above avg - context-dependent","Below avg - context-dependent"))))&amp;IF(K44&lt;5," (N="&amp;K44&amp;")","")</x:f>
        <x:v>Above avg - favourable</x:v>
      </x:c>
      <x:c r="R44" s="59" t="str">
        <x:f aca="0">IF(K44=0,"n/m",IF(ABS(J44-SUM(E44:I44)/K44)&lt;0.000000001,"OK","ERR"))</x:f>
        <x:v>OK</x:v>
      </x:c>
    </x:row>
    <x:row r="45" ht="15" hidden="0">
      <x:c r="C45" s="56" t="s">
        <x:v>105</x:v>
      </x:c>
      <x:c r="D45" s="11" t="s">
        <x:v>74</x:v>
      </x:c>
      <x:c r="E45" s="57" t="n">
        <x:f aca="0">KOHC!E145</x:f>
        <x:v>34.61446204651397</x:v>
      </x:c>
      <x:c r="F45" s="57" t="n">
        <x:f aca="0">LUCK!E145</x:f>
        <x:v>26.020654219821807</x:v>
      </x:c>
      <x:c r="G45" s="57" t="n">
        <x:f aca="0">DGKC!E145</x:f>
        <x:v>36.92232039176783</x:v>
      </x:c>
      <x:c r="H45" s="57" t="n">
        <x:f aca="0">MLCF!E145</x:f>
        <x:v>25.905344380386534</x:v>
      </x:c>
      <x:c r="I45" s="57" t="n">
        <x:f aca="0">FCCL!E145</x:f>
        <x:v>28.088084014998095</x:v>
      </x:c>
      <x:c r="J45" s="58" t="n">
        <x:f aca="0">IF(COUNT(E45:I45)=0,"n/m",AVERAGE(E45:I45))</x:f>
        <x:v>30.31017301069765</x:v>
      </x:c>
      <x:c r="K45" s="11" t="n">
        <x:f aca="0">COUNT(E45:I45)</x:f>
        <x:v>5</x:v>
      </x:c>
      <x:c r="L45" s="46" t="n">
        <x:f aca="0">IF(AND(ISNUMBER(E45),ISNUMBER(J45)),E45-J45,"n/m")</x:f>
        <x:v>4.304289035816321</x:v>
      </x:c>
      <x:c r="M45" s="46" t="n">
        <x:f aca="0">IF(COUNT(F45:I45)=0,"n/m",AVERAGE(F45:I45))</x:f>
        <x:v>29.23410075174357</x:v>
      </x:c>
      <x:c r="N45" s="46" t="n">
        <x:f aca="0">IF(COUNT(E45:I45)=0,"n/m",MEDIAN(E45:I45))</x:f>
        <x:v>28.088084014998095</x:v>
      </x:c>
      <x:c r="O45" s="11" t="s">
        <x:v>90</x:v>
      </x:c>
      <x:c r="P45" s="9" t="str">
        <x:f aca="0">IF(NOT(ISNUMBER(L45)),"n/m",IF(O45="Higher",IF(L45&gt;=0,"Above avg - favourable","Below avg - unfavourable"),IF(O45="Lower",IF(L45&lt;=0,"Below avg - favourable","Above avg - unfavourable"),IF(L45&gt;=0,"Above avg - context-dependent","Below avg - context-dependent"))))&amp;IF(K45&lt;5," (N="&amp;K45&amp;")","")</x:f>
        <x:v>Above avg - favourable</x:v>
      </x:c>
      <x:c r="R45" s="59" t="str">
        <x:f aca="0">IF(K45=0,"n/m",IF(ABS(J45-SUM(E45:I45)/K45)&lt;0.000000001,"OK","ERR"))</x:f>
        <x:v>OK</x:v>
      </x:c>
    </x:row>
    <x:row r="46" ht="15" hidden="0">
      <x:c r="C46" s="56" t="s">
        <x:v>105</x:v>
      </x:c>
      <x:c r="D46" s="11" t="s">
        <x:v>75</x:v>
      </x:c>
      <x:c r="E46" s="57" t="n">
        <x:f aca="0">KOHC!F145</x:f>
        <x:v>36.690956476472735</x:v>
      </x:c>
      <x:c r="F46" s="57" t="n">
        <x:f aca="0">LUCK!F145</x:f>
        <x:v>22.253946370189343</x:v>
      </x:c>
      <x:c r="G46" s="57" t="n">
        <x:f aca="0">DGKC!F145</x:f>
        <x:v>48.836111797909446</x:v>
      </x:c>
      <x:c r="H46" s="57" t="n">
        <x:f aca="0">MLCF!F145</x:f>
        <x:v>26.600659453629234</x:v>
      </x:c>
      <x:c r="I46" s="57" t="n">
        <x:f aca="0">FCCL!F145</x:f>
        <x:v>22.74585573789227</x:v>
      </x:c>
      <x:c r="J46" s="58" t="n">
        <x:f aca="0">IF(COUNT(E46:I46)=0,"n/m",AVERAGE(E46:I46))</x:f>
        <x:v>31.4255059672186</x:v>
      </x:c>
      <x:c r="K46" s="11" t="n">
        <x:f aca="0">COUNT(E46:I46)</x:f>
        <x:v>5</x:v>
      </x:c>
      <x:c r="L46" s="46" t="n">
        <x:f aca="0">IF(AND(ISNUMBER(E46),ISNUMBER(J46)),E46-J46,"n/m")</x:f>
        <x:v>5.2654505092541335</x:v>
      </x:c>
      <x:c r="M46" s="46" t="n">
        <x:f aca="0">IF(COUNT(F46:I46)=0,"n/m",AVERAGE(F46:I46))</x:f>
        <x:v>30.109143339905074</x:v>
      </x:c>
      <x:c r="N46" s="46" t="n">
        <x:f aca="0">IF(COUNT(E46:I46)=0,"n/m",MEDIAN(E46:I46))</x:f>
        <x:v>26.600659453629234</x:v>
      </x:c>
      <x:c r="O46" s="11" t="s">
        <x:v>90</x:v>
      </x:c>
      <x:c r="P46" s="9" t="str">
        <x:f aca="0">IF(NOT(ISNUMBER(L46)),"n/m",IF(O46="Higher",IF(L46&gt;=0,"Above avg - favourable","Below avg - unfavourable"),IF(O46="Lower",IF(L46&lt;=0,"Below avg - favourable","Above avg - unfavourable"),IF(L46&gt;=0,"Above avg - context-dependent","Below avg - context-dependent"))))&amp;IF(K46&lt;5," (N="&amp;K46&amp;")","")</x:f>
        <x:v>Above avg - favourable</x:v>
      </x:c>
      <x:c r="R46" s="59" t="str">
        <x:f aca="0">IF(K46=0,"n/m",IF(ABS(J46-SUM(E46:I46)/K46)&lt;0.000000001,"OK","ERR"))</x:f>
        <x:v>OK</x:v>
      </x:c>
    </x:row>
    <x:row r="47" ht="15" hidden="0">
      <x:c r="C47" s="56" t="s">
        <x:v>105</x:v>
      </x:c>
      <x:c r="D47" s="11" t="s">
        <x:v>76</x:v>
      </x:c>
      <x:c r="E47" s="57" t="n">
        <x:f aca="0">KOHC!G145</x:f>
        <x:v>23.311269128267483</x:v>
      </x:c>
      <x:c r="F47" s="57" t="n">
        <x:f aca="0">LUCK!G145</x:f>
        <x:v>19.185416979630755</x:v>
      </x:c>
      <x:c r="G47" s="57" t="n">
        <x:f aca="0">DGKC!G145</x:f>
        <x:v>64.45370786977438</x:v>
      </x:c>
      <x:c r="H47" s="57" t="n">
        <x:f aca="0">MLCF!G145</x:f>
        <x:v>19.574371293114748</x:v>
      </x:c>
      <x:c r="I47" s="57" t="n">
        <x:f aca="0">FCCL!G145</x:f>
        <x:v>17.554064923929165</x:v>
      </x:c>
      <x:c r="J47" s="58" t="n">
        <x:f aca="0">IF(COUNT(E47:I47)=0,"n/m",AVERAGE(E47:I47))</x:f>
        <x:v>28.81576603894331</x:v>
      </x:c>
      <x:c r="K47" s="11" t="n">
        <x:f aca="0">COUNT(E47:I47)</x:f>
        <x:v>5</x:v>
      </x:c>
      <x:c r="L47" s="46" t="n">
        <x:f aca="0">IF(AND(ISNUMBER(E47),ISNUMBER(J47)),E47-J47,"n/m")</x:f>
        <x:v>-5.504496910675826</x:v>
      </x:c>
      <x:c r="M47" s="46" t="n">
        <x:f aca="0">IF(COUNT(F47:I47)=0,"n/m",AVERAGE(F47:I47))</x:f>
        <x:v>30.191890266612262</x:v>
      </x:c>
      <x:c r="N47" s="46" t="n">
        <x:f aca="0">IF(COUNT(E47:I47)=0,"n/m",MEDIAN(E47:I47))</x:f>
        <x:v>19.574371293114748</x:v>
      </x:c>
      <x:c r="O47" s="11" t="s">
        <x:v>90</x:v>
      </x:c>
      <x:c r="P47" s="9" t="str">
        <x:f aca="0">IF(NOT(ISNUMBER(L47)),"n/m",IF(O47="Higher",IF(L47&gt;=0,"Above avg - favourable","Below avg - unfavourable"),IF(O47="Lower",IF(L47&lt;=0,"Below avg - favourable","Above avg - unfavourable"),IF(L47&gt;=0,"Above avg - context-dependent","Below avg - context-dependent"))))&amp;IF(K47&lt;5," (N="&amp;K47&amp;")","")</x:f>
        <x:v>Below avg - unfavourable</x:v>
      </x:c>
      <x:c r="R47" s="59" t="str">
        <x:f aca="0">IF(K47=0,"n/m",IF(ABS(J47-SUM(E47:I47)/K47)&lt;0.000000001,"OK","ERR"))</x:f>
        <x:v>OK</x:v>
      </x:c>
    </x:row>
    <x:row r="48" ht="15" hidden="0">
      <x:c r="C48" s="56" t="s">
        <x:v>105</x:v>
      </x:c>
      <x:c r="D48" s="11" t="s">
        <x:v>77</x:v>
      </x:c>
      <x:c r="E48" s="57" t="n">
        <x:f aca="0">KOHC!H145</x:f>
        <x:v>19.742821104933064</x:v>
      </x:c>
      <x:c r="F48" s="57" t="n">
        <x:f aca="0">LUCK!H145</x:f>
        <x:v>18.743761644592638</x:v>
      </x:c>
      <x:c r="G48" s="57" t="n">
        <x:f aca="0">DGKC!H145</x:f>
        <x:v>61.21607937936548</x:v>
      </x:c>
      <x:c r="H48" s="57" t="n">
        <x:f aca="0">MLCF!H145</x:f>
        <x:v>15.67064847793373</x:v>
      </x:c>
      <x:c r="I48" s="57" t="n">
        <x:f aca="0">FCCL!H145</x:f>
        <x:v>14.28264409693107</x:v>
      </x:c>
      <x:c r="J48" s="58" t="n">
        <x:f aca="0">IF(COUNT(E48:I48)=0,"n/m",AVERAGE(E48:I48))</x:f>
        <x:v>25.931190940751197</x:v>
      </x:c>
      <x:c r="K48" s="11" t="n">
        <x:f aca="0">COUNT(E48:I48)</x:f>
        <x:v>5</x:v>
      </x:c>
      <x:c r="L48" s="46" t="n">
        <x:f aca="0">IF(AND(ISNUMBER(E48),ISNUMBER(J48)),E48-J48,"n/m")</x:f>
        <x:v>-6.188369835818133</x:v>
      </x:c>
      <x:c r="M48" s="46" t="n">
        <x:f aca="0">IF(COUNT(F48:I48)=0,"n/m",AVERAGE(F48:I48))</x:f>
        <x:v>27.478283399705727</x:v>
      </x:c>
      <x:c r="N48" s="46" t="n">
        <x:f aca="0">IF(COUNT(E48:I48)=0,"n/m",MEDIAN(E48:I48))</x:f>
        <x:v>18.743761644592638</x:v>
      </x:c>
      <x:c r="O48" s="11" t="s">
        <x:v>90</x:v>
      </x:c>
      <x:c r="P48" s="9" t="str">
        <x:f aca="0">IF(NOT(ISNUMBER(L48)),"n/m",IF(O48="Higher",IF(L48&gt;=0,"Above avg - favourable","Below avg - unfavourable"),IF(O48="Lower",IF(L48&lt;=0,"Below avg - favourable","Above avg - unfavourable"),IF(L48&gt;=0,"Above avg - context-dependent","Below avg - context-dependent"))))&amp;IF(K48&lt;5," (N="&amp;K48&amp;")","")</x:f>
        <x:v>Below avg - unfavourable</x:v>
      </x:c>
      <x:c r="R48" s="59" t="str">
        <x:f aca="0">IF(K48=0,"n/m",IF(ABS(J48-SUM(E48:I48)/K48)&lt;0.000000001,"OK","ERR"))</x:f>
        <x:v>OK</x:v>
      </x:c>
    </x:row>
    <x:row r="49" ht="15" hidden="0">
      <x:c r="A49" s="54" t="s">
        <x:v>104</x:v>
      </x:c>
      <x:c r="B49" s="25" t="n">
        <x:v>8</x:v>
      </x:c>
      <x:c r="C49" s="24" t="s">
        <x:v>107</x:v>
      </x:c>
      <x:c r="D49" s="25"/>
      <x:c r="E49" s="25"/>
      <x:c r="F49" s="25"/>
      <x:c r="G49" s="25"/>
      <x:c r="H49" s="25"/>
      <x:c r="I49" s="25"/>
      <x:c r="J49" s="25"/>
      <x:c r="K49" s="25"/>
      <x:c r="L49" s="25"/>
      <x:c r="M49" s="25"/>
      <x:c r="N49" s="25"/>
      <x:c r="O49" s="25"/>
      <x:c r="P49" s="25"/>
      <x:c r="Q49" s="55" t="s">
        <x:v>1050</x:v>
      </x:c>
      <x:c r="R49" s="25"/>
    </x:row>
    <x:row r="50" ht="15" hidden="0">
      <x:c r="C50" s="56" t="s">
        <x:v>107</x:v>
      </x:c>
      <x:c r="D50" s="11" t="s">
        <x:v>73</x:v>
      </x:c>
      <x:c r="E50" s="57" t="n">
        <x:f aca="0">KOHC!D146</x:f>
        <x:v>13.672632178905467</x:v>
      </x:c>
      <x:c r="F50" s="57" t="n">
        <x:f aca="0">LUCK!D146</x:f>
        <x:v>16.04782473542995</x:v>
      </x:c>
      <x:c r="G50" s="57" t="n">
        <x:f aca="0">DGKC!D146</x:f>
        <x:v>6.330391634867254</x:v>
      </x:c>
      <x:c r="H50" s="57" t="n">
        <x:f aca="0">MLCF!D146</x:f>
        <x:v>7.602018186210061</x:v>
      </x:c>
      <x:c r="I50" s="57" t="n">
        <x:f aca="0">FCCL!D146</x:f>
        <x:v>29.905586617872185</x:v>
      </x:c>
      <x:c r="J50" s="58" t="n">
        <x:f aca="0">IF(COUNT(E50:I50)=0,"n/m",AVERAGE(E50:I50))</x:f>
        <x:v>14.711690670656983</x:v>
      </x:c>
      <x:c r="K50" s="11" t="n">
        <x:f aca="0">COUNT(E50:I50)</x:f>
        <x:v>5</x:v>
      </x:c>
      <x:c r="L50" s="46" t="n">
        <x:f aca="0">IF(AND(ISNUMBER(E50),ISNUMBER(J50)),E50-J50,"n/m")</x:f>
        <x:v>-1.0390584917515167</x:v>
      </x:c>
      <x:c r="M50" s="46" t="n">
        <x:f aca="0">IF(COUNT(F50:I50)=0,"n/m",AVERAGE(F50:I50))</x:f>
        <x:v>14.971455293594861</x:v>
      </x:c>
      <x:c r="N50" s="46" t="n">
        <x:f aca="0">IF(COUNT(E50:I50)=0,"n/m",MEDIAN(E50:I50))</x:f>
        <x:v>13.672632178905467</x:v>
      </x:c>
      <x:c r="O50" s="11" t="s">
        <x:v>99</x:v>
      </x:c>
      <x:c r="P50" s="9" t="str">
        <x:f aca="0">IF(NOT(ISNUMBER(L50)),"n/m",IF(O50="Higher",IF(L50&gt;=0,"Above avg - favourable","Below avg - unfavourable"),IF(O50="Lower",IF(L50&lt;=0,"Below avg - favourable","Above avg - unfavourable"),IF(L50&gt;=0,"Above avg - context-dependent","Below avg - context-dependent"))))&amp;IF(K50&lt;5," (N="&amp;K50&amp;")","")</x:f>
        <x:v>Below avg - context-dependent</x:v>
      </x:c>
      <x:c r="R50" s="59" t="str">
        <x:f aca="0">IF(K50=0,"n/m",IF(ABS(J50-SUM(E50:I50)/K50)&lt;0.000000001,"OK","ERR"))</x:f>
        <x:v>OK</x:v>
      </x:c>
    </x:row>
    <x:row r="51" ht="15" hidden="0">
      <x:c r="C51" s="56" t="s">
        <x:v>107</x:v>
      </x:c>
      <x:c r="D51" s="11" t="s">
        <x:v>74</x:v>
      </x:c>
      <x:c r="E51" s="57" t="n">
        <x:f aca="0">KOHC!E146</x:f>
        <x:v>16.26188152658038</x:v>
      </x:c>
      <x:c r="F51" s="57" t="n">
        <x:f aca="0">LUCK!E146</x:f>
        <x:v>18.777106060975406</x:v>
      </x:c>
      <x:c r="G51" s="57" t="n">
        <x:f aca="0">DGKC!E146</x:f>
        <x:v>8.467367491855711</x:v>
      </x:c>
      <x:c r="H51" s="57" t="n">
        <x:f aca="0">MLCF!E146</x:f>
        <x:v>9.676565320005555</x:v>
      </x:c>
      <x:c r="I51" s="57" t="n">
        <x:f aca="0">FCCL!E146</x:f>
        <x:v>21.870744516457957</x:v>
      </x:c>
      <x:c r="J51" s="58" t="n">
        <x:f aca="0">IF(COUNT(E51:I51)=0,"n/m",AVERAGE(E51:I51))</x:f>
        <x:v>15.010732983175004</x:v>
      </x:c>
      <x:c r="K51" s="11" t="n">
        <x:f aca="0">COUNT(E51:I51)</x:f>
        <x:v>5</x:v>
      </x:c>
      <x:c r="L51" s="46" t="n">
        <x:f aca="0">IF(AND(ISNUMBER(E51),ISNUMBER(J51)),E51-J51,"n/m")</x:f>
        <x:v>1.2511485434053782</x:v>
      </x:c>
      <x:c r="M51" s="46" t="n">
        <x:f aca="0">IF(COUNT(F51:I51)=0,"n/m",AVERAGE(F51:I51))</x:f>
        <x:v>14.697945847323659</x:v>
      </x:c>
      <x:c r="N51" s="46" t="n">
        <x:f aca="0">IF(COUNT(E51:I51)=0,"n/m",MEDIAN(E51:I51))</x:f>
        <x:v>16.26188152658038</x:v>
      </x:c>
      <x:c r="O51" s="11" t="s">
        <x:v>99</x:v>
      </x:c>
      <x:c r="P51" s="9" t="str">
        <x:f aca="0">IF(NOT(ISNUMBER(L51)),"n/m",IF(O51="Higher",IF(L51&gt;=0,"Above avg - favourable","Below avg - unfavourable"),IF(O51="Lower",IF(L51&lt;=0,"Below avg - favourable","Above avg - unfavourable"),IF(L51&gt;=0,"Above avg - context-dependent","Below avg - context-dependent"))))&amp;IF(K51&lt;5," (N="&amp;K51&amp;")","")</x:f>
        <x:v>Above avg - context-dependent</x:v>
      </x:c>
      <x:c r="R51" s="59" t="str">
        <x:f aca="0">IF(K51=0,"n/m",IF(ABS(J51-SUM(E51:I51)/K51)&lt;0.000000001,"OK","ERR"))</x:f>
        <x:v>OK</x:v>
      </x:c>
    </x:row>
    <x:row r="52" ht="15" hidden="0">
      <x:c r="C52" s="56" t="s">
        <x:v>107</x:v>
      </x:c>
      <x:c r="D52" s="11" t="s">
        <x:v>75</x:v>
      </x:c>
      <x:c r="E52" s="57" t="n">
        <x:f aca="0">KOHC!F146</x:f>
        <x:v>29.126311219807445</x:v>
      </x:c>
      <x:c r="F52" s="57" t="n">
        <x:f aca="0">LUCK!F146</x:f>
        <x:v>16.644862602259856</x:v>
      </x:c>
      <x:c r="G52" s="57" t="n">
        <x:f aca="0">DGKC!F146</x:f>
        <x:v>10.657952462664126</x:v>
      </x:c>
      <x:c r="H52" s="57" t="n">
        <x:f aca="0">MLCF!F146</x:f>
        <x:v>10.00035671705504</x:v>
      </x:c>
      <x:c r="I52" s="57" t="n">
        <x:f aca="0">FCCL!F146</x:f>
        <x:v>17.959235676951813</x:v>
      </x:c>
      <x:c r="J52" s="58" t="n">
        <x:f aca="0">IF(COUNT(E52:I52)=0,"n/m",AVERAGE(E52:I52))</x:f>
        <x:v>16.877743735747657</x:v>
      </x:c>
      <x:c r="K52" s="11" t="n">
        <x:f aca="0">COUNT(E52:I52)</x:f>
        <x:v>5</x:v>
      </x:c>
      <x:c r="L52" s="46" t="n">
        <x:f aca="0">IF(AND(ISNUMBER(E52),ISNUMBER(J52)),E52-J52,"n/m")</x:f>
        <x:v>12.248567484059787</x:v>
      </x:c>
      <x:c r="M52" s="46" t="n">
        <x:f aca="0">IF(COUNT(F52:I52)=0,"n/m",AVERAGE(F52:I52))</x:f>
        <x:v>13.81560186473271</x:v>
      </x:c>
      <x:c r="N52" s="46" t="n">
        <x:f aca="0">IF(COUNT(E52:I52)=0,"n/m",MEDIAN(E52:I52))</x:f>
        <x:v>16.644862602259856</x:v>
      </x:c>
      <x:c r="O52" s="11" t="s">
        <x:v>99</x:v>
      </x:c>
      <x:c r="P52" s="9" t="str">
        <x:f aca="0">IF(NOT(ISNUMBER(L52)),"n/m",IF(O52="Higher",IF(L52&gt;=0,"Above avg - favourable","Below avg - unfavourable"),IF(O52="Lower",IF(L52&lt;=0,"Below avg - favourable","Above avg - unfavourable"),IF(L52&gt;=0,"Above avg - context-dependent","Below avg - context-dependent"))))&amp;IF(K52&lt;5," (N="&amp;K52&amp;")","")</x:f>
        <x:v>Above avg - context-dependent</x:v>
      </x:c>
      <x:c r="R52" s="59" t="str">
        <x:f aca="0">IF(K52=0,"n/m",IF(ABS(J52-SUM(E52:I52)/K52)&lt;0.000000001,"OK","ERR"))</x:f>
        <x:v>OK</x:v>
      </x:c>
    </x:row>
    <x:row r="53" ht="15" hidden="0">
      <x:c r="C53" s="56" t="s">
        <x:v>107</x:v>
      </x:c>
      <x:c r="D53" s="11" t="s">
        <x:v>76</x:v>
      </x:c>
      <x:c r="E53" s="57" t="n">
        <x:f aca="0">KOHC!G146</x:f>
        <x:v>22.3044994512903</x:v>
      </x:c>
      <x:c r="F53" s="57" t="n">
        <x:f aca="0">LUCK!G146</x:f>
        <x:v>12.541557640159668</x:v>
      </x:c>
      <x:c r="G53" s="57" t="n">
        <x:f aca="0">DGKC!G146</x:f>
        <x:v>9.58994930634071</x:v>
      </x:c>
      <x:c r="H53" s="57" t="n">
        <x:f aca="0">MLCF!G146</x:f>
        <x:v>9.699427349071424</x:v>
      </x:c>
      <x:c r="I53" s="57" t="n">
        <x:f aca="0">FCCL!G146</x:f>
        <x:v>20.3161719818632</x:v>
      </x:c>
      <x:c r="J53" s="58" t="n">
        <x:f aca="0">IF(COUNT(E53:I53)=0,"n/m",AVERAGE(E53:I53))</x:f>
        <x:v>14.890321145745059</x:v>
      </x:c>
      <x:c r="K53" s="11" t="n">
        <x:f aca="0">COUNT(E53:I53)</x:f>
        <x:v>5</x:v>
      </x:c>
      <x:c r="L53" s="46" t="n">
        <x:f aca="0">IF(AND(ISNUMBER(E53),ISNUMBER(J53)),E53-J53,"n/m")</x:f>
        <x:v>7.414178305545242</x:v>
      </x:c>
      <x:c r="M53" s="46" t="n">
        <x:f aca="0">IF(COUNT(F53:I53)=0,"n/m",AVERAGE(F53:I53))</x:f>
        <x:v>13.03677656935875</x:v>
      </x:c>
      <x:c r="N53" s="46" t="n">
        <x:f aca="0">IF(COUNT(E53:I53)=0,"n/m",MEDIAN(E53:I53))</x:f>
        <x:v>12.541557640159668</x:v>
      </x:c>
      <x:c r="O53" s="11" t="s">
        <x:v>99</x:v>
      </x:c>
      <x:c r="P53" s="9" t="str">
        <x:f aca="0">IF(NOT(ISNUMBER(L53)),"n/m",IF(O53="Higher",IF(L53&gt;=0,"Above avg - favourable","Below avg - unfavourable"),IF(O53="Lower",IF(L53&lt;=0,"Below avg - favourable","Above avg - unfavourable"),IF(L53&gt;=0,"Above avg - context-dependent","Below avg - context-dependent"))))&amp;IF(K53&lt;5," (N="&amp;K53&amp;")","")</x:f>
        <x:v>Above avg - context-dependent</x:v>
      </x:c>
      <x:c r="R53" s="59" t="str">
        <x:f aca="0">IF(K53=0,"n/m",IF(ABS(J53-SUM(E53:I53)/K53)&lt;0.000000001,"OK","ERR"))</x:f>
        <x:v>OK</x:v>
      </x:c>
    </x:row>
    <x:row r="54" ht="15" hidden="0">
      <x:c r="C54" s="56" t="s">
        <x:v>107</x:v>
      </x:c>
      <x:c r="D54" s="11" t="s">
        <x:v>77</x:v>
      </x:c>
      <x:c r="E54" s="57" t="n">
        <x:f aca="0">KOHC!H146</x:f>
        <x:v>11.733886186566796</x:v>
      </x:c>
      <x:c r="F54" s="57" t="n">
        <x:f aca="0">LUCK!H146</x:f>
        <x:v>12.034170742972393</x:v>
      </x:c>
      <x:c r="G54" s="57" t="n">
        <x:f aca="0">DGKC!H146</x:f>
        <x:v>11.93424527818953</x:v>
      </x:c>
      <x:c r="H54" s="57" t="n">
        <x:f aca="0">MLCF!H146</x:f>
        <x:v>8.654036933716114</x:v>
      </x:c>
      <x:c r="I54" s="57" t="n">
        <x:f aca="0">FCCL!H146</x:f>
        <x:v>24.107258331311616</x:v>
      </x:c>
      <x:c r="J54" s="58" t="n">
        <x:f aca="0">IF(COUNT(E54:I54)=0,"n/m",AVERAGE(E54:I54))</x:f>
        <x:v>13.69271949455129</x:v>
      </x:c>
      <x:c r="K54" s="11" t="n">
        <x:f aca="0">COUNT(E54:I54)</x:f>
        <x:v>5</x:v>
      </x:c>
      <x:c r="L54" s="46" t="n">
        <x:f aca="0">IF(AND(ISNUMBER(E54),ISNUMBER(J54)),E54-J54,"n/m")</x:f>
        <x:v>-1.9588333079844933</x:v>
      </x:c>
      <x:c r="M54" s="46" t="n">
        <x:f aca="0">IF(COUNT(F54:I54)=0,"n/m",AVERAGE(F54:I54))</x:f>
        <x:v>14.182427821547414</x:v>
      </x:c>
      <x:c r="N54" s="46" t="n">
        <x:f aca="0">IF(COUNT(E54:I54)=0,"n/m",MEDIAN(E54:I54))</x:f>
        <x:v>11.93424527818953</x:v>
      </x:c>
      <x:c r="O54" s="11" t="s">
        <x:v>99</x:v>
      </x:c>
      <x:c r="P54" s="9" t="str">
        <x:f aca="0">IF(NOT(ISNUMBER(L54)),"n/m",IF(O54="Higher",IF(L54&gt;=0,"Above avg - favourable","Below avg - unfavourable"),IF(O54="Lower",IF(L54&lt;=0,"Below avg - favourable","Above avg - unfavourable"),IF(L54&gt;=0,"Above avg - context-dependent","Below avg - context-dependent"))))&amp;IF(K54&lt;5," (N="&amp;K54&amp;")","")</x:f>
        <x:v>Below avg - context-dependent</x:v>
      </x:c>
      <x:c r="R54" s="59" t="str">
        <x:f aca="0">IF(K54=0,"n/m",IF(ABS(J54-SUM(E54:I54)/K54)&lt;0.000000001,"OK","ERR"))</x:f>
        <x:v>OK</x:v>
      </x:c>
    </x:row>
    <x:row r="55" ht="15" hidden="0">
      <x:c r="A55" s="54" t="s">
        <x:v>104</x:v>
      </x:c>
      <x:c r="B55" s="25" t="n">
        <x:v>9</x:v>
      </x:c>
      <x:c r="C55" s="24" t="s">
        <x:v>109</x:v>
      </x:c>
      <x:c r="D55" s="25"/>
      <x:c r="E55" s="25"/>
      <x:c r="F55" s="25"/>
      <x:c r="G55" s="25"/>
      <x:c r="H55" s="25"/>
      <x:c r="I55" s="25"/>
      <x:c r="J55" s="25"/>
      <x:c r="K55" s="25"/>
      <x:c r="L55" s="25"/>
      <x:c r="M55" s="25"/>
      <x:c r="N55" s="25"/>
      <x:c r="O55" s="25"/>
      <x:c r="P55" s="25"/>
      <x:c r="Q55" s="55"/>
      <x:c r="R55" s="25"/>
    </x:row>
    <x:row r="56" ht="15" hidden="0">
      <x:c r="C56" s="56" t="s">
        <x:v>109</x:v>
      </x:c>
      <x:c r="D56" s="11" t="s">
        <x:v>73</x:v>
      </x:c>
      <x:c r="E56" s="63" t="n">
        <x:f aca="0">KOHC!D147</x:f>
        <x:v>75.14774353157878</x:v>
      </x:c>
      <x:c r="F56" s="63" t="n">
        <x:f aca="0">LUCK!D147</x:f>
        <x:v>95.70990667632485</x:v>
      </x:c>
      <x:c r="G56" s="63" t="n">
        <x:f aca="0">DGKC!D147</x:f>
        <x:v>138.9548367501086</x:v>
      </x:c>
      <x:c r="H56" s="63" t="n">
        <x:f aca="0">MLCF!D147</x:f>
        <x:v>143.11726813096334</x:v>
      </x:c>
      <x:c r="I56" s="63" t="n">
        <x:f aca="0">FCCL!D147</x:f>
        <x:v>101.57512558439446</x:v>
      </x:c>
      <x:c r="J56" s="64" t="n">
        <x:f aca="0">IF(COUNT(E56:I56)=0,"n/m",AVERAGE(E56:I56))</x:f>
        <x:v>110.90097613467401</x:v>
      </x:c>
      <x:c r="K56" s="11" t="n">
        <x:f aca="0">COUNT(E56:I56)</x:f>
        <x:v>5</x:v>
      </x:c>
      <x:c r="L56" s="49" t="n">
        <x:f aca="0">IF(AND(ISNUMBER(E56),ISNUMBER(J56)),E56-J56,"n/m")</x:f>
        <x:v>-35.75323260309523</x:v>
      </x:c>
      <x:c r="M56" s="49" t="n">
        <x:f aca="0">IF(COUNT(F56:I56)=0,"n/m",AVERAGE(F56:I56))</x:f>
        <x:v>119.83928428544782</x:v>
      </x:c>
      <x:c r="N56" s="49" t="n">
        <x:f aca="0">IF(COUNT(E56:I56)=0,"n/m",MEDIAN(E56:I56))</x:f>
        <x:v>101.57512558439446</x:v>
      </x:c>
      <x:c r="O56" s="11" t="s">
        <x:v>112</x:v>
      </x:c>
      <x:c r="P56" s="9" t="str">
        <x:f aca="0">IF(NOT(ISNUMBER(L56)),"n/m",IF(O56="Higher",IF(L56&gt;=0,"Above avg - favourable","Below avg - unfavourable"),IF(O56="Lower",IF(L56&lt;=0,"Below avg - favourable","Above avg - unfavourable"),IF(L56&gt;=0,"Above avg - context-dependent","Below avg - context-dependent"))))&amp;IF(K56&lt;5," (N="&amp;K56&amp;")","")</x:f>
        <x:v>Below avg - favourable</x:v>
      </x:c>
      <x:c r="R56" s="59" t="str">
        <x:f aca="0">IF(K56=0,"n/m",IF(ABS(J56-SUM(E56:I56)/K56)&lt;0.000000001,"OK","ERR"))</x:f>
        <x:v>OK</x:v>
      </x:c>
    </x:row>
    <x:row r="57" ht="15" hidden="0">
      <x:c r="C57" s="56" t="s">
        <x:v>109</x:v>
      </x:c>
      <x:c r="D57" s="11" t="s">
        <x:v>74</x:v>
      </x:c>
      <x:c r="E57" s="63" t="n">
        <x:f aca="0">KOHC!E147</x:f>
        <x:v>77.97259759173176</x:v>
      </x:c>
      <x:c r="F57" s="63" t="n">
        <x:f aca="0">LUCK!E147</x:f>
        <x:v>99.78858145761573</x:v>
      </x:c>
      <x:c r="G57" s="63" t="n">
        <x:f aca="0">DGKC!E147</x:f>
        <x:v>147.19158951872677</x:v>
      </x:c>
      <x:c r="H57" s="63" t="n">
        <x:f aca="0">MLCF!E147</x:f>
        <x:v>138.1590454196257</x:v>
      </x:c>
      <x:c r="I57" s="63" t="n">
        <x:f aca="0">FCCL!E147</x:f>
        <x:v>99.18940378408801</x:v>
      </x:c>
      <x:c r="J57" s="64" t="n">
        <x:f aca="0">IF(COUNT(E57:I57)=0,"n/m",AVERAGE(E57:I57))</x:f>
        <x:v>112.46024355435759</x:v>
      </x:c>
      <x:c r="K57" s="11" t="n">
        <x:f aca="0">COUNT(E57:I57)</x:f>
        <x:v>5</x:v>
      </x:c>
      <x:c r="L57" s="49" t="n">
        <x:f aca="0">IF(AND(ISNUMBER(E57),ISNUMBER(J57)),E57-J57,"n/m")</x:f>
        <x:v>-34.487645962625834</x:v>
      </x:c>
      <x:c r="M57" s="49" t="n">
        <x:f aca="0">IF(COUNT(F57:I57)=0,"n/m",AVERAGE(F57:I57))</x:f>
        <x:v>121.08215504501406</x:v>
      </x:c>
      <x:c r="N57" s="49" t="n">
        <x:f aca="0">IF(COUNT(E57:I57)=0,"n/m",MEDIAN(E57:I57))</x:f>
        <x:v>99.78858145761573</x:v>
      </x:c>
      <x:c r="O57" s="11" t="s">
        <x:v>112</x:v>
      </x:c>
      <x:c r="P57" s="9" t="str">
        <x:f aca="0">IF(NOT(ISNUMBER(L57)),"n/m",IF(O57="Higher",IF(L57&gt;=0,"Above avg - favourable","Below avg - unfavourable"),IF(O57="Lower",IF(L57&lt;=0,"Below avg - favourable","Above avg - unfavourable"),IF(L57&gt;=0,"Above avg - context-dependent","Below avg - context-dependent"))))&amp;IF(K57&lt;5," (N="&amp;K57&amp;")","")</x:f>
        <x:v>Below avg - favourable</x:v>
      </x:c>
      <x:c r="R57" s="59" t="str">
        <x:f aca="0">IF(K57=0,"n/m",IF(ABS(J57-SUM(E57:I57)/K57)&lt;0.000000001,"OK","ERR"))</x:f>
        <x:v>OK</x:v>
      </x:c>
    </x:row>
    <x:row r="58" ht="15" hidden="0">
      <x:c r="C58" s="56" t="s">
        <x:v>109</x:v>
      </x:c>
      <x:c r="D58" s="11" t="s">
        <x:v>75</x:v>
      </x:c>
      <x:c r="E58" s="63" t="n">
        <x:f aca="0">KOHC!F147</x:f>
        <x:v>85.37254538740795</x:v>
      </x:c>
      <x:c r="F58" s="63" t="n">
        <x:f aca="0">LUCK!F147</x:f>
        <x:v>100.73184197970664</x:v>
      </x:c>
      <x:c r="G58" s="63" t="n">
        <x:f aca="0">DGKC!F147</x:f>
        <x:v>149.87908057411946</x:v>
      </x:c>
      <x:c r="H58" s="63" t="n">
        <x:f aca="0">MLCF!F147</x:f>
        <x:v>122.0064954583065</x:v>
      </x:c>
      <x:c r="I58" s="63" t="n">
        <x:f aca="0">FCCL!F147</x:f>
        <x:v>117.81056267061489</x:v>
      </x:c>
      <x:c r="J58" s="64" t="n">
        <x:f aca="0">IF(COUNT(E58:I58)=0,"n/m",AVERAGE(E58:I58))</x:f>
        <x:v>115.16010521403109</x:v>
      </x:c>
      <x:c r="K58" s="11" t="n">
        <x:f aca="0">COUNT(E58:I58)</x:f>
        <x:v>5</x:v>
      </x:c>
      <x:c r="L58" s="49" t="n">
        <x:f aca="0">IF(AND(ISNUMBER(E58),ISNUMBER(J58)),E58-J58,"n/m")</x:f>
        <x:v>-29.787559826623138</x:v>
      </x:c>
      <x:c r="M58" s="49" t="n">
        <x:f aca="0">IF(COUNT(F58:I58)=0,"n/m",AVERAGE(F58:I58))</x:f>
        <x:v>122.60699517068687</x:v>
      </x:c>
      <x:c r="N58" s="49" t="n">
        <x:f aca="0">IF(COUNT(E58:I58)=0,"n/m",MEDIAN(E58:I58))</x:f>
        <x:v>117.81056267061489</x:v>
      </x:c>
      <x:c r="O58" s="11" t="s">
        <x:v>112</x:v>
      </x:c>
      <x:c r="P58" s="9" t="str">
        <x:f aca="0">IF(NOT(ISNUMBER(L58)),"n/m",IF(O58="Higher",IF(L58&gt;=0,"Above avg - favourable","Below avg - unfavourable"),IF(O58="Lower",IF(L58&lt;=0,"Below avg - favourable","Above avg - unfavourable"),IF(L58&gt;=0,"Above avg - context-dependent","Below avg - context-dependent"))))&amp;IF(K58&lt;5," (N="&amp;K58&amp;")","")</x:f>
        <x:v>Below avg - favourable</x:v>
      </x:c>
      <x:c r="R58" s="59" t="str">
        <x:f aca="0">IF(K58=0,"n/m",IF(ABS(J58-SUM(E58:I58)/K58)&lt;0.000000001,"OK","ERR"))</x:f>
        <x:v>OK</x:v>
      </x:c>
    </x:row>
    <x:row r="59" ht="15" hidden="0">
      <x:c r="C59" s="56" t="s">
        <x:v>109</x:v>
      </x:c>
      <x:c r="D59" s="11" t="s">
        <x:v>76</x:v>
      </x:c>
      <x:c r="E59" s="63" t="n">
        <x:f aca="0">KOHC!G147</x:f>
        <x:v>101.50909357454404</x:v>
      </x:c>
      <x:c r="F59" s="63" t="n">
        <x:f aca="0">LUCK!G147</x:f>
        <x:v>103.10239469568691</x:v>
      </x:c>
      <x:c r="G59" s="63" t="n">
        <x:f aca="0">DGKC!G147</x:f>
        <x:v>141.2975554557505</x:v>
      </x:c>
      <x:c r="H59" s="63" t="n">
        <x:f aca="0">MLCF!G147</x:f>
        <x:v>117.69043264844157</x:v>
      </x:c>
      <x:c r="I59" s="63" t="n">
        <x:f aca="0">FCCL!G147</x:f>
        <x:v>106.51412548353994</x:v>
      </x:c>
      <x:c r="J59" s="64" t="n">
        <x:f aca="0">IF(COUNT(E59:I59)=0,"n/m",AVERAGE(E59:I59))</x:f>
        <x:v>114.0227203715926</x:v>
      </x:c>
      <x:c r="K59" s="11" t="n">
        <x:f aca="0">COUNT(E59:I59)</x:f>
        <x:v>5</x:v>
      </x:c>
      <x:c r="L59" s="49" t="n">
        <x:f aca="0">IF(AND(ISNUMBER(E59),ISNUMBER(J59)),E59-J59,"n/m")</x:f>
        <x:v>-12.513626797048559</x:v>
      </x:c>
      <x:c r="M59" s="49" t="n">
        <x:f aca="0">IF(COUNT(F59:I59)=0,"n/m",AVERAGE(F59:I59))</x:f>
        <x:v>117.15112707085473</x:v>
      </x:c>
      <x:c r="N59" s="49" t="n">
        <x:f aca="0">IF(COUNT(E59:I59)=0,"n/m",MEDIAN(E59:I59))</x:f>
        <x:v>106.51412548353994</x:v>
      </x:c>
      <x:c r="O59" s="11" t="s">
        <x:v>112</x:v>
      </x:c>
      <x:c r="P59" s="9" t="str">
        <x:f aca="0">IF(NOT(ISNUMBER(L59)),"n/m",IF(O59="Higher",IF(L59&gt;=0,"Above avg - favourable","Below avg - unfavourable"),IF(O59="Lower",IF(L59&lt;=0,"Below avg - favourable","Above avg - unfavourable"),IF(L59&gt;=0,"Above avg - context-dependent","Below avg - context-dependent"))))&amp;IF(K59&lt;5," (N="&amp;K59&amp;")","")</x:f>
        <x:v>Below avg - favourable</x:v>
      </x:c>
      <x:c r="R59" s="59" t="str">
        <x:f aca="0">IF(K59=0,"n/m",IF(ABS(J59-SUM(E59:I59)/K59)&lt;0.000000001,"OK","ERR"))</x:f>
        <x:v>OK</x:v>
      </x:c>
    </x:row>
    <x:row r="60" ht="15" hidden="0">
      <x:c r="C60" s="56" t="s">
        <x:v>109</x:v>
      </x:c>
      <x:c r="D60" s="11" t="s">
        <x:v>77</x:v>
      </x:c>
      <x:c r="E60" s="63" t="n">
        <x:f aca="0">KOHC!H147</x:f>
        <x:v>120.66591878345184</x:v>
      </x:c>
      <x:c r="F60" s="63" t="n">
        <x:f aca="0">LUCK!H147</x:f>
        <x:v>106.53528435458881</x:v>
      </x:c>
      <x:c r="G60" s="63" t="n">
        <x:f aca="0">DGKC!H147</x:f>
        <x:v>139.29464124392743</x:v>
      </x:c>
      <x:c r="H60" s="63" t="n">
        <x:f aca="0">MLCF!H147</x:f>
        <x:v>130.98525045452405</x:v>
      </x:c>
      <x:c r="I60" s="63" t="n">
        <x:f aca="0">FCCL!H147</x:f>
        <x:v>115.47406099903009</x:v>
      </x:c>
      <x:c r="J60" s="64" t="n">
        <x:f aca="0">IF(COUNT(E60:I60)=0,"n/m",AVERAGE(E60:I60))</x:f>
        <x:v>122.59103116710443</x:v>
      </x:c>
      <x:c r="K60" s="11" t="n">
        <x:f aca="0">COUNT(E60:I60)</x:f>
        <x:v>5</x:v>
      </x:c>
      <x:c r="L60" s="49" t="n">
        <x:f aca="0">IF(AND(ISNUMBER(E60),ISNUMBER(J60)),E60-J60,"n/m")</x:f>
        <x:v>-1.9251123836525892</x:v>
      </x:c>
      <x:c r="M60" s="49" t="n">
        <x:f aca="0">IF(COUNT(F60:I60)=0,"n/m",AVERAGE(F60:I60))</x:f>
        <x:v>123.0723092630176</x:v>
      </x:c>
      <x:c r="N60" s="49" t="n">
        <x:f aca="0">IF(COUNT(E60:I60)=0,"n/m",MEDIAN(E60:I60))</x:f>
        <x:v>120.66591878345184</x:v>
      </x:c>
      <x:c r="O60" s="11" t="s">
        <x:v>112</x:v>
      </x:c>
      <x:c r="P60" s="9" t="str">
        <x:f aca="0">IF(NOT(ISNUMBER(L60)),"n/m",IF(O60="Higher",IF(L60&gt;=0,"Above avg - favourable","Below avg - unfavourable"),IF(O60="Lower",IF(L60&lt;=0,"Below avg - favourable","Above avg - unfavourable"),IF(L60&gt;=0,"Above avg - context-dependent","Below avg - context-dependent"))))&amp;IF(K60&lt;5," (N="&amp;K60&amp;")","")</x:f>
        <x:v>Below avg - favourable</x:v>
      </x:c>
      <x:c r="R60" s="59" t="str">
        <x:f aca="0">IF(K60=0,"n/m",IF(ABS(J60-SUM(E60:I60)/K60)&lt;0.000000001,"OK","ERR"))</x:f>
        <x:v>OK</x:v>
      </x:c>
    </x:row>
    <x:row r="61" ht="15" hidden="0">
      <x:c r="A61" s="54" t="s">
        <x:v>104</x:v>
      </x:c>
      <x:c r="B61" s="25" t="n">
        <x:v>10</x:v>
      </x:c>
      <x:c r="C61" s="24" t="s">
        <x:v>113</x:v>
      </x:c>
      <x:c r="D61" s="25"/>
      <x:c r="E61" s="25"/>
      <x:c r="F61" s="25"/>
      <x:c r="G61" s="25"/>
      <x:c r="H61" s="25"/>
      <x:c r="I61" s="25"/>
      <x:c r="J61" s="25"/>
      <x:c r="K61" s="25"/>
      <x:c r="L61" s="25"/>
      <x:c r="M61" s="25"/>
      <x:c r="N61" s="25"/>
      <x:c r="O61" s="25"/>
      <x:c r="P61" s="25"/>
      <x:c r="Q61" s="55"/>
      <x:c r="R61" s="25"/>
    </x:row>
    <x:row r="62" ht="15" hidden="0">
      <x:c r="C62" s="56" t="s">
        <x:v>113</x:v>
      </x:c>
      <x:c r="D62" s="11" t="s">
        <x:v>73</x:v>
      </x:c>
      <x:c r="E62" s="63" t="n">
        <x:f aca="0">KOHC!D148</x:f>
        <x:v>11.21126950346497</x:v>
      </x:c>
      <x:c r="F62" s="63" t="n">
        <x:f aca="0">LUCK!D148</x:f>
        <x:v>17.782498333156052</x:v>
      </x:c>
      <x:c r="G62" s="63" t="n">
        <x:f aca="0">DGKC!D148</x:f>
        <x:v>16.031081230273596</x:v>
      </x:c>
      <x:c r="H62" s="63" t="n">
        <x:f aca="0">MLCF!D148</x:f>
        <x:v>24.299408826550263</x:v>
      </x:c>
      <x:c r="I62" s="63" t="n">
        <x:f aca="0">FCCL!D148</x:f>
        <x:v>18.799738044359824</x:v>
      </x:c>
      <x:c r="J62" s="64" t="n">
        <x:f aca="0">IF(COUNT(E62:I62)=0,"n/m",AVERAGE(E62:I62))</x:f>
        <x:v>17.624799187560942</x:v>
      </x:c>
      <x:c r="K62" s="11" t="n">
        <x:f aca="0">COUNT(E62:I62)</x:f>
        <x:v>5</x:v>
      </x:c>
      <x:c r="L62" s="49" t="n">
        <x:f aca="0">IF(AND(ISNUMBER(E62),ISNUMBER(J62)),E62-J62,"n/m")</x:f>
        <x:v>-6.4135296840959715</x:v>
      </x:c>
      <x:c r="M62" s="49" t="n">
        <x:f aca="0">IF(COUNT(F62:I62)=0,"n/m",AVERAGE(F62:I62))</x:f>
        <x:v>19.228181608584933</x:v>
      </x:c>
      <x:c r="N62" s="49" t="n">
        <x:f aca="0">IF(COUNT(E62:I62)=0,"n/m",MEDIAN(E62:I62))</x:f>
        <x:v>17.782498333156052</x:v>
      </x:c>
      <x:c r="O62" s="11" t="s">
        <x:v>112</x:v>
      </x:c>
      <x:c r="P62" s="9" t="str">
        <x:f aca="0">IF(NOT(ISNUMBER(L62)),"n/m",IF(O62="Higher",IF(L62&gt;=0,"Above avg - favourable","Below avg - unfavourable"),IF(O62="Lower",IF(L62&lt;=0,"Below avg - favourable","Above avg - unfavourable"),IF(L62&gt;=0,"Above avg - context-dependent","Below avg - context-dependent"))))&amp;IF(K62&lt;5," (N="&amp;K62&amp;")","")</x:f>
        <x:v>Below avg - favourable</x:v>
      </x:c>
      <x:c r="R62" s="59" t="str">
        <x:f aca="0">IF(K62=0,"n/m",IF(ABS(J62-SUM(E62:I62)/K62)&lt;0.000000001,"OK","ERR"))</x:f>
        <x:v>OK</x:v>
      </x:c>
    </x:row>
    <x:row r="63" ht="15" hidden="0">
      <x:c r="C63" s="56" t="s">
        <x:v>113</x:v>
      </x:c>
      <x:c r="D63" s="11" t="s">
        <x:v>74</x:v>
      </x:c>
      <x:c r="E63" s="63" t="n">
        <x:f aca="0">KOHC!E148</x:f>
        <x:v>10.544725482358297</x:v>
      </x:c>
      <x:c r="F63" s="63" t="n">
        <x:f aca="0">LUCK!E148</x:f>
        <x:v>14.027318333985361</x:v>
      </x:c>
      <x:c r="G63" s="63" t="n">
        <x:f aca="0">DGKC!E148</x:f>
        <x:v>9.88561921697045</x:v>
      </x:c>
      <x:c r="H63" s="63" t="n">
        <x:f aca="0">MLCF!E148</x:f>
        <x:v>14.089756717395696</x:v>
      </x:c>
      <x:c r="I63" s="63" t="n">
        <x:f aca="0">FCCL!E148</x:f>
        <x:v>12.994834386179642</x:v>
      </x:c>
      <x:c r="J63" s="64" t="n">
        <x:f aca="0">IF(COUNT(E63:I63)=0,"n/m",AVERAGE(E63:I63))</x:f>
        <x:v>12.308450827377888</x:v>
      </x:c>
      <x:c r="K63" s="11" t="n">
        <x:f aca="0">COUNT(E63:I63)</x:f>
        <x:v>5</x:v>
      </x:c>
      <x:c r="L63" s="49" t="n">
        <x:f aca="0">IF(AND(ISNUMBER(E63),ISNUMBER(J63)),E63-J63,"n/m")</x:f>
        <x:v>-1.7637253450195907</x:v>
      </x:c>
      <x:c r="M63" s="49" t="n">
        <x:f aca="0">IF(COUNT(F63:I63)=0,"n/m",AVERAGE(F63:I63))</x:f>
        <x:v>12.749382163632786</x:v>
      </x:c>
      <x:c r="N63" s="49" t="n">
        <x:f aca="0">IF(COUNT(E63:I63)=0,"n/m",MEDIAN(E63:I63))</x:f>
        <x:v>12.994834386179642</x:v>
      </x:c>
      <x:c r="O63" s="11" t="s">
        <x:v>112</x:v>
      </x:c>
      <x:c r="P63" s="9" t="str">
        <x:f aca="0">IF(NOT(ISNUMBER(L63)),"n/m",IF(O63="Higher",IF(L63&gt;=0,"Above avg - favourable","Below avg - unfavourable"),IF(O63="Lower",IF(L63&lt;=0,"Below avg - favourable","Above avg - unfavourable"),IF(L63&gt;=0,"Above avg - context-dependent","Below avg - context-dependent"))))&amp;IF(K63&lt;5," (N="&amp;K63&amp;")","")</x:f>
        <x:v>Below avg - favourable</x:v>
      </x:c>
      <x:c r="R63" s="59" t="str">
        <x:f aca="0">IF(K63=0,"n/m",IF(ABS(J63-SUM(E63:I63)/K63)&lt;0.000000001,"OK","ERR"))</x:f>
        <x:v>OK</x:v>
      </x:c>
    </x:row>
    <x:row r="64" ht="15" hidden="0">
      <x:c r="C64" s="56" t="s">
        <x:v>113</x:v>
      </x:c>
      <x:c r="D64" s="11" t="s">
        <x:v>75</x:v>
      </x:c>
      <x:c r="E64" s="63" t="n">
        <x:f aca="0">KOHC!F148</x:f>
        <x:v>9.947955437848783</x:v>
      </x:c>
      <x:c r="F64" s="63" t="n">
        <x:f aca="0">LUCK!F148</x:f>
        <x:v>16.40158531562483</x:v>
      </x:c>
      <x:c r="G64" s="63" t="n">
        <x:f aca="0">DGKC!F148</x:f>
        <x:v>7.473977484334139</x:v>
      </x:c>
      <x:c r="H64" s="63" t="n">
        <x:f aca="0">MLCF!F148</x:f>
        <x:v>13.721464335734789</x:v>
      </x:c>
      <x:c r="I64" s="63" t="n">
        <x:f aca="0">FCCL!F148</x:f>
        <x:v>16.04687922960609</x:v>
      </x:c>
      <x:c r="J64" s="64" t="n">
        <x:f aca="0">IF(COUNT(E64:I64)=0,"n/m",AVERAGE(E64:I64))</x:f>
        <x:v>12.718372360629726</x:v>
      </x:c>
      <x:c r="K64" s="11" t="n">
        <x:f aca="0">COUNT(E64:I64)</x:f>
        <x:v>5</x:v>
      </x:c>
      <x:c r="L64" s="49" t="n">
        <x:f aca="0">IF(AND(ISNUMBER(E64),ISNUMBER(J64)),E64-J64,"n/m")</x:f>
        <x:v>-2.7704169227809423</x:v>
      </x:c>
      <x:c r="M64" s="49" t="n">
        <x:f aca="0">IF(COUNT(F64:I64)=0,"n/m",AVERAGE(F64:I64))</x:f>
        <x:v>13.410976591324962</x:v>
      </x:c>
      <x:c r="N64" s="49" t="n">
        <x:f aca="0">IF(COUNT(E64:I64)=0,"n/m",MEDIAN(E64:I64))</x:f>
        <x:v>13.721464335734789</x:v>
      </x:c>
      <x:c r="O64" s="11" t="s">
        <x:v>112</x:v>
      </x:c>
      <x:c r="P64" s="9" t="str">
        <x:f aca="0">IF(NOT(ISNUMBER(L64)),"n/m",IF(O64="Higher",IF(L64&gt;=0,"Above avg - favourable","Below avg - unfavourable"),IF(O64="Lower",IF(L64&lt;=0,"Below avg - favourable","Above avg - unfavourable"),IF(L64&gt;=0,"Above avg - context-dependent","Below avg - context-dependent"))))&amp;IF(K64&lt;5," (N="&amp;K64&amp;")","")</x:f>
        <x:v>Below avg - favourable</x:v>
      </x:c>
      <x:c r="R64" s="59" t="str">
        <x:f aca="0">IF(K64=0,"n/m",IF(ABS(J64-SUM(E64:I64)/K64)&lt;0.000000001,"OK","ERR"))</x:f>
        <x:v>OK</x:v>
      </x:c>
    </x:row>
    <x:row r="65" ht="15" hidden="0">
      <x:c r="C65" s="56" t="s">
        <x:v>113</x:v>
      </x:c>
      <x:c r="D65" s="11" t="s">
        <x:v>76</x:v>
      </x:c>
      <x:c r="E65" s="63" t="n">
        <x:f aca="0">KOHC!G148</x:f>
        <x:v>15.65766316675557</x:v>
      </x:c>
      <x:c r="F65" s="63" t="n">
        <x:f aca="0">LUCK!G148</x:f>
        <x:v>19.024866667611246</x:v>
      </x:c>
      <x:c r="G65" s="63" t="n">
        <x:f aca="0">DGKC!G148</x:f>
        <x:v>5.662979090938647</x:v>
      </x:c>
      <x:c r="H65" s="63" t="n">
        <x:f aca="0">MLCF!G148</x:f>
        <x:v>18.64683133544055</x:v>
      </x:c>
      <x:c r="I65" s="63" t="n">
        <x:f aca="0">FCCL!G148</x:f>
        <x:v>20.792904753499183</x:v>
      </x:c>
      <x:c r="J65" s="64" t="n">
        <x:f aca="0">IF(COUNT(E65:I65)=0,"n/m",AVERAGE(E65:I65))</x:f>
        <x:v>15.957049002849041</x:v>
      </x:c>
      <x:c r="K65" s="11" t="n">
        <x:f aca="0">COUNT(E65:I65)</x:f>
        <x:v>5</x:v>
      </x:c>
      <x:c r="L65" s="49" t="n">
        <x:f aca="0">IF(AND(ISNUMBER(E65),ISNUMBER(J65)),E65-J65,"n/m")</x:f>
        <x:v>-0.2993858360934709</x:v>
      </x:c>
      <x:c r="M65" s="49" t="n">
        <x:f aca="0">IF(COUNT(F65:I65)=0,"n/m",AVERAGE(F65:I65))</x:f>
        <x:v>16.031895461872406</x:v>
      </x:c>
      <x:c r="N65" s="49" t="n">
        <x:f aca="0">IF(COUNT(E65:I65)=0,"n/m",MEDIAN(E65:I65))</x:f>
        <x:v>18.64683133544055</x:v>
      </x:c>
      <x:c r="O65" s="11" t="s">
        <x:v>112</x:v>
      </x:c>
      <x:c r="P65" s="9" t="str">
        <x:f aca="0">IF(NOT(ISNUMBER(L65)),"n/m",IF(O65="Higher",IF(L65&gt;=0,"Above avg - favourable","Below avg - unfavourable"),IF(O65="Lower",IF(L65&lt;=0,"Below avg - favourable","Above avg - unfavourable"),IF(L65&gt;=0,"Above avg - context-dependent","Below avg - context-dependent"))))&amp;IF(K65&lt;5," (N="&amp;K65&amp;")","")</x:f>
        <x:v>Below avg - favourable</x:v>
      </x:c>
      <x:c r="R65" s="59" t="str">
        <x:f aca="0">IF(K65=0,"n/m",IF(ABS(J65-SUM(E65:I65)/K65)&lt;0.000000001,"OK","ERR"))</x:f>
        <x:v>OK</x:v>
      </x:c>
    </x:row>
    <x:row r="66" ht="15" hidden="0">
      <x:c r="C66" s="56" t="s">
        <x:v>113</x:v>
      </x:c>
      <x:c r="D66" s="11" t="s">
        <x:v>77</x:v>
      </x:c>
      <x:c r="E66" s="63" t="n">
        <x:f aca="0">KOHC!H148</x:f>
        <x:v>18.487732733839078</x:v>
      </x:c>
      <x:c r="F66" s="63" t="n">
        <x:f aca="0">LUCK!H148</x:f>
        <x:v>19.473145621508603</x:v>
      </x:c>
      <x:c r="G66" s="63" t="n">
        <x:f aca="0">DGKC!H148</x:f>
        <x:v>5.962485734149009</x:v>
      </x:c>
      <x:c r="H66" s="63" t="n">
        <x:f aca="0">MLCF!H148</x:f>
        <x:v>23.29195250049585</x:v>
      </x:c>
      <x:c r="I66" s="63" t="n">
        <x:f aca="0">FCCL!H148</x:f>
        <x:v>25.55549221298793</x:v>
      </x:c>
      <x:c r="J66" s="64" t="n">
        <x:f aca="0">IF(COUNT(E66:I66)=0,"n/m",AVERAGE(E66:I66))</x:f>
        <x:v>18.554161760596095</x:v>
      </x:c>
      <x:c r="K66" s="11" t="n">
        <x:f aca="0">COUNT(E66:I66)</x:f>
        <x:v>5</x:v>
      </x:c>
      <x:c r="L66" s="49" t="n">
        <x:f aca="0">IF(AND(ISNUMBER(E66),ISNUMBER(J66)),E66-J66,"n/m")</x:f>
        <x:v>-0.06642902675701734</x:v>
      </x:c>
      <x:c r="M66" s="49" t="n">
        <x:f aca="0">IF(COUNT(F66:I66)=0,"n/m",AVERAGE(F66:I66))</x:f>
        <x:v>18.570769017285347</x:v>
      </x:c>
      <x:c r="N66" s="49" t="n">
        <x:f aca="0">IF(COUNT(E66:I66)=0,"n/m",MEDIAN(E66:I66))</x:f>
        <x:v>19.473145621508603</x:v>
      </x:c>
      <x:c r="O66" s="11" t="s">
        <x:v>112</x:v>
      </x:c>
      <x:c r="P66" s="9" t="str">
        <x:f aca="0">IF(NOT(ISNUMBER(L66)),"n/m",IF(O66="Higher",IF(L66&gt;=0,"Above avg - favourable","Below avg - unfavourable"),IF(O66="Lower",IF(L66&lt;=0,"Below avg - favourable","Above avg - unfavourable"),IF(L66&gt;=0,"Above avg - context-dependent","Below avg - context-dependent"))))&amp;IF(K66&lt;5," (N="&amp;K66&amp;")","")</x:f>
        <x:v>Below avg - favourable</x:v>
      </x:c>
      <x:c r="R66" s="59" t="str">
        <x:f aca="0">IF(K66=0,"n/m",IF(ABS(J66-SUM(E66:I66)/K66)&lt;0.000000001,"OK","ERR"))</x:f>
        <x:v>OK</x:v>
      </x:c>
    </x:row>
    <x:row r="67" ht="15" hidden="0">
      <x:c r="A67" s="54" t="s">
        <x:v>104</x:v>
      </x:c>
      <x:c r="B67" s="25" t="n">
        <x:v>11</x:v>
      </x:c>
      <x:c r="C67" s="24" t="s">
        <x:v>115</x:v>
      </x:c>
      <x:c r="D67" s="25"/>
      <x:c r="E67" s="25"/>
      <x:c r="F67" s="25"/>
      <x:c r="G67" s="25"/>
      <x:c r="H67" s="25"/>
      <x:c r="I67" s="25"/>
      <x:c r="J67" s="25"/>
      <x:c r="K67" s="25"/>
      <x:c r="L67" s="25"/>
      <x:c r="M67" s="25"/>
      <x:c r="N67" s="25"/>
      <x:c r="O67" s="25"/>
      <x:c r="P67" s="25"/>
      <x:c r="Q67" s="55" t="s">
        <x:v>1051</x:v>
      </x:c>
      <x:c r="R67" s="25"/>
    </x:row>
    <x:row r="68" ht="15" hidden="0">
      <x:c r="C68" s="56" t="s">
        <x:v>115</x:v>
      </x:c>
      <x:c r="D68" s="11" t="s">
        <x:v>73</x:v>
      </x:c>
      <x:c r="E68" s="63" t="n">
        <x:f aca="0">KOHC!D149</x:f>
        <x:v>26.695664391757177</x:v>
      </x:c>
      <x:c r="F68" s="63" t="n">
        <x:f aca="0">LUCK!D149</x:f>
        <x:v>22.744515597441875</x:v>
      </x:c>
      <x:c r="G68" s="63" t="n">
        <x:f aca="0">DGKC!D149</x:f>
        <x:v>57.65836002777637</x:v>
      </x:c>
      <x:c r="H68" s="63" t="n">
        <x:f aca="0">MLCF!D149</x:f>
        <x:v>48.013565747856816</x:v>
      </x:c>
      <x:c r="I68" s="63" t="n">
        <x:f aca="0">FCCL!D149</x:f>
        <x:v>12.205077421282503</x:v>
      </x:c>
      <x:c r="J68" s="64" t="n">
        <x:f aca="0">IF(COUNT(E68:I68)=0,"n/m",AVERAGE(E68:I68))</x:f>
        <x:v>33.46343663722295</x:v>
      </x:c>
      <x:c r="K68" s="11" t="n">
        <x:f aca="0">COUNT(E68:I68)</x:f>
        <x:v>5</x:v>
      </x:c>
      <x:c r="L68" s="49" t="n">
        <x:f aca="0">IF(AND(ISNUMBER(E68),ISNUMBER(J68)),E68-J68,"n/m")</x:f>
        <x:v>-6.767772245465771</x:v>
      </x:c>
      <x:c r="M68" s="49" t="n">
        <x:f aca="0">IF(COUNT(F68:I68)=0,"n/m",AVERAGE(F68:I68))</x:f>
        <x:v>35.15537969858939</x:v>
      </x:c>
      <x:c r="N68" s="49" t="n">
        <x:f aca="0">IF(COUNT(E68:I68)=0,"n/m",MEDIAN(E68:I68))</x:f>
        <x:v>26.695664391757177</x:v>
      </x:c>
      <x:c r="O68" s="11" t="s">
        <x:v>99</x:v>
      </x:c>
      <x:c r="P68" s="9" t="str">
        <x:f aca="0">IF(NOT(ISNUMBER(L68)),"n/m",IF(O68="Higher",IF(L68&gt;=0,"Above avg - favourable","Below avg - unfavourable"),IF(O68="Lower",IF(L68&lt;=0,"Below avg - favourable","Above avg - unfavourable"),IF(L68&gt;=0,"Above avg - context-dependent","Below avg - context-dependent"))))&amp;IF(K68&lt;5," (N="&amp;K68&amp;")","")</x:f>
        <x:v>Below avg - context-dependent</x:v>
      </x:c>
      <x:c r="R68" s="59" t="str">
        <x:f aca="0">IF(K68=0,"n/m",IF(ABS(J68-SUM(E68:I68)/K68)&lt;0.000000001,"OK","ERR"))</x:f>
        <x:v>OK</x:v>
      </x:c>
    </x:row>
    <x:row r="69" ht="15" hidden="0">
      <x:c r="C69" s="56" t="s">
        <x:v>115</x:v>
      </x:c>
      <x:c r="D69" s="11" t="s">
        <x:v>74</x:v>
      </x:c>
      <x:c r="E69" s="63" t="n">
        <x:f aca="0">KOHC!E149</x:f>
        <x:v>22.44512723840719</x:v>
      </x:c>
      <x:c r="F69" s="63" t="n">
        <x:f aca="0">LUCK!E149</x:f>
        <x:v>19.438565176908817</x:v>
      </x:c>
      <x:c r="G69" s="63" t="n">
        <x:f aca="0">DGKC!E149</x:f>
        <x:v>43.10666808203059</x:v>
      </x:c>
      <x:c r="H69" s="63" t="n">
        <x:f aca="0">MLCF!E149</x:f>
        <x:v>37.71999546630358</x:v>
      </x:c>
      <x:c r="I69" s="63" t="n">
        <x:f aca="0">FCCL!E149</x:f>
        <x:v>16.688960895928066</x:v>
      </x:c>
      <x:c r="J69" s="64" t="n">
        <x:f aca="0">IF(COUNT(E69:I69)=0,"n/m",AVERAGE(E69:I69))</x:f>
        <x:v>27.879863371915643</x:v>
      </x:c>
      <x:c r="K69" s="11" t="n">
        <x:f aca="0">COUNT(E69:I69)</x:f>
        <x:v>5</x:v>
      </x:c>
      <x:c r="L69" s="49" t="n">
        <x:f aca="0">IF(AND(ISNUMBER(E69),ISNUMBER(J69)),E69-J69,"n/m")</x:f>
        <x:v>-5.434736133508455</x:v>
      </x:c>
      <x:c r="M69" s="49" t="n">
        <x:f aca="0">IF(COUNT(F69:I69)=0,"n/m",AVERAGE(F69:I69))</x:f>
        <x:v>29.238547405292763</x:v>
      </x:c>
      <x:c r="N69" s="49" t="n">
        <x:f aca="0">IF(COUNT(E69:I69)=0,"n/m",MEDIAN(E69:I69))</x:f>
        <x:v>22.44512723840719</x:v>
      </x:c>
      <x:c r="O69" s="11" t="s">
        <x:v>99</x:v>
      </x:c>
      <x:c r="P69" s="9" t="str">
        <x:f aca="0">IF(NOT(ISNUMBER(L69)),"n/m",IF(O69="Higher",IF(L69&gt;=0,"Above avg - favourable","Below avg - unfavourable"),IF(O69="Lower",IF(L69&lt;=0,"Below avg - favourable","Above avg - unfavourable"),IF(L69&gt;=0,"Above avg - context-dependent","Below avg - context-dependent"))))&amp;IF(K69&lt;5," (N="&amp;K69&amp;")","")</x:f>
        <x:v>Below avg - context-dependent</x:v>
      </x:c>
      <x:c r="R69" s="59" t="str">
        <x:f aca="0">IF(K69=0,"n/m",IF(ABS(J69-SUM(E69:I69)/K69)&lt;0.000000001,"OK","ERR"))</x:f>
        <x:v>OK</x:v>
      </x:c>
    </x:row>
    <x:row r="70" ht="15" hidden="0">
      <x:c r="C70" s="56" t="s">
        <x:v>115</x:v>
      </x:c>
      <x:c r="D70" s="11" t="s">
        <x:v>75</x:v>
      </x:c>
      <x:c r="E70" s="63" t="n">
        <x:f aca="0">KOHC!F149</x:f>
        <x:v>12.531624662163898</x:v>
      </x:c>
      <x:c r="F70" s="63" t="n">
        <x:f aca="0">LUCK!F149</x:f>
        <x:v>21.928688071624233</x:v>
      </x:c>
      <x:c r="G70" s="63" t="n">
        <x:f aca="0">DGKC!F149</x:f>
        <x:v>34.24672809140701</x:v>
      </x:c>
      <x:c r="H70" s="63" t="n">
        <x:f aca="0">MLCF!F149</x:f>
        <x:v>36.498698029192624</x:v>
      </x:c>
      <x:c r="I70" s="63" t="n">
        <x:f aca="0">FCCL!F149</x:f>
        <x:v>20.323804785769745</x:v>
      </x:c>
      <x:c r="J70" s="64" t="n">
        <x:f aca="0">IF(COUNT(E70:I70)=0,"n/m",AVERAGE(E70:I70))</x:f>
        <x:v>25.1059087280315</x:v>
      </x:c>
      <x:c r="K70" s="11" t="n">
        <x:f aca="0">COUNT(E70:I70)</x:f>
        <x:v>5</x:v>
      </x:c>
      <x:c r="L70" s="49" t="n">
        <x:f aca="0">IF(AND(ISNUMBER(E70),ISNUMBER(J70)),E70-J70,"n/m")</x:f>
        <x:v>-12.574284065867603</x:v>
      </x:c>
      <x:c r="M70" s="49" t="n">
        <x:f aca="0">IF(COUNT(F70:I70)=0,"n/m",AVERAGE(F70:I70))</x:f>
        <x:v>28.2494797444984</x:v>
      </x:c>
      <x:c r="N70" s="49" t="n">
        <x:f aca="0">IF(COUNT(E70:I70)=0,"n/m",MEDIAN(E70:I70))</x:f>
        <x:v>21.928688071624233</x:v>
      </x:c>
      <x:c r="O70" s="11" t="s">
        <x:v>99</x:v>
      </x:c>
      <x:c r="P70" s="9" t="str">
        <x:f aca="0">IF(NOT(ISNUMBER(L70)),"n/m",IF(O70="Higher",IF(L70&gt;=0,"Above avg - favourable","Below avg - unfavourable"),IF(O70="Lower",IF(L70&lt;=0,"Below avg - favourable","Above avg - unfavourable"),IF(L70&gt;=0,"Above avg - context-dependent","Below avg - context-dependent"))))&amp;IF(K70&lt;5," (N="&amp;K70&amp;")","")</x:f>
        <x:v>Below avg - context-dependent</x:v>
      </x:c>
      <x:c r="R70" s="59" t="str">
        <x:f aca="0">IF(K70=0,"n/m",IF(ABS(J70-SUM(E70:I70)/K70)&lt;0.000000001,"OK","ERR"))</x:f>
        <x:v>OK</x:v>
      </x:c>
    </x:row>
    <x:row r="71" ht="15" hidden="0">
      <x:c r="C71" s="56" t="s">
        <x:v>115</x:v>
      </x:c>
      <x:c r="D71" s="11" t="s">
        <x:v>76</x:v>
      </x:c>
      <x:c r="E71" s="63" t="n">
        <x:f aca="0">KOHC!G149</x:f>
        <x:v>16.36441117170576</x:v>
      </x:c>
      <x:c r="F71" s="63" t="n">
        <x:f aca="0">LUCK!G149</x:f>
        <x:v>29.103243031888113</x:v>
      </x:c>
      <x:c r="G71" s="63" t="n">
        <x:f aca="0">DGKC!G149</x:f>
        <x:v>38.06068085872657</x:v>
      </x:c>
      <x:c r="H71" s="63" t="n">
        <x:f aca="0">MLCF!G149</x:f>
        <x:v>37.63108757497352</x:v>
      </x:c>
      <x:c r="I71" s="63" t="n">
        <x:f aca="0">FCCL!G149</x:f>
        <x:v>17.965982977789587</x:v>
      </x:c>
      <x:c r="J71" s="64" t="n">
        <x:f aca="0">IF(COUNT(E71:I71)=0,"n/m",AVERAGE(E71:I71))</x:f>
        <x:v>27.825081123016712</x:v>
      </x:c>
      <x:c r="K71" s="11" t="n">
        <x:f aca="0">COUNT(E71:I71)</x:f>
        <x:v>5</x:v>
      </x:c>
      <x:c r="L71" s="49" t="n">
        <x:f aca="0">IF(AND(ISNUMBER(E71),ISNUMBER(J71)),E71-J71,"n/m")</x:f>
        <x:v>-11.460669951310951</x:v>
      </x:c>
      <x:c r="M71" s="49" t="n">
        <x:f aca="0">IF(COUNT(F71:I71)=0,"n/m",AVERAGE(F71:I71))</x:f>
        <x:v>30.69024861084445</x:v>
      </x:c>
      <x:c r="N71" s="49" t="n">
        <x:f aca="0">IF(COUNT(E71:I71)=0,"n/m",MEDIAN(E71:I71))</x:f>
        <x:v>29.103243031888113</x:v>
      </x:c>
      <x:c r="O71" s="11" t="s">
        <x:v>99</x:v>
      </x:c>
      <x:c r="P71" s="9" t="str">
        <x:f aca="0">IF(NOT(ISNUMBER(L71)),"n/m",IF(O71="Higher",IF(L71&gt;=0,"Above avg - favourable","Below avg - unfavourable"),IF(O71="Lower",IF(L71&lt;=0,"Below avg - favourable","Above avg - unfavourable"),IF(L71&gt;=0,"Above avg - context-dependent","Below avg - context-dependent"))))&amp;IF(K71&lt;5," (N="&amp;K71&amp;")","")</x:f>
        <x:v>Below avg - context-dependent</x:v>
      </x:c>
      <x:c r="R71" s="59" t="str">
        <x:f aca="0">IF(K71=0,"n/m",IF(ABS(J71-SUM(E71:I71)/K71)&lt;0.000000001,"OK","ERR"))</x:f>
        <x:v>OK</x:v>
      </x:c>
    </x:row>
    <x:row r="72" ht="15" hidden="0">
      <x:c r="C72" s="56" t="s">
        <x:v>115</x:v>
      </x:c>
      <x:c r="D72" s="11" t="s">
        <x:v>77</x:v>
      </x:c>
      <x:c r="E72" s="63" t="n">
        <x:f aca="0">KOHC!H149</x:f>
        <x:v>31.10648886452127</x:v>
      </x:c>
      <x:c r="F72" s="63" t="n">
        <x:f aca="0">LUCK!H149</x:f>
        <x:v>30.3302992616379</x:v>
      </x:c>
      <x:c r="G72" s="63" t="n">
        <x:f aca="0">DGKC!H149</x:f>
        <x:v>30.584254931231968</x:v>
      </x:c>
      <x:c r="H72" s="63" t="n">
        <x:f aca="0">MLCF!H149</x:f>
        <x:v>42.1768479607431</x:v>
      </x:c>
      <x:c r="I72" s="63" t="n">
        <x:f aca="0">FCCL!H149</x:f>
        <x:v>15.14066821634052</x:v>
      </x:c>
      <x:c r="J72" s="64" t="n">
        <x:f aca="0">IF(COUNT(E72:I72)=0,"n/m",AVERAGE(E72:I72))</x:f>
        <x:v>29.867711846894952</x:v>
      </x:c>
      <x:c r="K72" s="11" t="n">
        <x:f aca="0">COUNT(E72:I72)</x:f>
        <x:v>5</x:v>
      </x:c>
      <x:c r="L72" s="49" t="n">
        <x:f aca="0">IF(AND(ISNUMBER(E72),ISNUMBER(J72)),E72-J72,"n/m")</x:f>
        <x:v>1.2387770176263189</x:v>
      </x:c>
      <x:c r="M72" s="49" t="n">
        <x:f aca="0">IF(COUNT(F72:I72)=0,"n/m",AVERAGE(F72:I72))</x:f>
        <x:v>29.558017592488373</x:v>
      </x:c>
      <x:c r="N72" s="49" t="n">
        <x:f aca="0">IF(COUNT(E72:I72)=0,"n/m",MEDIAN(E72:I72))</x:f>
        <x:v>30.584254931231968</x:v>
      </x:c>
      <x:c r="O72" s="11" t="s">
        <x:v>99</x:v>
      </x:c>
      <x:c r="P72" s="9" t="str">
        <x:f aca="0">IF(NOT(ISNUMBER(L72)),"n/m",IF(O72="Higher",IF(L72&gt;=0,"Above avg - favourable","Below avg - unfavourable"),IF(O72="Lower",IF(L72&lt;=0,"Below avg - favourable","Above avg - unfavourable"),IF(L72&gt;=0,"Above avg - context-dependent","Below avg - context-dependent"))))&amp;IF(K72&lt;5," (N="&amp;K72&amp;")","")</x:f>
        <x:v>Above avg - context-dependent</x:v>
      </x:c>
      <x:c r="R72" s="59" t="str">
        <x:f aca="0">IF(K72=0,"n/m",IF(ABS(J72-SUM(E72:I72)/K72)&lt;0.000000001,"OK","ERR"))</x:f>
        <x:v>OK</x:v>
      </x:c>
    </x:row>
    <x:row r="73" ht="15" hidden="0">
      <x:c r="A73" s="54" t="s">
        <x:v>104</x:v>
      </x:c>
      <x:c r="B73" s="25" t="n">
        <x:v>12</x:v>
      </x:c>
      <x:c r="C73" s="24" t="s">
        <x:v>117</x:v>
      </x:c>
      <x:c r="D73" s="25"/>
      <x:c r="E73" s="25"/>
      <x:c r="F73" s="25"/>
      <x:c r="G73" s="25"/>
      <x:c r="H73" s="25"/>
      <x:c r="I73" s="25"/>
      <x:c r="J73" s="25"/>
      <x:c r="K73" s="25"/>
      <x:c r="L73" s="25"/>
      <x:c r="M73" s="25"/>
      <x:c r="N73" s="25"/>
      <x:c r="O73" s="25"/>
      <x:c r="P73" s="25"/>
      <x:c r="Q73" s="55"/>
      <x:c r="R73" s="25"/>
    </x:row>
    <x:row r="74" ht="15" hidden="0">
      <x:c r="C74" s="56" t="s">
        <x:v>117</x:v>
      </x:c>
      <x:c r="D74" s="11" t="s">
        <x:v>73</x:v>
      </x:c>
      <x:c r="E74" s="63" t="n">
        <x:f aca="0">KOHC!D150</x:f>
        <x:v>86.35901303504376</x:v>
      </x:c>
      <x:c r="F74" s="63" t="n">
        <x:f aca="0">LUCK!D150</x:f>
        <x:v>113.4924050094809</x:v>
      </x:c>
      <x:c r="G74" s="63" t="n">
        <x:f aca="0">DGKC!D150</x:f>
        <x:v>154.9859179803822</x:v>
      </x:c>
      <x:c r="H74" s="63" t="n">
        <x:f aca="0">MLCF!D150</x:f>
        <x:v>167.4166769575136</x:v>
      </x:c>
      <x:c r="I74" s="63" t="n">
        <x:f aca="0">FCCL!D150</x:f>
        <x:v>120.37486362875428</x:v>
      </x:c>
      <x:c r="J74" s="64" t="n">
        <x:f aca="0">IF(COUNT(E74:I74)=0,"n/m",AVERAGE(E74:I74))</x:f>
        <x:v>128.52577532223495</x:v>
      </x:c>
      <x:c r="K74" s="11" t="n">
        <x:f aca="0">COUNT(E74:I74)</x:f>
        <x:v>5</x:v>
      </x:c>
      <x:c r="L74" s="49" t="n">
        <x:f aca="0">IF(AND(ISNUMBER(E74),ISNUMBER(J74)),E74-J74,"n/m")</x:f>
        <x:v>-42.16676228719119</x:v>
      </x:c>
      <x:c r="M74" s="49" t="n">
        <x:f aca="0">IF(COUNT(F74:I74)=0,"n/m",AVERAGE(F74:I74))</x:f>
        <x:v>139.06746589403275</x:v>
      </x:c>
      <x:c r="N74" s="49" t="n">
        <x:f aca="0">IF(COUNT(E74:I74)=0,"n/m",MEDIAN(E74:I74))</x:f>
        <x:v>120.37486362875428</x:v>
      </x:c>
      <x:c r="O74" s="11" t="s">
        <x:v>112</x:v>
      </x:c>
      <x:c r="P74" s="9" t="str">
        <x:f aca="0">IF(NOT(ISNUMBER(L74)),"n/m",IF(O74="Higher",IF(L74&gt;=0,"Above avg - favourable","Below avg - unfavourable"),IF(O74="Lower",IF(L74&lt;=0,"Below avg - favourable","Above avg - unfavourable"),IF(L74&gt;=0,"Above avg - context-dependent","Below avg - context-dependent"))))&amp;IF(K74&lt;5," (N="&amp;K74&amp;")","")</x:f>
        <x:v>Below avg - favourable</x:v>
      </x:c>
      <x:c r="R74" s="59" t="str">
        <x:f aca="0">IF(K74=0,"n/m",IF(ABS(J74-SUM(E74:I74)/K74)&lt;0.000000001,"OK","ERR"))</x:f>
        <x:v>OK</x:v>
      </x:c>
    </x:row>
    <x:row r="75" ht="15" hidden="0">
      <x:c r="C75" s="56" t="s">
        <x:v>117</x:v>
      </x:c>
      <x:c r="D75" s="11" t="s">
        <x:v>74</x:v>
      </x:c>
      <x:c r="E75" s="63" t="n">
        <x:f aca="0">KOHC!E150</x:f>
        <x:v>88.51732307409006</x:v>
      </x:c>
      <x:c r="F75" s="63" t="n">
        <x:f aca="0">LUCK!E150</x:f>
        <x:v>113.8158997916011</x:v>
      </x:c>
      <x:c r="G75" s="63" t="n">
        <x:f aca="0">DGKC!E150</x:f>
        <x:v>157.0772087356972</x:v>
      </x:c>
      <x:c r="H75" s="63" t="n">
        <x:f aca="0">MLCF!E150</x:f>
        <x:v>152.24880213702139</x:v>
      </x:c>
      <x:c r="I75" s="63" t="n">
        <x:f aca="0">FCCL!E150</x:f>
        <x:v>112.18423817026766</x:v>
      </x:c>
      <x:c r="J75" s="64" t="n">
        <x:f aca="0">IF(COUNT(E75:I75)=0,"n/m",AVERAGE(E75:I75))</x:f>
        <x:v>124.76869438173549</x:v>
      </x:c>
      <x:c r="K75" s="11" t="n">
        <x:f aca="0">COUNT(E75:I75)</x:f>
        <x:v>5</x:v>
      </x:c>
      <x:c r="L75" s="49" t="n">
        <x:f aca="0">IF(AND(ISNUMBER(E75),ISNUMBER(J75)),E75-J75,"n/m")</x:f>
        <x:v>-36.25137130764543</x:v>
      </x:c>
      <x:c r="M75" s="49" t="n">
        <x:f aca="0">IF(COUNT(F75:I75)=0,"n/m",AVERAGE(F75:I75))</x:f>
        <x:v>133.83153720864684</x:v>
      </x:c>
      <x:c r="N75" s="49" t="n">
        <x:f aca="0">IF(COUNT(E75:I75)=0,"n/m",MEDIAN(E75:I75))</x:f>
        <x:v>113.8158997916011</x:v>
      </x:c>
      <x:c r="O75" s="11" t="s">
        <x:v>112</x:v>
      </x:c>
      <x:c r="P75" s="9" t="str">
        <x:f aca="0">IF(NOT(ISNUMBER(L75)),"n/m",IF(O75="Higher",IF(L75&gt;=0,"Above avg - favourable","Below avg - unfavourable"),IF(O75="Lower",IF(L75&lt;=0,"Below avg - favourable","Above avg - unfavourable"),IF(L75&gt;=0,"Above avg - context-dependent","Below avg - context-dependent"))))&amp;IF(K75&lt;5," (N="&amp;K75&amp;")","")</x:f>
        <x:v>Below avg - favourable</x:v>
      </x:c>
      <x:c r="R75" s="59" t="str">
        <x:f aca="0">IF(K75=0,"n/m",IF(ABS(J75-SUM(E75:I75)/K75)&lt;0.000000001,"OK","ERR"))</x:f>
        <x:v>OK</x:v>
      </x:c>
    </x:row>
    <x:row r="76" ht="15" hidden="0">
      <x:c r="C76" s="56" t="s">
        <x:v>117</x:v>
      </x:c>
      <x:c r="D76" s="11" t="s">
        <x:v>75</x:v>
      </x:c>
      <x:c r="E76" s="63" t="n">
        <x:f aca="0">KOHC!F150</x:f>
        <x:v>95.32050082525674</x:v>
      </x:c>
      <x:c r="F76" s="63" t="n">
        <x:f aca="0">LUCK!F150</x:f>
        <x:v>117.13342729533147</x:v>
      </x:c>
      <x:c r="G76" s="63" t="n">
        <x:f aca="0">DGKC!F150</x:f>
        <x:v>157.3530580584536</x:v>
      </x:c>
      <x:c r="H76" s="63" t="n">
        <x:f aca="0">MLCF!F150</x:f>
        <x:v>135.72795979404128</x:v>
      </x:c>
      <x:c r="I76" s="63" t="n">
        <x:f aca="0">FCCL!F150</x:f>
        <x:v>133.85744190022098</x:v>
      </x:c>
      <x:c r="J76" s="64" t="n">
        <x:f aca="0">IF(COUNT(E76:I76)=0,"n/m",AVERAGE(E76:I76))</x:f>
        <x:v>127.87847757466082</x:v>
      </x:c>
      <x:c r="K76" s="11" t="n">
        <x:f aca="0">COUNT(E76:I76)</x:f>
        <x:v>5</x:v>
      </x:c>
      <x:c r="L76" s="49" t="n">
        <x:f aca="0">IF(AND(ISNUMBER(E76),ISNUMBER(J76)),E76-J76,"n/m")</x:f>
        <x:v>-32.55797674940408</x:v>
      </x:c>
      <x:c r="M76" s="49" t="n">
        <x:f aca="0">IF(COUNT(F76:I76)=0,"n/m",AVERAGE(F76:I76))</x:f>
        <x:v>136.01797176201183</x:v>
      </x:c>
      <x:c r="N76" s="49" t="n">
        <x:f aca="0">IF(COUNT(E76:I76)=0,"n/m",MEDIAN(E76:I76))</x:f>
        <x:v>133.85744190022098</x:v>
      </x:c>
      <x:c r="O76" s="11" t="s">
        <x:v>112</x:v>
      </x:c>
      <x:c r="P76" s="9" t="str">
        <x:f aca="0">IF(NOT(ISNUMBER(L76)),"n/m",IF(O76="Higher",IF(L76&gt;=0,"Above avg - favourable","Below avg - unfavourable"),IF(O76="Lower",IF(L76&lt;=0,"Below avg - favourable","Above avg - unfavourable"),IF(L76&gt;=0,"Above avg - context-dependent","Below avg - context-dependent"))))&amp;IF(K76&lt;5," (N="&amp;K76&amp;")","")</x:f>
        <x:v>Below avg - favourable</x:v>
      </x:c>
      <x:c r="R76" s="59" t="str">
        <x:f aca="0">IF(K76=0,"n/m",IF(ABS(J76-SUM(E76:I76)/K76)&lt;0.000000001,"OK","ERR"))</x:f>
        <x:v>OK</x:v>
      </x:c>
    </x:row>
    <x:row r="77" ht="15" hidden="0">
      <x:c r="C77" s="56" t="s">
        <x:v>117</x:v>
      </x:c>
      <x:c r="D77" s="11" t="s">
        <x:v>76</x:v>
      </x:c>
      <x:c r="E77" s="63" t="n">
        <x:f aca="0">KOHC!G150</x:f>
        <x:v>117.16675674129961</x:v>
      </x:c>
      <x:c r="F77" s="63" t="n">
        <x:f aca="0">LUCK!G150</x:f>
        <x:v>122.12726136329816</x:v>
      </x:c>
      <x:c r="G77" s="63" t="n">
        <x:f aca="0">DGKC!G150</x:f>
        <x:v>146.96053454668916</x:v>
      </x:c>
      <x:c r="H77" s="63" t="n">
        <x:f aca="0">MLCF!G150</x:f>
        <x:v>136.3372639838821</x:v>
      </x:c>
      <x:c r="I77" s="63" t="n">
        <x:f aca="0">FCCL!G150</x:f>
        <x:v>127.30703023703913</x:v>
      </x:c>
      <x:c r="J77" s="64" t="n">
        <x:f aca="0">IF(COUNT(E77:I77)=0,"n/m",AVERAGE(E77:I77))</x:f>
        <x:v>129.97976937444164</x:v>
      </x:c>
      <x:c r="K77" s="11" t="n">
        <x:f aca="0">COUNT(E77:I77)</x:f>
        <x:v>5</x:v>
      </x:c>
      <x:c r="L77" s="49" t="n">
        <x:f aca="0">IF(AND(ISNUMBER(E77),ISNUMBER(J77)),E77-J77,"n/m")</x:f>
        <x:v>-12.813012633142037</x:v>
      </x:c>
      <x:c r="M77" s="49" t="n">
        <x:f aca="0">IF(COUNT(F77:I77)=0,"n/m",AVERAGE(F77:I77))</x:f>
        <x:v>133.18302253272714</x:v>
      </x:c>
      <x:c r="N77" s="49" t="n">
        <x:f aca="0">IF(COUNT(E77:I77)=0,"n/m",MEDIAN(E77:I77))</x:f>
        <x:v>127.30703023703913</x:v>
      </x:c>
      <x:c r="O77" s="11" t="s">
        <x:v>112</x:v>
      </x:c>
      <x:c r="P77" s="9" t="str">
        <x:f aca="0">IF(NOT(ISNUMBER(L77)),"n/m",IF(O77="Higher",IF(L77&gt;=0,"Above avg - favourable","Below avg - unfavourable"),IF(O77="Lower",IF(L77&lt;=0,"Below avg - favourable","Above avg - unfavourable"),IF(L77&gt;=0,"Above avg - context-dependent","Below avg - context-dependent"))))&amp;IF(K77&lt;5," (N="&amp;K77&amp;")","")</x:f>
        <x:v>Below avg - favourable</x:v>
      </x:c>
      <x:c r="R77" s="59" t="str">
        <x:f aca="0">IF(K77=0,"n/m",IF(ABS(J77-SUM(E77:I77)/K77)&lt;0.000000001,"OK","ERR"))</x:f>
        <x:v>OK</x:v>
      </x:c>
    </x:row>
    <x:row r="78" ht="15" hidden="0">
      <x:c r="C78" s="56" t="s">
        <x:v>117</x:v>
      </x:c>
      <x:c r="D78" s="11" t="s">
        <x:v>77</x:v>
      </x:c>
      <x:c r="E78" s="63" t="n">
        <x:f aca="0">KOHC!H150</x:f>
        <x:v>139.1536515172909</x:v>
      </x:c>
      <x:c r="F78" s="63" t="n">
        <x:f aca="0">LUCK!H150</x:f>
        <x:v>126.00842997609742</x:v>
      </x:c>
      <x:c r="G78" s="63" t="n">
        <x:f aca="0">DGKC!H150</x:f>
        <x:v>145.25712697807643</x:v>
      </x:c>
      <x:c r="H78" s="63" t="n">
        <x:f aca="0">MLCF!H150</x:f>
        <x:v>154.2772029550199</x:v>
      </x:c>
      <x:c r="I78" s="63" t="n">
        <x:f aca="0">FCCL!H150</x:f>
        <x:v>141.02955321201802</x:v>
      </x:c>
      <x:c r="J78" s="64" t="n">
        <x:f aca="0">IF(COUNT(E78:I78)=0,"n/m",AVERAGE(E78:I78))</x:f>
        <x:v>141.14519292770055</x:v>
      </x:c>
      <x:c r="K78" s="11" t="n">
        <x:f aca="0">COUNT(E78:I78)</x:f>
        <x:v>5</x:v>
      </x:c>
      <x:c r="L78" s="49" t="n">
        <x:f aca="0">IF(AND(ISNUMBER(E78),ISNUMBER(J78)),E78-J78,"n/m")</x:f>
        <x:v>-1.9915414104096385</x:v>
      </x:c>
      <x:c r="M78" s="49" t="n">
        <x:f aca="0">IF(COUNT(F78:I78)=0,"n/m",AVERAGE(F78:I78))</x:f>
        <x:v>141.64307828030294</x:v>
      </x:c>
      <x:c r="N78" s="49" t="n">
        <x:f aca="0">IF(COUNT(E78:I78)=0,"n/m",MEDIAN(E78:I78))</x:f>
        <x:v>141.02955321201802</x:v>
      </x:c>
      <x:c r="O78" s="11" t="s">
        <x:v>112</x:v>
      </x:c>
      <x:c r="P78" s="9" t="str">
        <x:f aca="0">IF(NOT(ISNUMBER(L78)),"n/m",IF(O78="Higher",IF(L78&gt;=0,"Above avg - favourable","Below avg - unfavourable"),IF(O78="Lower",IF(L78&lt;=0,"Below avg - favourable","Above avg - unfavourable"),IF(L78&gt;=0,"Above avg - context-dependent","Below avg - context-dependent"))))&amp;IF(K78&lt;5," (N="&amp;K78&amp;")","")</x:f>
        <x:v>Below avg - favourable</x:v>
      </x:c>
      <x:c r="R78" s="59" t="str">
        <x:f aca="0">IF(K78=0,"n/m",IF(ABS(J78-SUM(E78:I78)/K78)&lt;0.000000001,"OK","ERR"))</x:f>
        <x:v>OK</x:v>
      </x:c>
    </x:row>
    <x:row r="79" ht="15" hidden="0">
      <x:c r="A79" s="54" t="s">
        <x:v>104</x:v>
      </x:c>
      <x:c r="B79" s="25" t="n">
        <x:v>13</x:v>
      </x:c>
      <x:c r="C79" s="24" t="s">
        <x:v>119</x:v>
      </x:c>
      <x:c r="D79" s="25"/>
      <x:c r="E79" s="25"/>
      <x:c r="F79" s="25"/>
      <x:c r="G79" s="25"/>
      <x:c r="H79" s="25"/>
      <x:c r="I79" s="25"/>
      <x:c r="J79" s="25"/>
      <x:c r="K79" s="25"/>
      <x:c r="L79" s="25"/>
      <x:c r="M79" s="25"/>
      <x:c r="N79" s="25"/>
      <x:c r="O79" s="25"/>
      <x:c r="P79" s="25"/>
      <x:c r="Q79" s="55"/>
      <x:c r="R79" s="25"/>
    </x:row>
    <x:row r="80" ht="15" hidden="0">
      <x:c r="C80" s="56" t="s">
        <x:v>119</x:v>
      </x:c>
      <x:c r="D80" s="11" t="s">
        <x:v>73</x:v>
      </x:c>
      <x:c r="E80" s="63" t="n">
        <x:f aca="0">KOHC!D151</x:f>
        <x:v>59.66334864328658</x:v>
      </x:c>
      <x:c r="F80" s="63" t="n">
        <x:f aca="0">LUCK!D151</x:f>
        <x:v>90.74788941203903</x:v>
      </x:c>
      <x:c r="G80" s="63" t="n">
        <x:f aca="0">DGKC!D151</x:f>
        <x:v>97.32755795260583</x:v>
      </x:c>
      <x:c r="H80" s="63" t="n">
        <x:f aca="0">MLCF!D151</x:f>
        <x:v>119.40311120965679</x:v>
      </x:c>
      <x:c r="I80" s="63" t="n">
        <x:f aca="0">FCCL!D151</x:f>
        <x:v>108.16978620747179</x:v>
      </x:c>
      <x:c r="J80" s="64" t="n">
        <x:f aca="0">IF(COUNT(E80:I80)=0,"n/m",AVERAGE(E80:I80))</x:f>
        <x:v>95.06233868501201</x:v>
      </x:c>
      <x:c r="K80" s="11" t="n">
        <x:f aca="0">COUNT(E80:I80)</x:f>
        <x:v>5</x:v>
      </x:c>
      <x:c r="L80" s="49" t="n">
        <x:f aca="0">IF(AND(ISNUMBER(E80),ISNUMBER(J80)),E80-J80,"n/m")</x:f>
        <x:v>-35.398990041725426</x:v>
      </x:c>
      <x:c r="M80" s="49" t="n">
        <x:f aca="0">IF(COUNT(F80:I80)=0,"n/m",AVERAGE(F80:I80))</x:f>
        <x:v>103.91208619544335</x:v>
      </x:c>
      <x:c r="N80" s="49" t="n">
        <x:f aca="0">IF(COUNT(E80:I80)=0,"n/m",MEDIAN(E80:I80))</x:f>
        <x:v>97.32755795260583</x:v>
      </x:c>
      <x:c r="O80" s="11" t="s">
        <x:v>112</x:v>
      </x:c>
      <x:c r="P80" s="9" t="str">
        <x:f aca="0">IF(NOT(ISNUMBER(L80)),"n/m",IF(O80="Higher",IF(L80&gt;=0,"Above avg - favourable","Below avg - unfavourable"),IF(O80="Lower",IF(L80&lt;=0,"Below avg - favourable","Above avg - unfavourable"),IF(L80&gt;=0,"Above avg - context-dependent","Below avg - context-dependent"))))&amp;IF(K80&lt;5," (N="&amp;K80&amp;")","")</x:f>
        <x:v>Below avg - favourable</x:v>
      </x:c>
      <x:c r="R80" s="59" t="str">
        <x:f aca="0">IF(K80=0,"n/m",IF(ABS(J80-SUM(E80:I80)/K80)&lt;0.000000001,"OK","ERR"))</x:f>
        <x:v>OK</x:v>
      </x:c>
    </x:row>
    <x:row r="81" ht="15" hidden="0">
      <x:c r="C81" s="56" t="s">
        <x:v>119</x:v>
      </x:c>
      <x:c r="D81" s="11" t="s">
        <x:v>74</x:v>
      </x:c>
      <x:c r="E81" s="63" t="n">
        <x:f aca="0">KOHC!E151</x:f>
        <x:v>66.07219583568286</x:v>
      </x:c>
      <x:c r="F81" s="63" t="n">
        <x:f aca="0">LUCK!E151</x:f>
        <x:v>94.37733461469227</x:v>
      </x:c>
      <x:c r="G81" s="63" t="n">
        <x:f aca="0">DGKC!E151</x:f>
        <x:v>113.97054065366663</x:v>
      </x:c>
      <x:c r="H81" s="63" t="n">
        <x:f aca="0">MLCF!E151</x:f>
        <x:v>114.52880667071781</x:v>
      </x:c>
      <x:c r="I81" s="63" t="n">
        <x:f aca="0">FCCL!E151</x:f>
        <x:v>95.4952772743396</x:v>
      </x:c>
      <x:c r="J81" s="64" t="n">
        <x:f aca="0">IF(COUNT(E81:I81)=0,"n/m",AVERAGE(E81:I81))</x:f>
        <x:v>96.88883100981984</x:v>
      </x:c>
      <x:c r="K81" s="11" t="n">
        <x:f aca="0">COUNT(E81:I81)</x:f>
        <x:v>5</x:v>
      </x:c>
      <x:c r="L81" s="49" t="n">
        <x:f aca="0">IF(AND(ISNUMBER(E81),ISNUMBER(J81)),E81-J81,"n/m")</x:f>
        <x:v>-30.816635174136977</x:v>
      </x:c>
      <x:c r="M81" s="49" t="n">
        <x:f aca="0">IF(COUNT(F81:I81)=0,"n/m",AVERAGE(F81:I81))</x:f>
        <x:v>104.59298980335407</x:v>
      </x:c>
      <x:c r="N81" s="49" t="n">
        <x:f aca="0">IF(COUNT(E81:I81)=0,"n/m",MEDIAN(E81:I81))</x:f>
        <x:v>95.4952772743396</x:v>
      </x:c>
      <x:c r="O81" s="11" t="s">
        <x:v>112</x:v>
      </x:c>
      <x:c r="P81" s="9" t="str">
        <x:f aca="0">IF(NOT(ISNUMBER(L81)),"n/m",IF(O81="Higher",IF(L81&gt;=0,"Above avg - favourable","Below avg - unfavourable"),IF(O81="Lower",IF(L81&lt;=0,"Below avg - favourable","Above avg - unfavourable"),IF(L81&gt;=0,"Above avg - context-dependent","Below avg - context-dependent"))))&amp;IF(K81&lt;5," (N="&amp;K81&amp;")","")</x:f>
        <x:v>Below avg - favourable</x:v>
      </x:c>
      <x:c r="R81" s="59" t="str">
        <x:f aca="0">IF(K81=0,"n/m",IF(ABS(J81-SUM(E81:I81)/K81)&lt;0.000000001,"OK","ERR"))</x:f>
        <x:v>OK</x:v>
      </x:c>
    </x:row>
    <x:row r="82" ht="15" hidden="0">
      <x:c r="C82" s="56" t="s">
        <x:v>119</x:v>
      </x:c>
      <x:c r="D82" s="11" t="s">
        <x:v>75</x:v>
      </x:c>
      <x:c r="E82" s="63" t="n">
        <x:f aca="0">KOHC!F151</x:f>
        <x:v>82.78887616309285</x:v>
      </x:c>
      <x:c r="F82" s="63" t="n">
        <x:f aca="0">LUCK!F151</x:f>
        <x:v>95.20473922370724</x:v>
      </x:c>
      <x:c r="G82" s="63" t="n">
        <x:f aca="0">DGKC!F151</x:f>
        <x:v>123.10632996704659</x:v>
      </x:c>
      <x:c r="H82" s="63" t="n">
        <x:f aca="0">MLCF!F151</x:f>
        <x:v>99.22926176484866</x:v>
      </x:c>
      <x:c r="I82" s="63" t="n">
        <x:f aca="0">FCCL!F151</x:f>
        <x:v>113.53363711445124</x:v>
      </x:c>
      <x:c r="J82" s="64" t="n">
        <x:f aca="0">IF(COUNT(E82:I82)=0,"n/m",AVERAGE(E82:I82))</x:f>
        <x:v>102.77256884662931</x:v>
      </x:c>
      <x:c r="K82" s="11" t="n">
        <x:f aca="0">COUNT(E82:I82)</x:f>
        <x:v>5</x:v>
      </x:c>
      <x:c r="L82" s="49" t="n">
        <x:f aca="0">IF(AND(ISNUMBER(E82),ISNUMBER(J82)),E82-J82,"n/m")</x:f>
        <x:v>-19.98369268353646</x:v>
      </x:c>
      <x:c r="M82" s="49" t="n">
        <x:f aca="0">IF(COUNT(F82:I82)=0,"n/m",AVERAGE(F82:I82))</x:f>
        <x:v>107.76849201751344</x:v>
      </x:c>
      <x:c r="N82" s="49" t="n">
        <x:f aca="0">IF(COUNT(E82:I82)=0,"n/m",MEDIAN(E82:I82))</x:f>
        <x:v>99.22926176484866</x:v>
      </x:c>
      <x:c r="O82" s="11" t="s">
        <x:v>112</x:v>
      </x:c>
      <x:c r="P82" s="9" t="str">
        <x:f aca="0">IF(NOT(ISNUMBER(L82)),"n/m",IF(O82="Higher",IF(L82&gt;=0,"Above avg - favourable","Below avg - unfavourable"),IF(O82="Lower",IF(L82&lt;=0,"Below avg - favourable","Above avg - unfavourable"),IF(L82&gt;=0,"Above avg - context-dependent","Below avg - context-dependent"))))&amp;IF(K82&lt;5," (N="&amp;K82&amp;")","")</x:f>
        <x:v>Below avg - favourable</x:v>
      </x:c>
      <x:c r="R82" s="59" t="str">
        <x:f aca="0">IF(K82=0,"n/m",IF(ABS(J82-SUM(E82:I82)/K82)&lt;0.000000001,"OK","ERR"))</x:f>
        <x:v>OK</x:v>
      </x:c>
    </x:row>
    <x:row r="83" ht="15" hidden="0">
      <x:c r="C83" s="56" t="s">
        <x:v>119</x:v>
      </x:c>
      <x:c r="D83" s="11" t="s">
        <x:v>76</x:v>
      </x:c>
      <x:c r="E83" s="63" t="n">
        <x:f aca="0">KOHC!G151</x:f>
        <x:v>100.80234556959385</x:v>
      </x:c>
      <x:c r="F83" s="63" t="n">
        <x:f aca="0">LUCK!G151</x:f>
        <x:v>93.02401833141005</x:v>
      </x:c>
      <x:c r="G83" s="63" t="n">
        <x:f aca="0">DGKC!G151</x:f>
        <x:v>108.89985368796259</x:v>
      </x:c>
      <x:c r="H83" s="63" t="n">
        <x:f aca="0">MLCF!G151</x:f>
        <x:v>98.70617640890859</x:v>
      </x:c>
      <x:c r="I83" s="63" t="n">
        <x:f aca="0">FCCL!G151</x:f>
        <x:v>109.34104725924954</x:v>
      </x:c>
      <x:c r="J83" s="64" t="n">
        <x:f aca="0">IF(COUNT(E83:I83)=0,"n/m",AVERAGE(E83:I83))</x:f>
        <x:v>102.15468825142493</x:v>
      </x:c>
      <x:c r="K83" s="11" t="n">
        <x:f aca="0">COUNT(E83:I83)</x:f>
        <x:v>5</x:v>
      </x:c>
      <x:c r="L83" s="49" t="n">
        <x:f aca="0">IF(AND(ISNUMBER(E83),ISNUMBER(J83)),E83-J83,"n/m")</x:f>
        <x:v>-1.3523426818310753</x:v>
      </x:c>
      <x:c r="M83" s="49" t="n">
        <x:f aca="0">IF(COUNT(F83:I83)=0,"n/m",AVERAGE(F83:I83))</x:f>
        <x:v>102.4927739218827</x:v>
      </x:c>
      <x:c r="N83" s="49" t="n">
        <x:f aca="0">IF(COUNT(E83:I83)=0,"n/m",MEDIAN(E83:I83))</x:f>
        <x:v>100.80234556959385</x:v>
      </x:c>
      <x:c r="O83" s="11" t="s">
        <x:v>112</x:v>
      </x:c>
      <x:c r="P83" s="9" t="str">
        <x:f aca="0">IF(NOT(ISNUMBER(L83)),"n/m",IF(O83="Higher",IF(L83&gt;=0,"Above avg - favourable","Below avg - unfavourable"),IF(O83="Lower",IF(L83&lt;=0,"Below avg - favourable","Above avg - unfavourable"),IF(L83&gt;=0,"Above avg - context-dependent","Below avg - context-dependent"))))&amp;IF(K83&lt;5," (N="&amp;K83&amp;")","")</x:f>
        <x:v>Below avg - favourable</x:v>
      </x:c>
      <x:c r="R83" s="59" t="str">
        <x:f aca="0">IF(K83=0,"n/m",IF(ABS(J83-SUM(E83:I83)/K83)&lt;0.000000001,"OK","ERR"))</x:f>
        <x:v>OK</x:v>
      </x:c>
    </x:row>
    <x:row r="84" ht="15" hidden="0">
      <x:c r="C84" s="56" t="s">
        <x:v>119</x:v>
      </x:c>
      <x:c r="D84" s="11" t="s">
        <x:v>77</x:v>
      </x:c>
      <x:c r="E84" s="63" t="n">
        <x:f aca="0">KOHC!H151</x:f>
        <x:v>108.04716265276964</x:v>
      </x:c>
      <x:c r="F84" s="63" t="n">
        <x:f aca="0">LUCK!H151</x:f>
        <x:v>95.67813071445951</x:v>
      </x:c>
      <x:c r="G84" s="63" t="n">
        <x:f aca="0">DGKC!H151</x:f>
        <x:v>114.67287204684446</x:v>
      </x:c>
      <x:c r="H84" s="63" t="n">
        <x:f aca="0">MLCF!H151</x:f>
        <x:v>112.1003549942768</x:v>
      </x:c>
      <x:c r="I84" s="63" t="n">
        <x:f aca="0">FCCL!H151</x:f>
        <x:v>125.8888849956775</x:v>
      </x:c>
      <x:c r="J84" s="64" t="n">
        <x:f aca="0">IF(COUNT(E84:I84)=0,"n/m",AVERAGE(E84:I84))</x:f>
        <x:v>111.27748108080559</x:v>
      </x:c>
      <x:c r="K84" s="11" t="n">
        <x:f aca="0">COUNT(E84:I84)</x:f>
        <x:v>5</x:v>
      </x:c>
      <x:c r="L84" s="49" t="n">
        <x:f aca="0">IF(AND(ISNUMBER(E84),ISNUMBER(J84)),E84-J84,"n/m")</x:f>
        <x:v>-3.230318428035943</x:v>
      </x:c>
      <x:c r="M84" s="49" t="n">
        <x:f aca="0">IF(COUNT(F84:I84)=0,"n/m",AVERAGE(F84:I84))</x:f>
        <x:v>112.08506068781458</x:v>
      </x:c>
      <x:c r="N84" s="49" t="n">
        <x:f aca="0">IF(COUNT(E84:I84)=0,"n/m",MEDIAN(E84:I84))</x:f>
        <x:v>112.1003549942768</x:v>
      </x:c>
      <x:c r="O84" s="11" t="s">
        <x:v>112</x:v>
      </x:c>
      <x:c r="P84" s="9" t="str">
        <x:f aca="0">IF(NOT(ISNUMBER(L84)),"n/m",IF(O84="Higher",IF(L84&gt;=0,"Above avg - favourable","Below avg - unfavourable"),IF(O84="Lower",IF(L84&lt;=0,"Below avg - favourable","Above avg - unfavourable"),IF(L84&gt;=0,"Above avg - context-dependent","Below avg - context-dependent"))))&amp;IF(K84&lt;5," (N="&amp;K84&amp;")","")</x:f>
        <x:v>Below avg - favourable</x:v>
      </x:c>
      <x:c r="R84" s="59" t="str">
        <x:f aca="0">IF(K84=0,"n/m",IF(ABS(J84-SUM(E84:I84)/K84)&lt;0.000000001,"OK","ERR"))</x:f>
        <x:v>OK</x:v>
      </x:c>
    </x:row>
    <x:row r="85" ht="15" hidden="0">
      <x:c r="A85" s="54" t="s">
        <x:v>104</x:v>
      </x:c>
      <x:c r="B85" s="25" t="n">
        <x:v>14</x:v>
      </x:c>
      <x:c r="C85" s="24" t="s">
        <x:v>121</x:v>
      </x:c>
      <x:c r="D85" s="25"/>
      <x:c r="E85" s="25"/>
      <x:c r="F85" s="25"/>
      <x:c r="G85" s="25"/>
      <x:c r="H85" s="25"/>
      <x:c r="I85" s="25"/>
      <x:c r="J85" s="25"/>
      <x:c r="K85" s="25"/>
      <x:c r="L85" s="25"/>
      <x:c r="M85" s="25"/>
      <x:c r="N85" s="25"/>
      <x:c r="O85" s="25"/>
      <x:c r="P85" s="25"/>
      <x:c r="Q85" s="55"/>
      <x:c r="R85" s="25"/>
    </x:row>
    <x:row r="86" ht="15" hidden="0">
      <x:c r="C86" s="56" t="s">
        <x:v>121</x:v>
      </x:c>
      <x:c r="D86" s="11" t="s">
        <x:v>73</x:v>
      </x:c>
      <x:c r="E86" s="57" t="n">
        <x:f aca="0">KOHC!D152</x:f>
        <x:v>0.7092011621843222</x:v>
      </x:c>
      <x:c r="F86" s="57" t="n">
        <x:f aca="0">LUCK!D152</x:f>
        <x:v>0.43075247100519976</x:v>
      </x:c>
      <x:c r="G86" s="57" t="n">
        <x:f aca="0">DGKC!D152</x:f>
        <x:v>0.337321560534536</x:v>
      </x:c>
      <x:c r="H86" s="57" t="n">
        <x:f aca="0">MLCF!D152</x:f>
        <x:v>0.5374450896807583</x:v>
      </x:c>
      <x:c r="I86" s="57" t="n">
        <x:f aca="0">FCCL!D152</x:f>
        <x:v>0.7673483591494026</x:v>
      </x:c>
      <x:c r="J86" s="58" t="n">
        <x:f aca="0">IF(COUNT(E86:I86)=0,"n/m",AVERAGE(E86:I86))</x:f>
        <x:v>0.5564137285108437</x:v>
      </x:c>
      <x:c r="K86" s="11" t="n">
        <x:f aca="0">COUNT(E86:I86)</x:f>
        <x:v>5</x:v>
      </x:c>
      <x:c r="L86" s="46" t="n">
        <x:f aca="0">IF(AND(ISNUMBER(E86),ISNUMBER(J86)),E86-J86,"n/m")</x:f>
        <x:v>0.15278743367347847</x:v>
      </x:c>
      <x:c r="M86" s="46" t="n">
        <x:f aca="0">IF(COUNT(F86:I86)=0,"n/m",AVERAGE(F86:I86))</x:f>
        <x:v>0.5182168700924741</x:v>
      </x:c>
      <x:c r="N86" s="46" t="n">
        <x:f aca="0">IF(COUNT(E86:I86)=0,"n/m",MEDIAN(E86:I86))</x:f>
        <x:v>0.5374450896807583</x:v>
      </x:c>
      <x:c r="O86" s="11" t="s">
        <x:v>90</x:v>
      </x:c>
      <x:c r="P86" s="9" t="str">
        <x:f aca="0">IF(NOT(ISNUMBER(L86)),"n/m",IF(O86="Higher",IF(L86&gt;=0,"Above avg - favourable","Below avg - unfavourable"),IF(O86="Lower",IF(L86&lt;=0,"Below avg - favourable","Above avg - unfavourable"),IF(L86&gt;=0,"Above avg - context-dependent","Below avg - context-dependent"))))&amp;IF(K86&lt;5," (N="&amp;K86&amp;")","")</x:f>
        <x:v>Above avg - favourable</x:v>
      </x:c>
      <x:c r="R86" s="59" t="str">
        <x:f aca="0">IF(K86=0,"n/m",IF(ABS(J86-SUM(E86:I86)/K86)&lt;0.000000001,"OK","ERR"))</x:f>
        <x:v>OK</x:v>
      </x:c>
    </x:row>
    <x:row r="87" ht="15" hidden="0">
      <x:c r="C87" s="56" t="s">
        <x:v>121</x:v>
      </x:c>
      <x:c r="D87" s="11" t="s">
        <x:v>74</x:v>
      </x:c>
      <x:c r="E87" s="57" t="n">
        <x:f aca="0">KOHC!E152</x:f>
        <x:v>0.8277428727778264</x:v>
      </x:c>
      <x:c r="F87" s="57" t="n">
        <x:f aca="0">LUCK!E152</x:f>
        <x:v>0.4751614147030488</x:v>
      </x:c>
      <x:c r="G87" s="57" t="n">
        <x:f aca="0">DGKC!E152</x:f>
        <x:v>0.42297281053904634</x:v>
      </x:c>
      <x:c r="H87" s="57" t="n">
        <x:f aca="0">MLCF!E152</x:f>
        <x:v>0.6536676591930263</x:v>
      </x:c>
      <x:c r="I87" s="57" t="n">
        <x:f aca="0">FCCL!E152</x:f>
        <x:v>0.7342538737719585</x:v>
      </x:c>
      <x:c r="J87" s="58" t="n">
        <x:f aca="0">IF(COUNT(E87:I87)=0,"n/m",AVERAGE(E87:I87))</x:f>
        <x:v>0.6227597261969813</x:v>
      </x:c>
      <x:c r="K87" s="11" t="n">
        <x:f aca="0">COUNT(E87:I87)</x:f>
        <x:v>5</x:v>
      </x:c>
      <x:c r="L87" s="46" t="n">
        <x:f aca="0">IF(AND(ISNUMBER(E87),ISNUMBER(J87)),E87-J87,"n/m")</x:f>
        <x:v>0.20498314658084515</x:v>
      </x:c>
      <x:c r="M87" s="46" t="n">
        <x:f aca="0">IF(COUNT(F87:I87)=0,"n/m",AVERAGE(F87:I87))</x:f>
        <x:v>0.57151393955177</x:v>
      </x:c>
      <x:c r="N87" s="46" t="n">
        <x:f aca="0">IF(COUNT(E87:I87)=0,"n/m",MEDIAN(E87:I87))</x:f>
        <x:v>0.6536676591930263</x:v>
      </x:c>
      <x:c r="O87" s="11" t="s">
        <x:v>90</x:v>
      </x:c>
      <x:c r="P87" s="9" t="str">
        <x:f aca="0">IF(NOT(ISNUMBER(L87)),"n/m",IF(O87="Higher",IF(L87&gt;=0,"Above avg - favourable","Below avg - unfavourable"),IF(O87="Lower",IF(L87&lt;=0,"Below avg - favourable","Above avg - unfavourable"),IF(L87&gt;=0,"Above avg - context-dependent","Below avg - context-dependent"))))&amp;IF(K87&lt;5," (N="&amp;K87&amp;")","")</x:f>
        <x:v>Above avg - favourable</x:v>
      </x:c>
      <x:c r="R87" s="59" t="str">
        <x:f aca="0">IF(K87=0,"n/m",IF(ABS(J87-SUM(E87:I87)/K87)&lt;0.000000001,"OK","ERR"))</x:f>
        <x:v>OK</x:v>
      </x:c>
    </x:row>
    <x:row r="88" ht="15" hidden="0">
      <x:c r="C88" s="56" t="s">
        <x:v>121</x:v>
      </x:c>
      <x:c r="D88" s="11" t="s">
        <x:v>75</x:v>
      </x:c>
      <x:c r="E88" s="57" t="n">
        <x:f aca="0">KOHC!F152</x:f>
        <x:v>0.838099135080987</x:v>
      </x:c>
      <x:c r="F88" s="57" t="n">
        <x:f aca="0">LUCK!F152</x:f>
        <x:v>0.4815184479475107</x:v>
      </x:c>
      <x:c r="G88" s="57" t="n">
        <x:f aca="0">DGKC!F152</x:f>
        <x:v>0.47909875248597583</x:v>
      </x:c>
      <x:c r="H88" s="57" t="n">
        <x:f aca="0">MLCF!F152</x:f>
        <x:v>0.7221331478723996</x:v>
      </x:c>
      <x:c r="I88" s="57" t="n">
        <x:f aca="0">FCCL!F152</x:f>
        <x:v>0.5391058922773014</x:v>
      </x:c>
      <x:c r="J88" s="58" t="n">
        <x:f aca="0">IF(COUNT(E88:I88)=0,"n/m",AVERAGE(E88:I88))</x:f>
        <x:v>0.6119910751328349</x:v>
      </x:c>
      <x:c r="K88" s="11" t="n">
        <x:f aca="0">COUNT(E88:I88)</x:f>
        <x:v>5</x:v>
      </x:c>
      <x:c r="L88" s="46" t="n">
        <x:f aca="0">IF(AND(ISNUMBER(E88),ISNUMBER(J88)),E88-J88,"n/m")</x:f>
        <x:v>0.22610805994815208</x:v>
      </x:c>
      <x:c r="M88" s="46" t="n">
        <x:f aca="0">IF(COUNT(F88:I88)=0,"n/m",AVERAGE(F88:I88))</x:f>
        <x:v>0.5554640601457969</x:v>
      </x:c>
      <x:c r="N88" s="46" t="n">
        <x:f aca="0">IF(COUNT(E88:I88)=0,"n/m",MEDIAN(E88:I88))</x:f>
        <x:v>0.5391058922773014</x:v>
      </x:c>
      <x:c r="O88" s="11" t="s">
        <x:v>90</x:v>
      </x:c>
      <x:c r="P88" s="9" t="str">
        <x:f aca="0">IF(NOT(ISNUMBER(L88)),"n/m",IF(O88="Higher",IF(L88&gt;=0,"Above avg - favourable","Below avg - unfavourable"),IF(O88="Lower",IF(L88&lt;=0,"Below avg - favourable","Above avg - unfavourable"),IF(L88&gt;=0,"Above avg - context-dependent","Below avg - context-dependent"))))&amp;IF(K88&lt;5," (N="&amp;K88&amp;")","")</x:f>
        <x:v>Above avg - favourable</x:v>
      </x:c>
      <x:c r="R88" s="59" t="str">
        <x:f aca="0">IF(K88=0,"n/m",IF(ABS(J88-SUM(E88:I88)/K88)&lt;0.000000001,"OK","ERR"))</x:f>
        <x:v>OK</x:v>
      </x:c>
    </x:row>
    <x:row r="89" ht="15" hidden="0">
      <x:c r="C89" s="56" t="s">
        <x:v>121</x:v>
      </x:c>
      <x:c r="D89" s="11" t="s">
        <x:v>76</x:v>
      </x:c>
      <x:c r="E89" s="57" t="n">
        <x:f aca="0">KOHC!G152</x:f>
        <x:v>0.7132336607672219</x:v>
      </x:c>
      <x:c r="F89" s="57" t="n">
        <x:f aca="0">LUCK!G152</x:f>
        <x:v>0.5158831372305058</x:v>
      </x:c>
      <x:c r="G89" s="57" t="n">
        <x:f aca="0">DGKC!G152</x:f>
        <x:v>0.48362452491954855</x:v>
      </x:c>
      <x:c r="H89" s="57" t="n">
        <x:f aca="0">MLCF!G152</x:f>
        <x:v>0.7029264873878895</x:v>
      </x:c>
      <x:c r="I89" s="57" t="n">
        <x:f aca="0">FCCL!G152</x:f>
        <x:v>0.5587159547520806</x:v>
      </x:c>
      <x:c r="J89" s="58" t="n">
        <x:f aca="0">IF(COUNT(E89:I89)=0,"n/m",AVERAGE(E89:I89))</x:f>
        <x:v>0.5948767530114493</x:v>
      </x:c>
      <x:c r="K89" s="11" t="n">
        <x:f aca="0">COUNT(E89:I89)</x:f>
        <x:v>5</x:v>
      </x:c>
      <x:c r="L89" s="46" t="n">
        <x:f aca="0">IF(AND(ISNUMBER(E89),ISNUMBER(J89)),E89-J89,"n/m")</x:f>
        <x:v>0.11835690775577268</x:v>
      </x:c>
      <x:c r="M89" s="46" t="n">
        <x:f aca="0">IF(COUNT(F89:I89)=0,"n/m",AVERAGE(F89:I89))</x:f>
        <x:v>0.5652875260725061</x:v>
      </x:c>
      <x:c r="N89" s="46" t="n">
        <x:f aca="0">IF(COUNT(E89:I89)=0,"n/m",MEDIAN(E89:I89))</x:f>
        <x:v>0.5587159547520806</x:v>
      </x:c>
      <x:c r="O89" s="11" t="s">
        <x:v>90</x:v>
      </x:c>
      <x:c r="P89" s="9" t="str">
        <x:f aca="0">IF(NOT(ISNUMBER(L89)),"n/m",IF(O89="Higher",IF(L89&gt;=0,"Above avg - favourable","Below avg - unfavourable"),IF(O89="Lower",IF(L89&lt;=0,"Below avg - favourable","Above avg - unfavourable"),IF(L89&gt;=0,"Above avg - context-dependent","Below avg - context-dependent"))))&amp;IF(K89&lt;5," (N="&amp;K89&amp;")","")</x:f>
        <x:v>Above avg - favourable</x:v>
      </x:c>
      <x:c r="R89" s="59" t="str">
        <x:f aca="0">IF(K89=0,"n/m",IF(ABS(J89-SUM(E89:I89)/K89)&lt;0.000000001,"OK","ERR"))</x:f>
        <x:v>OK</x:v>
      </x:c>
    </x:row>
    <x:row r="90" ht="15" hidden="0">
      <x:c r="C90" s="56" t="s">
        <x:v>121</x:v>
      </x:c>
      <x:c r="D90" s="11" t="s">
        <x:v>77</x:v>
      </x:c>
      <x:c r="E90" s="57" t="n">
        <x:f aca="0">KOHC!H152</x:f>
        <x:v>0.59752332567838</x:v>
      </x:c>
      <x:c r="F90" s="57" t="n">
        <x:f aca="0">LUCK!H152</x:f>
        <x:v>0.49728501600707337</x:v>
      </x:c>
      <x:c r="G90" s="57" t="n">
        <x:f aca="0">DGKC!H152</x:f>
        <x:v>0.5057355687914292</x:v>
      </x:c>
      <x:c r="H90" s="57" t="n">
        <x:f aca="0">MLCF!H152</x:f>
        <x:v>0.6311331505330572</x:v>
      </x:c>
      <x:c r="I90" s="57" t="n">
        <x:f aca="0">FCCL!H152</x:f>
        <x:v>0.576736892706269</x:v>
      </x:c>
      <x:c r="J90" s="58" t="n">
        <x:f aca="0">IF(COUNT(E90:I90)=0,"n/m",AVERAGE(E90:I90))</x:f>
        <x:v>0.5616827907432418</x:v>
      </x:c>
      <x:c r="K90" s="11" t="n">
        <x:f aca="0">COUNT(E90:I90)</x:f>
        <x:v>5</x:v>
      </x:c>
      <x:c r="L90" s="46" t="n">
        <x:f aca="0">IF(AND(ISNUMBER(E90),ISNUMBER(J90)),E90-J90,"n/m")</x:f>
        <x:v>0.03584053493513817</x:v>
      </x:c>
      <x:c r="M90" s="46" t="n">
        <x:f aca="0">IF(COUNT(F90:I90)=0,"n/m",AVERAGE(F90:I90))</x:f>
        <x:v>0.5527226570094572</x:v>
      </x:c>
      <x:c r="N90" s="46" t="n">
        <x:f aca="0">IF(COUNT(E90:I90)=0,"n/m",MEDIAN(E90:I90))</x:f>
        <x:v>0.576736892706269</x:v>
      </x:c>
      <x:c r="O90" s="11" t="s">
        <x:v>90</x:v>
      </x:c>
      <x:c r="P90" s="9" t="str">
        <x:f aca="0">IF(NOT(ISNUMBER(L90)),"n/m",IF(O90="Higher",IF(L90&gt;=0,"Above avg - favourable","Below avg - unfavourable"),IF(O90="Lower",IF(L90&lt;=0,"Below avg - favourable","Above avg - unfavourable"),IF(L90&gt;=0,"Above avg - context-dependent","Below avg - context-dependent"))))&amp;IF(K90&lt;5," (N="&amp;K90&amp;")","")</x:f>
        <x:v>Above avg - favourable</x:v>
      </x:c>
      <x:c r="R90" s="59" t="str">
        <x:f aca="0">IF(K90=0,"n/m",IF(ABS(J90-SUM(E90:I90)/K90)&lt;0.000000001,"OK","ERR"))</x:f>
        <x:v>OK</x:v>
      </x:c>
    </x:row>
    <x:row r="91" ht="15" hidden="0">
      <x:c r="A91" s="54" t="s">
        <x:v>104</x:v>
      </x:c>
      <x:c r="B91" s="25" t="n">
        <x:v>15</x:v>
      </x:c>
      <x:c r="C91" s="24" t="s">
        <x:v>123</x:v>
      </x:c>
      <x:c r="D91" s="25"/>
      <x:c r="E91" s="25"/>
      <x:c r="F91" s="25"/>
      <x:c r="G91" s="25"/>
      <x:c r="H91" s="25"/>
      <x:c r="I91" s="25"/>
      <x:c r="J91" s="25"/>
      <x:c r="K91" s="25"/>
      <x:c r="L91" s="25"/>
      <x:c r="M91" s="25"/>
      <x:c r="N91" s="25"/>
      <x:c r="O91" s="25"/>
      <x:c r="P91" s="25"/>
      <x:c r="Q91" s="55" t="s">
        <x:v>1052</x:v>
      </x:c>
      <x:c r="R91" s="25"/>
    </x:row>
    <x:row r="92" ht="15" hidden="0">
      <x:c r="C92" s="56" t="s">
        <x:v>123</x:v>
      </x:c>
      <x:c r="D92" s="11" t="s">
        <x:v>73</x:v>
      </x:c>
      <x:c r="E92" s="57" t="n">
        <x:f aca="0">KOHC!D153</x:f>
        <x:v>1.0844791007988606</x:v>
      </x:c>
      <x:c r="F92" s="57" t="n">
        <x:f aca="0">LUCK!D153</x:f>
        <x:v>1.064193408439223</x:v>
      </x:c>
      <x:c r="G92" s="57" t="n">
        <x:f aca="0">DGKC!D153</x:f>
        <x:v>0.5840225528925309</x:v>
      </x:c>
      <x:c r="H92" s="57" t="n">
        <x:f aca="0">MLCF!D153</x:f>
        <x:v>0.838288069294308</x:v>
      </x:c>
      <x:c r="I92" s="57" t="n">
        <x:f aca="0">FCCL!D153</x:f>
        <x:v>1.121529000686929</x:v>
      </x:c>
      <x:c r="J92" s="58" t="n">
        <x:f aca="0">IF(COUNT(E92:I92)=0,"n/m",AVERAGE(E92:I92))</x:f>
        <x:v>0.9385024264223703</x:v>
      </x:c>
      <x:c r="K92" s="11" t="n">
        <x:f aca="0">COUNT(E92:I92)</x:f>
        <x:v>5</x:v>
      </x:c>
      <x:c r="L92" s="46" t="n">
        <x:f aca="0">IF(AND(ISNUMBER(E92),ISNUMBER(J92)),E92-J92,"n/m")</x:f>
        <x:v>0.1459766743764903</x:v>
      </x:c>
      <x:c r="M92" s="46" t="n">
        <x:f aca="0">IF(COUNT(F92:I92)=0,"n/m",AVERAGE(F92:I92))</x:f>
        <x:v>0.9020082578282477</x:v>
      </x:c>
      <x:c r="N92" s="46" t="n">
        <x:f aca="0">IF(COUNT(E92:I92)=0,"n/m",MEDIAN(E92:I92))</x:f>
        <x:v>1.064193408439223</x:v>
      </x:c>
      <x:c r="O92" s="11" t="s">
        <x:v>90</x:v>
      </x:c>
      <x:c r="P92" s="9" t="str">
        <x:f aca="0">IF(NOT(ISNUMBER(L92)),"n/m",IF(O92="Higher",IF(L92&gt;=0,"Above avg - favourable","Below avg - unfavourable"),IF(O92="Lower",IF(L92&lt;=0,"Below avg - favourable","Above avg - unfavourable"),IF(L92&gt;=0,"Above avg - context-dependent","Below avg - context-dependent"))))&amp;IF(K92&lt;5," (N="&amp;K92&amp;")","")</x:f>
        <x:v>Above avg - favourable</x:v>
      </x:c>
      <x:c r="R92" s="59" t="str">
        <x:f aca="0">IF(K92=0,"n/m",IF(ABS(J92-SUM(E92:I92)/K92)&lt;0.000000001,"OK","ERR"))</x:f>
        <x:v>OK</x:v>
      </x:c>
    </x:row>
    <x:row r="93" ht="15" hidden="0">
      <x:c r="C93" s="56" t="s">
        <x:v>123</x:v>
      </x:c>
      <x:c r="D93" s="11" t="s">
        <x:v>74</x:v>
      </x:c>
      <x:c r="E93" s="57" t="n">
        <x:f aca="0">KOHC!E153</x:f>
        <x:v>1.5307978904973403</x:v>
      </x:c>
      <x:c r="F93" s="57" t="n">
        <x:f aca="0">LUCK!E153</x:f>
        <x:v>1.3656161868044014</x:v>
      </x:c>
      <x:c r="G93" s="57" t="n">
        <x:f aca="0">DGKC!E153</x:f>
        <x:v>0.7284023454374957</x:v>
      </x:c>
      <x:c r="H93" s="57" t="n">
        <x:f aca="0">MLCF!E153</x:f>
        <x:v>1.172066585205955</x:v>
      </x:c>
      <x:c r="I93" s="57" t="n">
        <x:f aca="0">FCCL!E153</x:f>
        <x:v>1.6551596506379742</x:v>
      </x:c>
      <x:c r="J93" s="58" t="n">
        <x:f aca="0">IF(COUNT(E93:I93)=0,"n/m",AVERAGE(E93:I93))</x:f>
        <x:v>1.2904085317166332</x:v>
      </x:c>
      <x:c r="K93" s="11" t="n">
        <x:f aca="0">COUNT(E93:I93)</x:f>
        <x:v>5</x:v>
      </x:c>
      <x:c r="L93" s="46" t="n">
        <x:f aca="0">IF(AND(ISNUMBER(E93),ISNUMBER(J93)),E93-J93,"n/m")</x:f>
        <x:v>0.2403893587807071</x:v>
      </x:c>
      <x:c r="M93" s="46" t="n">
        <x:f aca="0">IF(COUNT(F93:I93)=0,"n/m",AVERAGE(F93:I93))</x:f>
        <x:v>1.2303111920214564</x:v>
      </x:c>
      <x:c r="N93" s="46" t="n">
        <x:f aca="0">IF(COUNT(E93:I93)=0,"n/m",MEDIAN(E93:I93))</x:f>
        <x:v>1.3656161868044014</x:v>
      </x:c>
      <x:c r="O93" s="11" t="s">
        <x:v>90</x:v>
      </x:c>
      <x:c r="P93" s="9" t="str">
        <x:f aca="0">IF(NOT(ISNUMBER(L93)),"n/m",IF(O93="Higher",IF(L93&gt;=0,"Above avg - favourable","Below avg - unfavourable"),IF(O93="Lower",IF(L93&lt;=0,"Below avg - favourable","Above avg - unfavourable"),IF(L93&gt;=0,"Above avg - context-dependent","Below avg - context-dependent"))))&amp;IF(K93&lt;5," (N="&amp;K93&amp;")","")</x:f>
        <x:v>Above avg - favourable</x:v>
      </x:c>
      <x:c r="R93" s="59" t="str">
        <x:f aca="0">IF(K93=0,"n/m",IF(ABS(J93-SUM(E93:I93)/K93)&lt;0.000000001,"OK","ERR"))</x:f>
        <x:v>OK</x:v>
      </x:c>
    </x:row>
    <x:row r="94" ht="15" hidden="0">
      <x:c r="C94" s="56" t="s">
        <x:v>123</x:v>
      </x:c>
      <x:c r="D94" s="11" t="s">
        <x:v>75</x:v>
      </x:c>
      <x:c r="E94" s="57" t="n">
        <x:f aca="0">KOHC!F153</x:f>
        <x:v>1.876337672472641</x:v>
      </x:c>
      <x:c r="F94" s="57" t="n">
        <x:f aca="0">LUCK!F153</x:f>
        <x:v>1.2739571002729932</x:v>
      </x:c>
      <x:c r="G94" s="57" t="n">
        <x:f aca="0">DGKC!F153</x:f>
        <x:v>0.8006952973031204</x:v>
      </x:c>
      <x:c r="H94" s="57" t="n">
        <x:f aca="0">MLCF!F153</x:f>
        <x:v>1.2158524918829576</x:v>
      </x:c>
      <x:c r="I94" s="57" t="n">
        <x:f aca="0">FCCL!F153</x:f>
        <x:v>1.1919170397378338</x:v>
      </x:c>
      <x:c r="J94" s="58" t="n">
        <x:f aca="0">IF(COUNT(E94:I94)=0,"n/m",AVERAGE(E94:I94))</x:f>
        <x:v>1.2717519203339092</x:v>
      </x:c>
      <x:c r="K94" s="11" t="n">
        <x:f aca="0">COUNT(E94:I94)</x:f>
        <x:v>5</x:v>
      </x:c>
      <x:c r="L94" s="46" t="n">
        <x:f aca="0">IF(AND(ISNUMBER(E94),ISNUMBER(J94)),E94-J94,"n/m")</x:f>
        <x:v>0.6045857521387319</x:v>
      </x:c>
      <x:c r="M94" s="46" t="n">
        <x:f aca="0">IF(COUNT(F94:I94)=0,"n/m",AVERAGE(F94:I94))</x:f>
        <x:v>1.1206054822992262</x:v>
      </x:c>
      <x:c r="N94" s="46" t="n">
        <x:f aca="0">IF(COUNT(E94:I94)=0,"n/m",MEDIAN(E94:I94))</x:f>
        <x:v>1.2158524918829576</x:v>
      </x:c>
      <x:c r="O94" s="11" t="s">
        <x:v>90</x:v>
      </x:c>
      <x:c r="P94" s="9" t="str">
        <x:f aca="0">IF(NOT(ISNUMBER(L94)),"n/m",IF(O94="Higher",IF(L94&gt;=0,"Above avg - favourable","Below avg - unfavourable"),IF(O94="Lower",IF(L94&lt;=0,"Below avg - favourable","Above avg - unfavourable"),IF(L94&gt;=0,"Above avg - context-dependent","Below avg - context-dependent"))))&amp;IF(K94&lt;5," (N="&amp;K94&amp;")","")</x:f>
        <x:v>Above avg - favourable</x:v>
      </x:c>
      <x:c r="R94" s="59" t="str">
        <x:f aca="0">IF(K94=0,"n/m",IF(ABS(J94-SUM(E94:I94)/K94)&lt;0.000000001,"OK","ERR"))</x:f>
        <x:v>OK</x:v>
      </x:c>
    </x:row>
    <x:row r="95" ht="15" hidden="0">
      <x:c r="C95" s="56" t="s">
        <x:v>123</x:v>
      </x:c>
      <x:c r="D95" s="11" t="s">
        <x:v>76</x:v>
      </x:c>
      <x:c r="E95" s="57" t="n">
        <x:f aca="0">KOHC!G153</x:f>
        <x:v>1.8650719460684553</x:v>
      </x:c>
      <x:c r="F95" s="57" t="n">
        <x:f aca="0">LUCK!G153</x:f>
        <x:v>1.242164612598929</x:v>
      </x:c>
      <x:c r="G95" s="57" t="n">
        <x:f aca="0">DGKC!G153</x:f>
        <x:v>0.8318493605276719</x:v>
      </x:c>
      <x:c r="H95" s="57" t="n">
        <x:f aca="0">MLCF!G153</x:f>
        <x:v>1.0531088846951966</x:v>
      </x:c>
      <x:c r="I95" s="57" t="n">
        <x:f aca="0">FCCL!G153</x:f>
        <x:v>0.8889851122075039</x:v>
      </x:c>
      <x:c r="J95" s="58" t="n">
        <x:f aca="0">IF(COUNT(E95:I95)=0,"n/m",AVERAGE(E95:I95))</x:f>
        <x:v>1.1762359832195513</x:v>
      </x:c>
      <x:c r="K95" s="11" t="n">
        <x:f aca="0">COUNT(E95:I95)</x:f>
        <x:v>5</x:v>
      </x:c>
      <x:c r="L95" s="46" t="n">
        <x:f aca="0">IF(AND(ISNUMBER(E95),ISNUMBER(J95)),E95-J95,"n/m")</x:f>
        <x:v>0.688835962848904</x:v>
      </x:c>
      <x:c r="M95" s="46" t="n">
        <x:f aca="0">IF(COUNT(F95:I95)=0,"n/m",AVERAGE(F95:I95))</x:f>
        <x:v>1.0040269925073253</x:v>
      </x:c>
      <x:c r="N95" s="46" t="n">
        <x:f aca="0">IF(COUNT(E95:I95)=0,"n/m",MEDIAN(E95:I95))</x:f>
        <x:v>1.0531088846951966</x:v>
      </x:c>
      <x:c r="O95" s="11" t="s">
        <x:v>90</x:v>
      </x:c>
      <x:c r="P95" s="9" t="str">
        <x:f aca="0">IF(NOT(ISNUMBER(L95)),"n/m",IF(O95="Higher",IF(L95&gt;=0,"Above avg - favourable","Below avg - unfavourable"),IF(O95="Lower",IF(L95&lt;=0,"Below avg - favourable","Above avg - unfavourable"),IF(L95&gt;=0,"Above avg - context-dependent","Below avg - context-dependent"))))&amp;IF(K95&lt;5," (N="&amp;K95&amp;")","")</x:f>
        <x:v>Above avg - favourable</x:v>
      </x:c>
      <x:c r="R95" s="59" t="str">
        <x:f aca="0">IF(K95=0,"n/m",IF(ABS(J95-SUM(E95:I95)/K95)&lt;0.000000001,"OK","ERR"))</x:f>
        <x:v>OK</x:v>
      </x:c>
    </x:row>
    <x:row r="96" ht="15" hidden="0">
      <x:c r="C96" s="56" t="s">
        <x:v>123</x:v>
      </x:c>
      <x:c r="D96" s="11" t="s">
        <x:v>77</x:v>
      </x:c>
      <x:c r="E96" s="57" t="n">
        <x:f aca="0">KOHC!H153</x:f>
        <x:v>1.7861104563188661</x:v>
      </x:c>
      <x:c r="F96" s="57" t="n">
        <x:f aca="0">LUCK!H153</x:f>
        <x:v>1.2601477514941262</x:v>
      </x:c>
      <x:c r="G96" s="57" t="n">
        <x:f aca="0">DGKC!H153</x:f>
        <x:v>0.9277030351499571</x:v>
      </x:c>
      <x:c r="H96" s="57" t="n">
        <x:f aca="0">MLCF!H153</x:f>
        <x:v>1.0752521941525262</x:v>
      </x:c>
      <x:c r="I96" s="57" t="n">
        <x:f aca="0">FCCL!H153</x:f>
        <x:v>0.8108018836700552</x:v>
      </x:c>
      <x:c r="J96" s="58" t="n">
        <x:f aca="0">IF(COUNT(E96:I96)=0,"n/m",AVERAGE(E96:I96))</x:f>
        <x:v>1.172003064157106</x:v>
      </x:c>
      <x:c r="K96" s="11" t="n">
        <x:f aca="0">COUNT(E96:I96)</x:f>
        <x:v>5</x:v>
      </x:c>
      <x:c r="L96" s="46" t="n">
        <x:f aca="0">IF(AND(ISNUMBER(E96),ISNUMBER(J96)),E96-J96,"n/m")</x:f>
        <x:v>0.6141073921617601</x:v>
      </x:c>
      <x:c r="M96" s="46" t="n">
        <x:f aca="0">IF(COUNT(F96:I96)=0,"n/m",AVERAGE(F96:I96))</x:f>
        <x:v>1.018476216116666</x:v>
      </x:c>
      <x:c r="N96" s="46" t="n">
        <x:f aca="0">IF(COUNT(E96:I96)=0,"n/m",MEDIAN(E96:I96))</x:f>
        <x:v>1.0752521941525262</x:v>
      </x:c>
      <x:c r="O96" s="11" t="s">
        <x:v>90</x:v>
      </x:c>
      <x:c r="P96" s="9" t="str">
        <x:f aca="0">IF(NOT(ISNUMBER(L96)),"n/m",IF(O96="Higher",IF(L96&gt;=0,"Above avg - favourable","Below avg - unfavourable"),IF(O96="Lower",IF(L96&lt;=0,"Below avg - favourable","Above avg - unfavourable"),IF(L96&gt;=0,"Above avg - context-dependent","Below avg - context-dependent"))))&amp;IF(K96&lt;5," (N="&amp;K96&amp;")","")</x:f>
        <x:v>Above avg - favourable</x:v>
      </x:c>
      <x:c r="R96" s="59" t="str">
        <x:f aca="0">IF(K96=0,"n/m",IF(ABS(J96-SUM(E96:I96)/K96)&lt;0.000000001,"OK","ERR"))</x:f>
        <x:v>OK</x:v>
      </x:c>
    </x:row>
    <x:row r="97" ht="15" hidden="0">
      <x:c r="A97" s="5" t="s">
        <x:v>1053</x:v>
      </x:c>
      <x:c r="B97" s="20"/>
      <x:c r="C97" s="20"/>
      <x:c r="D97" s="20"/>
      <x:c r="E97" s="20"/>
      <x:c r="F97" s="20"/>
      <x:c r="G97" s="20"/>
      <x:c r="H97" s="20"/>
      <x:c r="I97" s="20"/>
      <x:c r="J97" s="20"/>
      <x:c r="K97" s="20"/>
      <x:c r="L97" s="20"/>
      <x:c r="M97" s="20"/>
      <x:c r="N97" s="20"/>
      <x:c r="O97" s="20"/>
      <x:c r="P97" s="20"/>
      <x:c r="Q97" s="20"/>
      <x:c r="R97" s="20"/>
    </x:row>
    <x:row r="98" ht="15" hidden="0">
      <x:c r="A98" s="54" t="s">
        <x:v>128</x:v>
      </x:c>
      <x:c r="B98" s="25" t="n">
        <x:v>16</x:v>
      </x:c>
      <x:c r="C98" s="24" t="s">
        <x:v>125</x:v>
      </x:c>
      <x:c r="D98" s="25"/>
      <x:c r="E98" s="25"/>
      <x:c r="F98" s="25"/>
      <x:c r="G98" s="25"/>
      <x:c r="H98" s="25"/>
      <x:c r="I98" s="25"/>
      <x:c r="J98" s="25"/>
      <x:c r="K98" s="25"/>
      <x:c r="L98" s="25"/>
      <x:c r="M98" s="25"/>
      <x:c r="N98" s="25"/>
      <x:c r="O98" s="25"/>
      <x:c r="P98" s="25"/>
      <x:c r="Q98" s="55"/>
      <x:c r="R98" s="25"/>
    </x:row>
    <x:row r="99" ht="15" hidden="0">
      <x:c r="C99" s="56" t="s">
        <x:v>125</x:v>
      </x:c>
      <x:c r="D99" s="11" t="s">
        <x:v>73</x:v>
      </x:c>
      <x:c r="E99" s="65" t="n">
        <x:f aca="0">KOHC!D155</x:f>
        <x:v>0.384166382555034</x:v>
      </x:c>
      <x:c r="F99" s="65" t="n">
        <x:f aca="0">LUCK!D155</x:f>
        <x:v>0.27606535150381284</x:v>
      </x:c>
      <x:c r="G99" s="65" t="n">
        <x:f aca="0">DGKC!D155</x:f>
        <x:v>0.46714504184305206</x:v>
      </x:c>
      <x:c r="H99" s="65" t="n">
        <x:f aca="0">MLCF!D155</x:f>
        <x:v>0.4332284086792129</x:v>
      </x:c>
      <x:c r="I99" s="65" t="n">
        <x:f aca="0">FCCL!D155</x:f>
        <x:v>0.3164714817070282</x:v>
      </x:c>
      <x:c r="J99" s="66" t="n">
        <x:f aca="0">IF(COUNT(E99:I99)=0,"n/m",AVERAGE(E99:I99))</x:f>
        <x:v>0.375415333257628</x:v>
      </x:c>
      <x:c r="K99" s="11" t="n">
        <x:f aca="0">COUNT(E99:I99)</x:f>
        <x:v>5</x:v>
      </x:c>
      <x:c r="L99" s="42" t="n">
        <x:f aca="0">IF(AND(ISNUMBER(E99),ISNUMBER(J99)),E99-J99,"n/m")</x:f>
        <x:v>0.008751049297406</x:v>
      </x:c>
      <x:c r="M99" s="42" t="n">
        <x:f aca="0">IF(COUNT(F99:I99)=0,"n/m",AVERAGE(F99:I99))</x:f>
        <x:v>0.3732275709332765</x:v>
      </x:c>
      <x:c r="N99" s="42" t="n">
        <x:f aca="0">IF(COUNT(E99:I99)=0,"n/m",MEDIAN(E99:I99))</x:f>
        <x:v>0.384166382555034</x:v>
      </x:c>
      <x:c r="O99" s="11" t="s">
        <x:v>112</x:v>
      </x:c>
      <x:c r="P99" s="9" t="str">
        <x:f aca="0">IF(NOT(ISNUMBER(L99)),"n/m",IF(O99="Higher",IF(L99&gt;=0,"Above avg - favourable","Below avg - unfavourable"),IF(O99="Lower",IF(L99&lt;=0,"Below avg - favourable","Above avg - unfavourable"),IF(L99&gt;=0,"Above avg - context-dependent","Below avg - context-dependent"))))&amp;IF(K99&lt;5," (N="&amp;K99&amp;")","")</x:f>
        <x:v>Above avg - unfavourable</x:v>
      </x:c>
      <x:c r="R99" s="59" t="str">
        <x:f aca="0">IF(K99=0,"n/m",IF(ABS(J99-SUM(E99:I99)/K99)&lt;0.000000001,"OK","ERR"))</x:f>
        <x:v>OK</x:v>
      </x:c>
    </x:row>
    <x:row r="100" ht="15" hidden="0">
      <x:c r="C100" s="56" t="s">
        <x:v>125</x:v>
      </x:c>
      <x:c r="D100" s="11" t="s">
        <x:v>74</x:v>
      </x:c>
      <x:c r="E100" s="65" t="n">
        <x:f aca="0">KOHC!E155</x:f>
        <x:v>0.37149249167170456</x:v>
      </x:c>
      <x:c r="F100" s="65" t="n">
        <x:f aca="0">LUCK!E155</x:f>
        <x:v>0.3050460729395506</x:v>
      </x:c>
      <x:c r="G100" s="65" t="n">
        <x:f aca="0">DGKC!E155</x:f>
        <x:v>0.48801207258126744</x:v>
      </x:c>
      <x:c r="H100" s="65" t="n">
        <x:f aca="0">MLCF!E155</x:f>
        <x:v>0.5066666090934888</x:v>
      </x:c>
      <x:c r="I100" s="65" t="n">
        <x:f aca="0">FCCL!E155</x:f>
        <x:v>0.4921984828292214</x:v>
      </x:c>
      <x:c r="J100" s="66" t="n">
        <x:f aca="0">IF(COUNT(E100:I100)=0,"n/m",AVERAGE(E100:I100))</x:f>
        <x:v>0.43268314582304657</x:v>
      </x:c>
      <x:c r="K100" s="11" t="n">
        <x:f aca="0">COUNT(E100:I100)</x:f>
        <x:v>5</x:v>
      </x:c>
      <x:c r="L100" s="42" t="n">
        <x:f aca="0">IF(AND(ISNUMBER(E100),ISNUMBER(J100)),E100-J100,"n/m")</x:f>
        <x:v>-0.061190654151342005</x:v>
      </x:c>
      <x:c r="M100" s="42" t="n">
        <x:f aca="0">IF(COUNT(F100:I100)=0,"n/m",AVERAGE(F100:I100))</x:f>
        <x:v>0.4479808093608821</x:v>
      </x:c>
      <x:c r="N100" s="42" t="n">
        <x:f aca="0">IF(COUNT(E100:I100)=0,"n/m",MEDIAN(E100:I100))</x:f>
        <x:v>0.48801207258126744</x:v>
      </x:c>
      <x:c r="O100" s="11" t="s">
        <x:v>112</x:v>
      </x:c>
      <x:c r="P100" s="9" t="str">
        <x:f aca="0">IF(NOT(ISNUMBER(L100)),"n/m",IF(O100="Higher",IF(L100&gt;=0,"Above avg - favourable","Below avg - unfavourable"),IF(O100="Lower",IF(L100&lt;=0,"Below avg - favourable","Above avg - unfavourable"),IF(L100&gt;=0,"Above avg - context-dependent","Below avg - context-dependent"))))&amp;IF(K100&lt;5," (N="&amp;K100&amp;")","")</x:f>
        <x:v>Below avg - favourable</x:v>
      </x:c>
      <x:c r="R100" s="59" t="str">
        <x:f aca="0">IF(K100=0,"n/m",IF(ABS(J100-SUM(E100:I100)/K100)&lt;0.000000001,"OK","ERR"))</x:f>
        <x:v>OK</x:v>
      </x:c>
    </x:row>
    <x:row r="101" ht="15" hidden="0">
      <x:c r="C101" s="56" t="s">
        <x:v>125</x:v>
      </x:c>
      <x:c r="D101" s="11" t="s">
        <x:v>75</x:v>
      </x:c>
      <x:c r="E101" s="65" t="n">
        <x:f aca="0">KOHC!F155</x:f>
        <x:v>0.3416112409848334</x:v>
      </x:c>
      <x:c r="F101" s="65" t="n">
        <x:f aca="0">LUCK!F155</x:f>
        <x:v>0.35532697822447284</x:v>
      </x:c>
      <x:c r="G101" s="65" t="n">
        <x:f aca="0">DGKC!F155</x:f>
        <x:v>0.5234895224192266</x:v>
      </x:c>
      <x:c r="H101" s="65" t="n">
        <x:f aca="0">MLCF!F155</x:f>
        <x:v>0.49933942690835115</x:v>
      </x:c>
      <x:c r="I101" s="65" t="n">
        <x:f aca="0">FCCL!F155</x:f>
        <x:v>0.530530558146142</x:v>
      </x:c>
      <x:c r="J101" s="66" t="n">
        <x:f aca="0">IF(COUNT(E101:I101)=0,"n/m",AVERAGE(E101:I101))</x:f>
        <x:v>0.4500595453366052</x:v>
      </x:c>
      <x:c r="K101" s="11" t="n">
        <x:f aca="0">COUNT(E101:I101)</x:f>
        <x:v>5</x:v>
      </x:c>
      <x:c r="L101" s="42" t="n">
        <x:f aca="0">IF(AND(ISNUMBER(E101),ISNUMBER(J101)),E101-J101,"n/m")</x:f>
        <x:v>-0.10844830435177177</x:v>
      </x:c>
      <x:c r="M101" s="42" t="n">
        <x:f aca="0">IF(COUNT(F101:I101)=0,"n/m",AVERAGE(F101:I101))</x:f>
        <x:v>0.47717162142454816</x:v>
      </x:c>
      <x:c r="N101" s="42" t="n">
        <x:f aca="0">IF(COUNT(E101:I101)=0,"n/m",MEDIAN(E101:I101))</x:f>
        <x:v>0.49933942690835115</x:v>
      </x:c>
      <x:c r="O101" s="11" t="s">
        <x:v>112</x:v>
      </x:c>
      <x:c r="P101" s="9" t="str">
        <x:f aca="0">IF(NOT(ISNUMBER(L101)),"n/m",IF(O101="Higher",IF(L101&gt;=0,"Above avg - favourable","Below avg - unfavourable"),IF(O101="Lower",IF(L101&lt;=0,"Below avg - favourable","Above avg - unfavourable"),IF(L101&gt;=0,"Above avg - context-dependent","Below avg - context-dependent"))))&amp;IF(K101&lt;5," (N="&amp;K101&amp;")","")</x:f>
        <x:v>Below avg - favourable</x:v>
      </x:c>
      <x:c r="R101" s="59" t="str">
        <x:f aca="0">IF(K101=0,"n/m",IF(ABS(J101-SUM(E101:I101)/K101)&lt;0.000000001,"OK","ERR"))</x:f>
        <x:v>OK</x:v>
      </x:c>
    </x:row>
    <x:row r="102" ht="15" hidden="0">
      <x:c r="C102" s="56" t="s">
        <x:v>125</x:v>
      </x:c>
      <x:c r="D102" s="11" t="s">
        <x:v>76</x:v>
      </x:c>
      <x:c r="E102" s="65" t="n">
        <x:f aca="0">KOHC!G155</x:f>
        <x:v>0.3016994518502951</x:v>
      </x:c>
      <x:c r="F102" s="65" t="n">
        <x:f aca="0">LUCK!G155</x:f>
        <x:v>0.3685903641039032</x:v>
      </x:c>
      <x:c r="G102" s="65" t="n">
        <x:f aca="0">DGKC!G155</x:f>
        <x:v>0.4519122394636083</x:v>
      </x:c>
      <x:c r="H102" s="65" t="n">
        <x:f aca="0">MLCF!G155</x:f>
        <x:v>0.4704820926001394</x:v>
      </x:c>
      <x:c r="I102" s="65" t="n">
        <x:f aca="0">FCCL!G155</x:f>
        <x:v>0.5028400637434024</x:v>
      </x:c>
      <x:c r="J102" s="66" t="n">
        <x:f aca="0">IF(COUNT(E102:I102)=0,"n/m",AVERAGE(E102:I102))</x:f>
        <x:v>0.41910484235226975</x:v>
      </x:c>
      <x:c r="K102" s="11" t="n">
        <x:f aca="0">COUNT(E102:I102)</x:f>
        <x:v>5</x:v>
      </x:c>
      <x:c r="L102" s="42" t="n">
        <x:f aca="0">IF(AND(ISNUMBER(E102),ISNUMBER(J102)),E102-J102,"n/m")</x:f>
        <x:v>-0.11740539050197463</x:v>
      </x:c>
      <x:c r="M102" s="42" t="n">
        <x:f aca="0">IF(COUNT(F102:I102)=0,"n/m",AVERAGE(F102:I102))</x:f>
        <x:v>0.4484561899777634</x:v>
      </x:c>
      <x:c r="N102" s="42" t="n">
        <x:f aca="0">IF(COUNT(E102:I102)=0,"n/m",MEDIAN(E102:I102))</x:f>
        <x:v>0.4519122394636083</x:v>
      </x:c>
      <x:c r="O102" s="11" t="s">
        <x:v>112</x:v>
      </x:c>
      <x:c r="P102" s="9" t="str">
        <x:f aca="0">IF(NOT(ISNUMBER(L102)),"n/m",IF(O102="Higher",IF(L102&gt;=0,"Above avg - favourable","Below avg - unfavourable"),IF(O102="Lower",IF(L102&lt;=0,"Below avg - favourable","Above avg - unfavourable"),IF(L102&gt;=0,"Above avg - context-dependent","Below avg - context-dependent"))))&amp;IF(K102&lt;5," (N="&amp;K102&amp;")","")</x:f>
        <x:v>Below avg - favourable</x:v>
      </x:c>
      <x:c r="R102" s="59" t="str">
        <x:f aca="0">IF(K102=0,"n/m",IF(ABS(J102-SUM(E102:I102)/K102)&lt;0.000000001,"OK","ERR"))</x:f>
        <x:v>OK</x:v>
      </x:c>
    </x:row>
    <x:row r="103" ht="15" hidden="0">
      <x:c r="C103" s="56" t="s">
        <x:v>125</x:v>
      </x:c>
      <x:c r="D103" s="11" t="s">
        <x:v>77</x:v>
      </x:c>
      <x:c r="E103" s="65" t="n">
        <x:f aca="0">KOHC!H155</x:f>
        <x:v>0.28204672647028445</x:v>
      </x:c>
      <x:c r="F103" s="65" t="n">
        <x:f aca="0">LUCK!H155</x:f>
        <x:v>0.34053721034041</x:v>
      </x:c>
      <x:c r="G103" s="65" t="n">
        <x:f aca="0">DGKC!H155</x:f>
        <x:v>0.3512559582717703</x:v>
      </x:c>
      <x:c r="H103" s="65" t="n">
        <x:f aca="0">MLCF!H155</x:f>
        <x:v>0.4000182240614351</x:v>
      </x:c>
      <x:c r="I103" s="65" t="n">
        <x:f aca="0">FCCL!H155</x:f>
        <x:v>0.4760663500346739</x:v>
      </x:c>
      <x:c r="J103" s="66" t="n">
        <x:f aca="0">IF(COUNT(E103:I103)=0,"n/m",AVERAGE(E103:I103))</x:f>
        <x:v>0.36998489383571476</x:v>
      </x:c>
      <x:c r="K103" s="11" t="n">
        <x:f aca="0">COUNT(E103:I103)</x:f>
        <x:v>5</x:v>
      </x:c>
      <x:c r="L103" s="42" t="n">
        <x:f aca="0">IF(AND(ISNUMBER(E103),ISNUMBER(J103)),E103-J103,"n/m")</x:f>
        <x:v>-0.08793816736543031</x:v>
      </x:c>
      <x:c r="M103" s="42" t="n">
        <x:f aca="0">IF(COUNT(F103:I103)=0,"n/m",AVERAGE(F103:I103))</x:f>
        <x:v>0.3919694356770723</x:v>
      </x:c>
      <x:c r="N103" s="42" t="n">
        <x:f aca="0">IF(COUNT(E103:I103)=0,"n/m",MEDIAN(E103:I103))</x:f>
        <x:v>0.3512559582717703</x:v>
      </x:c>
      <x:c r="O103" s="11" t="s">
        <x:v>112</x:v>
      </x:c>
      <x:c r="P103" s="9" t="str">
        <x:f aca="0">IF(NOT(ISNUMBER(L103)),"n/m",IF(O103="Higher",IF(L103&gt;=0,"Above avg - favourable","Below avg - unfavourable"),IF(O103="Lower",IF(L103&lt;=0,"Below avg - favourable","Above avg - unfavourable"),IF(L103&gt;=0,"Above avg - context-dependent","Below avg - context-dependent"))))&amp;IF(K103&lt;5," (N="&amp;K103&amp;")","")</x:f>
        <x:v>Below avg - favourable</x:v>
      </x:c>
      <x:c r="R103" s="59" t="str">
        <x:f aca="0">IF(K103=0,"n/m",IF(ABS(J103-SUM(E103:I103)/K103)&lt;0.000000001,"OK","ERR"))</x:f>
        <x:v>OK</x:v>
      </x:c>
    </x:row>
    <x:row r="104" ht="15" hidden="0">
      <x:c r="A104" s="54" t="s">
        <x:v>128</x:v>
      </x:c>
      <x:c r="B104" s="25" t="n">
        <x:v>17</x:v>
      </x:c>
      <x:c r="C104" s="24" t="s">
        <x:v>129</x:v>
      </x:c>
      <x:c r="D104" s="25"/>
      <x:c r="E104" s="25"/>
      <x:c r="F104" s="25"/>
      <x:c r="G104" s="25"/>
      <x:c r="H104" s="25"/>
      <x:c r="I104" s="25"/>
      <x:c r="J104" s="25"/>
      <x:c r="K104" s="25"/>
      <x:c r="L104" s="25"/>
      <x:c r="M104" s="25"/>
      <x:c r="N104" s="25"/>
      <x:c r="O104" s="25"/>
      <x:c r="P104" s="25"/>
      <x:c r="Q104" s="55" t="s">
        <x:v>1054</x:v>
      </x:c>
      <x:c r="R104" s="25"/>
    </x:row>
    <x:row r="105" ht="15" hidden="0">
      <x:c r="C105" s="56" t="s">
        <x:v>129</x:v>
      </x:c>
      <x:c r="D105" s="11" t="s">
        <x:v>73</x:v>
      </x:c>
      <x:c r="E105" s="57" t="n">
        <x:f aca="0">KOHC!D156</x:f>
        <x:v>0.6238152183846396</x:v>
      </x:c>
      <x:c r="F105" s="57" t="n">
        <x:f aca="0">LUCK!D156</x:f>
        <x:v>0.3813401556028255</x:v>
      </x:c>
      <x:c r="G105" s="57" t="n">
        <x:f aca="0">DGKC!D156</x:f>
        <x:v>0.8766832975690517</x:v>
      </x:c>
      <x:c r="H105" s="57" t="n">
        <x:f aca="0">MLCF!D156</x:f>
        <x:v>0.7643791878658399</x:v>
      </x:c>
      <x:c r="I105" s="57" t="n">
        <x:f aca="0">FCCL!D156</x:f>
        <x:v>0.4629967488370152</x:v>
      </x:c>
      <x:c r="J105" s="58" t="n">
        <x:f aca="0">IF(COUNT(E105:I105)=0,"n/m",AVERAGE(E105:I105))</x:f>
        <x:v>0.6218429216518744</x:v>
      </x:c>
      <x:c r="K105" s="11" t="n">
        <x:f aca="0">COUNT(E105:I105)</x:f>
        <x:v>5</x:v>
      </x:c>
      <x:c r="L105" s="46" t="n">
        <x:f aca="0">IF(AND(ISNUMBER(E105),ISNUMBER(J105)),E105-J105,"n/m")</x:f>
        <x:v>0.001972296732765222</x:v>
      </x:c>
      <x:c r="M105" s="46" t="n">
        <x:f aca="0">IF(COUNT(F105:I105)=0,"n/m",AVERAGE(F105:I105))</x:f>
        <x:v>0.621349847468683</x:v>
      </x:c>
      <x:c r="N105" s="46" t="n">
        <x:f aca="0">IF(COUNT(E105:I105)=0,"n/m",MEDIAN(E105:I105))</x:f>
        <x:v>0.6238152183846396</x:v>
      </x:c>
      <x:c r="O105" s="11" t="s">
        <x:v>112</x:v>
      </x:c>
      <x:c r="P105" s="9" t="str">
        <x:f aca="0">IF(NOT(ISNUMBER(L105)),"n/m",IF(O105="Higher",IF(L105&gt;=0,"Above avg - favourable","Below avg - unfavourable"),IF(O105="Lower",IF(L105&lt;=0,"Below avg - favourable","Above avg - unfavourable"),IF(L105&gt;=0,"Above avg - context-dependent","Below avg - context-dependent"))))&amp;IF(K105&lt;5," (N="&amp;K105&amp;")","")</x:f>
        <x:v>Above avg - unfavourable</x:v>
      </x:c>
      <x:c r="R105" s="59" t="str">
        <x:f aca="0">IF(K105=0,"n/m",IF(ABS(J105-SUM(E105:I105)/K105)&lt;0.000000001,"OK","ERR"))</x:f>
        <x:v>OK</x:v>
      </x:c>
    </x:row>
    <x:row r="106" ht="15" hidden="0">
      <x:c r="C106" s="56" t="s">
        <x:v>129</x:v>
      </x:c>
      <x:c r="D106" s="11" t="s">
        <x:v>74</x:v>
      </x:c>
      <x:c r="E106" s="57" t="n">
        <x:f aca="0">KOHC!E156</x:f>
        <x:v>0.5910708889696489</x:v>
      </x:c>
      <x:c r="F106" s="57" t="n">
        <x:f aca="0">LUCK!E156</x:f>
        <x:v>0.4389443113586675</x:v>
      </x:c>
      <x:c r="G106" s="57" t="n">
        <x:f aca="0">DGKC!E156</x:f>
        <x:v>0.9531710543286772</x:v>
      </x:c>
      <x:c r="H106" s="57" t="n">
        <x:f aca="0">MLCF!E156</x:f>
        <x:v>1.027026790468161</x:v>
      </x:c>
      <x:c r="I106" s="57" t="n">
        <x:f aca="0">FCCL!E156</x:f>
        <x:v>0.9692733601339171</x:v>
      </x:c>
      <x:c r="J106" s="58" t="n">
        <x:f aca="0">IF(COUNT(E106:I106)=0,"n/m",AVERAGE(E106:I106))</x:f>
        <x:v>0.7958972810518143</x:v>
      </x:c>
      <x:c r="K106" s="11" t="n">
        <x:f aca="0">COUNT(E106:I106)</x:f>
        <x:v>5</x:v>
      </x:c>
      <x:c r="L106" s="46" t="n">
        <x:f aca="0">IF(AND(ISNUMBER(E106),ISNUMBER(J106)),E106-J106,"n/m")</x:f>
        <x:v>-0.20482639208216546</x:v>
      </x:c>
      <x:c r="M106" s="46" t="n">
        <x:f aca="0">IF(COUNT(F106:I106)=0,"n/m",AVERAGE(F106:I106))</x:f>
        <x:v>0.8471038790723557</x:v>
      </x:c>
      <x:c r="N106" s="46" t="n">
        <x:f aca="0">IF(COUNT(E106:I106)=0,"n/m",MEDIAN(E106:I106))</x:f>
        <x:v>0.9531710543286772</x:v>
      </x:c>
      <x:c r="O106" s="11" t="s">
        <x:v>112</x:v>
      </x:c>
      <x:c r="P106" s="9" t="str">
        <x:f aca="0">IF(NOT(ISNUMBER(L106)),"n/m",IF(O106="Higher",IF(L106&gt;=0,"Above avg - favourable","Below avg - unfavourable"),IF(O106="Lower",IF(L106&lt;=0,"Below avg - favourable","Above avg - unfavourable"),IF(L106&gt;=0,"Above avg - context-dependent","Below avg - context-dependent"))))&amp;IF(K106&lt;5," (N="&amp;K106&amp;")","")</x:f>
        <x:v>Below avg - favourable</x:v>
      </x:c>
      <x:c r="R106" s="59" t="str">
        <x:f aca="0">IF(K106=0,"n/m",IF(ABS(J106-SUM(E106:I106)/K106)&lt;0.000000001,"OK","ERR"))</x:f>
        <x:v>OK</x:v>
      </x:c>
    </x:row>
    <x:row r="107" ht="15" hidden="0">
      <x:c r="C107" s="56" t="s">
        <x:v>129</x:v>
      </x:c>
      <x:c r="D107" s="11" t="s">
        <x:v>75</x:v>
      </x:c>
      <x:c r="E107" s="57" t="n">
        <x:f aca="0">KOHC!F156</x:f>
        <x:v>0.5188594676127575</x:v>
      </x:c>
      <x:c r="F107" s="57" t="n">
        <x:f aca="0">LUCK!F156</x:f>
        <x:v>0.5511739536514938</x:v>
      </x:c>
      <x:c r="G107" s="57" t="n">
        <x:f aca="0">DGKC!F156</x:f>
        <x:v>1.0985897415665749</x:v>
      </x:c>
      <x:c r="H107" s="57" t="n">
        <x:f aca="0">MLCF!F156</x:f>
        <x:v>0.9973611938820361</x:v>
      </x:c>
      <x:c r="I107" s="57" t="n">
        <x:f aca="0">FCCL!F156</x:f>
        <x:v>1.130064091181662</x:v>
      </x:c>
      <x:c r="J107" s="58" t="n">
        <x:f aca="0">IF(COUNT(E107:I107)=0,"n/m",AVERAGE(E107:I107))</x:f>
        <x:v>0.859209689578905</x:v>
      </x:c>
      <x:c r="K107" s="11" t="n">
        <x:f aca="0">COUNT(E107:I107)</x:f>
        <x:v>5</x:v>
      </x:c>
      <x:c r="L107" s="46" t="n">
        <x:f aca="0">IF(AND(ISNUMBER(E107),ISNUMBER(J107)),E107-J107,"n/m")</x:f>
        <x:v>-0.3403502219661475</x:v>
      </x:c>
      <x:c r="M107" s="46" t="n">
        <x:f aca="0">IF(COUNT(F107:I107)=0,"n/m",AVERAGE(F107:I107))</x:f>
        <x:v>0.9442972450704417</x:v>
      </x:c>
      <x:c r="N107" s="46" t="n">
        <x:f aca="0">IF(COUNT(E107:I107)=0,"n/m",MEDIAN(E107:I107))</x:f>
        <x:v>0.9973611938820361</x:v>
      </x:c>
      <x:c r="O107" s="11" t="s">
        <x:v>112</x:v>
      </x:c>
      <x:c r="P107" s="9" t="str">
        <x:f aca="0">IF(NOT(ISNUMBER(L107)),"n/m",IF(O107="Higher",IF(L107&gt;=0,"Above avg - favourable","Below avg - unfavourable"),IF(O107="Lower",IF(L107&lt;=0,"Below avg - favourable","Above avg - unfavourable"),IF(L107&gt;=0,"Above avg - context-dependent","Below avg - context-dependent"))))&amp;IF(K107&lt;5," (N="&amp;K107&amp;")","")</x:f>
        <x:v>Below avg - favourable</x:v>
      </x:c>
      <x:c r="R107" s="59" t="str">
        <x:f aca="0">IF(K107=0,"n/m",IF(ABS(J107-SUM(E107:I107)/K107)&lt;0.000000001,"OK","ERR"))</x:f>
        <x:v>OK</x:v>
      </x:c>
    </x:row>
    <x:row r="108" ht="15" hidden="0">
      <x:c r="C108" s="56" t="s">
        <x:v>129</x:v>
      </x:c>
      <x:c r="D108" s="11" t="s">
        <x:v>76</x:v>
      </x:c>
      <x:c r="E108" s="57" t="n">
        <x:f aca="0">KOHC!G156</x:f>
        <x:v>0.4320481383692331</x:v>
      </x:c>
      <x:c r="F108" s="57" t="n">
        <x:f aca="0">LUCK!G156</x:f>
        <x:v>0.5837579016050328</x:v>
      </x:c>
      <x:c r="G108" s="57" t="n">
        <x:f aca="0">DGKC!G156</x:f>
        <x:v>0.8245253260560679</x:v>
      </x:c>
      <x:c r="H108" s="57" t="n">
        <x:f aca="0">MLCF!G156</x:f>
        <x:v>0.8885102581523445</x:v>
      </x:c>
      <x:c r="I108" s="57" t="n">
        <x:f aca="0">FCCL!G156</x:f>
        <x:v>1.0114251512894896</x:v>
      </x:c>
      <x:c r="J108" s="58" t="n">
        <x:f aca="0">IF(COUNT(E108:I108)=0,"n/m",AVERAGE(E108:I108))</x:f>
        <x:v>0.7480533550944335</x:v>
      </x:c>
      <x:c r="K108" s="11" t="n">
        <x:f aca="0">COUNT(E108:I108)</x:f>
        <x:v>5</x:v>
      </x:c>
      <x:c r="L108" s="46" t="n">
        <x:f aca="0">IF(AND(ISNUMBER(E108),ISNUMBER(J108)),E108-J108,"n/m")</x:f>
        <x:v>-0.3160052167252004</x:v>
      </x:c>
      <x:c r="M108" s="46" t="n">
        <x:f aca="0">IF(COUNT(F108:I108)=0,"n/m",AVERAGE(F108:I108))</x:f>
        <x:v>0.8270546592757337</x:v>
      </x:c>
      <x:c r="N108" s="46" t="n">
        <x:f aca="0">IF(COUNT(E108:I108)=0,"n/m",MEDIAN(E108:I108))</x:f>
        <x:v>0.8245253260560679</x:v>
      </x:c>
      <x:c r="O108" s="11" t="s">
        <x:v>112</x:v>
      </x:c>
      <x:c r="P108" s="9" t="str">
        <x:f aca="0">IF(NOT(ISNUMBER(L108)),"n/m",IF(O108="Higher",IF(L108&gt;=0,"Above avg - favourable","Below avg - unfavourable"),IF(O108="Lower",IF(L108&lt;=0,"Below avg - favourable","Above avg - unfavourable"),IF(L108&gt;=0,"Above avg - context-dependent","Below avg - context-dependent"))))&amp;IF(K108&lt;5," (N="&amp;K108&amp;")","")</x:f>
        <x:v>Below avg - favourable</x:v>
      </x:c>
      <x:c r="R108" s="59" t="str">
        <x:f aca="0">IF(K108=0,"n/m",IF(ABS(J108-SUM(E108:I108)/K108)&lt;0.000000001,"OK","ERR"))</x:f>
        <x:v>OK</x:v>
      </x:c>
    </x:row>
    <x:row r="109" ht="15" hidden="0">
      <x:c r="C109" s="56" t="s">
        <x:v>129</x:v>
      </x:c>
      <x:c r="D109" s="11" t="s">
        <x:v>77</x:v>
      </x:c>
      <x:c r="E109" s="57" t="n">
        <x:f aca="0">KOHC!H156</x:f>
        <x:v>0.3928483048536595</x:v>
      </x:c>
      <x:c r="F109" s="57" t="n">
        <x:f aca="0">LUCK!H156</x:f>
        <x:v>0.5163857850360184</x:v>
      </x:c>
      <x:c r="G109" s="57" t="n">
        <x:f aca="0">DGKC!H156</x:f>
        <x:v>0.5414399758278128</x:v>
      </x:c>
      <x:c r="H109" s="57" t="n">
        <x:f aca="0">MLCF!H156</x:f>
        <x:v>0.6667172905971644</x:v>
      </x:c>
      <x:c r="I109" s="57" t="n">
        <x:f aca="0">FCCL!H156</x:f>
        <x:v>0.9086386225931091</x:v>
      </x:c>
      <x:c r="J109" s="58" t="n">
        <x:f aca="0">IF(COUNT(E109:I109)=0,"n/m",AVERAGE(E109:I109))</x:f>
        <x:v>0.6052059957815528</x:v>
      </x:c>
      <x:c r="K109" s="11" t="n">
        <x:f aca="0">COUNT(E109:I109)</x:f>
        <x:v>5</x:v>
      </x:c>
      <x:c r="L109" s="46" t="n">
        <x:f aca="0">IF(AND(ISNUMBER(E109),ISNUMBER(J109)),E109-J109,"n/m")</x:f>
        <x:v>-0.21235769092789325</x:v>
      </x:c>
      <x:c r="M109" s="46" t="n">
        <x:f aca="0">IF(COUNT(F109:I109)=0,"n/m",AVERAGE(F109:I109))</x:f>
        <x:v>0.6582954185135261</x:v>
      </x:c>
      <x:c r="N109" s="46" t="n">
        <x:f aca="0">IF(COUNT(E109:I109)=0,"n/m",MEDIAN(E109:I109))</x:f>
        <x:v>0.5414399758278128</x:v>
      </x:c>
      <x:c r="O109" s="11" t="s">
        <x:v>112</x:v>
      </x:c>
      <x:c r="P109" s="9" t="str">
        <x:f aca="0">IF(NOT(ISNUMBER(L109)),"n/m",IF(O109="Higher",IF(L109&gt;=0,"Above avg - favourable","Below avg - unfavourable"),IF(O109="Lower",IF(L109&lt;=0,"Below avg - favourable","Above avg - unfavourable"),IF(L109&gt;=0,"Above avg - context-dependent","Below avg - context-dependent"))))&amp;IF(K109&lt;5," (N="&amp;K109&amp;")","")</x:f>
        <x:v>Below avg - favourable</x:v>
      </x:c>
      <x:c r="R109" s="59" t="str">
        <x:f aca="0">IF(K109=0,"n/m",IF(ABS(J109-SUM(E109:I109)/K109)&lt;0.000000001,"OK","ERR"))</x:f>
        <x:v>OK</x:v>
      </x:c>
    </x:row>
    <x:row r="110" ht="15" hidden="0">
      <x:c r="A110" s="54" t="s">
        <x:v>128</x:v>
      </x:c>
      <x:c r="B110" s="25" t="n">
        <x:v>18</x:v>
      </x:c>
      <x:c r="C110" s="24" t="s">
        <x:v>131</x:v>
      </x:c>
      <x:c r="D110" s="25"/>
      <x:c r="E110" s="25"/>
      <x:c r="F110" s="25"/>
      <x:c r="G110" s="25"/>
      <x:c r="H110" s="25"/>
      <x:c r="I110" s="25"/>
      <x:c r="J110" s="25"/>
      <x:c r="K110" s="25"/>
      <x:c r="L110" s="25"/>
      <x:c r="M110" s="25"/>
      <x:c r="N110" s="25"/>
      <x:c r="O110" s="25"/>
      <x:c r="P110" s="25"/>
      <x:c r="Q110" s="55" t="s">
        <x:v>1055</x:v>
      </x:c>
      <x:c r="R110" s="25"/>
    </x:row>
    <x:row r="111" ht="15" hidden="0">
      <x:c r="C111" s="56" t="s">
        <x:v>131</x:v>
      </x:c>
      <x:c r="D111" s="11" t="s">
        <x:v>73</x:v>
      </x:c>
      <x:c r="E111" s="65" t="n">
        <x:f aca="0">KOHC!D157</x:f>
        <x:v>0.21400284667161887</x:v>
      </x:c>
      <x:c r="F111" s="65" t="n">
        <x:f aca="0">LUCK!D157</x:f>
        <x:v>0.08481566313402544</x:v>
      </x:c>
      <x:c r="G111" s="65" t="n">
        <x:f aca="0">DGKC!D157</x:f>
        <x:v>0.37343360902882045</x:v>
      </x:c>
      <x:c r="H111" s="65" t="n">
        <x:f aca="0">MLCF!D157</x:f>
        <x:v>0.3018980041603245</x:v>
      </x:c>
      <x:c r="I111" s="65" t="n">
        <x:f aca="0">FCCL!D157</x:f>
        <x:v>0.09936978984482135</x:v>
      </x:c>
      <x:c r="J111" s="66" t="n">
        <x:f aca="0">IF(COUNT(E111:I111)=0,"n/m",AVERAGE(E111:I111))</x:f>
        <x:v>0.21470398256792214</x:v>
      </x:c>
      <x:c r="K111" s="11" t="n">
        <x:f aca="0">COUNT(E111:I111)</x:f>
        <x:v>5</x:v>
      </x:c>
      <x:c r="L111" s="42" t="n">
        <x:f aca="0">IF(AND(ISNUMBER(E111),ISNUMBER(J111)),E111-J111,"n/m")</x:f>
        <x:v>-0.0007011358963032732</x:v>
      </x:c>
      <x:c r="M111" s="42" t="n">
        <x:f aca="0">IF(COUNT(F111:I111)=0,"n/m",AVERAGE(F111:I111))</x:f>
        <x:v>0.21487926654199793</x:v>
      </x:c>
      <x:c r="N111" s="42" t="n">
        <x:f aca="0">IF(COUNT(E111:I111)=0,"n/m",MEDIAN(E111:I111))</x:f>
        <x:v>0.21400284667161887</x:v>
      </x:c>
      <x:c r="O111" s="11" t="s">
        <x:v>112</x:v>
      </x:c>
      <x:c r="P111" s="9" t="str">
        <x:f aca="0">IF(NOT(ISNUMBER(L111)),"n/m",IF(O111="Higher",IF(L111&gt;=0,"Above avg - favourable","Below avg - unfavourable"),IF(O111="Lower",IF(L111&lt;=0,"Below avg - favourable","Above avg - unfavourable"),IF(L111&gt;=0,"Above avg - context-dependent","Below avg - context-dependent"))))&amp;IF(K111&lt;5," (N="&amp;K111&amp;")","")</x:f>
        <x:v>Below avg - favourable</x:v>
      </x:c>
      <x:c r="R111" s="59" t="str">
        <x:f aca="0">IF(K111=0,"n/m",IF(ABS(J111-SUM(E111:I111)/K111)&lt;0.000000001,"OK","ERR"))</x:f>
        <x:v>OK</x:v>
      </x:c>
    </x:row>
    <x:row r="112" ht="15" hidden="0">
      <x:c r="C112" s="56" t="s">
        <x:v>131</x:v>
      </x:c>
      <x:c r="D112" s="11" t="s">
        <x:v>74</x:v>
      </x:c>
      <x:c r="E112" s="65" t="n">
        <x:f aca="0">KOHC!E157</x:f>
        <x:v>0.13497287275854264</x:v>
      </x:c>
      <x:c r="F112" s="65" t="n">
        <x:f aca="0">LUCK!E157</x:f>
        <x:v>0.10820094237127705</x:v>
      </x:c>
      <x:c r="G112" s="65" t="n">
        <x:f aca="0">DGKC!E157</x:f>
        <x:v>0.39929807208366225</x:v>
      </x:c>
      <x:c r="H112" s="65" t="n">
        <x:f aca="0">MLCF!E157</x:f>
        <x:v>0.381087654689308</x:v>
      </x:c>
      <x:c r="I112" s="65" t="n">
        <x:f aca="0">FCCL!E157</x:f>
        <x:v>0.36582138671494635</x:v>
      </x:c>
      <x:c r="J112" s="66" t="n">
        <x:f aca="0">IF(COUNT(E112:I112)=0,"n/m",AVERAGE(E112:I112))</x:f>
        <x:v>0.2778761857235472</x:v>
      </x:c>
      <x:c r="K112" s="11" t="n">
        <x:f aca="0">COUNT(E112:I112)</x:f>
        <x:v>5</x:v>
      </x:c>
      <x:c r="L112" s="42" t="n">
        <x:f aca="0">IF(AND(ISNUMBER(E112),ISNUMBER(J112)),E112-J112,"n/m")</x:f>
        <x:v>-0.14290331296500458</x:v>
      </x:c>
      <x:c r="M112" s="42" t="n">
        <x:f aca="0">IF(COUNT(F112:I112)=0,"n/m",AVERAGE(F112:I112))</x:f>
        <x:v>0.31360201396479837</x:v>
      </x:c>
      <x:c r="N112" s="42" t="n">
        <x:f aca="0">IF(COUNT(E112:I112)=0,"n/m",MEDIAN(E112:I112))</x:f>
        <x:v>0.36582138671494635</x:v>
      </x:c>
      <x:c r="O112" s="11" t="s">
        <x:v>112</x:v>
      </x:c>
      <x:c r="P112" s="9" t="str">
        <x:f aca="0">IF(NOT(ISNUMBER(L112)),"n/m",IF(O112="Higher",IF(L112&gt;=0,"Above avg - favourable","Below avg - unfavourable"),IF(O112="Lower",IF(L112&lt;=0,"Below avg - favourable","Above avg - unfavourable"),IF(L112&gt;=0,"Above avg - context-dependent","Below avg - context-dependent"))))&amp;IF(K112&lt;5," (N="&amp;K112&amp;")","")</x:f>
        <x:v>Below avg - favourable</x:v>
      </x:c>
      <x:c r="R112" s="59" t="str">
        <x:f aca="0">IF(K112=0,"n/m",IF(ABS(J112-SUM(E112:I112)/K112)&lt;0.000000001,"OK","ERR"))</x:f>
        <x:v>OK</x:v>
      </x:c>
    </x:row>
    <x:row r="113" ht="15" hidden="0">
      <x:c r="C113" s="56" t="s">
        <x:v>131</x:v>
      </x:c>
      <x:c r="D113" s="11" t="s">
        <x:v>75</x:v>
      </x:c>
      <x:c r="E113" s="65" t="n">
        <x:f aca="0">KOHC!F157</x:f>
        <x:v>0.08893739146213345</x:v>
      </x:c>
      <x:c r="F113" s="65" t="n">
        <x:f aca="0">LUCK!F157</x:f>
        <x:v>0.13283363678865434</x:v>
      </x:c>
      <x:c r="G113" s="65" t="n">
        <x:f aca="0">DGKC!F157</x:f>
        <x:v>0.39850127088453147</x:v>
      </x:c>
      <x:c r="H113" s="65" t="n">
        <x:f aca="0">MLCF!F157</x:f>
        <x:v>0.30676284445350793</x:v>
      </x:c>
      <x:c r="I113" s="65" t="n">
        <x:f aca="0">FCCL!F157</x:f>
        <x:v>0.42432770074720316</x:v>
      </x:c>
      <x:c r="J113" s="66" t="n">
        <x:f aca="0">IF(COUNT(E113:I113)=0,"n/m",AVERAGE(E113:I113))</x:f>
        <x:v>0.2702725688672061</x:v>
      </x:c>
      <x:c r="K113" s="11" t="n">
        <x:f aca="0">COUNT(E113:I113)</x:f>
        <x:v>5</x:v>
      </x:c>
      <x:c r="L113" s="42" t="n">
        <x:f aca="0">IF(AND(ISNUMBER(E113),ISNUMBER(J113)),E113-J113,"n/m")</x:f>
        <x:v>-0.18133517740507263</x:v>
      </x:c>
      <x:c r="M113" s="42" t="n">
        <x:f aca="0">IF(COUNT(F113:I113)=0,"n/m",AVERAGE(F113:I113))</x:f>
        <x:v>0.31560636321847424</x:v>
      </x:c>
      <x:c r="N113" s="42" t="n">
        <x:f aca="0">IF(COUNT(E113:I113)=0,"n/m",MEDIAN(E113:I113))</x:f>
        <x:v>0.30676284445350793</x:v>
      </x:c>
      <x:c r="O113" s="11" t="s">
        <x:v>112</x:v>
      </x:c>
      <x:c r="P113" s="9" t="str">
        <x:f aca="0">IF(NOT(ISNUMBER(L113)),"n/m",IF(O113="Higher",IF(L113&gt;=0,"Above avg - favourable","Below avg - unfavourable"),IF(O113="Lower",IF(L113&lt;=0,"Below avg - favourable","Above avg - unfavourable"),IF(L113&gt;=0,"Above avg - context-dependent","Below avg - context-dependent"))))&amp;IF(K113&lt;5," (N="&amp;K113&amp;")","")</x:f>
        <x:v>Below avg - favourable</x:v>
      </x:c>
      <x:c r="R113" s="59" t="str">
        <x:f aca="0">IF(K113=0,"n/m",IF(ABS(J113-SUM(E113:I113)/K113)&lt;0.000000001,"OK","ERR"))</x:f>
        <x:v>OK</x:v>
      </x:c>
    </x:row>
    <x:row r="114" ht="15" hidden="0">
      <x:c r="C114" s="56" t="s">
        <x:v>131</x:v>
      </x:c>
      <x:c r="D114" s="11" t="s">
        <x:v>76</x:v>
      </x:c>
      <x:c r="E114" s="65" t="n">
        <x:f aca="0">KOHC!G157</x:f>
        <x:v>0.05274524653901662</x:v>
      </x:c>
      <x:c r="F114" s="65" t="n">
        <x:f aca="0">LUCK!G157</x:f>
        <x:v>0.12102350075289672</x:v>
      </x:c>
      <x:c r="G114" s="65" t="n">
        <x:f aca="0">DGKC!G157</x:f>
        <x:v>0.31153681009483003</x:v>
      </x:c>
      <x:c r="H114" s="65" t="n">
        <x:f aca="0">MLCF!G157</x:f>
        <x:v>0.2692569010491479</x:v>
      </x:c>
      <x:c r="I114" s="65" t="n">
        <x:f aca="0">FCCL!G157</x:f>
        <x:v>0.3746668664583292</x:v>
      </x:c>
      <x:c r="J114" s="66" t="n">
        <x:f aca="0">IF(COUNT(E114:I114)=0,"n/m",AVERAGE(E114:I114))</x:f>
        <x:v>0.2258458649788441</x:v>
      </x:c>
      <x:c r="K114" s="11" t="n">
        <x:f aca="0">COUNT(E114:I114)</x:f>
        <x:v>5</x:v>
      </x:c>
      <x:c r="L114" s="42" t="n">
        <x:f aca="0">IF(AND(ISNUMBER(E114),ISNUMBER(J114)),E114-J114,"n/m")</x:f>
        <x:v>-0.1731006184398275</x:v>
      </x:c>
      <x:c r="M114" s="42" t="n">
        <x:f aca="0">IF(COUNT(F114:I114)=0,"n/m",AVERAGE(F114:I114))</x:f>
        <x:v>0.26912101958880097</x:v>
      </x:c>
      <x:c r="N114" s="42" t="n">
        <x:f aca="0">IF(COUNT(E114:I114)=0,"n/m",MEDIAN(E114:I114))</x:f>
        <x:v>0.2692569010491479</x:v>
      </x:c>
      <x:c r="O114" s="11" t="s">
        <x:v>112</x:v>
      </x:c>
      <x:c r="P114" s="9" t="str">
        <x:f aca="0">IF(NOT(ISNUMBER(L114)),"n/m",IF(O114="Higher",IF(L114&gt;=0,"Above avg - favourable","Below avg - unfavourable"),IF(O114="Lower",IF(L114&lt;=0,"Below avg - favourable","Above avg - unfavourable"),IF(L114&gt;=0,"Above avg - context-dependent","Below avg - context-dependent"))))&amp;IF(K114&lt;5," (N="&amp;K114&amp;")","")</x:f>
        <x:v>Below avg - favourable</x:v>
      </x:c>
      <x:c r="R114" s="59" t="str">
        <x:f aca="0">IF(K114=0,"n/m",IF(ABS(J114-SUM(E114:I114)/K114)&lt;0.000000001,"OK","ERR"))</x:f>
        <x:v>OK</x:v>
      </x:c>
    </x:row>
    <x:row r="115" ht="15" hidden="0">
      <x:c r="C115" s="56" t="s">
        <x:v>131</x:v>
      </x:c>
      <x:c r="D115" s="11" t="s">
        <x:v>77</x:v>
      </x:c>
      <x:c r="E115" s="65" t="n">
        <x:f aca="0">KOHC!H157</x:f>
        <x:v>0.045577294289546766</x:v>
      </x:c>
      <x:c r="F115" s="65" t="n">
        <x:f aca="0">LUCK!H157</x:f>
        <x:v>0.0906485859901983</x:v>
      </x:c>
      <x:c r="G115" s="65" t="n">
        <x:f aca="0">DGKC!H157</x:f>
        <x:v>0.18792347676351873</x:v>
      </x:c>
      <x:c r="H115" s="65" t="n">
        <x:f aca="0">MLCF!H157</x:f>
        <x:v>0.1694536072536581</x:v>
      </x:c>
      <x:c r="I115" s="65" t="n">
        <x:f aca="0">FCCL!H157</x:f>
        <x:v>0.3230814331540067</x:v>
      </x:c>
      <x:c r="J115" s="66" t="n">
        <x:f aca="0">IF(COUNT(E115:I115)=0,"n/m",AVERAGE(E115:I115))</x:f>
        <x:v>0.16333687949018572</x:v>
      </x:c>
      <x:c r="K115" s="11" t="n">
        <x:f aca="0">COUNT(E115:I115)</x:f>
        <x:v>5</x:v>
      </x:c>
      <x:c r="L115" s="42" t="n">
        <x:f aca="0">IF(AND(ISNUMBER(E115),ISNUMBER(J115)),E115-J115,"n/m")</x:f>
        <x:v>-0.11775958520063895</x:v>
      </x:c>
      <x:c r="M115" s="42" t="n">
        <x:f aca="0">IF(COUNT(F115:I115)=0,"n/m",AVERAGE(F115:I115))</x:f>
        <x:v>0.19277677579034547</x:v>
      </x:c>
      <x:c r="N115" s="42" t="n">
        <x:f aca="0">IF(COUNT(E115:I115)=0,"n/m",MEDIAN(E115:I115))</x:f>
        <x:v>0.1694536072536581</x:v>
      </x:c>
      <x:c r="O115" s="11" t="s">
        <x:v>112</x:v>
      </x:c>
      <x:c r="P115" s="9" t="str">
        <x:f aca="0">IF(NOT(ISNUMBER(L115)),"n/m",IF(O115="Higher",IF(L115&gt;=0,"Above avg - favourable","Below avg - unfavourable"),IF(O115="Lower",IF(L115&lt;=0,"Below avg - favourable","Above avg - unfavourable"),IF(L115&gt;=0,"Above avg - context-dependent","Below avg - context-dependent"))))&amp;IF(K115&lt;5," (N="&amp;K115&amp;")","")</x:f>
        <x:v>Below avg - favourable</x:v>
      </x:c>
      <x:c r="R115" s="59" t="str">
        <x:f aca="0">IF(K115=0,"n/m",IF(ABS(J115-SUM(E115:I115)/K115)&lt;0.000000001,"OK","ERR"))</x:f>
        <x:v>OK</x:v>
      </x:c>
    </x:row>
    <x:row r="116" ht="15" hidden="0">
      <x:c r="A116" s="54" t="s">
        <x:v>128</x:v>
      </x:c>
      <x:c r="B116" s="25" t="n">
        <x:v>19</x:v>
      </x:c>
      <x:c r="C116" s="24" t="s">
        <x:v>133</x:v>
      </x:c>
      <x:c r="D116" s="25"/>
      <x:c r="E116" s="25"/>
      <x:c r="F116" s="25"/>
      <x:c r="G116" s="25"/>
      <x:c r="H116" s="25"/>
      <x:c r="I116" s="25"/>
      <x:c r="J116" s="25"/>
      <x:c r="K116" s="25"/>
      <x:c r="L116" s="25"/>
      <x:c r="M116" s="25"/>
      <x:c r="N116" s="25"/>
      <x:c r="O116" s="25"/>
      <x:c r="P116" s="25"/>
      <x:c r="Q116" s="55"/>
      <x:c r="R116" s="25"/>
    </x:row>
    <x:row r="117" ht="15" hidden="0">
      <x:c r="C117" s="56" t="s">
        <x:v>133</x:v>
      </x:c>
      <x:c r="D117" s="11" t="s">
        <x:v>73</x:v>
      </x:c>
      <x:c r="E117" s="65" t="n">
        <x:f aca="0">KOHC!D158</x:f>
        <x:v>0.1220875910318789</x:v>
      </x:c>
      <x:c r="F117" s="65" t="n">
        <x:f aca="0">LUCK!D158</x:f>
        <x:v>0.018763703805448454</x:v>
      </x:c>
      <x:c r="G117" s="65" t="n">
        <x:f aca="0">DGKC!D158</x:f>
        <x:v>0.13996233662270563</x:v>
      </x:c>
      <x:c r="H117" s="65" t="n">
        <x:f aca="0">MLCF!D158</x:f>
        <x:v>0.19077425632568037</x:v>
      </x:c>
      <x:c r="I117" s="65" t="n">
        <x:f aca="0">FCCL!D158</x:f>
        <x:v>0.01659494791985876</x:v>
      </x:c>
      <x:c r="J117" s="66" t="n">
        <x:f aca="0">IF(COUNT(E117:I117)=0,"n/m",AVERAGE(E117:I117))</x:f>
        <x:v>0.09763656714111443</x:v>
      </x:c>
      <x:c r="K117" s="11" t="n">
        <x:f aca="0">COUNT(E117:I117)</x:f>
        <x:v>5</x:v>
      </x:c>
      <x:c r="L117" s="42" t="n">
        <x:f aca="0">IF(AND(ISNUMBER(E117),ISNUMBER(J117)),E117-J117,"n/m")</x:f>
        <x:v>0.024451023890764464</x:v>
      </x:c>
      <x:c r="M117" s="42" t="n">
        <x:f aca="0">IF(COUNT(F117:I117)=0,"n/m",AVERAGE(F117:I117))</x:f>
        <x:v>0.0915238111684233</x:v>
      </x:c>
      <x:c r="N117" s="42" t="n">
        <x:f aca="0">IF(COUNT(E117:I117)=0,"n/m",MEDIAN(E117:I117))</x:f>
        <x:v>0.1220875910318789</x:v>
      </x:c>
      <x:c r="O117" s="11" t="s">
        <x:v>112</x:v>
      </x:c>
      <x:c r="P117" s="9" t="str">
        <x:f aca="0">IF(NOT(ISNUMBER(L117)),"n/m",IF(O117="Higher",IF(L117&gt;=0,"Above avg - favourable","Below avg - unfavourable"),IF(O117="Lower",IF(L117&lt;=0,"Below avg - favourable","Above avg - unfavourable"),IF(L117&gt;=0,"Above avg - context-dependent","Below avg - context-dependent"))))&amp;IF(K117&lt;5," (N="&amp;K117&amp;")","")</x:f>
        <x:v>Above avg - unfavourable</x:v>
      </x:c>
      <x:c r="R117" s="59" t="str">
        <x:f aca="0">IF(K117=0,"n/m",IF(ABS(J117-SUM(E117:I117)/K117)&lt;0.000000001,"OK","ERR"))</x:f>
        <x:v>OK</x:v>
      </x:c>
    </x:row>
    <x:row r="118" ht="15" hidden="0">
      <x:c r="C118" s="56" t="s">
        <x:v>133</x:v>
      </x:c>
      <x:c r="D118" s="11" t="s">
        <x:v>74</x:v>
      </x:c>
      <x:c r="E118" s="65" t="n">
        <x:f aca="0">KOHC!E158</x:f>
        <x:v>0.07334143338786069</x:v>
      </x:c>
      <x:c r="F118" s="65" t="n">
        <x:f aca="0">LUCK!E158</x:f>
        <x:v>0.07627738632757988</x:v>
      </x:c>
      <x:c r="G118" s="65" t="n">
        <x:f aca="0">DGKC!E158</x:f>
        <x:v>0.10374941529310935</x:v>
      </x:c>
      <x:c r="H118" s="65" t="n">
        <x:f aca="0">MLCF!E158</x:f>
        <x:v>0.22836689667151214</x:v>
      </x:c>
      <x:c r="I118" s="65" t="n">
        <x:f aca="0">FCCL!E158</x:f>
        <x:v>0.1727906268810509</x:v>
      </x:c>
      <x:c r="J118" s="66" t="n">
        <x:f aca="0">IF(COUNT(E118:I118)=0,"n/m",AVERAGE(E118:I118))</x:f>
        <x:v>0.13090515171222256</x:v>
      </x:c>
      <x:c r="K118" s="11" t="n">
        <x:f aca="0">COUNT(E118:I118)</x:f>
        <x:v>5</x:v>
      </x:c>
      <x:c r="L118" s="42" t="n">
        <x:f aca="0">IF(AND(ISNUMBER(E118),ISNUMBER(J118)),E118-J118,"n/m")</x:f>
        <x:v>-0.05756371832436187</x:v>
      </x:c>
      <x:c r="M118" s="42" t="n">
        <x:f aca="0">IF(COUNT(F118:I118)=0,"n/m",AVERAGE(F118:I118))</x:f>
        <x:v>0.14529608129331306</x:v>
      </x:c>
      <x:c r="N118" s="42" t="n">
        <x:f aca="0">IF(COUNT(E118:I118)=0,"n/m",MEDIAN(E118:I118))</x:f>
        <x:v>0.10374941529310935</x:v>
      </x:c>
      <x:c r="O118" s="11" t="s">
        <x:v>112</x:v>
      </x:c>
      <x:c r="P118" s="9" t="str">
        <x:f aca="0">IF(NOT(ISNUMBER(L118)),"n/m",IF(O118="Higher",IF(L118&gt;=0,"Above avg - favourable","Below avg - unfavourable"),IF(O118="Lower",IF(L118&lt;=0,"Below avg - favourable","Above avg - unfavourable"),IF(L118&gt;=0,"Above avg - context-dependent","Below avg - context-dependent"))))&amp;IF(K118&lt;5," (N="&amp;K118&amp;")","")</x:f>
        <x:v>Below avg - favourable</x:v>
      </x:c>
      <x:c r="R118" s="59" t="str">
        <x:f aca="0">IF(K118=0,"n/m",IF(ABS(J118-SUM(E118:I118)/K118)&lt;0.000000001,"OK","ERR"))</x:f>
        <x:v>OK</x:v>
      </x:c>
    </x:row>
    <x:row r="119" ht="15" hidden="0">
      <x:c r="C119" s="56" t="s">
        <x:v>133</x:v>
      </x:c>
      <x:c r="D119" s="11" t="s">
        <x:v>75</x:v>
      </x:c>
      <x:c r="E119" s="65" t="n">
        <x:f aca="0">KOHC!F158</x:f>
        <x:v>0.04338813037035516</x:v>
      </x:c>
      <x:c r="F119" s="65" t="n">
        <x:f aca="0">LUCK!F158</x:f>
        <x:v>0.0683187429199697</x:v>
      </x:c>
      <x:c r="G119" s="65" t="n">
        <x:f aca="0">DGKC!F158</x:f>
        <x:v>0.07173473071922083</x:v>
      </x:c>
      <x:c r="H119" s="65" t="n">
        <x:f aca="0">MLCF!F158</x:f>
        <x:v>0.19245552926882725</x:v>
      </x:c>
      <x:c r="I119" s="65" t="n">
        <x:f aca="0">FCCL!F158</x:f>
        <x:v>0.22975152572601862</x:v>
      </x:c>
      <x:c r="J119" s="66" t="n">
        <x:f aca="0">IF(COUNT(E119:I119)=0,"n/m",AVERAGE(E119:I119))</x:f>
        <x:v>0.12112973180087831</x:v>
      </x:c>
      <x:c r="K119" s="11" t="n">
        <x:f aca="0">COUNT(E119:I119)</x:f>
        <x:v>5</x:v>
      </x:c>
      <x:c r="L119" s="42" t="n">
        <x:f aca="0">IF(AND(ISNUMBER(E119),ISNUMBER(J119)),E119-J119,"n/m")</x:f>
        <x:v>-0.07774160143052315</x:v>
      </x:c>
      <x:c r="M119" s="42" t="n">
        <x:f aca="0">IF(COUNT(F119:I119)=0,"n/m",AVERAGE(F119:I119))</x:f>
        <x:v>0.1405651321585091</x:v>
      </x:c>
      <x:c r="N119" s="42" t="n">
        <x:f aca="0">IF(COUNT(E119:I119)=0,"n/m",MEDIAN(E119:I119))</x:f>
        <x:v>0.07173473071922083</x:v>
      </x:c>
      <x:c r="O119" s="11" t="s">
        <x:v>112</x:v>
      </x:c>
      <x:c r="P119" s="9" t="str">
        <x:f aca="0">IF(NOT(ISNUMBER(L119)),"n/m",IF(O119="Higher",IF(L119&gt;=0,"Above avg - favourable","Below avg - unfavourable"),IF(O119="Lower",IF(L119&lt;=0,"Below avg - favourable","Above avg - unfavourable"),IF(L119&gt;=0,"Above avg - context-dependent","Below avg - context-dependent"))))&amp;IF(K119&lt;5," (N="&amp;K119&amp;")","")</x:f>
        <x:v>Below avg - favourable</x:v>
      </x:c>
      <x:c r="R119" s="59" t="str">
        <x:f aca="0">IF(K119=0,"n/m",IF(ABS(J119-SUM(E119:I119)/K119)&lt;0.000000001,"OK","ERR"))</x:f>
        <x:v>OK</x:v>
      </x:c>
    </x:row>
    <x:row r="120" ht="15" hidden="0">
      <x:c r="C120" s="56" t="s">
        <x:v>133</x:v>
      </x:c>
      <x:c r="D120" s="11" t="s">
        <x:v>76</x:v>
      </x:c>
      <x:c r="E120" s="65" t="n">
        <x:f aca="0">KOHC!G158</x:f>
        <x:v>0.01901053423767185</x:v>
      </x:c>
      <x:c r="F120" s="65" t="n">
        <x:f aca="0">LUCK!G158</x:f>
        <x:v>0.054528421285721974</x:v>
      </x:c>
      <x:c r="G120" s="65" t="n">
        <x:f aca="0">DGKC!G158</x:f>
        <x:v>0.11536675950040348</x:v>
      </x:c>
      <x:c r="H120" s="65" t="n">
        <x:f aca="0">MLCF!G158</x:f>
        <x:v>0.1441187310524372</x:v>
      </x:c>
      <x:c r="I120" s="65" t="n">
        <x:f aca="0">FCCL!G158</x:f>
        <x:v>0.203376413547186</x:v>
      </x:c>
      <x:c r="J120" s="66" t="n">
        <x:f aca="0">IF(COUNT(E120:I120)=0,"n/m",AVERAGE(E120:I120))</x:f>
        <x:v>0.10728017192468409</x:v>
      </x:c>
      <x:c r="K120" s="11" t="n">
        <x:f aca="0">COUNT(E120:I120)</x:f>
        <x:v>5</x:v>
      </x:c>
      <x:c r="L120" s="42" t="n">
        <x:f aca="0">IF(AND(ISNUMBER(E120),ISNUMBER(J120)),E120-J120,"n/m")</x:f>
        <x:v>-0.08826963768701224</x:v>
      </x:c>
      <x:c r="M120" s="42" t="n">
        <x:f aca="0">IF(COUNT(F120:I120)=0,"n/m",AVERAGE(F120:I120))</x:f>
        <x:v>0.12934758134643715</x:v>
      </x:c>
      <x:c r="N120" s="42" t="n">
        <x:f aca="0">IF(COUNT(E120:I120)=0,"n/m",MEDIAN(E120:I120))</x:f>
        <x:v>0.11536675950040348</x:v>
      </x:c>
      <x:c r="O120" s="11" t="s">
        <x:v>112</x:v>
      </x:c>
      <x:c r="P120" s="9" t="str">
        <x:f aca="0">IF(NOT(ISNUMBER(L120)),"n/m",IF(O120="Higher",IF(L120&gt;=0,"Above avg - favourable","Below avg - unfavourable"),IF(O120="Lower",IF(L120&lt;=0,"Below avg - favourable","Above avg - unfavourable"),IF(L120&gt;=0,"Above avg - context-dependent","Below avg - context-dependent"))))&amp;IF(K120&lt;5," (N="&amp;K120&amp;")","")</x:f>
        <x:v>Below avg - favourable</x:v>
      </x:c>
      <x:c r="R120" s="59" t="str">
        <x:f aca="0">IF(K120=0,"n/m",IF(ABS(J120-SUM(E120:I120)/K120)&lt;0.000000001,"OK","ERR"))</x:f>
        <x:v>OK</x:v>
      </x:c>
    </x:row>
    <x:row r="121" ht="15" hidden="0">
      <x:c r="C121" s="56" t="s">
        <x:v>133</x:v>
      </x:c>
      <x:c r="D121" s="11" t="s">
        <x:v>77</x:v>
      </x:c>
      <x:c r="E121" s="65" t="n">
        <x:f aca="0">KOHC!H158</x:f>
        <x:v>0.02169313165517457</x:v>
      </x:c>
      <x:c r="F121" s="65" t="n">
        <x:f aca="0">LUCK!H158</x:f>
        <x:v>0.0344314520335914</x:v>
      </x:c>
      <x:c r="G121" s="65" t="n">
        <x:f aca="0">DGKC!H158</x:f>
        <x:v>0.06917171092245233</x:v>
      </x:c>
      <x:c r="H121" s="65" t="n">
        <x:f aca="0">MLCF!H158</x:f>
        <x:v>0.08236454653172713</x:v>
      </x:c>
      <x:c r="I121" s="65" t="n">
        <x:f aca="0">FCCL!H158</x:f>
        <x:v>0.15113814624398686</x:v>
      </x:c>
      <x:c r="J121" s="66" t="n">
        <x:f aca="0">IF(COUNT(E121:I121)=0,"n/m",AVERAGE(E121:I121))</x:f>
        <x:v>0.07175979747738645</x:v>
      </x:c>
      <x:c r="K121" s="11" t="n">
        <x:f aca="0">COUNT(E121:I121)</x:f>
        <x:v>5</x:v>
      </x:c>
      <x:c r="L121" s="42" t="n">
        <x:f aca="0">IF(AND(ISNUMBER(E121),ISNUMBER(J121)),E121-J121,"n/m")</x:f>
        <x:v>-0.05006666582221188</x:v>
      </x:c>
      <x:c r="M121" s="42" t="n">
        <x:f aca="0">IF(COUNT(F121:I121)=0,"n/m",AVERAGE(F121:I121))</x:f>
        <x:v>0.08427646393293943</x:v>
      </x:c>
      <x:c r="N121" s="42" t="n">
        <x:f aca="0">IF(COUNT(E121:I121)=0,"n/m",MEDIAN(E121:I121))</x:f>
        <x:v>0.06917171092245233</x:v>
      </x:c>
      <x:c r="O121" s="11" t="s">
        <x:v>112</x:v>
      </x:c>
      <x:c r="P121" s="9" t="str">
        <x:f aca="0">IF(NOT(ISNUMBER(L121)),"n/m",IF(O121="Higher",IF(L121&gt;=0,"Above avg - favourable","Below avg - unfavourable"),IF(O121="Lower",IF(L121&lt;=0,"Below avg - favourable","Above avg - unfavourable"),IF(L121&gt;=0,"Above avg - context-dependent","Below avg - context-dependent"))))&amp;IF(K121&lt;5," (N="&amp;K121&amp;")","")</x:f>
        <x:v>Below avg - favourable</x:v>
      </x:c>
      <x:c r="R121" s="59" t="str">
        <x:f aca="0">IF(K121=0,"n/m",IF(ABS(J121-SUM(E121:I121)/K121)&lt;0.000000001,"OK","ERR"))</x:f>
        <x:v>OK</x:v>
      </x:c>
    </x:row>
    <x:row r="122" ht="15" hidden="0">
      <x:c r="A122" s="54" t="s">
        <x:v>128</x:v>
      </x:c>
      <x:c r="B122" s="25" t="n">
        <x:v>20</x:v>
      </x:c>
      <x:c r="C122" s="24" t="s">
        <x:v>135</x:v>
      </x:c>
      <x:c r="D122" s="25"/>
      <x:c r="E122" s="25"/>
      <x:c r="F122" s="25"/>
      <x:c r="G122" s="25"/>
      <x:c r="H122" s="25"/>
      <x:c r="I122" s="25"/>
      <x:c r="J122" s="25"/>
      <x:c r="K122" s="25"/>
      <x:c r="L122" s="25"/>
      <x:c r="M122" s="25"/>
      <x:c r="N122" s="25"/>
      <x:c r="O122" s="25"/>
      <x:c r="P122" s="25"/>
      <x:c r="Q122" s="55" t="s">
        <x:v>1056</x:v>
      </x:c>
      <x:c r="R122" s="25"/>
    </x:row>
    <x:row r="123" ht="15" hidden="0">
      <x:c r="C123" s="56" t="s">
        <x:v>135</x:v>
      </x:c>
      <x:c r="D123" s="11" t="s">
        <x:v>73</x:v>
      </x:c>
      <x:c r="E123" s="57" t="n">
        <x:f aca="0">KOHC!D159</x:f>
        <x:v>11.019706901181747</x:v>
      </x:c>
      <x:c r="F123" s="57" t="n">
        <x:f aca="0">LUCK!D159</x:f>
        <x:v>52.04222826331838</x:v>
      </x:c>
      <x:c r="G123" s="57" t="n">
        <x:f aca="0">DGKC!D159</x:f>
        <x:v>2.665277021761826</x:v>
      </x:c>
      <x:c r="H123" s="57" t="n">
        <x:f aca="0">MLCF!D159</x:f>
        <x:v>6.069000565198944</x:v>
      </x:c>
      <x:c r="I123" s="57" t="n">
        <x:f aca="0">FCCL!D159</x:f>
        <x:v>56.640991401771736</x:v>
      </x:c>
      <x:c r="J123" s="58" t="n">
        <x:f aca="0">IF(COUNT(E123:I123)=0,"n/m",AVERAGE(E123:I123))</x:f>
        <x:v>25.68744083064653</x:v>
      </x:c>
      <x:c r="K123" s="11" t="n">
        <x:f aca="0">COUNT(E123:I123)</x:f>
        <x:v>5</x:v>
      </x:c>
      <x:c r="L123" s="46" t="n">
        <x:f aca="0">IF(AND(ISNUMBER(E123),ISNUMBER(J123)),E123-J123,"n/m")</x:f>
        <x:v>-14.667733929464783</x:v>
      </x:c>
      <x:c r="M123" s="46" t="n">
        <x:f aca="0">IF(COUNT(F123:I123)=0,"n/m",AVERAGE(F123:I123))</x:f>
        <x:v>29.35437431301272</x:v>
      </x:c>
      <x:c r="N123" s="46" t="n">
        <x:f aca="0">IF(COUNT(E123:I123)=0,"n/m",MEDIAN(E123:I123))</x:f>
        <x:v>11.019706901181747</x:v>
      </x:c>
      <x:c r="O123" s="11" t="s">
        <x:v>90</x:v>
      </x:c>
      <x:c r="P123" s="9" t="str">
        <x:f aca="0">IF(NOT(ISNUMBER(L123)),"n/m",IF(O123="Higher",IF(L123&gt;=0,"Above avg - favourable","Below avg - unfavourable"),IF(O123="Lower",IF(L123&lt;=0,"Below avg - favourable","Above avg - unfavourable"),IF(L123&gt;=0,"Above avg - context-dependent","Below avg - context-dependent"))))&amp;IF(K123&lt;5," (N="&amp;K123&amp;")","")</x:f>
        <x:v>Below avg - unfavourable</x:v>
      </x:c>
      <x:c r="R123" s="59" t="str">
        <x:f aca="0">IF(K123=0,"n/m",IF(ABS(J123-SUM(E123:I123)/K123)&lt;0.000000001,"OK","ERR"))</x:f>
        <x:v>OK</x:v>
      </x:c>
    </x:row>
    <x:row r="124" ht="15" hidden="0">
      <x:c r="C124" s="56" t="s">
        <x:v>135</x:v>
      </x:c>
      <x:c r="D124" s="11" t="s">
        <x:v>74</x:v>
      </x:c>
      <x:c r="E124" s="57" t="n">
        <x:f aca="0">KOHC!E159</x:f>
        <x:v>18.36315245249661</x:v>
      </x:c>
      <x:c r="F124" s="57" t="n">
        <x:f aca="0">LUCK!E159</x:f>
        <x:v>55.297361076962446</x:v>
      </x:c>
      <x:c r="G124" s="57" t="n">
        <x:f aca="0">DGKC!E159</x:f>
        <x:v>2.7057478339935286</x:v>
      </x:c>
      <x:c r="H124" s="57" t="n">
        <x:f aca="0">MLCF!E159</x:f>
        <x:v>5.280713598911259</x:v>
      </x:c>
      <x:c r="I124" s="57" t="n">
        <x:f aca="0">FCCL!E159</x:f>
        <x:v>12.790793831338474</x:v>
      </x:c>
      <x:c r="J124" s="58" t="n">
        <x:f aca="0">IF(COUNT(E124:I124)=0,"n/m",AVERAGE(E124:I124))</x:f>
        <x:v>18.887553758740463</x:v>
      </x:c>
      <x:c r="K124" s="11" t="n">
        <x:f aca="0">COUNT(E124:I124)</x:f>
        <x:v>5</x:v>
      </x:c>
      <x:c r="L124" s="46" t="n">
        <x:f aca="0">IF(AND(ISNUMBER(E124),ISNUMBER(J124)),E124-J124,"n/m")</x:f>
        <x:v>-0.5244013062438526</x:v>
      </x:c>
      <x:c r="M124" s="46" t="n">
        <x:f aca="0">IF(COUNT(F124:I124)=0,"n/m",AVERAGE(F124:I124))</x:f>
        <x:v>19.018654085301428</x:v>
      </x:c>
      <x:c r="N124" s="46" t="n">
        <x:f aca="0">IF(COUNT(E124:I124)=0,"n/m",MEDIAN(E124:I124))</x:f>
        <x:v>12.790793831338474</x:v>
      </x:c>
      <x:c r="O124" s="11" t="s">
        <x:v>90</x:v>
      </x:c>
      <x:c r="P124" s="9" t="str">
        <x:f aca="0">IF(NOT(ISNUMBER(L124)),"n/m",IF(O124="Higher",IF(L124&gt;=0,"Above avg - favourable","Below avg - unfavourable"),IF(O124="Lower",IF(L124&lt;=0,"Below avg - favourable","Above avg - unfavourable"),IF(L124&gt;=0,"Above avg - context-dependent","Below avg - context-dependent"))))&amp;IF(K124&lt;5," (N="&amp;K124&amp;")","")</x:f>
        <x:v>Below avg - unfavourable</x:v>
      </x:c>
      <x:c r="R124" s="59" t="str">
        <x:f aca="0">IF(K124=0,"n/m",IF(ABS(J124-SUM(E124:I124)/K124)&lt;0.000000001,"OK","ERR"))</x:f>
        <x:v>OK</x:v>
      </x:c>
    </x:row>
    <x:row r="125" ht="15" hidden="0">
      <x:c r="C125" s="56" t="s">
        <x:v>135</x:v>
      </x:c>
      <x:c r="D125" s="11" t="s">
        <x:v>75</x:v>
      </x:c>
      <x:c r="E125" s="57" t="n">
        <x:f aca="0">KOHC!F159</x:f>
        <x:v>16.398825279873954</x:v>
      </x:c>
      <x:c r="F125" s="57" t="n">
        <x:f aca="0">LUCK!F159</x:f>
        <x:v>19.427961435835122</x:v>
      </x:c>
      <x:c r="G125" s="57" t="n">
        <x:f aca="0">DGKC!F159</x:f>
        <x:v>1.4774958199074884</x:v>
      </x:c>
      <x:c r="H125" s="57" t="n">
        <x:f aca="0">MLCF!F159</x:f>
        <x:v>4.472840944030858</x:v>
      </x:c>
      <x:c r="I125" s="57" t="n">
        <x:f aca="0">FCCL!F159</x:f>
        <x:v>6.303455869186725</x:v>
      </x:c>
      <x:c r="J125" s="58" t="n">
        <x:f aca="0">IF(COUNT(E125:I125)=0,"n/m",AVERAGE(E125:I125))</x:f>
        <x:v>9.61611586976683</x:v>
      </x:c>
      <x:c r="K125" s="11" t="n">
        <x:f aca="0">COUNT(E125:I125)</x:f>
        <x:v>5</x:v>
      </x:c>
      <x:c r="L125" s="46" t="n">
        <x:f aca="0">IF(AND(ISNUMBER(E125),ISNUMBER(J125)),E125-J125,"n/m")</x:f>
        <x:v>6.782709410107124</x:v>
      </x:c>
      <x:c r="M125" s="46" t="n">
        <x:f aca="0">IF(COUNT(F125:I125)=0,"n/m",AVERAGE(F125:I125))</x:f>
        <x:v>7.920438517240048</x:v>
      </x:c>
      <x:c r="N125" s="46" t="n">
        <x:f aca="0">IF(COUNT(E125:I125)=0,"n/m",MEDIAN(E125:I125))</x:f>
        <x:v>6.303455869186725</x:v>
      </x:c>
      <x:c r="O125" s="11" t="s">
        <x:v>90</x:v>
      </x:c>
      <x:c r="P125" s="9" t="str">
        <x:f aca="0">IF(NOT(ISNUMBER(L125)),"n/m",IF(O125="Higher",IF(L125&gt;=0,"Above avg - favourable","Below avg - unfavourable"),IF(O125="Lower",IF(L125&lt;=0,"Below avg - favourable","Above avg - unfavourable"),IF(L125&gt;=0,"Above avg - context-dependent","Below avg - context-dependent"))))&amp;IF(K125&lt;5," (N="&amp;K125&amp;")","")</x:f>
        <x:v>Above avg - favourable</x:v>
      </x:c>
      <x:c r="R125" s="59" t="str">
        <x:f aca="0">IF(K125=0,"n/m",IF(ABS(J125-SUM(E125:I125)/K125)&lt;0.000000001,"OK","ERR"))</x:f>
        <x:v>OK</x:v>
      </x:c>
    </x:row>
    <x:row r="126" ht="15" hidden="0">
      <x:c r="C126" s="56" t="s">
        <x:v>135</x:v>
      </x:c>
      <x:c r="D126" s="11" t="s">
        <x:v>76</x:v>
      </x:c>
      <x:c r="E126" s="57" t="n">
        <x:f aca="0">KOHC!G159</x:f>
        <x:v>22.367720224205137</x:v>
      </x:c>
      <x:c r="F126" s="57" t="n">
        <x:f aca="0">LUCK!G159</x:f>
        <x:v>27.534616013098077</x:v>
      </x:c>
      <x:c r="G126" s="57" t="n">
        <x:f aca="0">DGKC!G159</x:f>
        <x:v>1.367829033720977</x:v>
      </x:c>
      <x:c r="H126" s="57" t="n">
        <x:f aca="0">MLCF!G159</x:f>
        <x:v>3.222781857366191</x:v>
      </x:c>
      <x:c r="I126" s="57" t="n">
        <x:f aca="0">FCCL!G159</x:f>
        <x:v>3.782086656189459</x:v>
      </x:c>
      <x:c r="J126" s="58" t="n">
        <x:f aca="0">IF(COUNT(E126:I126)=0,"n/m",AVERAGE(E126:I126))</x:f>
        <x:v>11.65500675691597</x:v>
      </x:c>
      <x:c r="K126" s="11" t="n">
        <x:f aca="0">COUNT(E126:I126)</x:f>
        <x:v>5</x:v>
      </x:c>
      <x:c r="L126" s="46" t="n">
        <x:f aca="0">IF(AND(ISNUMBER(E126),ISNUMBER(J126)),E126-J126,"n/m")</x:f>
        <x:v>10.712713467289166</x:v>
      </x:c>
      <x:c r="M126" s="46" t="n">
        <x:f aca="0">IF(COUNT(F126:I126)=0,"n/m",AVERAGE(F126:I126))</x:f>
        <x:v>8.976828390093676</x:v>
      </x:c>
      <x:c r="N126" s="46" t="n">
        <x:f aca="0">IF(COUNT(E126:I126)=0,"n/m",MEDIAN(E126:I126))</x:f>
        <x:v>3.782086656189459</x:v>
      </x:c>
      <x:c r="O126" s="11" t="s">
        <x:v>90</x:v>
      </x:c>
      <x:c r="P126" s="9" t="str">
        <x:f aca="0">IF(NOT(ISNUMBER(L126)),"n/m",IF(O126="Higher",IF(L126&gt;=0,"Above avg - favourable","Below avg - unfavourable"),IF(O126="Lower",IF(L126&lt;=0,"Below avg - favourable","Above avg - unfavourable"),IF(L126&gt;=0,"Above avg - context-dependent","Below avg - context-dependent"))))&amp;IF(K126&lt;5," (N="&amp;K126&amp;")","")</x:f>
        <x:v>Above avg - favourable</x:v>
      </x:c>
      <x:c r="R126" s="59" t="str">
        <x:f aca="0">IF(K126=0,"n/m",IF(ABS(J126-SUM(E126:I126)/K126)&lt;0.000000001,"OK","ERR"))</x:f>
        <x:v>OK</x:v>
      </x:c>
    </x:row>
    <x:row r="127" ht="15" hidden="0">
      <x:c r="C127" s="56" t="s">
        <x:v>135</x:v>
      </x:c>
      <x:c r="D127" s="11" t="s">
        <x:v>77</x:v>
      </x:c>
      <x:c r="E127" s="57" t="n">
        <x:f aca="0">KOHC!H159</x:f>
        <x:v>59.09895319837231</x:v>
      </x:c>
      <x:c r="F127" s="57" t="n">
        <x:f aca="0">LUCK!H159</x:f>
        <x:v>36.7208914917797</x:v>
      </x:c>
      <x:c r="G127" s="57" t="n">
        <x:f aca="0">DGKC!H159</x:f>
        <x:v>4.421321516604763</x:v>
      </x:c>
      <x:c r="H127" s="57" t="n">
        <x:f aca="0">MLCF!H159</x:f>
        <x:v>7.387043000579386</x:v>
      </x:c>
      <x:c r="I127" s="57" t="n">
        <x:f aca="0">FCCL!H159</x:f>
        <x:v>4.810770991481205</x:v>
      </x:c>
      <x:c r="J127" s="58" t="n">
        <x:f aca="0">IF(COUNT(E127:I127)=0,"n/m",AVERAGE(E127:I127))</x:f>
        <x:v>22.487796039763474</x:v>
      </x:c>
      <x:c r="K127" s="11" t="n">
        <x:f aca="0">COUNT(E127:I127)</x:f>
        <x:v>5</x:v>
      </x:c>
      <x:c r="L127" s="46" t="n">
        <x:f aca="0">IF(AND(ISNUMBER(E127),ISNUMBER(J127)),E127-J127,"n/m")</x:f>
        <x:v>36.61115715860883</x:v>
      </x:c>
      <x:c r="M127" s="46" t="n">
        <x:f aca="0">IF(COUNT(F127:I127)=0,"n/m",AVERAGE(F127:I127))</x:f>
        <x:v>13.335006750111265</x:v>
      </x:c>
      <x:c r="N127" s="46" t="n">
        <x:f aca="0">IF(COUNT(E127:I127)=0,"n/m",MEDIAN(E127:I127))</x:f>
        <x:v>7.387043000579386</x:v>
      </x:c>
      <x:c r="O127" s="11" t="s">
        <x:v>90</x:v>
      </x:c>
      <x:c r="P127" s="9" t="str">
        <x:f aca="0">IF(NOT(ISNUMBER(L127)),"n/m",IF(O127="Higher",IF(L127&gt;=0,"Above avg - favourable","Below avg - unfavourable"),IF(O127="Lower",IF(L127&lt;=0,"Below avg - favourable","Above avg - unfavourable"),IF(L127&gt;=0,"Above avg - context-dependent","Below avg - context-dependent"))))&amp;IF(K127&lt;5," (N="&amp;K127&amp;")","")</x:f>
        <x:v>Above avg - favourable</x:v>
      </x:c>
      <x:c r="R127" s="59" t="str">
        <x:f aca="0">IF(K127=0,"n/m",IF(ABS(J127-SUM(E127:I127)/K127)&lt;0.000000001,"OK","ERR"))</x:f>
        <x:v>OK</x:v>
      </x:c>
    </x:row>
    <x:row r="128" ht="15" hidden="0">
      <x:c r="A128" s="54" t="s">
        <x:v>128</x:v>
      </x:c>
      <x:c r="B128" s="25" t="n">
        <x:v>21</x:v>
      </x:c>
      <x:c r="C128" s="24" t="s">
        <x:v>137</x:v>
      </x:c>
      <x:c r="D128" s="25"/>
      <x:c r="E128" s="25"/>
      <x:c r="F128" s="25"/>
      <x:c r="G128" s="25"/>
      <x:c r="H128" s="25"/>
      <x:c r="I128" s="25"/>
      <x:c r="J128" s="25"/>
      <x:c r="K128" s="25"/>
      <x:c r="L128" s="25"/>
      <x:c r="M128" s="25"/>
      <x:c r="N128" s="25"/>
      <x:c r="O128" s="25"/>
      <x:c r="P128" s="25"/>
      <x:c r="Q128" s="55" t="s">
        <x:v>1057</x:v>
      </x:c>
      <x:c r="R128" s="25"/>
    </x:row>
    <x:row r="129" ht="15" hidden="0">
      <x:c r="C129" s="56" t="s">
        <x:v>137</x:v>
      </x:c>
      <x:c r="D129" s="11" t="s">
        <x:v>73</x:v>
      </x:c>
      <x:c r="E129" s="57" t="n">
        <x:f aca="0">KOHC!D160</x:f>
        <x:v>0.7315758637535726</x:v>
      </x:c>
      <x:c r="F129" s="57" t="n">
        <x:f aca="0">LUCK!D160</x:f>
        <x:v>0.35449367592621445</x:v>
      </x:c>
      <x:c r="G129" s="57" t="n">
        <x:f aca="0">DGKC!D160</x:f>
        <x:v>3.813191896771488</x:v>
      </x:c>
      <x:c r="H129" s="57" t="n">
        <x:f aca="0">MLCF!D160</x:f>
        <x:v>1.3043528362015715</x:v>
      </x:c>
      <x:c r="I129" s="57" t="n">
        <x:f aca="0">FCCL!D160</x:f>
        <x:v>0.24458614853218485</x:v>
      </x:c>
      <x:c r="J129" s="58" t="n">
        <x:f aca="0">IF(COUNT(E129:I129)=0,"n/m",AVERAGE(E129:I129))</x:f>
        <x:v>1.2896400842370064</x:v>
      </x:c>
      <x:c r="K129" s="11" t="n">
        <x:f aca="0">COUNT(E129:I129)</x:f>
        <x:v>5</x:v>
      </x:c>
      <x:c r="L129" s="46" t="n">
        <x:f aca="0">IF(AND(ISNUMBER(E129),ISNUMBER(J129)),E129-J129,"n/m")</x:f>
        <x:v>-0.5580642204834337</x:v>
      </x:c>
      <x:c r="M129" s="46" t="n">
        <x:f aca="0">IF(COUNT(F129:I129)=0,"n/m",AVERAGE(F129:I129))</x:f>
        <x:v>1.4291561393578647</x:v>
      </x:c>
      <x:c r="N129" s="46" t="n">
        <x:f aca="0">IF(COUNT(E129:I129)=0,"n/m",MEDIAN(E129:I129))</x:f>
        <x:v>0.7315758637535726</x:v>
      </x:c>
      <x:c r="O129" s="11" t="s">
        <x:v>112</x:v>
      </x:c>
      <x:c r="P129" s="9" t="str">
        <x:f aca="0">IF(NOT(ISNUMBER(L129)),"n/m",IF(O129="Higher",IF(L129&gt;=0,"Above avg - favourable","Below avg - unfavourable"),IF(O129="Lower",IF(L129&lt;=0,"Below avg - favourable","Above avg - unfavourable"),IF(L129&gt;=0,"Above avg - context-dependent","Below avg - context-dependent"))))&amp;IF(K129&lt;5," (N="&amp;K129&amp;")","")</x:f>
        <x:v>Below avg - favourable</x:v>
      </x:c>
      <x:c r="R129" s="59" t="str">
        <x:f aca="0">IF(K129=0,"n/m",IF(ABS(J129-SUM(E129:I129)/K129)&lt;0.000000001,"OK","ERR"))</x:f>
        <x:v>OK</x:v>
      </x:c>
    </x:row>
    <x:row r="130" ht="15" hidden="0">
      <x:c r="C130" s="56" t="s">
        <x:v>137</x:v>
      </x:c>
      <x:c r="D130" s="11" t="s">
        <x:v>74</x:v>
      </x:c>
      <x:c r="E130" s="57" t="n">
        <x:f aca="0">KOHC!E160</x:f>
        <x:v>0.3563402762598097</x:v>
      </x:c>
      <x:c r="F130" s="57" t="n">
        <x:f aca="0">LUCK!E160</x:f>
        <x:v>0.44506483760136756</x:v>
      </x:c>
      <x:c r="G130" s="57" t="n">
        <x:f aca="0">DGKC!E160</x:f>
        <x:v>3.411159135548283</x:v>
      </x:c>
      <x:c r="H130" s="57" t="n">
        <x:f aca="0">MLCF!E160</x:f>
        <x:v>1.9887410592494228</x:v>
      </x:c>
      <x:c r="I130" s="57" t="n">
        <x:f aca="0">FCCL!E160</x:f>
        <x:v>1.9769322381186347</x:v>
      </x:c>
      <x:c r="J130" s="58" t="n">
        <x:f aca="0">IF(COUNT(E130:I130)=0,"n/m",AVERAGE(E130:I130))</x:f>
        <x:v>1.6356475093555034</x:v>
      </x:c>
      <x:c r="K130" s="11" t="n">
        <x:f aca="0">COUNT(E130:I130)</x:f>
        <x:v>5</x:v>
      </x:c>
      <x:c r="L130" s="46" t="n">
        <x:f aca="0">IF(AND(ISNUMBER(E130),ISNUMBER(J130)),E130-J130,"n/m")</x:f>
        <x:v>-1.2793072330956936</x:v>
      </x:c>
      <x:c r="M130" s="46" t="n">
        <x:f aca="0">IF(COUNT(F130:I130)=0,"n/m",AVERAGE(F130:I130))</x:f>
        <x:v>1.9554743176294271</x:v>
      </x:c>
      <x:c r="N130" s="46" t="n">
        <x:f aca="0">IF(COUNT(E130:I130)=0,"n/m",MEDIAN(E130:I130))</x:f>
        <x:v>1.9769322381186347</x:v>
      </x:c>
      <x:c r="O130" s="11" t="s">
        <x:v>112</x:v>
      </x:c>
      <x:c r="P130" s="9" t="str">
        <x:f aca="0">IF(NOT(ISNUMBER(L130)),"n/m",IF(O130="Higher",IF(L130&gt;=0,"Above avg - favourable","Below avg - unfavourable"),IF(O130="Lower",IF(L130&lt;=0,"Below avg - favourable","Above avg - unfavourable"),IF(L130&gt;=0,"Above avg - context-dependent","Below avg - context-dependent"))))&amp;IF(K130&lt;5," (N="&amp;K130&amp;")","")</x:f>
        <x:v>Below avg - favourable</x:v>
      </x:c>
      <x:c r="R130" s="59" t="str">
        <x:f aca="0">IF(K130=0,"n/m",IF(ABS(J130-SUM(E130:I130)/K130)&lt;0.000000001,"OK","ERR"))</x:f>
        <x:v>OK</x:v>
      </x:c>
    </x:row>
    <x:row r="131" ht="15" hidden="0">
      <x:c r="C131" s="56" t="s">
        <x:v>137</x:v>
      </x:c>
      <x:c r="D131" s="11" t="s">
        <x:v>75</x:v>
      </x:c>
      <x:c r="E131" s="57" t="n">
        <x:f aca="0">KOHC!F160</x:f>
        <x:v>0.18253286758574166</x:v>
      </x:c>
      <x:c r="F131" s="57" t="n">
        <x:f aca="0">LUCK!F160</x:f>
        <x:v>0.6082321401838148</x:v>
      </x:c>
      <x:c r="G131" s="57" t="n">
        <x:f aca="0">DGKC!F160</x:f>
        <x:v>3.0221254833304125</x:v>
      </x:c>
      <x:c r="H131" s="57" t="n">
        <x:f aca="0">MLCF!F160</x:f>
        <x:v>1.2362853113221863</x:v>
      </x:c>
      <x:c r="I131" s="57" t="n">
        <x:f aca="0">FCCL!F160</x:f>
        <x:v>2.330771626609412</x:v>
      </x:c>
      <x:c r="J131" s="58" t="n">
        <x:f aca="0">IF(COUNT(E131:I131)=0,"n/m",AVERAGE(E131:I131))</x:f>
        <x:v>1.4759894858063134</x:v>
      </x:c>
      <x:c r="K131" s="11" t="n">
        <x:f aca="0">COUNT(E131:I131)</x:f>
        <x:v>5</x:v>
      </x:c>
      <x:c r="L131" s="46" t="n">
        <x:f aca="0">IF(AND(ISNUMBER(E131),ISNUMBER(J131)),E131-J131,"n/m")</x:f>
        <x:v>-1.2934566182205718</x:v>
      </x:c>
      <x:c r="M131" s="46" t="n">
        <x:f aca="0">IF(COUNT(F131:I131)=0,"n/m",AVERAGE(F131:I131))</x:f>
        <x:v>1.7993536403614563</x:v>
      </x:c>
      <x:c r="N131" s="46" t="n">
        <x:f aca="0">IF(COUNT(E131:I131)=0,"n/m",MEDIAN(E131:I131))</x:f>
        <x:v>1.2362853113221863</x:v>
      </x:c>
      <x:c r="O131" s="11" t="s">
        <x:v>112</x:v>
      </x:c>
      <x:c r="P131" s="9" t="str">
        <x:f aca="0">IF(NOT(ISNUMBER(L131)),"n/m",IF(O131="Higher",IF(L131&gt;=0,"Above avg - favourable","Below avg - unfavourable"),IF(O131="Lower",IF(L131&lt;=0,"Below avg - favourable","Above avg - unfavourable"),IF(L131&gt;=0,"Above avg - context-dependent","Below avg - context-dependent"))))&amp;IF(K131&lt;5," (N="&amp;K131&amp;")","")</x:f>
        <x:v>Below avg - favourable</x:v>
      </x:c>
      <x:c r="R131" s="59" t="str">
        <x:f aca="0">IF(K131=0,"n/m",IF(ABS(J131-SUM(E131:I131)/K131)&lt;0.000000001,"OK","ERR"))</x:f>
        <x:v>OK</x:v>
      </x:c>
    </x:row>
    <x:row r="132" ht="15" hidden="0">
      <x:c r="C132" s="56" t="s">
        <x:v>137</x:v>
      </x:c>
      <x:c r="D132" s="11" t="s">
        <x:v>76</x:v>
      </x:c>
      <x:c r="E132" s="57" t="n">
        <x:f aca="0">KOHC!G160</x:f>
        <x:v>0.07580684653859704</x:v>
      </x:c>
      <x:c r="F132" s="57" t="n">
        <x:f aca="0">LUCK!G160</x:f>
        <x:v>0.3623191660793304</x:v>
      </x:c>
      <x:c r="G132" s="57" t="n">
        <x:f aca="0">DGKC!G160</x:f>
        <x:v>2.2860253471832075</x:v>
      </x:c>
      <x:c r="H132" s="57" t="n">
        <x:f aca="0">MLCF!G160</x:f>
        <x:v>1.0377422935118947</x:v>
      </x:c>
      <x:c r="I132" s="57" t="n">
        <x:f aca="0">FCCL!G160</x:f>
        <x:v>1.6450866382920604</x:v>
      </x:c>
      <x:c r="J132" s="58" t="n">
        <x:f aca="0">IF(COUNT(E132:I132)=0,"n/m",AVERAGE(E132:I132))</x:f>
        <x:v>1.081396058321018</x:v>
      </x:c>
      <x:c r="K132" s="11" t="n">
        <x:f aca="0">COUNT(E132:I132)</x:f>
        <x:v>5</x:v>
      </x:c>
      <x:c r="L132" s="46" t="n">
        <x:f aca="0">IF(AND(ISNUMBER(E132),ISNUMBER(J132)),E132-J132,"n/m")</x:f>
        <x:v>-1.005589211782421</x:v>
      </x:c>
      <x:c r="M132" s="46" t="n">
        <x:f aca="0">IF(COUNT(F132:I132)=0,"n/m",AVERAGE(F132:I132))</x:f>
        <x:v>1.3327933612666232</x:v>
      </x:c>
      <x:c r="N132" s="46" t="n">
        <x:f aca="0">IF(COUNT(E132:I132)=0,"n/m",MEDIAN(E132:I132))</x:f>
        <x:v>1.0377422935118947</x:v>
      </x:c>
      <x:c r="O132" s="11" t="s">
        <x:v>112</x:v>
      </x:c>
      <x:c r="P132" s="9" t="str">
        <x:f aca="0">IF(NOT(ISNUMBER(L132)),"n/m",IF(O132="Higher",IF(L132&gt;=0,"Above avg - favourable","Below avg - unfavourable"),IF(O132="Lower",IF(L132&lt;=0,"Below avg - favourable","Above avg - unfavourable"),IF(L132&gt;=0,"Above avg - context-dependent","Below avg - context-dependent"))))&amp;IF(K132&lt;5," (N="&amp;K132&amp;")","")</x:f>
        <x:v>Below avg - favourable</x:v>
      </x:c>
      <x:c r="R132" s="59" t="str">
        <x:f aca="0">IF(K132=0,"n/m",IF(ABS(J132-SUM(E132:I132)/K132)&lt;0.000000001,"OK","ERR"))</x:f>
        <x:v>OK</x:v>
      </x:c>
    </x:row>
    <x:row r="133" ht="15" hidden="0">
      <x:c r="C133" s="56" t="s">
        <x:v>137</x:v>
      </x:c>
      <x:c r="D133" s="11" t="s">
        <x:v>77</x:v>
      </x:c>
      <x:c r="E133" s="57" t="n">
        <x:f aca="0">KOHC!H160</x:f>
        <x:v>0.043350427185611946</x:v>
      </x:c>
      <x:c r="F133" s="57" t="n">
        <x:f aca="0">LUCK!H160</x:f>
        <x:v>0.2650534518659979</x:v>
      </x:c>
      <x:c r="G133" s="57" t="n">
        <x:f aca="0">DGKC!H160</x:f>
        <x:v>1.0304549257932554</x:v>
      </x:c>
      <x:c r="H133" s="57" t="n">
        <x:f aca="0">MLCF!H160</x:f>
        <x:v>0.43751507855019817</x:v>
      </x:c>
      <x:c r="I133" s="57" t="n">
        <x:f aca="0">FCCL!H160</x:f>
        <x:v>1.1639093473655806</x:v>
      </x:c>
      <x:c r="J133" s="58" t="n">
        <x:f aca="0">IF(COUNT(E133:I133)=0,"n/m",AVERAGE(E133:I133))</x:f>
        <x:v>0.5880566461521288</x:v>
      </x:c>
      <x:c r="K133" s="11" t="n">
        <x:f aca="0">COUNT(E133:I133)</x:f>
        <x:v>5</x:v>
      </x:c>
      <x:c r="L133" s="46" t="n">
        <x:f aca="0">IF(AND(ISNUMBER(E133),ISNUMBER(J133)),E133-J133,"n/m")</x:f>
        <x:v>-0.5447062189665168</x:v>
      </x:c>
      <x:c r="M133" s="46" t="n">
        <x:f aca="0">IF(COUNT(F133:I133)=0,"n/m",AVERAGE(F133:I133))</x:f>
        <x:v>0.724233200893758</x:v>
      </x:c>
      <x:c r="N133" s="46" t="n">
        <x:f aca="0">IF(COUNT(E133:I133)=0,"n/m",MEDIAN(E133:I133))</x:f>
        <x:v>0.43751507855019817</x:v>
      </x:c>
      <x:c r="O133" s="11" t="s">
        <x:v>112</x:v>
      </x:c>
      <x:c r="P133" s="9" t="str">
        <x:f aca="0">IF(NOT(ISNUMBER(L133)),"n/m",IF(O133="Higher",IF(L133&gt;=0,"Above avg - favourable","Below avg - unfavourable"),IF(O133="Lower",IF(L133&lt;=0,"Below avg - favourable","Above avg - unfavourable"),IF(L133&gt;=0,"Above avg - context-dependent","Below avg - context-dependent"))))&amp;IF(K133&lt;5," (N="&amp;K133&amp;")","")</x:f>
        <x:v>Below avg - favourable</x:v>
      </x:c>
      <x:c r="R133" s="59" t="str">
        <x:f aca="0">IF(K133=0,"n/m",IF(ABS(J133-SUM(E133:I133)/K133)&lt;0.000000001,"OK","ERR"))</x:f>
        <x:v>OK</x:v>
      </x:c>
    </x:row>
    <x:row r="134" ht="15" hidden="0">
      <x:c r="A134" s="5" t="s">
        <x:v>1058</x:v>
      </x:c>
      <x:c r="B134" s="20"/>
      <x:c r="C134" s="20"/>
      <x:c r="D134" s="20"/>
      <x:c r="E134" s="20"/>
      <x:c r="F134" s="20"/>
      <x:c r="G134" s="20"/>
      <x:c r="H134" s="20"/>
      <x:c r="I134" s="20"/>
      <x:c r="J134" s="20"/>
      <x:c r="K134" s="20"/>
      <x:c r="L134" s="20"/>
      <x:c r="M134" s="20"/>
      <x:c r="N134" s="20"/>
      <x:c r="O134" s="20"/>
      <x:c r="P134" s="20"/>
      <x:c r="Q134" s="20"/>
      <x:c r="R134" s="20"/>
    </x:row>
    <x:row r="135" ht="15" hidden="0">
      <x:c r="A135" s="54" t="s">
        <x:v>141</x:v>
      </x:c>
      <x:c r="B135" s="25" t="n">
        <x:v>22</x:v>
      </x:c>
      <x:c r="C135" s="24" t="s">
        <x:v>139</x:v>
      </x:c>
      <x:c r="D135" s="25"/>
      <x:c r="E135" s="25"/>
      <x:c r="F135" s="25"/>
      <x:c r="G135" s="25"/>
      <x:c r="H135" s="25"/>
      <x:c r="I135" s="25"/>
      <x:c r="J135" s="25"/>
      <x:c r="K135" s="25"/>
      <x:c r="L135" s="25"/>
      <x:c r="M135" s="25"/>
      <x:c r="N135" s="25"/>
      <x:c r="O135" s="25"/>
      <x:c r="P135" s="25"/>
      <x:c r="Q135" s="55"/>
      <x:c r="R135" s="25"/>
    </x:row>
    <x:row r="136" ht="15" hidden="0">
      <x:c r="C136" s="56" t="s">
        <x:v>139</x:v>
      </x:c>
      <x:c r="D136" s="11" t="s">
        <x:v>73</x:v>
      </x:c>
      <x:c r="E136" s="65" t="n">
        <x:f aca="0">KOHC!D162</x:f>
        <x:v>0.2479634130082893</x:v>
      </x:c>
      <x:c r="F136" s="65" t="n">
        <x:f aca="0">LUCK!D162</x:f>
        <x:v>0.30117079055471246</x:v>
      </x:c>
      <x:c r="G136" s="65" t="n">
        <x:f aca="0">DGKC!D162</x:f>
        <x:v>0.1789471373949763</x:v>
      </x:c>
      <x:c r="H136" s="65" t="n">
        <x:f aca="0">MLCF!D162</x:f>
        <x:v>0.20830714445240356</x:v>
      </x:c>
      <x:c r="I136" s="65" t="n">
        <x:f aca="0">FCCL!D162</x:f>
        <x:v>0.24985924725452316</x:v>
      </x:c>
      <x:c r="J136" s="66" t="n">
        <x:f aca="0">IF(COUNT(E136:I136)=0,"n/m",AVERAGE(E136:I136))</x:f>
        <x:v>0.23724954653298097</x:v>
      </x:c>
      <x:c r="K136" s="11" t="n">
        <x:f aca="0">COUNT(E136:I136)</x:f>
        <x:v>5</x:v>
      </x:c>
      <x:c r="L136" s="42" t="n">
        <x:f aca="0">IF(AND(ISNUMBER(E136),ISNUMBER(J136)),E136-J136,"n/m")</x:f>
        <x:v>0.010713866475308337</x:v>
      </x:c>
      <x:c r="M136" s="42" t="n">
        <x:f aca="0">IF(COUNT(F136:I136)=0,"n/m",AVERAGE(F136:I136))</x:f>
        <x:v>0.23457107991415388</x:v>
      </x:c>
      <x:c r="N136" s="42" t="n">
        <x:f aca="0">IF(COUNT(E136:I136)=0,"n/m",MEDIAN(E136:I136))</x:f>
        <x:v>0.2479634130082893</x:v>
      </x:c>
      <x:c r="O136" s="11" t="s">
        <x:v>90</x:v>
      </x:c>
      <x:c r="P136" s="9" t="str">
        <x:f aca="0">IF(NOT(ISNUMBER(L136)),"n/m",IF(O136="Higher",IF(L136&gt;=0,"Above avg - favourable","Below avg - unfavourable"),IF(O136="Lower",IF(L136&lt;=0,"Below avg - favourable","Above avg - unfavourable"),IF(L136&gt;=0,"Above avg - context-dependent","Below avg - context-dependent"))))&amp;IF(K136&lt;5," (N="&amp;K136&amp;")","")</x:f>
        <x:v>Above avg - favourable</x:v>
      </x:c>
      <x:c r="R136" s="59" t="str">
        <x:f aca="0">IF(K136=0,"n/m",IF(ABS(J136-SUM(E136:I136)/K136)&lt;0.000000001,"OK","ERR"))</x:f>
        <x:v>OK</x:v>
      </x:c>
    </x:row>
    <x:row r="137" ht="15" hidden="0">
      <x:c r="C137" s="56" t="s">
        <x:v>139</x:v>
      </x:c>
      <x:c r="D137" s="11" t="s">
        <x:v>74</x:v>
      </x:c>
      <x:c r="E137" s="65" t="n">
        <x:f aca="0">KOHC!E162</x:f>
        <x:v>0.2984391421350988</x:v>
      </x:c>
      <x:c r="F137" s="65" t="n">
        <x:f aca="0">LUCK!E162</x:f>
        <x:v>0.278096691443614</x:v>
      </x:c>
      <x:c r="G137" s="65" t="n">
        <x:f aca="0">DGKC!E162</x:f>
        <x:v>0.1796626113599641</x:v>
      </x:c>
      <x:c r="H137" s="65" t="n">
        <x:f aca="0">MLCF!E162</x:f>
        <x:v>0.25300003367709667</x:v>
      </x:c>
      <x:c r="I137" s="65" t="n">
        <x:f aca="0">FCCL!E162</x:f>
        <x:v>0.28507903988852556</x:v>
      </x:c>
      <x:c r="J137" s="66" t="n">
        <x:f aca="0">IF(COUNT(E137:I137)=0,"n/m",AVERAGE(E137:I137))</x:f>
        <x:v>0.25885550370085986</x:v>
      </x:c>
      <x:c r="K137" s="11" t="n">
        <x:f aca="0">COUNT(E137:I137)</x:f>
        <x:v>5</x:v>
      </x:c>
      <x:c r="L137" s="42" t="n">
        <x:f aca="0">IF(AND(ISNUMBER(E137),ISNUMBER(J137)),E137-J137,"n/m")</x:f>
        <x:v>0.039583638434238955</x:v>
      </x:c>
      <x:c r="M137" s="42" t="n">
        <x:f aca="0">IF(COUNT(F137:I137)=0,"n/m",AVERAGE(F137:I137))</x:f>
        <x:v>0.2489595940923001</x:v>
      </x:c>
      <x:c r="N137" s="42" t="n">
        <x:f aca="0">IF(COUNT(E137:I137)=0,"n/m",MEDIAN(E137:I137))</x:f>
        <x:v>0.278096691443614</x:v>
      </x:c>
      <x:c r="O137" s="11" t="s">
        <x:v>90</x:v>
      </x:c>
      <x:c r="P137" s="9" t="str">
        <x:f aca="0">IF(NOT(ISNUMBER(L137)),"n/m",IF(O137="Higher",IF(L137&gt;=0,"Above avg - favourable","Below avg - unfavourable"),IF(O137="Lower",IF(L137&lt;=0,"Below avg - favourable","Above avg - unfavourable"),IF(L137&gt;=0,"Above avg - context-dependent","Below avg - context-dependent"))))&amp;IF(K137&lt;5," (N="&amp;K137&amp;")","")</x:f>
        <x:v>Above avg - favourable</x:v>
      </x:c>
      <x:c r="R137" s="59" t="str">
        <x:f aca="0">IF(K137=0,"n/m",IF(ABS(J137-SUM(E137:I137)/K137)&lt;0.000000001,"OK","ERR"))</x:f>
        <x:v>OK</x:v>
      </x:c>
    </x:row>
    <x:row r="138" ht="15" hidden="0">
      <x:c r="C138" s="56" t="s">
        <x:v>139</x:v>
      </x:c>
      <x:c r="D138" s="11" t="s">
        <x:v>75</x:v>
      </x:c>
      <x:c r="E138" s="65" t="n">
        <x:f aca="0">KOHC!F162</x:f>
        <x:v>0.2680435681898961</x:v>
      </x:c>
      <x:c r="F138" s="65" t="n">
        <x:f aca="0">LUCK!F162</x:f>
        <x:v>0.2719408759567914</x:v>
      </x:c>
      <x:c r="G138" s="65" t="n">
        <x:f aca="0">DGKC!F162</x:f>
        <x:v>0.147048524585835</x:v>
      </x:c>
      <x:c r="H138" s="65" t="n">
        <x:f aca="0">MLCF!F162</x:f>
        <x:v>0.2927632247172742</x:v>
      </x:c>
      <x:c r="I138" s="65" t="n">
        <x:f aca="0">FCCL!F162</x:f>
        <x:v>0.2999660404821077</x:v>
      </x:c>
      <x:c r="J138" s="66" t="n">
        <x:f aca="0">IF(COUNT(E138:I138)=0,"n/m",AVERAGE(E138:I138))</x:f>
        <x:v>0.25595244678638085</x:v>
      </x:c>
      <x:c r="K138" s="11" t="n">
        <x:f aca="0">COUNT(E138:I138)</x:f>
        <x:v>5</x:v>
      </x:c>
      <x:c r="L138" s="42" t="n">
        <x:f aca="0">IF(AND(ISNUMBER(E138),ISNUMBER(J138)),E138-J138,"n/m")</x:f>
        <x:v>0.01209112140351526</x:v>
      </x:c>
      <x:c r="M138" s="42" t="n">
        <x:f aca="0">IF(COUNT(F138:I138)=0,"n/m",AVERAGE(F138:I138))</x:f>
        <x:v>0.2529296664355021</x:v>
      </x:c>
      <x:c r="N138" s="42" t="n">
        <x:f aca="0">IF(COUNT(E138:I138)=0,"n/m",MEDIAN(E138:I138))</x:f>
        <x:v>0.2719408759567914</x:v>
      </x:c>
      <x:c r="O138" s="11" t="s">
        <x:v>90</x:v>
      </x:c>
      <x:c r="P138" s="9" t="str">
        <x:f aca="0">IF(NOT(ISNUMBER(L138)),"n/m",IF(O138="Higher",IF(L138&gt;=0,"Above avg - favourable","Below avg - unfavourable"),IF(O138="Lower",IF(L138&lt;=0,"Below avg - favourable","Above avg - unfavourable"),IF(L138&gt;=0,"Above avg - context-dependent","Below avg - context-dependent"))))&amp;IF(K138&lt;5," (N="&amp;K138&amp;")","")</x:f>
        <x:v>Above avg - favourable</x:v>
      </x:c>
      <x:c r="R138" s="59" t="str">
        <x:f aca="0">IF(K138=0,"n/m",IF(ABS(J138-SUM(E138:I138)/K138)&lt;0.000000001,"OK","ERR"))</x:f>
        <x:v>OK</x:v>
      </x:c>
    </x:row>
    <x:row r="139" ht="15" hidden="0">
      <x:c r="C139" s="56" t="s">
        <x:v>139</x:v>
      </x:c>
      <x:c r="D139" s="11" t="s">
        <x:v>76</x:v>
      </x:c>
      <x:c r="E139" s="65" t="n">
        <x:f aca="0">KOHC!G162</x:f>
        <x:v>0.29125851467425595</x:v>
      </x:c>
      <x:c r="F139" s="65" t="n">
        <x:f aca="0">LUCK!G162</x:f>
        <x:v>0.3364803079632158</x:v>
      </x:c>
      <x:c r="G139" s="65" t="n">
        <x:f aca="0">DGKC!G162</x:f>
        <x:v>0.1594256360843263</x:v>
      </x:c>
      <x:c r="H139" s="65" t="n">
        <x:f aca="0">MLCF!G162</x:f>
        <x:v>0.31547845382378364</x:v>
      </x:c>
      <x:c r="I139" s="65" t="n">
        <x:f aca="0">FCCL!G162</x:f>
        <x:v>0.3208998635022473</x:v>
      </x:c>
      <x:c r="J139" s="66" t="n">
        <x:f aca="0">IF(COUNT(E139:I139)=0,"n/m",AVERAGE(E139:I139))</x:f>
        <x:v>0.2847085552095658</x:v>
      </x:c>
      <x:c r="K139" s="11" t="n">
        <x:f aca="0">COUNT(E139:I139)</x:f>
        <x:v>5</x:v>
      </x:c>
      <x:c r="L139" s="42" t="n">
        <x:f aca="0">IF(AND(ISNUMBER(E139),ISNUMBER(J139)),E139-J139,"n/m")</x:f>
        <x:v>0.006549959464690169</x:v>
      </x:c>
      <x:c r="M139" s="42" t="n">
        <x:f aca="0">IF(COUNT(F139:I139)=0,"n/m",AVERAGE(F139:I139))</x:f>
        <x:v>0.28307106534339327</x:v>
      </x:c>
      <x:c r="N139" s="42" t="n">
        <x:f aca="0">IF(COUNT(E139:I139)=0,"n/m",MEDIAN(E139:I139))</x:f>
        <x:v>0.31547845382378364</x:v>
      </x:c>
      <x:c r="O139" s="11" t="s">
        <x:v>90</x:v>
      </x:c>
      <x:c r="P139" s="9" t="str">
        <x:f aca="0">IF(NOT(ISNUMBER(L139)),"n/m",IF(O139="Higher",IF(L139&gt;=0,"Above avg - favourable","Below avg - unfavourable"),IF(O139="Lower",IF(L139&lt;=0,"Below avg - favourable","Above avg - unfavourable"),IF(L139&gt;=0,"Above avg - context-dependent","Below avg - context-dependent"))))&amp;IF(K139&lt;5," (N="&amp;K139&amp;")","")</x:f>
        <x:v>Above avg - favourable</x:v>
      </x:c>
      <x:c r="R139" s="59" t="str">
        <x:f aca="0">IF(K139=0,"n/m",IF(ABS(J139-SUM(E139:I139)/K139)&lt;0.000000001,"OK","ERR"))</x:f>
        <x:v>OK</x:v>
      </x:c>
    </x:row>
    <x:row r="140" ht="15" hidden="0">
      <x:c r="C140" s="56" t="s">
        <x:v>139</x:v>
      </x:c>
      <x:c r="D140" s="11" t="s">
        <x:v>77</x:v>
      </x:c>
      <x:c r="E140" s="65" t="n">
        <x:f aca="0">KOHC!H162</x:f>
        <x:v>0.39220278175445145</x:v>
      </x:c>
      <x:c r="F140" s="65" t="n">
        <x:f aca="0">LUCK!H162</x:f>
        <x:v>0.342816529820673</x:v>
      </x:c>
      <x:c r="G140" s="65" t="n">
        <x:f aca="0">DGKC!H162</x:f>
        <x:v>0.25740632547300923</x:v>
      </x:c>
      <x:c r="H140" s="65" t="n">
        <x:f aca="0">MLCF!H162</x:f>
        <x:v>0.3444440599046921</x:v>
      </x:c>
      <x:c r="I140" s="65" t="n">
        <x:f aca="0">FCCL!H162</x:f>
        <x:v>0.3549084220292905</x:v>
      </x:c>
      <x:c r="J140" s="66" t="n">
        <x:f aca="0">IF(COUNT(E140:I140)=0,"n/m",AVERAGE(E140:I140))</x:f>
        <x:v>0.33835562379642325</x:v>
      </x:c>
      <x:c r="K140" s="11" t="n">
        <x:f aca="0">COUNT(E140:I140)</x:f>
        <x:v>5</x:v>
      </x:c>
      <x:c r="L140" s="42" t="n">
        <x:f aca="0">IF(AND(ISNUMBER(E140),ISNUMBER(J140)),E140-J140,"n/m")</x:f>
        <x:v>0.05384715795802819</x:v>
      </x:c>
      <x:c r="M140" s="42" t="n">
        <x:f aca="0">IF(COUNT(F140:I140)=0,"n/m",AVERAGE(F140:I140))</x:f>
        <x:v>0.3248938343069162</x:v>
      </x:c>
      <x:c r="N140" s="42" t="n">
        <x:f aca="0">IF(COUNT(E140:I140)=0,"n/m",MEDIAN(E140:I140))</x:f>
        <x:v>0.3444440599046921</x:v>
      </x:c>
      <x:c r="O140" s="11" t="s">
        <x:v>90</x:v>
      </x:c>
      <x:c r="P140" s="9" t="str">
        <x:f aca="0">IF(NOT(ISNUMBER(L140)),"n/m",IF(O140="Higher",IF(L140&gt;=0,"Above avg - favourable","Below avg - unfavourable"),IF(O140="Lower",IF(L140&lt;=0,"Below avg - favourable","Above avg - unfavourable"),IF(L140&gt;=0,"Above avg - context-dependent","Below avg - context-dependent"))))&amp;IF(K140&lt;5," (N="&amp;K140&amp;")","")</x:f>
        <x:v>Above avg - favourable</x:v>
      </x:c>
      <x:c r="R140" s="59" t="str">
        <x:f aca="0">IF(K140=0,"n/m",IF(ABS(J140-SUM(E140:I140)/K140)&lt;0.000000001,"OK","ERR"))</x:f>
        <x:v>OK</x:v>
      </x:c>
    </x:row>
    <x:row r="141" ht="15" hidden="0">
      <x:c r="A141" s="54" t="s">
        <x:v>141</x:v>
      </x:c>
      <x:c r="B141" s="25" t="n">
        <x:v>23</x:v>
      </x:c>
      <x:c r="C141" s="24" t="s">
        <x:v>142</x:v>
      </x:c>
      <x:c r="D141" s="25"/>
      <x:c r="E141" s="25"/>
      <x:c r="F141" s="25"/>
      <x:c r="G141" s="25"/>
      <x:c r="H141" s="25"/>
      <x:c r="I141" s="25"/>
      <x:c r="J141" s="25"/>
      <x:c r="K141" s="25"/>
      <x:c r="L141" s="25"/>
      <x:c r="M141" s="25"/>
      <x:c r="N141" s="25"/>
      <x:c r="O141" s="25"/>
      <x:c r="P141" s="25"/>
      <x:c r="Q141" s="55"/>
      <x:c r="R141" s="25"/>
    </x:row>
    <x:row r="142" ht="15" hidden="0">
      <x:c r="C142" s="56" t="s">
        <x:v>142</x:v>
      </x:c>
      <x:c r="D142" s="11" t="s">
        <x:v>73</x:v>
      </x:c>
      <x:c r="E142" s="65" t="n">
        <x:f aca="0">KOHC!D163</x:f>
        <x:v>0.2174940172918257</x:v>
      </x:c>
      <x:c r="F142" s="65" t="n">
        <x:f aca="0">LUCK!D163</x:f>
        <x:v>0.18004359810777762</x:v>
      </x:c>
      <x:c r="G142" s="65" t="n">
        <x:f aca="0">DGKC!D163</x:f>
        <x:v>0.11451399971933833</x:v>
      </x:c>
      <x:c r="H142" s="65" t="n">
        <x:f aca="0">MLCF!D163</x:f>
        <x:v>0.14213957498981164</x:v>
      </x:c>
      <x:c r="I142" s="65" t="n">
        <x:f aca="0">FCCL!D163</x:f>
        <x:v>0.20485989925955708</x:v>
      </x:c>
      <x:c r="J142" s="66" t="n">
        <x:f aca="0">IF(COUNT(E142:I142)=0,"n/m",AVERAGE(E142:I142))</x:f>
        <x:v>0.17181021787366207</x:v>
      </x:c>
      <x:c r="K142" s="11" t="n">
        <x:f aca="0">COUNT(E142:I142)</x:f>
        <x:v>5</x:v>
      </x:c>
      <x:c r="L142" s="42" t="n">
        <x:f aca="0">IF(AND(ISNUMBER(E142),ISNUMBER(J142)),E142-J142,"n/m")</x:f>
        <x:v>0.04568379941816361</x:v>
      </x:c>
      <x:c r="M142" s="42" t="n">
        <x:f aca="0">IF(COUNT(F142:I142)=0,"n/m",AVERAGE(F142:I142))</x:f>
        <x:v>0.16038926801912115</x:v>
      </x:c>
      <x:c r="N142" s="42" t="n">
        <x:f aca="0">IF(COUNT(E142:I142)=0,"n/m",MEDIAN(E142:I142))</x:f>
        <x:v>0.18004359810777762</x:v>
      </x:c>
      <x:c r="O142" s="11" t="s">
        <x:v>90</x:v>
      </x:c>
      <x:c r="P142" s="9" t="str">
        <x:f aca="0">IF(NOT(ISNUMBER(L142)),"n/m",IF(O142="Higher",IF(L142&gt;=0,"Above avg - favourable","Below avg - unfavourable"),IF(O142="Lower",IF(L142&lt;=0,"Below avg - favourable","Above avg - unfavourable"),IF(L142&gt;=0,"Above avg - context-dependent","Below avg - context-dependent"))))&amp;IF(K142&lt;5," (N="&amp;K142&amp;")","")</x:f>
        <x:v>Above avg - favourable</x:v>
      </x:c>
      <x:c r="R142" s="59" t="str">
        <x:f aca="0">IF(K142=0,"n/m",IF(ABS(J142-SUM(E142:I142)/K142)&lt;0.000000001,"OK","ERR"))</x:f>
        <x:v>OK</x:v>
      </x:c>
    </x:row>
    <x:row r="143" ht="15" hidden="0">
      <x:c r="C143" s="56" t="s">
        <x:v>142</x:v>
      </x:c>
      <x:c r="D143" s="11" t="s">
        <x:v>74</x:v>
      </x:c>
      <x:c r="E143" s="65" t="n">
        <x:f aca="0">KOHC!E163</x:f>
        <x:v>0.26684521417223683</x:v>
      </x:c>
      <x:c r="F143" s="65" t="n">
        <x:f aca="0">LUCK!E163</x:f>
        <x:v>0.1779173984606045</x:v>
      </x:c>
      <x:c r="G143" s="65" t="n">
        <x:f aca="0">DGKC!E163</x:f>
        <x:v>0.11847261096319517</x:v>
      </x:c>
      <x:c r="H143" s="65" t="n">
        <x:f aca="0">MLCF!E163</x:f>
        <x:v>0.18277011721154793</x:v>
      </x:c>
      <x:c r="I143" s="65" t="n">
        <x:f aca="0">FCCL!E163</x:f>
        <x:v>0.21665144691719232</x:v>
      </x:c>
      <x:c r="J143" s="66" t="n">
        <x:f aca="0">IF(COUNT(E143:I143)=0,"n/m",AVERAGE(E143:I143))</x:f>
        <x:v>0.19253135754495534</x:v>
      </x:c>
      <x:c r="K143" s="11" t="n">
        <x:f aca="0">COUNT(E143:I143)</x:f>
        <x:v>5</x:v>
      </x:c>
      <x:c r="L143" s="42" t="n">
        <x:f aca="0">IF(AND(ISNUMBER(E143),ISNUMBER(J143)),E143-J143,"n/m")</x:f>
        <x:v>0.07431385662728149</x:v>
      </x:c>
      <x:c r="M143" s="42" t="n">
        <x:f aca="0">IF(COUNT(F143:I143)=0,"n/m",AVERAGE(F143:I143))</x:f>
        <x:v>0.17395289338813497</x:v>
      </x:c>
      <x:c r="N143" s="42" t="n">
        <x:f aca="0">IF(COUNT(E143:I143)=0,"n/m",MEDIAN(E143:I143))</x:f>
        <x:v>0.18277011721154793</x:v>
      </x:c>
      <x:c r="O143" s="11" t="s">
        <x:v>90</x:v>
      </x:c>
      <x:c r="P143" s="9" t="str">
        <x:f aca="0">IF(NOT(ISNUMBER(L143)),"n/m",IF(O143="Higher",IF(L143&gt;=0,"Above avg - favourable","Below avg - unfavourable"),IF(O143="Lower",IF(L143&lt;=0,"Below avg - favourable","Above avg - unfavourable"),IF(L143&gt;=0,"Above avg - context-dependent","Below avg - context-dependent"))))&amp;IF(K143&lt;5," (N="&amp;K143&amp;")","")</x:f>
        <x:v>Above avg - favourable</x:v>
      </x:c>
      <x:c r="R143" s="59" t="str">
        <x:f aca="0">IF(K143=0,"n/m",IF(ABS(J143-SUM(E143:I143)/K143)&lt;0.000000001,"OK","ERR"))</x:f>
        <x:v>OK</x:v>
      </x:c>
    </x:row>
    <x:row r="144" ht="15" hidden="0">
      <x:c r="C144" s="56" t="s">
        <x:v>142</x:v>
      </x:c>
      <x:c r="D144" s="11" t="s">
        <x:v>75</x:v>
      </x:c>
      <x:c r="E144" s="65" t="n">
        <x:f aca="0">KOHC!F163</x:f>
        <x:v>0.23441531849714523</x:v>
      </x:c>
      <x:c r="F144" s="65" t="n">
        <x:f aca="0">LUCK!F163</x:f>
        <x:v>0.17181730260097375</x:v>
      </x:c>
      <x:c r="G144" s="65" t="n">
        <x:f aca="0">DGKC!F163</x:f>
        <x:v>0.10245374767974941</x:v>
      </x:c>
      <x:c r="H144" s="65" t="n">
        <x:f aca="0">MLCF!F163</x:f>
        <x:v>0.19097413673296146</x:v>
      </x:c>
      <x:c r="I144" s="65" t="n">
        <x:f aca="0">FCCL!F163</x:f>
        <x:v>0.2289064691471258</x:v>
      </x:c>
      <x:c r="J144" s="66" t="n">
        <x:f aca="0">IF(COUNT(E144:I144)=0,"n/m",AVERAGE(E144:I144))</x:f>
        <x:v>0.18571339493159114</x:v>
      </x:c>
      <x:c r="K144" s="11" t="n">
        <x:f aca="0">COUNT(E144:I144)</x:f>
        <x:v>5</x:v>
      </x:c>
      <x:c r="L144" s="42" t="n">
        <x:f aca="0">IF(AND(ISNUMBER(E144),ISNUMBER(J144)),E144-J144,"n/m")</x:f>
        <x:v>0.048701923565554084</x:v>
      </x:c>
      <x:c r="M144" s="42" t="n">
        <x:f aca="0">IF(COUNT(F144:I144)=0,"n/m",AVERAGE(F144:I144))</x:f>
        <x:v>0.17353791404020263</x:v>
      </x:c>
      <x:c r="N144" s="42" t="n">
        <x:f aca="0">IF(COUNT(E144:I144)=0,"n/m",MEDIAN(E144:I144))</x:f>
        <x:v>0.19097413673296146</x:v>
      </x:c>
      <x:c r="O144" s="11" t="s">
        <x:v>90</x:v>
      </x:c>
      <x:c r="P144" s="9" t="str">
        <x:f aca="0">IF(NOT(ISNUMBER(L144)),"n/m",IF(O144="Higher",IF(L144&gt;=0,"Above avg - favourable","Below avg - unfavourable"),IF(O144="Lower",IF(L144&lt;=0,"Below avg - favourable","Above avg - unfavourable"),IF(L144&gt;=0,"Above avg - context-dependent","Below avg - context-dependent"))))&amp;IF(K144&lt;5," (N="&amp;K144&amp;")","")</x:f>
        <x:v>Above avg - favourable</x:v>
      </x:c>
      <x:c r="R144" s="59" t="str">
        <x:f aca="0">IF(K144=0,"n/m",IF(ABS(J144-SUM(E144:I144)/K144)&lt;0.000000001,"OK","ERR"))</x:f>
        <x:v>OK</x:v>
      </x:c>
    </x:row>
    <x:row r="145" ht="15" hidden="0">
      <x:c r="C145" s="56" t="s">
        <x:v>142</x:v>
      </x:c>
      <x:c r="D145" s="11" t="s">
        <x:v>76</x:v>
      </x:c>
      <x:c r="E145" s="65" t="n">
        <x:f aca="0">KOHC!G163</x:f>
        <x:v>0.25877948344250634</x:v>
      </x:c>
      <x:c r="F145" s="65" t="n">
        <x:f aca="0">LUCK!G163</x:f>
        <x:v>0.22886089116784467</x:v>
      </x:c>
      <x:c r="G145" s="65" t="n">
        <x:f aca="0">DGKC!G163</x:f>
        <x:v>0.1000204289337119</x:v>
      </x:c>
      <x:c r="H145" s="65" t="n">
        <x:f aca="0">MLCF!G163</x:f>
        <x:v>0.19131892826420518</x:v>
      </x:c>
      <x:c r="I145" s="65" t="n">
        <x:f aca="0">FCCL!G163</x:f>
        <x:v>0.25056237189043495</x:v>
      </x:c>
      <x:c r="J145" s="66" t="n">
        <x:f aca="0">IF(COUNT(E145:I145)=0,"n/m",AVERAGE(E145:I145))</x:f>
        <x:v>0.20590842073974064</x:v>
      </x:c>
      <x:c r="K145" s="11" t="n">
        <x:f aca="0">COUNT(E145:I145)</x:f>
        <x:v>5</x:v>
      </x:c>
      <x:c r="L145" s="42" t="n">
        <x:f aca="0">IF(AND(ISNUMBER(E145),ISNUMBER(J145)),E145-J145,"n/m")</x:f>
        <x:v>0.0528710627027657</x:v>
      </x:c>
      <x:c r="M145" s="42" t="n">
        <x:f aca="0">IF(COUNT(F145:I145)=0,"n/m",AVERAGE(F145:I145))</x:f>
        <x:v>0.19269065506404917</x:v>
      </x:c>
      <x:c r="N145" s="42" t="n">
        <x:f aca="0">IF(COUNT(E145:I145)=0,"n/m",MEDIAN(E145:I145))</x:f>
        <x:v>0.22886089116784467</x:v>
      </x:c>
      <x:c r="O145" s="11" t="s">
        <x:v>90</x:v>
      </x:c>
      <x:c r="P145" s="9" t="str">
        <x:f aca="0">IF(NOT(ISNUMBER(L145)),"n/m",IF(O145="Higher",IF(L145&gt;=0,"Above avg - favourable","Below avg - unfavourable"),IF(O145="Lower",IF(L145&lt;=0,"Below avg - favourable","Above avg - unfavourable"),IF(L145&gt;=0,"Above avg - context-dependent","Below avg - context-dependent"))))&amp;IF(K145&lt;5," (N="&amp;K145&amp;")","")</x:f>
        <x:v>Above avg - favourable</x:v>
      </x:c>
      <x:c r="R145" s="59" t="str">
        <x:f aca="0">IF(K145=0,"n/m",IF(ABS(J145-SUM(E145:I145)/K145)&lt;0.000000001,"OK","ERR"))</x:f>
        <x:v>OK</x:v>
      </x:c>
    </x:row>
    <x:row r="146" ht="15" hidden="0">
      <x:c r="C146" s="56" t="s">
        <x:v>142</x:v>
      </x:c>
      <x:c r="D146" s="11" t="s">
        <x:v>77</x:v>
      </x:c>
      <x:c r="E146" s="65" t="n">
        <x:f aca="0">KOHC!H163</x:f>
        <x:v>0.34143534845456586</x:v>
      </x:c>
      <x:c r="F146" s="65" t="n">
        <x:f aca="0">LUCK!H163</x:f>
        <x:v>0.22670718514712962</x:v>
      </x:c>
      <x:c r="G146" s="65" t="n">
        <x:f aca="0">DGKC!H163</x:f>
        <x:v>0.17530880023555062</x:v>
      </x:c>
      <x:c r="H146" s="65" t="n">
        <x:f aca="0">MLCF!H163</x:f>
        <x:v>0.2280930676582029</x:v>
      </x:c>
      <x:c r="I146" s="65" t="n">
        <x:f aca="0">FCCL!H163</x:f>
        <x:v>0.2862983395627571</x:v>
      </x:c>
      <x:c r="J146" s="66" t="n">
        <x:f aca="0">IF(COUNT(E146:I146)=0,"n/m",AVERAGE(E146:I146))</x:f>
        <x:v>0.2515685482116412</x:v>
      </x:c>
      <x:c r="K146" s="11" t="n">
        <x:f aca="0">COUNT(E146:I146)</x:f>
        <x:v>5</x:v>
      </x:c>
      <x:c r="L146" s="42" t="n">
        <x:f aca="0">IF(AND(ISNUMBER(E146),ISNUMBER(J146)),E146-J146,"n/m")</x:f>
        <x:v>0.08986680024292465</x:v>
      </x:c>
      <x:c r="M146" s="42" t="n">
        <x:f aca="0">IF(COUNT(F146:I146)=0,"n/m",AVERAGE(F146:I146))</x:f>
        <x:v>0.22910184815091006</x:v>
      </x:c>
      <x:c r="N146" s="42" t="n">
        <x:f aca="0">IF(COUNT(E146:I146)=0,"n/m",MEDIAN(E146:I146))</x:f>
        <x:v>0.2280930676582029</x:v>
      </x:c>
      <x:c r="O146" s="11" t="s">
        <x:v>90</x:v>
      </x:c>
      <x:c r="P146" s="9" t="str">
        <x:f aca="0">IF(NOT(ISNUMBER(L146)),"n/m",IF(O146="Higher",IF(L146&gt;=0,"Above avg - favourable","Below avg - unfavourable"),IF(O146="Lower",IF(L146&lt;=0,"Below avg - favourable","Above avg - unfavourable"),IF(L146&gt;=0,"Above avg - context-dependent","Below avg - context-dependent"))))&amp;IF(K146&lt;5," (N="&amp;K146&amp;")","")</x:f>
        <x:v>Above avg - favourable</x:v>
      </x:c>
      <x:c r="R146" s="59" t="str">
        <x:f aca="0">IF(K146=0,"n/m",IF(ABS(J146-SUM(E146:I146)/K146)&lt;0.000000001,"OK","ERR"))</x:f>
        <x:v>OK</x:v>
      </x:c>
    </x:row>
    <x:row r="147" ht="15" hidden="0">
      <x:c r="A147" s="54" t="s">
        <x:v>141</x:v>
      </x:c>
      <x:c r="B147" s="25" t="n">
        <x:v>24</x:v>
      </x:c>
      <x:c r="C147" s="24" t="s">
        <x:v>144</x:v>
      </x:c>
      <x:c r="D147" s="25"/>
      <x:c r="E147" s="25"/>
      <x:c r="F147" s="25"/>
      <x:c r="G147" s="25"/>
      <x:c r="H147" s="25"/>
      <x:c r="I147" s="25"/>
      <x:c r="J147" s="25"/>
      <x:c r="K147" s="25"/>
      <x:c r="L147" s="25"/>
      <x:c r="M147" s="25"/>
      <x:c r="N147" s="25"/>
      <x:c r="O147" s="25"/>
      <x:c r="P147" s="25"/>
      <x:c r="Q147" s="55"/>
      <x:c r="R147" s="25"/>
    </x:row>
    <x:row r="148" ht="15" hidden="0">
      <x:c r="C148" s="56" t="s">
        <x:v>144</x:v>
      </x:c>
      <x:c r="D148" s="11" t="s">
        <x:v>73</x:v>
      </x:c>
      <x:c r="E148" s="65" t="n">
        <x:f aca="0">KOHC!D164</x:f>
        <x:v>0.1453819089897026</x:v>
      </x:c>
      <x:c r="F148" s="65" t="n">
        <x:f aca="0">LUCK!D164</x:f>
        <x:v>0.22354637821997994</x:v>
      </x:c>
      <x:c r="G148" s="65" t="n">
        <x:f aca="0">DGKC!D164</x:f>
        <x:v>0.08249752980035112</x:v>
      </x:c>
      <x:c r="H148" s="65" t="n">
        <x:f aca="0">MLCF!D164</x:f>
        <x:v>0.1759822170452098</x:v>
      </x:c>
      <x:c r="I148" s="65" t="n">
        <x:f aca="0">FCCL!D164</x:f>
        <x:v>0.14302295902338913</x:v>
      </x:c>
      <x:c r="J148" s="66" t="n">
        <x:f aca="0">IF(COUNT(E148:I148)=0,"n/m",AVERAGE(E148:I148))</x:f>
        <x:v>0.15408619861572653</x:v>
      </x:c>
      <x:c r="K148" s="11" t="n">
        <x:f aca="0">COUNT(E148:I148)</x:f>
        <x:v>5</x:v>
      </x:c>
      <x:c r="L148" s="42" t="n">
        <x:f aca="0">IF(AND(ISNUMBER(E148),ISNUMBER(J148)),E148-J148,"n/m")</x:f>
        <x:v>-0.008704289626023931</x:v>
      </x:c>
      <x:c r="M148" s="42" t="n">
        <x:f aca="0">IF(COUNT(F148:I148)=0,"n/m",AVERAGE(F148:I148))</x:f>
        <x:v>0.1562622710222325</x:v>
      </x:c>
      <x:c r="N148" s="42" t="n">
        <x:f aca="0">IF(COUNT(E148:I148)=0,"n/m",MEDIAN(E148:I148))</x:f>
        <x:v>0.1453819089897026</x:v>
      </x:c>
      <x:c r="O148" s="11" t="s">
        <x:v>90</x:v>
      </x:c>
      <x:c r="P148" s="9" t="str">
        <x:f aca="0">IF(NOT(ISNUMBER(L148)),"n/m",IF(O148="Higher",IF(L148&gt;=0,"Above avg - favourable","Below avg - unfavourable"),IF(O148="Lower",IF(L148&lt;=0,"Below avg - favourable","Above avg - unfavourable"),IF(L148&gt;=0,"Above avg - context-dependent","Below avg - context-dependent"))))&amp;IF(K148&lt;5," (N="&amp;K148&amp;")","")</x:f>
        <x:v>Below avg - unfavourable</x:v>
      </x:c>
      <x:c r="R148" s="59" t="str">
        <x:f aca="0">IF(K148=0,"n/m",IF(ABS(J148-SUM(E148:I148)/K148)&lt;0.000000001,"OK","ERR"))</x:f>
        <x:v>OK</x:v>
      </x:c>
    </x:row>
    <x:row r="149" ht="15" hidden="0">
      <x:c r="C149" s="56" t="s">
        <x:v>144</x:v>
      </x:c>
      <x:c r="D149" s="11" t="s">
        <x:v>74</x:v>
      </x:c>
      <x:c r="E149" s="65" t="n">
        <x:f aca="0">KOHC!E164</x:f>
        <x:v>0.15282075695786385</x:v>
      </x:c>
      <x:c r="F149" s="65" t="n">
        <x:f aca="0">LUCK!E164</x:f>
        <x:v>0.18865400166042842</x:v>
      </x:c>
      <x:c r="G149" s="65" t="n">
        <x:f aca="0">DGKC!E164</x:f>
        <x:v>0.05120493100192175</x:v>
      </x:c>
      <x:c r="H149" s="65" t="n">
        <x:f aca="0">MLCF!E164</x:f>
        <x:v>0.07473965893633715</x:v>
      </x:c>
      <x:c r="I149" s="65" t="n">
        <x:f aca="0">FCCL!E164</x:f>
        <x:v>0.13112336204567002</x:v>
      </x:c>
      <x:c r="J149" s="66" t="n">
        <x:f aca="0">IF(COUNT(E149:I149)=0,"n/m",AVERAGE(E149:I149))</x:f>
        <x:v>0.11970854212044424</x:v>
      </x:c>
      <x:c r="K149" s="11" t="n">
        <x:f aca="0">COUNT(E149:I149)</x:f>
        <x:v>5</x:v>
      </x:c>
      <x:c r="L149" s="42" t="n">
        <x:f aca="0">IF(AND(ISNUMBER(E149),ISNUMBER(J149)),E149-J149,"n/m")</x:f>
        <x:v>0.03311221483741961</x:v>
      </x:c>
      <x:c r="M149" s="42" t="n">
        <x:f aca="0">IF(COUNT(F149:I149)=0,"n/m",AVERAGE(F149:I149))</x:f>
        <x:v>0.11143048841108932</x:v>
      </x:c>
      <x:c r="N149" s="42" t="n">
        <x:f aca="0">IF(COUNT(E149:I149)=0,"n/m",MEDIAN(E149:I149))</x:f>
        <x:v>0.13112336204567002</x:v>
      </x:c>
      <x:c r="O149" s="11" t="s">
        <x:v>90</x:v>
      </x:c>
      <x:c r="P149" s="9" t="str">
        <x:f aca="0">IF(NOT(ISNUMBER(L149)),"n/m",IF(O149="Higher",IF(L149&gt;=0,"Above avg - favourable","Below avg - unfavourable"),IF(O149="Lower",IF(L149&lt;=0,"Below avg - favourable","Above avg - unfavourable"),IF(L149&gt;=0,"Above avg - context-dependent","Below avg - context-dependent"))))&amp;IF(K149&lt;5," (N="&amp;K149&amp;")","")</x:f>
        <x:v>Above avg - favourable</x:v>
      </x:c>
      <x:c r="R149" s="59" t="str">
        <x:f aca="0">IF(K149=0,"n/m",IF(ABS(J149-SUM(E149:I149)/K149)&lt;0.000000001,"OK","ERR"))</x:f>
        <x:v>OK</x:v>
      </x:c>
    </x:row>
    <x:row r="150" ht="15" hidden="0">
      <x:c r="C150" s="56" t="s">
        <x:v>144</x:v>
      </x:c>
      <x:c r="D150" s="11" t="s">
        <x:v>75</x:v>
      </x:c>
      <x:c r="E150" s="65" t="n">
        <x:f aca="0">KOHC!F164</x:f>
        <x:v>0.14955052871384544</x:v>
      </x:c>
      <x:c r="F150" s="65" t="n">
        <x:f aca="0">LUCK!F164</x:f>
        <x:v>0.14322765825125466</x:v>
      </x:c>
      <x:c r="G150" s="65" t="n">
        <x:f aca="0">DGKC!F164</x:f>
        <x:v>-0.05595201919567025</x:v>
      </x:c>
      <x:c r="H150" s="65" t="n">
        <x:f aca="0">MLCF!F164</x:f>
        <x:v>0.07235844154915244</x:v>
      </x:c>
      <x:c r="I150" s="65" t="n">
        <x:f aca="0">FCCL!F164</x:f>
        <x:v>0.10929571726641699</x:v>
      </x:c>
      <x:c r="J150" s="66" t="n">
        <x:f aca="0">IF(COUNT(E150:I150)=0,"n/m",AVERAGE(E150:I150))</x:f>
        <x:v>0.08369606531699984</x:v>
      </x:c>
      <x:c r="K150" s="11" t="n">
        <x:f aca="0">COUNT(E150:I150)</x:f>
        <x:v>5</x:v>
      </x:c>
      <x:c r="L150" s="42" t="n">
        <x:f aca="0">IF(AND(ISNUMBER(E150),ISNUMBER(J150)),E150-J150,"n/m")</x:f>
        <x:v>0.0658544633968456</x:v>
      </x:c>
      <x:c r="M150" s="42" t="n">
        <x:f aca="0">IF(COUNT(F150:I150)=0,"n/m",AVERAGE(F150:I150))</x:f>
        <x:v>0.06723244946778846</x:v>
      </x:c>
      <x:c r="N150" s="42" t="n">
        <x:f aca="0">IF(COUNT(E150:I150)=0,"n/m",MEDIAN(E150:I150))</x:f>
        <x:v>0.10929571726641699</x:v>
      </x:c>
      <x:c r="O150" s="11" t="s">
        <x:v>90</x:v>
      </x:c>
      <x:c r="P150" s="9" t="str">
        <x:f aca="0">IF(NOT(ISNUMBER(L150)),"n/m",IF(O150="Higher",IF(L150&gt;=0,"Above avg - favourable","Below avg - unfavourable"),IF(O150="Lower",IF(L150&lt;=0,"Below avg - favourable","Above avg - unfavourable"),IF(L150&gt;=0,"Above avg - context-dependent","Below avg - context-dependent"))))&amp;IF(K150&lt;5," (N="&amp;K150&amp;")","")</x:f>
        <x:v>Above avg - favourable</x:v>
      </x:c>
      <x:c r="R150" s="59" t="str">
        <x:f aca="0">IF(K150=0,"n/m",IF(ABS(J150-SUM(E150:I150)/K150)&lt;0.000000001,"OK","ERR"))</x:f>
        <x:v>OK</x:v>
      </x:c>
    </x:row>
    <x:row r="151" ht="15" hidden="0">
      <x:c r="C151" s="56" t="s">
        <x:v>144</x:v>
      </x:c>
      <x:c r="D151" s="11" t="s">
        <x:v>76</x:v>
      </x:c>
      <x:c r="E151" s="65" t="n">
        <x:f aca="0">KOHC!G164</x:f>
        <x:v>0.23011561219895646</x:v>
      </x:c>
      <x:c r="F151" s="65" t="n">
        <x:f aca="0">LUCK!G164</x:f>
        <x:v>0.24371604713228476</x:v>
      </x:c>
      <x:c r="G151" s="65" t="n">
        <x:f aca="0">DGKC!G164</x:f>
        <x:v>0.008213306596683071</x:v>
      </x:c>
      <x:c r="H151" s="65" t="n">
        <x:f aca="0">MLCF!G164</x:f>
        <x:v>0.07934297520984508</x:v>
      </x:c>
      <x:c r="I151" s="65" t="n">
        <x:f aca="0">FCCL!G164</x:f>
        <x:v>0.10275526425549537</x:v>
      </x:c>
      <x:c r="J151" s="66" t="n">
        <x:f aca="0">IF(COUNT(E151:I151)=0,"n/m",AVERAGE(E151:I151))</x:f>
        <x:v>0.13282864107865294</x:v>
      </x:c>
      <x:c r="K151" s="11" t="n">
        <x:f aca="0">COUNT(E151:I151)</x:f>
        <x:v>5</x:v>
      </x:c>
      <x:c r="L151" s="42" t="n">
        <x:f aca="0">IF(AND(ISNUMBER(E151),ISNUMBER(J151)),E151-J151,"n/m")</x:f>
        <x:v>0.09728697112030352</x:v>
      </x:c>
      <x:c r="M151" s="42" t="n">
        <x:f aca="0">IF(COUNT(F151:I151)=0,"n/m",AVERAGE(F151:I151))</x:f>
        <x:v>0.10850689829857707</x:v>
      </x:c>
      <x:c r="N151" s="42" t="n">
        <x:f aca="0">IF(COUNT(E151:I151)=0,"n/m",MEDIAN(E151:I151))</x:f>
        <x:v>0.10275526425549537</x:v>
      </x:c>
      <x:c r="O151" s="11" t="s">
        <x:v>90</x:v>
      </x:c>
      <x:c r="P151" s="9" t="str">
        <x:f aca="0">IF(NOT(ISNUMBER(L151)),"n/m",IF(O151="Higher",IF(L151&gt;=0,"Above avg - favourable","Below avg - unfavourable"),IF(O151="Lower",IF(L151&lt;=0,"Below avg - favourable","Above avg - unfavourable"),IF(L151&gt;=0,"Above avg - context-dependent","Below avg - context-dependent"))))&amp;IF(K151&lt;5," (N="&amp;K151&amp;")","")</x:f>
        <x:v>Above avg - favourable</x:v>
      </x:c>
      <x:c r="R151" s="59" t="str">
        <x:f aca="0">IF(K151=0,"n/m",IF(ABS(J151-SUM(E151:I151)/K151)&lt;0.000000001,"OK","ERR"))</x:f>
        <x:v>OK</x:v>
      </x:c>
    </x:row>
    <x:row r="152" ht="15" hidden="0">
      <x:c r="C152" s="56" t="s">
        <x:v>144</x:v>
      </x:c>
      <x:c r="D152" s="11" t="s">
        <x:v>77</x:v>
      </x:c>
      <x:c r="E152" s="65" t="n">
        <x:f aca="0">KOHC!H164</x:f>
        <x:v>0.3083771970759486</x:v>
      </x:c>
      <x:c r="F152" s="65" t="n">
        <x:f aca="0">LUCK!H164</x:f>
        <x:v>0.26577542757733763</x:v>
      </x:c>
      <x:c r="G152" s="65" t="n">
        <x:f aca="0">DGKC!H164</x:f>
        <x:v>0.12066652759857006</x:v>
      </x:c>
      <x:c r="H152" s="65" t="n">
        <x:f aca="0">MLCF!H164</x:f>
        <x:v>0.24711008947956384</x:v>
      </x:c>
      <x:c r="I152" s="65" t="n">
        <x:f aca="0">FCCL!H164</x:f>
        <x:v>0.14980611609777766</x:v>
      </x:c>
      <x:c r="J152" s="66" t="n">
        <x:f aca="0">IF(COUNT(E152:I152)=0,"n/m",AVERAGE(E152:I152))</x:f>
        <x:v>0.21834707156583955</x:v>
      </x:c>
      <x:c r="K152" s="11" t="n">
        <x:f aca="0">COUNT(E152:I152)</x:f>
        <x:v>5</x:v>
      </x:c>
      <x:c r="L152" s="42" t="n">
        <x:f aca="0">IF(AND(ISNUMBER(E152),ISNUMBER(J152)),E152-J152,"n/m")</x:f>
        <x:v>0.09003012551010903</x:v>
      </x:c>
      <x:c r="M152" s="42" t="n">
        <x:f aca="0">IF(COUNT(F152:I152)=0,"n/m",AVERAGE(F152:I152))</x:f>
        <x:v>0.1958395401883123</x:v>
      </x:c>
      <x:c r="N152" s="42" t="n">
        <x:f aca="0">IF(COUNT(E152:I152)=0,"n/m",MEDIAN(E152:I152))</x:f>
        <x:v>0.24711008947956384</x:v>
      </x:c>
      <x:c r="O152" s="11" t="s">
        <x:v>90</x:v>
      </x:c>
      <x:c r="P152" s="9" t="str">
        <x:f aca="0">IF(NOT(ISNUMBER(L152)),"n/m",IF(O152="Higher",IF(L152&gt;=0,"Above avg - favourable","Below avg - unfavourable"),IF(O152="Lower",IF(L152&lt;=0,"Below avg - favourable","Above avg - unfavourable"),IF(L152&gt;=0,"Above avg - context-dependent","Below avg - context-dependent"))))&amp;IF(K152&lt;5," (N="&amp;K152&amp;")","")</x:f>
        <x:v>Above avg - favourable</x:v>
      </x:c>
      <x:c r="R152" s="59" t="str">
        <x:f aca="0">IF(K152=0,"n/m",IF(ABS(J152-SUM(E152:I152)/K152)&lt;0.000000001,"OK","ERR"))</x:f>
        <x:v>OK</x:v>
      </x:c>
    </x:row>
    <x:row r="153" ht="15" hidden="0">
      <x:c r="A153" s="54" t="s">
        <x:v>141</x:v>
      </x:c>
      <x:c r="B153" s="25" t="n">
        <x:v>25</x:v>
      </x:c>
      <x:c r="C153" s="24" t="s">
        <x:v>146</x:v>
      </x:c>
      <x:c r="D153" s="25"/>
      <x:c r="E153" s="25"/>
      <x:c r="F153" s="25"/>
      <x:c r="G153" s="25"/>
      <x:c r="H153" s="25"/>
      <x:c r="I153" s="25"/>
      <x:c r="J153" s="25"/>
      <x:c r="K153" s="25"/>
      <x:c r="L153" s="25"/>
      <x:c r="M153" s="25"/>
      <x:c r="N153" s="25"/>
      <x:c r="O153" s="25"/>
      <x:c r="P153" s="25"/>
      <x:c r="Q153" s="55"/>
      <x:c r="R153" s="25"/>
    </x:row>
    <x:row r="154" ht="15" hidden="0">
      <x:c r="C154" s="56" t="s">
        <x:v>146</x:v>
      </x:c>
      <x:c r="D154" s="11" t="s">
        <x:v>73</x:v>
      </x:c>
      <x:c r="E154" s="65" t="n">
        <x:f aca="0">KOHC!D165</x:f>
        <x:v>0.10310501881607244</x:v>
      </x:c>
      <x:c r="F154" s="65" t="n">
        <x:f aca="0">LUCK!D165</x:f>
        <x:v>0.09629315480251932</x:v>
      </x:c>
      <x:c r="G154" s="65" t="n">
        <x:f aca="0">DGKC!D165</x:f>
        <x:v>0.02782819549249883</x:v>
      </x:c>
      <x:c r="H154" s="65" t="n">
        <x:f aca="0">MLCF!D165</x:f>
        <x:v>0.09458077842208146</x:v>
      </x:c>
      <x:c r="I154" s="65" t="n">
        <x:f aca="0">FCCL!D165</x:f>
        <x:v>0.10974843292728989</x:v>
      </x:c>
      <x:c r="J154" s="66" t="n">
        <x:f aca="0">IF(COUNT(E154:I154)=0,"n/m",AVERAGE(E154:I154))</x:f>
        <x:v>0.08631111609209238</x:v>
      </x:c>
      <x:c r="K154" s="11" t="n">
        <x:f aca="0">COUNT(E154:I154)</x:f>
        <x:v>5</x:v>
      </x:c>
      <x:c r="L154" s="42" t="n">
        <x:f aca="0">IF(AND(ISNUMBER(E154),ISNUMBER(J154)),E154-J154,"n/m")</x:f>
        <x:v>0.016793902723980056</x:v>
      </x:c>
      <x:c r="M154" s="42" t="n">
        <x:f aca="0">IF(COUNT(F154:I154)=0,"n/m",AVERAGE(F154:I154))</x:f>
        <x:v>0.08211264041109737</x:v>
      </x:c>
      <x:c r="N154" s="42" t="n">
        <x:f aca="0">IF(COUNT(E154:I154)=0,"n/m",MEDIAN(E154:I154))</x:f>
        <x:v>0.09629315480251932</x:v>
      </x:c>
      <x:c r="O154" s="11" t="s">
        <x:v>90</x:v>
      </x:c>
      <x:c r="P154" s="9" t="str">
        <x:f aca="0">IF(NOT(ISNUMBER(L154)),"n/m",IF(O154="Higher",IF(L154&gt;=0,"Above avg - favourable","Below avg - unfavourable"),IF(O154="Lower",IF(L154&lt;=0,"Below avg - favourable","Above avg - unfavourable"),IF(L154&gt;=0,"Above avg - context-dependent","Below avg - context-dependent"))))&amp;IF(K154&lt;5," (N="&amp;K154&amp;")","")</x:f>
        <x:v>Above avg - favourable</x:v>
      </x:c>
      <x:c r="R154" s="59" t="str">
        <x:f aca="0">IF(K154=0,"n/m",IF(ABS(J154-SUM(E154:I154)/K154)&lt;0.000000001,"OK","ERR"))</x:f>
        <x:v>OK</x:v>
      </x:c>
    </x:row>
    <x:row r="155" ht="15" hidden="0">
      <x:c r="C155" s="56" t="s">
        <x:v>146</x:v>
      </x:c>
      <x:c r="D155" s="11" t="s">
        <x:v>74</x:v>
      </x:c>
      <x:c r="E155" s="65" t="n">
        <x:f aca="0">KOHC!E165</x:f>
        <x:v>0.12649629238438423</x:v>
      </x:c>
      <x:c r="F155" s="65" t="n">
        <x:f aca="0">LUCK!E165</x:f>
        <x:v>0.08964110231836049</x:v>
      </x:c>
      <x:c r="G155" s="65" t="n">
        <x:f aca="0">DGKC!E165</x:f>
        <x:v>0.02165829357934079</x:v>
      </x:c>
      <x:c r="H155" s="65" t="n">
        <x:f aca="0">MLCF!E165</x:f>
        <x:v>0.04885489790580065</x:v>
      </x:c>
      <x:c r="I155" s="65" t="n">
        <x:f aca="0">FCCL!E165</x:f>
        <x:v>0.09627783652403621</x:v>
      </x:c>
      <x:c r="J155" s="66" t="n">
        <x:f aca="0">IF(COUNT(E155:I155)=0,"n/m",AVERAGE(E155:I155))</x:f>
        <x:v>0.07658568454238449</x:v>
      </x:c>
      <x:c r="K155" s="11" t="n">
        <x:f aca="0">COUNT(E155:I155)</x:f>
        <x:v>5</x:v>
      </x:c>
      <x:c r="L155" s="42" t="n">
        <x:f aca="0">IF(AND(ISNUMBER(E155),ISNUMBER(J155)),E155-J155,"n/m")</x:f>
        <x:v>0.04991060784199974</x:v>
      </x:c>
      <x:c r="M155" s="42" t="n">
        <x:f aca="0">IF(COUNT(F155:I155)=0,"n/m",AVERAGE(F155:I155))</x:f>
        <x:v>0.06410803258188454</x:v>
      </x:c>
      <x:c r="N155" s="42" t="n">
        <x:f aca="0">IF(COUNT(E155:I155)=0,"n/m",MEDIAN(E155:I155))</x:f>
        <x:v>0.08964110231836049</x:v>
      </x:c>
      <x:c r="O155" s="11" t="s">
        <x:v>90</x:v>
      </x:c>
      <x:c r="P155" s="9" t="str">
        <x:f aca="0">IF(NOT(ISNUMBER(L155)),"n/m",IF(O155="Higher",IF(L155&gt;=0,"Above avg - favourable","Below avg - unfavourable"),IF(O155="Lower",IF(L155&lt;=0,"Below avg - favourable","Above avg - unfavourable"),IF(L155&gt;=0,"Above avg - context-dependent","Below avg - context-dependent"))))&amp;IF(K155&lt;5," (N="&amp;K155&amp;")","")</x:f>
        <x:v>Above avg - favourable</x:v>
      </x:c>
      <x:c r="R155" s="59" t="str">
        <x:f aca="0">IF(K155=0,"n/m",IF(ABS(J155-SUM(E155:I155)/K155)&lt;0.000000001,"OK","ERR"))</x:f>
        <x:v>OK</x:v>
      </x:c>
    </x:row>
    <x:row r="156" ht="15" hidden="0">
      <x:c r="C156" s="56" t="s">
        <x:v>146</x:v>
      </x:c>
      <x:c r="D156" s="11" t="s">
        <x:v>75</x:v>
      </x:c>
      <x:c r="E156" s="65" t="n">
        <x:f aca="0">KOHC!F165</x:f>
        <x:v>0.12533816876597817</x:v>
      </x:c>
      <x:c r="F156" s="65" t="n">
        <x:f aca="0">LUCK!F165</x:f>
        <x:v>0.06896675970430062</x:v>
      </x:c>
      <x:c r="G156" s="65" t="n">
        <x:f aca="0">DGKC!F165</x:f>
        <x:v>-0.02680654259571699</x:v>
      </x:c>
      <x:c r="H156" s="65" t="n">
        <x:f aca="0">MLCF!F165</x:f>
        <x:v>0.05225242917103048</x:v>
      </x:c>
      <x:c r="I156" s="65" t="n">
        <x:f aca="0">FCCL!F165</x:f>
        <x:v>0.0589219651789994</x:v>
      </x:c>
      <x:c r="J156" s="66" t="n">
        <x:f aca="0">IF(COUNT(E156:I156)=0,"n/m",AVERAGE(E156:I156))</x:f>
        <x:v>0.05573455604491834</x:v>
      </x:c>
      <x:c r="K156" s="11" t="n">
        <x:f aca="0">COUNT(E156:I156)</x:f>
        <x:v>5</x:v>
      </x:c>
      <x:c r="L156" s="42" t="n">
        <x:f aca="0">IF(AND(ISNUMBER(E156),ISNUMBER(J156)),E156-J156,"n/m")</x:f>
        <x:v>0.06960361272105983</x:v>
      </x:c>
      <x:c r="M156" s="42" t="n">
        <x:f aca="0">IF(COUNT(F156:I156)=0,"n/m",AVERAGE(F156:I156))</x:f>
        <x:v>0.03833365286465337</x:v>
      </x:c>
      <x:c r="N156" s="42" t="n">
        <x:f aca="0">IF(COUNT(E156:I156)=0,"n/m",MEDIAN(E156:I156))</x:f>
        <x:v>0.0589219651789994</x:v>
      </x:c>
      <x:c r="O156" s="11" t="s">
        <x:v>90</x:v>
      </x:c>
      <x:c r="P156" s="9" t="str">
        <x:f aca="0">IF(NOT(ISNUMBER(L156)),"n/m",IF(O156="Higher",IF(L156&gt;=0,"Above avg - favourable","Below avg - unfavourable"),IF(O156="Lower",IF(L156&lt;=0,"Below avg - favourable","Above avg - unfavourable"),IF(L156&gt;=0,"Above avg - context-dependent","Below avg - context-dependent"))))&amp;IF(K156&lt;5," (N="&amp;K156&amp;")","")</x:f>
        <x:v>Above avg - favourable</x:v>
      </x:c>
      <x:c r="R156" s="59" t="str">
        <x:f aca="0">IF(K156=0,"n/m",IF(ABS(J156-SUM(E156:I156)/K156)&lt;0.000000001,"OK","ERR"))</x:f>
        <x:v>OK</x:v>
      </x:c>
    </x:row>
    <x:row r="157" ht="15" hidden="0">
      <x:c r="C157" s="56" t="s">
        <x:v>146</x:v>
      </x:c>
      <x:c r="D157" s="11" t="s">
        <x:v>76</x:v>
      </x:c>
      <x:c r="E157" s="65" t="n">
        <x:f aca="0">KOHC!G165</x:f>
        <x:v>0.1641262004883521</x:v>
      </x:c>
      <x:c r="F157" s="65" t="n">
        <x:f aca="0">LUCK!G165</x:f>
        <x:v>0.12572899898802087</x:v>
      </x:c>
      <x:c r="G157" s="65" t="n">
        <x:f aca="0">DGKC!G165</x:f>
        <x:v>0.003972156500839445</x:v>
      </x:c>
      <x:c r="H157" s="65" t="n">
        <x:f aca="0">MLCF!G165</x:f>
        <x:v>0.0557722788631608</x:v>
      </x:c>
      <x:c r="I157" s="65" t="n">
        <x:f aca="0">FCCL!G165</x:f>
        <x:v>0.05741100557431145</x:v>
      </x:c>
      <x:c r="J157" s="66" t="n">
        <x:f aca="0">IF(COUNT(E157:I157)=0,"n/m",AVERAGE(E157:I157))</x:f>
        <x:v>0.08140212808293693</x:v>
      </x:c>
      <x:c r="K157" s="11" t="n">
        <x:f aca="0">COUNT(E157:I157)</x:f>
        <x:v>5</x:v>
      </x:c>
      <x:c r="L157" s="42" t="n">
        <x:f aca="0">IF(AND(ISNUMBER(E157),ISNUMBER(J157)),E157-J157,"n/m")</x:f>
        <x:v>0.08272407240541518</x:v>
      </x:c>
      <x:c r="M157" s="42" t="n">
        <x:f aca="0">IF(COUNT(F157:I157)=0,"n/m",AVERAGE(F157:I157))</x:f>
        <x:v>0.06072110998158314</x:v>
      </x:c>
      <x:c r="N157" s="42" t="n">
        <x:f aca="0">IF(COUNT(E157:I157)=0,"n/m",MEDIAN(E157:I157))</x:f>
        <x:v>0.05741100557431145</x:v>
      </x:c>
      <x:c r="O157" s="11" t="s">
        <x:v>90</x:v>
      </x:c>
      <x:c r="P157" s="9" t="str">
        <x:f aca="0">IF(NOT(ISNUMBER(L157)),"n/m",IF(O157="Higher",IF(L157&gt;=0,"Above avg - favourable","Below avg - unfavourable"),IF(O157="Lower",IF(L157&lt;=0,"Below avg - favourable","Above avg - unfavourable"),IF(L157&gt;=0,"Above avg - context-dependent","Below avg - context-dependent"))))&amp;IF(K157&lt;5," (N="&amp;K157&amp;")","")</x:f>
        <x:v>Above avg - favourable</x:v>
      </x:c>
      <x:c r="R157" s="59" t="str">
        <x:f aca="0">IF(K157=0,"n/m",IF(ABS(J157-SUM(E157:I157)/K157)&lt;0.000000001,"OK","ERR"))</x:f>
        <x:v>OK</x:v>
      </x:c>
    </x:row>
    <x:row r="158" ht="15" hidden="0">
      <x:c r="C158" s="56" t="s">
        <x:v>146</x:v>
      </x:c>
      <x:c r="D158" s="11" t="s">
        <x:v>77</x:v>
      </x:c>
      <x:c r="E158" s="65" t="n">
        <x:f aca="0">KOHC!H165</x:f>
        <x:v>0.184262568360198</x:v>
      </x:c>
      <x:c r="F158" s="65" t="n">
        <x:f aca="0">LUCK!H165</x:f>
        <x:v>0.1321661377570831</x:v>
      </x:c>
      <x:c r="G158" s="65" t="n">
        <x:f aca="0">DGKC!H165</x:f>
        <x:v>0.06102535496914953</x:v>
      </x:c>
      <x:c r="H158" s="65" t="n">
        <x:f aca="0">MLCF!H165</x:f>
        <x:v>0.1559593693017428</x:v>
      </x:c>
      <x:c r="I158" s="65" t="n">
        <x:f aca="0">FCCL!H165</x:f>
        <x:v>0.08639871390662689</x:v>
      </x:c>
      <x:c r="J158" s="66" t="n">
        <x:f aca="0">IF(COUNT(E158:I158)=0,"n/m",AVERAGE(E158:I158))</x:f>
        <x:v>0.12396242885896007</x:v>
      </x:c>
      <x:c r="K158" s="11" t="n">
        <x:f aca="0">COUNT(E158:I158)</x:f>
        <x:v>5</x:v>
      </x:c>
      <x:c r="L158" s="42" t="n">
        <x:f aca="0">IF(AND(ISNUMBER(E158),ISNUMBER(J158)),E158-J158,"n/m")</x:f>
        <x:v>0.06030013950123793</x:v>
      </x:c>
      <x:c r="M158" s="42" t="n">
        <x:f aca="0">IF(COUNT(F158:I158)=0,"n/m",AVERAGE(F158:I158))</x:f>
        <x:v>0.10888739398365059</x:v>
      </x:c>
      <x:c r="N158" s="42" t="n">
        <x:f aca="0">IF(COUNT(E158:I158)=0,"n/m",MEDIAN(E158:I158))</x:f>
        <x:v>0.1321661377570831</x:v>
      </x:c>
      <x:c r="O158" s="11" t="s">
        <x:v>90</x:v>
      </x:c>
      <x:c r="P158" s="9" t="str">
        <x:f aca="0">IF(NOT(ISNUMBER(L158)),"n/m",IF(O158="Higher",IF(L158&gt;=0,"Above avg - favourable","Below avg - unfavourable"),IF(O158="Lower",IF(L158&lt;=0,"Below avg - favourable","Above avg - unfavourable"),IF(L158&gt;=0,"Above avg - context-dependent","Below avg - context-dependent"))))&amp;IF(K158&lt;5," (N="&amp;K158&amp;")","")</x:f>
        <x:v>Above avg - favourable</x:v>
      </x:c>
      <x:c r="R158" s="59" t="str">
        <x:f aca="0">IF(K158=0,"n/m",IF(ABS(J158-SUM(E158:I158)/K158)&lt;0.000000001,"OK","ERR"))</x:f>
        <x:v>OK</x:v>
      </x:c>
    </x:row>
    <x:row r="159" ht="15" hidden="0">
      <x:c r="A159" s="54" t="s">
        <x:v>141</x:v>
      </x:c>
      <x:c r="B159" s="25" t="n">
        <x:v>26</x:v>
      </x:c>
      <x:c r="C159" s="24" t="s">
        <x:v>148</x:v>
      </x:c>
      <x:c r="D159" s="25"/>
      <x:c r="E159" s="25"/>
      <x:c r="F159" s="25"/>
      <x:c r="G159" s="25"/>
      <x:c r="H159" s="25"/>
      <x:c r="I159" s="25"/>
      <x:c r="J159" s="25"/>
      <x:c r="K159" s="25"/>
      <x:c r="L159" s="25"/>
      <x:c r="M159" s="25"/>
      <x:c r="N159" s="25"/>
      <x:c r="O159" s="25"/>
      <x:c r="P159" s="25"/>
      <x:c r="Q159" s="55" t="s">
        <x:v>1059</x:v>
      </x:c>
      <x:c r="R159" s="25"/>
    </x:row>
    <x:row r="160" ht="15" hidden="0">
      <x:c r="C160" s="56" t="s">
        <x:v>148</x:v>
      </x:c>
      <x:c r="D160" s="11" t="s">
        <x:v>73</x:v>
      </x:c>
      <x:c r="E160" s="65" t="n">
        <x:f aca="0">KOHC!D166</x:f>
        <x:v>0.1708175375326949</x:v>
      </x:c>
      <x:c r="F160" s="65" t="n">
        <x:f aca="0">LUCK!D166</x:f>
        <x:v>0.13249756211762712</x:v>
      </x:c>
      <x:c r="G160" s="65" t="n">
        <x:f aca="0">DGKC!D166</x:f>
        <x:v>0.05311474576838488</x:v>
      </x:c>
      <x:c r="H160" s="65" t="n">
        <x:f aca="0">MLCF!D166</x:f>
        <x:v>0.18163818640771748</x:v>
      </x:c>
      <x:c r="I160" s="65" t="n">
        <x:f aca="0">FCCL!D166</x:f>
        <x:v>0.16115839021414832</x:v>
      </x:c>
      <x:c r="J160" s="66" t="n">
        <x:f aca="0">IF(COUNT(E160:I160)=0,"n/m",AVERAGE(E160:I160))</x:f>
        <x:v>0.13984528440811456</x:v>
      </x:c>
      <x:c r="K160" s="11" t="n">
        <x:f aca="0">COUNT(E160:I160)</x:f>
        <x:v>5</x:v>
      </x:c>
      <x:c r="L160" s="42" t="n">
        <x:f aca="0">IF(AND(ISNUMBER(E160),ISNUMBER(J160)),E160-J160,"n/m")</x:f>
        <x:v>0.03097225312458035</x:v>
      </x:c>
      <x:c r="M160" s="42" t="n">
        <x:f aca="0">IF(COUNT(F160:I160)=0,"n/m",AVERAGE(F160:I160))</x:f>
        <x:v>0.13210222112696945</x:v>
      </x:c>
      <x:c r="N160" s="42" t="n">
        <x:f aca="0">IF(COUNT(E160:I160)=0,"n/m",MEDIAN(E160:I160))</x:f>
        <x:v>0.16115839021414832</x:v>
      </x:c>
      <x:c r="O160" s="11" t="s">
        <x:v>90</x:v>
      </x:c>
      <x:c r="P160" s="9" t="str">
        <x:f aca="0">IF(NOT(ISNUMBER(L160)),"n/m",IF(O160="Higher",IF(L160&gt;=0,"Above avg - favourable","Below avg - unfavourable"),IF(O160="Lower",IF(L160&lt;=0,"Below avg - favourable","Above avg - unfavourable"),IF(L160&gt;=0,"Above avg - context-dependent","Below avg - context-dependent"))))&amp;IF(K160&lt;5," (N="&amp;K160&amp;")","")</x:f>
        <x:v>Above avg - favourable</x:v>
      </x:c>
      <x:c r="R160" s="59" t="str">
        <x:f aca="0">IF(K160=0,"n/m",IF(ABS(J160-SUM(E160:I160)/K160)&lt;0.000000001,"OK","ERR"))</x:f>
        <x:v>OK</x:v>
      </x:c>
    </x:row>
    <x:row r="161" ht="15" hidden="0">
      <x:c r="C161" s="56" t="s">
        <x:v>148</x:v>
      </x:c>
      <x:c r="D161" s="11" t="s">
        <x:v>74</x:v>
      </x:c>
      <x:c r="E161" s="65" t="n">
        <x:f aca="0">KOHC!E166</x:f>
        <x:v>0.2031253153612202</x:v>
      </x:c>
      <x:c r="F161" s="65" t="n">
        <x:f aca="0">LUCK!E166</x:f>
        <x:v>0.1265705399848834</x:v>
      </x:c>
      <x:c r="G161" s="65" t="n">
        <x:f aca="0">DGKC!E166</x:f>
        <x:v>0.041453492679972344</x:v>
      </x:c>
      <x:c r="H161" s="65" t="n">
        <x:f aca="0">MLCF!E166</x:f>
        <x:v>0.09286217037724577</x:v>
      </x:c>
      <x:c r="I161" s="65" t="n">
        <x:f aca="0">FCCL!E166</x:f>
        <x:v>0.17559284966237051</x:v>
      </x:c>
      <x:c r="J161" s="66" t="n">
        <x:f aca="0">IF(COUNT(E161:I161)=0,"n/m",AVERAGE(E161:I161))</x:f>
        <x:v>0.12792087361313845</x:v>
      </x:c>
      <x:c r="K161" s="11" t="n">
        <x:f aca="0">COUNT(E161:I161)</x:f>
        <x:v>5</x:v>
      </x:c>
      <x:c r="L161" s="42" t="n">
        <x:f aca="0">IF(AND(ISNUMBER(E161),ISNUMBER(J161)),E161-J161,"n/m")</x:f>
        <x:v>0.07520444174808175</x:v>
      </x:c>
      <x:c r="M161" s="42" t="n">
        <x:f aca="0">IF(COUNT(F161:I161)=0,"n/m",AVERAGE(F161:I161))</x:f>
        <x:v>0.10911976317611802</x:v>
      </x:c>
      <x:c r="N161" s="42" t="n">
        <x:f aca="0">IF(COUNT(E161:I161)=0,"n/m",MEDIAN(E161:I161))</x:f>
        <x:v>0.1265705399848834</x:v>
      </x:c>
      <x:c r="O161" s="11" t="s">
        <x:v>90</x:v>
      </x:c>
      <x:c r="P161" s="9" t="str">
        <x:f aca="0">IF(NOT(ISNUMBER(L161)),"n/m",IF(O161="Higher",IF(L161&gt;=0,"Above avg - favourable","Below avg - unfavourable"),IF(O161="Lower",IF(L161&lt;=0,"Below avg - favourable","Above avg - unfavourable"),IF(L161&gt;=0,"Above avg - context-dependent","Below avg - context-dependent"))))&amp;IF(K161&lt;5," (N="&amp;K161&amp;")","")</x:f>
        <x:v>Above avg - favourable</x:v>
      </x:c>
      <x:c r="R161" s="59" t="str">
        <x:f aca="0">IF(K161=0,"n/m",IF(ABS(J161-SUM(E161:I161)/K161)&lt;0.000000001,"OK","ERR"))</x:f>
        <x:v>OK</x:v>
      </x:c>
    </x:row>
    <x:row r="162" ht="15" hidden="0">
      <x:c r="C162" s="56" t="s">
        <x:v>148</x:v>
      </x:c>
      <x:c r="D162" s="11" t="s">
        <x:v>75</x:v>
      </x:c>
      <x:c r="E162" s="65" t="n">
        <x:f aca="0">KOHC!F166</x:f>
        <x:v>0.1944909568032407</x:v>
      </x:c>
      <x:c r="F162" s="65" t="n">
        <x:f aca="0">LUCK!F166</x:f>
        <x:v>0.10323783929435384</x:v>
      </x:c>
      <x:c r="G162" s="65" t="n">
        <x:f aca="0">DGKC!F166</x:f>
        <x:v>-0.05422363320589824</x:v>
      </x:c>
      <x:c r="H162" s="65" t="n">
        <x:f aca="0">MLCF!F166</x:f>
        <x:v>0.10510254167180039</x:v>
      </x:c>
      <x:c r="I162" s="65" t="n">
        <x:f aca="0">FCCL!F166</x:f>
        <x:v>0.12105723655011702</x:v>
      </x:c>
      <x:c r="J162" s="66" t="n">
        <x:f aca="0">IF(COUNT(E162:I162)=0,"n/m",AVERAGE(E162:I162))</x:f>
        <x:v>0.09393298822272274</x:v>
      </x:c>
      <x:c r="K162" s="11" t="n">
        <x:f aca="0">COUNT(E162:I162)</x:f>
        <x:v>5</x:v>
      </x:c>
      <x:c r="L162" s="42" t="n">
        <x:f aca="0">IF(AND(ISNUMBER(E162),ISNUMBER(J162)),E162-J162,"n/m")</x:f>
        <x:v>0.10055796858051795</x:v>
      </x:c>
      <x:c r="M162" s="42" t="n">
        <x:f aca="0">IF(COUNT(F162:I162)=0,"n/m",AVERAGE(F162:I162))</x:f>
        <x:v>0.06879349607759325</x:v>
      </x:c>
      <x:c r="N162" s="42" t="n">
        <x:f aca="0">IF(COUNT(E162:I162)=0,"n/m",MEDIAN(E162:I162))</x:f>
        <x:v>0.10510254167180039</x:v>
      </x:c>
      <x:c r="O162" s="11" t="s">
        <x:v>90</x:v>
      </x:c>
      <x:c r="P162" s="9" t="str">
        <x:f aca="0">IF(NOT(ISNUMBER(L162)),"n/m",IF(O162="Higher",IF(L162&gt;=0,"Above avg - favourable","Below avg - unfavourable"),IF(O162="Lower",IF(L162&lt;=0,"Below avg - favourable","Above avg - unfavourable"),IF(L162&gt;=0,"Above avg - context-dependent","Below avg - context-dependent"))))&amp;IF(K162&lt;5," (N="&amp;K162&amp;")","")</x:f>
        <x:v>Above avg - favourable</x:v>
      </x:c>
      <x:c r="R162" s="59" t="str">
        <x:f aca="0">IF(K162=0,"n/m",IF(ABS(J162-SUM(E162:I162)/K162)&lt;0.000000001,"OK","ERR"))</x:f>
        <x:v>OK</x:v>
      </x:c>
    </x:row>
    <x:row r="163" ht="15" hidden="0">
      <x:c r="C163" s="56" t="s">
        <x:v>148</x:v>
      </x:c>
      <x:c r="D163" s="11" t="s">
        <x:v>76</x:v>
      </x:c>
      <x:c r="E163" s="65" t="n">
        <x:f aca="0">KOHC!G166</x:f>
        <x:v>0.24134090965005384</x:v>
      </x:c>
      <x:c r="F163" s="65" t="n">
        <x:f aca="0">LUCK!G166</x:f>
        <x:v>0.19715059997190104</x:v>
      </x:c>
      <x:c r="G163" s="65" t="n">
        <x:f aca="0">DGKC!G166</x:f>
        <x:v>0.007746311290114197</x:v>
      </x:c>
      <x:c r="H163" s="65" t="n">
        <x:f aca="0">MLCF!G166</x:f>
        <x:v>0.10812221617479151</x:v>
      </x:c>
      <x:c r="I163" s="65" t="n">
        <x:f aca="0">FCCL!G166</x:f>
        <x:v>0.11868144080382984</x:v>
      </x:c>
      <x:c r="J163" s="66" t="n">
        <x:f aca="0">IF(COUNT(E163:I163)=0,"n/m",AVERAGE(E163:I163))</x:f>
        <x:v>0.13460829557813808</x:v>
      </x:c>
      <x:c r="K163" s="11" t="n">
        <x:f aca="0">COUNT(E163:I163)</x:f>
        <x:v>5</x:v>
      </x:c>
      <x:c r="L163" s="42" t="n">
        <x:f aca="0">IF(AND(ISNUMBER(E163),ISNUMBER(J163)),E163-J163,"n/m")</x:f>
        <x:v>0.10673261407191575</x:v>
      </x:c>
      <x:c r="M163" s="42" t="n">
        <x:f aca="0">IF(COUNT(F163:I163)=0,"n/m",AVERAGE(F163:I163))</x:f>
        <x:v>0.10792514206015913</x:v>
      </x:c>
      <x:c r="N163" s="42" t="n">
        <x:f aca="0">IF(COUNT(E163:I163)=0,"n/m",MEDIAN(E163:I163))</x:f>
        <x:v>0.11868144080382984</x:v>
      </x:c>
      <x:c r="O163" s="11" t="s">
        <x:v>90</x:v>
      </x:c>
      <x:c r="P163" s="9" t="str">
        <x:f aca="0">IF(NOT(ISNUMBER(L163)),"n/m",IF(O163="Higher",IF(L163&gt;=0,"Above avg - favourable","Below avg - unfavourable"),IF(O163="Lower",IF(L163&lt;=0,"Below avg - favourable","Above avg - unfavourable"),IF(L163&gt;=0,"Above avg - context-dependent","Below avg - context-dependent"))))&amp;IF(K163&lt;5," (N="&amp;K163&amp;")","")</x:f>
        <x:v>Above avg - favourable</x:v>
      </x:c>
      <x:c r="R163" s="59" t="str">
        <x:f aca="0">IF(K163=0,"n/m",IF(ABS(J163-SUM(E163:I163)/K163)&lt;0.000000001,"OK","ERR"))</x:f>
        <x:v>OK</x:v>
      </x:c>
    </x:row>
    <x:row r="164" ht="15" hidden="0">
      <x:c r="C164" s="56" t="s">
        <x:v>148</x:v>
      </x:c>
      <x:c r="D164" s="11" t="s">
        <x:v>77</x:v>
      </x:c>
      <x:c r="E164" s="65" t="n">
        <x:f aca="0">KOHC!H166</x:f>
        <x:v>0.25998290898160303</x:v>
      </x:c>
      <x:c r="F164" s="65" t="n">
        <x:f aca="0">LUCK!H166</x:f>
        <x:v>0.2044798130421526</x:v>
      </x:c>
      <x:c r="G164" s="65" t="n">
        <x:f aca="0">DGKC!H166</x:f>
        <x:v>0.10175126160150023</x:v>
      </x:c>
      <x:c r="H164" s="65" t="n">
        <x:f aca="0">MLCF!H166</x:f>
        <x:v>0.2746085954343051</x:v>
      </x:c>
      <x:c r="I164" s="65" t="n">
        <x:f aca="0">FCCL!H166</x:f>
        <x:v>0.1690380202363196</x:v>
      </x:c>
      <x:c r="J164" s="66" t="n">
        <x:f aca="0">IF(COUNT(E164:I164)=0,"n/m",AVERAGE(E164:I164))</x:f>
        <x:v>0.2019721198591761</x:v>
      </x:c>
      <x:c r="K164" s="11" t="n">
        <x:f aca="0">COUNT(E164:I164)</x:f>
        <x:v>5</x:v>
      </x:c>
      <x:c r="L164" s="42" t="n">
        <x:f aca="0">IF(AND(ISNUMBER(E164),ISNUMBER(J164)),E164-J164,"n/m")</x:f>
        <x:v>0.05801078912242694</x:v>
      </x:c>
      <x:c r="M164" s="42" t="n">
        <x:f aca="0">IF(COUNT(F164:I164)=0,"n/m",AVERAGE(F164:I164))</x:f>
        <x:v>0.18746942257856938</x:v>
      </x:c>
      <x:c r="N164" s="42" t="n">
        <x:f aca="0">IF(COUNT(E164:I164)=0,"n/m",MEDIAN(E164:I164))</x:f>
        <x:v>0.2044798130421526</x:v>
      </x:c>
      <x:c r="O164" s="11" t="s">
        <x:v>90</x:v>
      </x:c>
      <x:c r="P164" s="9" t="str">
        <x:f aca="0">IF(NOT(ISNUMBER(L164)),"n/m",IF(O164="Higher",IF(L164&gt;=0,"Above avg - favourable","Below avg - unfavourable"),IF(O164="Lower",IF(L164&lt;=0,"Below avg - favourable","Above avg - unfavourable"),IF(L164&gt;=0,"Above avg - context-dependent","Below avg - context-dependent"))))&amp;IF(K164&lt;5," (N="&amp;K164&amp;")","")</x:f>
        <x:v>Above avg - favourable</x:v>
      </x:c>
      <x:c r="R164" s="59" t="str">
        <x:f aca="0">IF(K164=0,"n/m",IF(ABS(J164-SUM(E164:I164)/K164)&lt;0.000000001,"OK","ERR"))</x:f>
        <x:v>OK</x:v>
      </x:c>
    </x:row>
    <x:row r="165" ht="15" hidden="0">
      <x:c r="A165" s="54" t="s">
        <x:v>141</x:v>
      </x:c>
      <x:c r="B165" s="25" t="n">
        <x:v>27</x:v>
      </x:c>
      <x:c r="C165" s="24" t="s">
        <x:v>150</x:v>
      </x:c>
      <x:c r="D165" s="25"/>
      <x:c r="E165" s="25"/>
      <x:c r="F165" s="25"/>
      <x:c r="G165" s="25"/>
      <x:c r="H165" s="25"/>
      <x:c r="I165" s="25"/>
      <x:c r="J165" s="25"/>
      <x:c r="K165" s="25"/>
      <x:c r="L165" s="25"/>
      <x:c r="M165" s="25"/>
      <x:c r="N165" s="25"/>
      <x:c r="O165" s="25"/>
      <x:c r="P165" s="25"/>
      <x:c r="Q165" s="55"/>
      <x:c r="R165" s="25"/>
    </x:row>
    <x:row r="166" ht="15" hidden="0">
      <x:c r="C166" s="56" t="s">
        <x:v>150</x:v>
      </x:c>
      <x:c r="D166" s="11" t="s">
        <x:v>73</x:v>
      </x:c>
      <x:c r="E166" s="65" t="n">
        <x:f aca="0">KOHC!D167</x:f>
        <x:v>0.14327122643181978</x:v>
      </x:c>
      <x:c r="F166" s="65" t="n">
        <x:f aca="0">LUCK!D167</x:f>
        <x:v>0.12407020191785936</x:v>
      </x:c>
      <x:c r="G166" s="65" t="n">
        <x:f aca="0">DGKC!D167</x:f>
        <x:v>0.05185364586076227</x:v>
      </x:c>
      <x:c r="H166" s="65" t="n">
        <x:f aca="0">MLCF!D167</x:f>
        <x:v>0.140804883114224</x:v>
      </x:c>
      <x:c r="I166" s="65" t="n">
        <x:f aca="0">FCCL!D167</x:f>
        <x:v>0.14667479520486254</x:v>
      </x:c>
      <x:c r="J166" s="66" t="n">
        <x:f aca="0">IF(COUNT(E166:I166)=0,"n/m",AVERAGE(E166:I166))</x:f>
        <x:v>0.12133495050590559</x:v>
      </x:c>
      <x:c r="K166" s="11" t="n">
        <x:f aca="0">COUNT(E166:I166)</x:f>
        <x:v>5</x:v>
      </x:c>
      <x:c r="L166" s="42" t="n">
        <x:f aca="0">IF(AND(ISNUMBER(E166),ISNUMBER(J166)),E166-J166,"n/m")</x:f>
        <x:v>0.021936275925914184</x:v>
      </x:c>
      <x:c r="M166" s="42" t="n">
        <x:f aca="0">IF(COUNT(F166:I166)=0,"n/m",AVERAGE(F166:I166))</x:f>
        <x:v>0.11585088152442705</x:v>
      </x:c>
      <x:c r="N166" s="42" t="n">
        <x:f aca="0">IF(COUNT(E166:I166)=0,"n/m",MEDIAN(E166:I166))</x:f>
        <x:v>0.140804883114224</x:v>
      </x:c>
      <x:c r="O166" s="11" t="s">
        <x:v>90</x:v>
      </x:c>
      <x:c r="P166" s="9" t="str">
        <x:f aca="0">IF(NOT(ISNUMBER(L166)),"n/m",IF(O166="Higher",IF(L166&gt;=0,"Above avg - favourable","Below avg - unfavourable"),IF(O166="Lower",IF(L166&lt;=0,"Below avg - favourable","Above avg - unfavourable"),IF(L166&gt;=0,"Above avg - context-dependent","Below avg - context-dependent"))))&amp;IF(K166&lt;5," (N="&amp;K166&amp;")","")</x:f>
        <x:v>Above avg - favourable</x:v>
      </x:c>
      <x:c r="R166" s="59" t="str">
        <x:f aca="0">IF(K166=0,"n/m",IF(ABS(J166-SUM(E166:I166)/K166)&lt;0.000000001,"OK","ERR"))</x:f>
        <x:v>OK</x:v>
      </x:c>
    </x:row>
    <x:row r="167" ht="15" hidden="0">
      <x:c r="C167" s="56" t="s">
        <x:v>150</x:v>
      </x:c>
      <x:c r="D167" s="11" t="s">
        <x:v>74</x:v>
      </x:c>
      <x:c r="E167" s="65" t="n">
        <x:f aca="0">KOHC!E167</x:f>
        <x:v>0.17824324729851332</x:v>
      </x:c>
      <x:c r="F167" s="65" t="n">
        <x:f aca="0">LUCK!E167</x:f>
        <x:v>0.11634647447890245</x:v>
      </x:c>
      <x:c r="G167" s="65" t="n">
        <x:f aca="0">DGKC!E167</x:f>
        <x:v>0.0405309965203835</x:v>
      </x:c>
      <x:c r="H167" s="65" t="n">
        <x:f aca="0">MLCF!E167</x:f>
        <x:v>0.07552102511911654</x:v>
      </x:c>
      <x:c r="I167" s="65" t="n">
        <x:f aca="0">FCCL!E167</x:f>
        <x:v>0.13438749624409813</x:v>
      </x:c>
      <x:c r="J167" s="66" t="n">
        <x:f aca="0">IF(COUNT(E167:I167)=0,"n/m",AVERAGE(E167:I167))</x:f>
        <x:v>0.10900584793220278</x:v>
      </x:c>
      <x:c r="K167" s="11" t="n">
        <x:f aca="0">COUNT(E167:I167)</x:f>
        <x:v>5</x:v>
      </x:c>
      <x:c r="L167" s="42" t="n">
        <x:f aca="0">IF(AND(ISNUMBER(E167),ISNUMBER(J167)),E167-J167,"n/m")</x:f>
        <x:v>0.06923739936631054</x:v>
      </x:c>
      <x:c r="M167" s="42" t="n">
        <x:f aca="0">IF(COUNT(F167:I167)=0,"n/m",AVERAGE(F167:I167))</x:f>
        <x:v>0.09169649809062516</x:v>
      </x:c>
      <x:c r="N167" s="42" t="n">
        <x:f aca="0">IF(COUNT(E167:I167)=0,"n/m",MEDIAN(E167:I167))</x:f>
        <x:v>0.11634647447890245</x:v>
      </x:c>
      <x:c r="O167" s="11" t="s">
        <x:v>90</x:v>
      </x:c>
      <x:c r="P167" s="9" t="str">
        <x:f aca="0">IF(NOT(ISNUMBER(L167)),"n/m",IF(O167="Higher",IF(L167&gt;=0,"Above avg - favourable","Below avg - unfavourable"),IF(O167="Lower",IF(L167&lt;=0,"Below avg - favourable","Above avg - unfavourable"),IF(L167&gt;=0,"Above avg - context-dependent","Below avg - context-dependent"))))&amp;IF(K167&lt;5," (N="&amp;K167&amp;")","")</x:f>
        <x:v>Above avg - favourable</x:v>
      </x:c>
      <x:c r="R167" s="59" t="str">
        <x:f aca="0">IF(K167=0,"n/m",IF(ABS(J167-SUM(E167:I167)/K167)&lt;0.000000001,"OK","ERR"))</x:f>
        <x:v>OK</x:v>
      </x:c>
    </x:row>
    <x:row r="168" ht="15" hidden="0">
      <x:c r="C168" s="56" t="s">
        <x:v>150</x:v>
      </x:c>
      <x:c r="D168" s="11" t="s">
        <x:v>75</x:v>
      </x:c>
      <x:c r="E168" s="65" t="n">
        <x:f aca="0">KOHC!F167</x:f>
        <x:v>0.18523585661078099</x:v>
      </x:c>
      <x:c r="F168" s="65" t="n">
        <x:f aca="0">LUCK!F167</x:f>
        <x:v>0.09570891419697462</x:v>
      </x:c>
      <x:c r="G168" s="65" t="n">
        <x:f aca="0">DGKC!F167</x:f>
        <x:v>0.05416006430346929</x:v>
      </x:c>
      <x:c r="H168" s="65" t="n">
        <x:f aca="0">MLCF!F167</x:f>
        <x:v>0.08943041686178571</x:v>
      </x:c>
      <x:c r="I168" s="65" t="n">
        <x:f aca="0">FCCL!F167</x:f>
        <x:v>0.09343071635815868</x:v>
      </x:c>
      <x:c r="J168" s="66" t="n">
        <x:f aca="0">IF(COUNT(E168:I168)=0,"n/m",AVERAGE(E168:I168))</x:f>
        <x:v>0.10359319366623385</x:v>
      </x:c>
      <x:c r="K168" s="11" t="n">
        <x:f aca="0">COUNT(E168:I168)</x:f>
        <x:v>5</x:v>
      </x:c>
      <x:c r="L168" s="42" t="n">
        <x:f aca="0">IF(AND(ISNUMBER(E168),ISNUMBER(J168)),E168-J168,"n/m")</x:f>
        <x:v>0.08164266294454714</x:v>
      </x:c>
      <x:c r="M168" s="42" t="n">
        <x:f aca="0">IF(COUNT(F168:I168)=0,"n/m",AVERAGE(F168:I168))</x:f>
        <x:v>0.08318252793009707</x:v>
      </x:c>
      <x:c r="N168" s="42" t="n">
        <x:f aca="0">IF(COUNT(E168:I168)=0,"n/m",MEDIAN(E168:I168))</x:f>
        <x:v>0.09343071635815868</x:v>
      </x:c>
      <x:c r="O168" s="11" t="s">
        <x:v>90</x:v>
      </x:c>
      <x:c r="P168" s="9" t="str">
        <x:f aca="0">IF(NOT(ISNUMBER(L168)),"n/m",IF(O168="Higher",IF(L168&gt;=0,"Above avg - favourable","Below avg - unfavourable"),IF(O168="Lower",IF(L168&lt;=0,"Below avg - favourable","Above avg - unfavourable"),IF(L168&gt;=0,"Above avg - context-dependent","Below avg - context-dependent"))))&amp;IF(K168&lt;5," (N="&amp;K168&amp;")","")</x:f>
        <x:v>Above avg - favourable</x:v>
      </x:c>
      <x:c r="R168" s="59" t="str">
        <x:f aca="0">IF(K168=0,"n/m",IF(ABS(J168-SUM(E168:I168)/K168)&lt;0.000000001,"OK","ERR"))</x:f>
        <x:v>OK</x:v>
      </x:c>
    </x:row>
    <x:row r="169" ht="15" hidden="0">
      <x:c r="C169" s="56" t="s">
        <x:v>150</x:v>
      </x:c>
      <x:c r="D169" s="11" t="s">
        <x:v>76</x:v>
      </x:c>
      <x:c r="E169" s="65" t="n">
        <x:f aca="0">KOHC!G167</x:f>
        <x:v>0.23570906894923696</x:v>
      </x:c>
      <x:c r="F169" s="65" t="n">
        <x:f aca="0">LUCK!G167</x:f>
        <x:v>0.1787383675569278</x:v>
      </x:c>
      <x:c r="G169" s="65" t="n">
        <x:f aca="0">DGKC!G167</x:f>
        <x:v>0.06097480096087647</x:v>
      </x:c>
      <x:c r="H169" s="65" t="n">
        <x:f aca="0">MLCF!G167</x:f>
        <x:v>0.1128071865450392</x:v>
      </x:c>
      <x:c r="I169" s="65" t="n">
        <x:f aca="0">FCCL!G167</x:f>
        <x:v>0.09703702948567723</x:v>
      </x:c>
      <x:c r="J169" s="66" t="n">
        <x:f aca="0">IF(COUNT(E169:I169)=0,"n/m",AVERAGE(E169:I169))</x:f>
        <x:v>0.13705329069955155</x:v>
      </x:c>
      <x:c r="K169" s="11" t="n">
        <x:f aca="0">COUNT(E169:I169)</x:f>
        <x:v>5</x:v>
      </x:c>
      <x:c r="L169" s="42" t="n">
        <x:f aca="0">IF(AND(ISNUMBER(E169),ISNUMBER(J169)),E169-J169,"n/m")</x:f>
        <x:v>0.09865577824968541</x:v>
      </x:c>
      <x:c r="M169" s="42" t="n">
        <x:f aca="0">IF(COUNT(F169:I169)=0,"n/m",AVERAGE(F169:I169))</x:f>
        <x:v>0.11238934613713017</x:v>
      </x:c>
      <x:c r="N169" s="42" t="n">
        <x:f aca="0">IF(COUNT(E169:I169)=0,"n/m",MEDIAN(E169:I169))</x:f>
        <x:v>0.1128071865450392</x:v>
      </x:c>
      <x:c r="O169" s="11" t="s">
        <x:v>90</x:v>
      </x:c>
      <x:c r="P169" s="9" t="str">
        <x:f aca="0">IF(NOT(ISNUMBER(L169)),"n/m",IF(O169="Higher",IF(L169&gt;=0,"Above avg - favourable","Below avg - unfavourable"),IF(O169="Lower",IF(L169&lt;=0,"Below avg - favourable","Above avg - unfavourable"),IF(L169&gt;=0,"Above avg - context-dependent","Below avg - context-dependent"))))&amp;IF(K169&lt;5," (N="&amp;K169&amp;")","")</x:f>
        <x:v>Above avg - favourable</x:v>
      </x:c>
      <x:c r="R169" s="59" t="str">
        <x:f aca="0">IF(K169=0,"n/m",IF(ABS(J169-SUM(E169:I169)/K169)&lt;0.000000001,"OK","ERR"))</x:f>
        <x:v>OK</x:v>
      </x:c>
    </x:row>
    <x:row r="170" ht="15" hidden="0">
      <x:c r="C170" s="56" t="s">
        <x:v>150</x:v>
      </x:c>
      <x:c r="D170" s="11" t="s">
        <x:v>77</x:v>
      </x:c>
      <x:c r="E170" s="65" t="n">
        <x:f aca="0">KOHC!H167</x:f>
        <x:v>0.25214553924649025</x:v>
      </x:c>
      <x:c r="F170" s="65" t="n">
        <x:f aca="0">LUCK!H167</x:f>
        <x:v>0.18835780074997993</x:v>
      </x:c>
      <x:c r="G170" s="65" t="n">
        <x:f aca="0">DGKC!H167</x:f>
        <x:v>0.09929184900187035</x:v>
      </x:c>
      <x:c r="H170" s="65" t="n">
        <x:f aca="0">MLCF!H167</x:f>
        <x:v>0.25096399764604915</x:v>
      </x:c>
      <x:c r="I170" s="65" t="n">
        <x:f aca="0">FCCL!H167</x:f>
        <x:v>0.1397420092007453</x:v>
      </x:c>
      <x:c r="J170" s="66" t="n">
        <x:f aca="0">IF(COUNT(E170:I170)=0,"n/m",AVERAGE(E170:I170))</x:f>
        <x:v>0.18610023916902702</x:v>
      </x:c>
      <x:c r="K170" s="11" t="n">
        <x:f aca="0">COUNT(E170:I170)</x:f>
        <x:v>5</x:v>
      </x:c>
      <x:c r="L170" s="42" t="n">
        <x:f aca="0">IF(AND(ISNUMBER(E170),ISNUMBER(J170)),E170-J170,"n/m")</x:f>
        <x:v>0.06604530007746323</x:v>
      </x:c>
      <x:c r="M170" s="42" t="n">
        <x:f aca="0">IF(COUNT(F170:I170)=0,"n/m",AVERAGE(F170:I170))</x:f>
        <x:v>0.16958891414966118</x:v>
      </x:c>
      <x:c r="N170" s="42" t="n">
        <x:f aca="0">IF(COUNT(E170:I170)=0,"n/m",MEDIAN(E170:I170))</x:f>
        <x:v>0.18835780074997993</x:v>
      </x:c>
      <x:c r="O170" s="11" t="s">
        <x:v>90</x:v>
      </x:c>
      <x:c r="P170" s="9" t="str">
        <x:f aca="0">IF(NOT(ISNUMBER(L170)),"n/m",IF(O170="Higher",IF(L170&gt;=0,"Above avg - favourable","Below avg - unfavourable"),IF(O170="Lower",IF(L170&lt;=0,"Below avg - favourable","Above avg - unfavourable"),IF(L170&gt;=0,"Above avg - context-dependent","Below avg - context-dependent"))))&amp;IF(K170&lt;5," (N="&amp;K170&amp;")","")</x:f>
        <x:v>Above avg - favourable</x:v>
      </x:c>
      <x:c r="R170" s="59" t="str">
        <x:f aca="0">IF(K170=0,"n/m",IF(ABS(J170-SUM(E170:I170)/K170)&lt;0.000000001,"OK","ERR"))</x:f>
        <x:v>OK</x:v>
      </x:c>
    </x:row>
    <x:row r="171" ht="15" hidden="0">
      <x:c r="A171" s="54" t="s">
        <x:v>141</x:v>
      </x:c>
      <x:c r="B171" s="25" t="n">
        <x:v>28</x:v>
      </x:c>
      <x:c r="C171" s="24" t="s">
        <x:v>152</x:v>
      </x:c>
      <x:c r="D171" s="25"/>
      <x:c r="E171" s="25"/>
      <x:c r="F171" s="25"/>
      <x:c r="G171" s="25"/>
      <x:c r="H171" s="25"/>
      <x:c r="I171" s="25"/>
      <x:c r="J171" s="25"/>
      <x:c r="K171" s="25"/>
      <x:c r="L171" s="25"/>
      <x:c r="M171" s="25"/>
      <x:c r="N171" s="25"/>
      <x:c r="O171" s="25"/>
      <x:c r="P171" s="25"/>
      <x:c r="Q171" s="55"/>
      <x:c r="R171" s="25"/>
    </x:row>
    <x:row r="172" ht="15" hidden="0">
      <x:c r="C172" s="56" t="s">
        <x:v>152</x:v>
      </x:c>
      <x:c r="D172" s="11" t="s">
        <x:v>73</x:v>
      </x:c>
      <x:c r="E172" s="65" t="n">
        <x:f aca="0">KOHC!D168</x:f>
        <x:v>0.15927842615719043</x:v>
      </x:c>
      <x:c r="F172" s="65" t="n">
        <x:f aca="0">LUCK!D168</x:f>
        <x:v>0.11856914427701815</x:v>
      </x:c>
      <x:c r="G172" s="65" t="n">
        <x:f aca="0">DGKC!D168</x:f>
        <x:v>0.05752393646556941</x:v>
      </x:c>
      <x:c r="H172" s="65" t="n">
        <x:f aca="0">MLCF!D168</x:f>
        <x:v>0.13283318203671918</x:v>
      </x:c>
      <x:c r="I172" s="65" t="n">
        <x:f aca="0">FCCL!D168</x:f>
        <x:v>0.16494792527118216</x:v>
      </x:c>
      <x:c r="J172" s="66" t="n">
        <x:f aca="0">IF(COUNT(E172:I172)=0,"n/m",AVERAGE(E172:I172))</x:f>
        <x:v>0.12663052284153586</x:v>
      </x:c>
      <x:c r="K172" s="11" t="n">
        <x:f aca="0">COUNT(E172:I172)</x:f>
        <x:v>5</x:v>
      </x:c>
      <x:c r="L172" s="42" t="n">
        <x:f aca="0">IF(AND(ISNUMBER(E172),ISNUMBER(J172)),E172-J172,"n/m")</x:f>
        <x:v>0.032647903315654564</x:v>
      </x:c>
      <x:c r="M172" s="42" t="n">
        <x:f aca="0">IF(COUNT(F172:I172)=0,"n/m",AVERAGE(F172:I172))</x:f>
        <x:v>0.11846854701262222</x:v>
      </x:c>
      <x:c r="N172" s="42" t="n">
        <x:f aca="0">IF(COUNT(E172:I172)=0,"n/m",MEDIAN(E172:I172))</x:f>
        <x:v>0.13283318203671918</x:v>
      </x:c>
      <x:c r="O172" s="11" t="s">
        <x:v>90</x:v>
      </x:c>
      <x:c r="P172" s="9" t="str">
        <x:f aca="0">IF(NOT(ISNUMBER(L172)),"n/m",IF(O172="Higher",IF(L172&gt;=0,"Above avg - favourable","Below avg - unfavourable"),IF(O172="Lower",IF(L172&lt;=0,"Below avg - favourable","Above avg - unfavourable"),IF(L172&gt;=0,"Above avg - context-dependent","Below avg - context-dependent"))))&amp;IF(K172&lt;5," (N="&amp;K172&amp;")","")</x:f>
        <x:v>Above avg - favourable</x:v>
      </x:c>
      <x:c r="R172" s="59" t="str">
        <x:f aca="0">IF(K172=0,"n/m",IF(ABS(J172-SUM(E172:I172)/K172)&lt;0.000000001,"OK","ERR"))</x:f>
        <x:v>OK</x:v>
      </x:c>
    </x:row>
    <x:row r="173" ht="15" hidden="0">
      <x:c r="C173" s="56" t="s">
        <x:v>152</x:v>
      </x:c>
      <x:c r="D173" s="11" t="s">
        <x:v>74</x:v>
      </x:c>
      <x:c r="E173" s="65" t="n">
        <x:f aca="0">KOHC!E168</x:f>
        <x:v>0.23825496283693048</x:v>
      </x:c>
      <x:c r="F173" s="65" t="n">
        <x:f aca="0">LUCK!E168</x:f>
        <x:v>0.12782774158166904</x:v>
      </x:c>
      <x:c r="G173" s="65" t="n">
        <x:f aca="0">DGKC!E168</x:f>
        <x:v>0.06989042461377605</x:v>
      </x:c>
      <x:c r="H173" s="65" t="n">
        <x:f aca="0">MLCF!E168</x:f>
        <x:v>0.12023345655576649</x:v>
      </x:c>
      <x:c r="I173" s="65" t="n">
        <x:f aca="0">FCCL!E168</x:f>
        <x:v>0.1723137524694703</x:v>
      </x:c>
      <x:c r="J173" s="66" t="n">
        <x:f aca="0">IF(COUNT(E173:I173)=0,"n/m",AVERAGE(E173:I173))</x:f>
        <x:v>0.1457040676115225</x:v>
      </x:c>
      <x:c r="K173" s="11" t="n">
        <x:f aca="0">COUNT(E173:I173)</x:f>
        <x:v>5</x:v>
      </x:c>
      <x:c r="L173" s="42" t="n">
        <x:f aca="0">IF(AND(ISNUMBER(E173),ISNUMBER(J173)),E173-J173,"n/m")</x:f>
        <x:v>0.09255089522540799</x:v>
      </x:c>
      <x:c r="M173" s="42" t="n">
        <x:f aca="0">IF(COUNT(F173:I173)=0,"n/m",AVERAGE(F173:I173))</x:f>
        <x:v>0.12256634380517048</x:v>
      </x:c>
      <x:c r="N173" s="42" t="n">
        <x:f aca="0">IF(COUNT(E173:I173)=0,"n/m",MEDIAN(E173:I173))</x:f>
        <x:v>0.12782774158166904</x:v>
      </x:c>
      <x:c r="O173" s="11" t="s">
        <x:v>90</x:v>
      </x:c>
      <x:c r="P173" s="9" t="str">
        <x:f aca="0">IF(NOT(ISNUMBER(L173)),"n/m",IF(O173="Higher",IF(L173&gt;=0,"Above avg - favourable","Below avg - unfavourable"),IF(O173="Lower",IF(L173&lt;=0,"Below avg - favourable","Above avg - unfavourable"),IF(L173&gt;=0,"Above avg - context-dependent","Below avg - context-dependent"))))&amp;IF(K173&lt;5," (N="&amp;K173&amp;")","")</x:f>
        <x:v>Above avg - favourable</x:v>
      </x:c>
      <x:c r="R173" s="59" t="str">
        <x:f aca="0">IF(K173=0,"n/m",IF(ABS(J173-SUM(E173:I173)/K173)&lt;0.000000001,"OK","ERR"))</x:f>
        <x:v>OK</x:v>
      </x:c>
    </x:row>
    <x:row r="174" ht="15" hidden="0">
      <x:c r="C174" s="56" t="s">
        <x:v>152</x:v>
      </x:c>
      <x:c r="D174" s="11" t="s">
        <x:v>75</x:v>
      </x:c>
      <x:c r="E174" s="65" t="n">
        <x:f aca="0">KOHC!F168</x:f>
        <x:v>0.24137695696625033</x:v>
      </x:c>
      <x:c r="F174" s="65" t="n">
        <x:f aca="0">LUCK!F168</x:f>
        <x:v>0.11311909776428172</x:v>
      </x:c>
      <x:c r="G174" s="65" t="n">
        <x:f aca="0">DGKC!F168</x:f>
        <x:v>0.07302423924994239</x:v>
      </x:c>
      <x:c r="H174" s="65" t="n">
        <x:f aca="0">MLCF!F168</x:f>
        <x:v>0.1396147149844841</x:v>
      </x:c>
      <x:c r="I174" s="65" t="n">
        <x:f aca="0">FCCL!F168</x:f>
        <x:v>0.13103867634936517</x:v>
      </x:c>
      <x:c r="J174" s="66" t="n">
        <x:f aca="0">IF(COUNT(E174:I174)=0,"n/m",AVERAGE(E174:I174))</x:f>
        <x:v>0.13963473706286472</x:v>
      </x:c>
      <x:c r="K174" s="11" t="n">
        <x:f aca="0">COUNT(E174:I174)</x:f>
        <x:v>5</x:v>
      </x:c>
      <x:c r="L174" s="42" t="n">
        <x:f aca="0">IF(AND(ISNUMBER(E174),ISNUMBER(J174)),E174-J174,"n/m")</x:f>
        <x:v>0.10174221990338561</x:v>
      </x:c>
      <x:c r="M174" s="42" t="n">
        <x:f aca="0">IF(COUNT(F174:I174)=0,"n/m",AVERAGE(F174:I174))</x:f>
        <x:v>0.11419918208701835</x:v>
      </x:c>
      <x:c r="N174" s="42" t="n">
        <x:f aca="0">IF(COUNT(E174:I174)=0,"n/m",MEDIAN(E174:I174))</x:f>
        <x:v>0.13103867634936517</x:v>
      </x:c>
      <x:c r="O174" s="11" t="s">
        <x:v>90</x:v>
      </x:c>
      <x:c r="P174" s="9" t="str">
        <x:f aca="0">IF(NOT(ISNUMBER(L174)),"n/m",IF(O174="Higher",IF(L174&gt;=0,"Above avg - favourable","Below avg - unfavourable"),IF(O174="Lower",IF(L174&lt;=0,"Below avg - favourable","Above avg - unfavourable"),IF(L174&gt;=0,"Above avg - context-dependent","Below avg - context-dependent"))))&amp;IF(K174&lt;5," (N="&amp;K174&amp;")","")</x:f>
        <x:v>Above avg - favourable</x:v>
      </x:c>
      <x:c r="R174" s="59" t="str">
        <x:f aca="0">IF(K174=0,"n/m",IF(ABS(J174-SUM(E174:I174)/K174)&lt;0.000000001,"OK","ERR"))</x:f>
        <x:v>OK</x:v>
      </x:c>
    </x:row>
    <x:row r="175" ht="15" hidden="0">
      <x:c r="C175" s="56" t="s">
        <x:v>152</x:v>
      </x:c>
      <x:c r="D175" s="11" t="s">
        <x:v>76</x:v>
      </x:c>
      <x:c r="E175" s="65" t="n">
        <x:f aca="0">KOHC!G168</x:f>
        <x:v>0.2667383296475893</x:v>
      </x:c>
      <x:c r="F175" s="65" t="n">
        <x:f aca="0">LUCK!G168</x:f>
        <x:v>0.19221205649491527</x:v>
      </x:c>
      <x:c r="G175" s="65" t="n">
        <x:f aca="0">DGKC!G168</x:f>
        <x:v>0.07938523892404618</x:v>
      </x:c>
      <x:c r="H175" s="65" t="n">
        <x:f aca="0">MLCF!G168</x:f>
        <x:v>0.1382503777250139</x:v>
      </x:c>
      <x:c r="I175" s="65" t="n">
        <x:f aca="0">FCCL!G168</x:f>
        <x:v>0.1458556324666155</x:v>
      </x:c>
      <x:c r="J175" s="66" t="n">
        <x:f aca="0">IF(COUNT(E175:I175)=0,"n/m",AVERAGE(E175:I175))</x:f>
        <x:v>0.16448832705163602</x:v>
      </x:c>
      <x:c r="K175" s="11" t="n">
        <x:f aca="0">COUNT(E175:I175)</x:f>
        <x:v>5</x:v>
      </x:c>
      <x:c r="L175" s="42" t="n">
        <x:f aca="0">IF(AND(ISNUMBER(E175),ISNUMBER(J175)),E175-J175,"n/m")</x:f>
        <x:v>0.1022500025959533</x:v>
      </x:c>
      <x:c r="M175" s="42" t="n">
        <x:f aca="0">IF(COUNT(F175:I175)=0,"n/m",AVERAGE(F175:I175))</x:f>
        <x:v>0.1389258264026477</x:v>
      </x:c>
      <x:c r="N175" s="42" t="n">
        <x:f aca="0">IF(COUNT(E175:I175)=0,"n/m",MEDIAN(E175:I175))</x:f>
        <x:v>0.1458556324666155</x:v>
      </x:c>
      <x:c r="O175" s="11" t="s">
        <x:v>90</x:v>
      </x:c>
      <x:c r="P175" s="9" t="str">
        <x:f aca="0">IF(NOT(ISNUMBER(L175)),"n/m",IF(O175="Higher",IF(L175&gt;=0,"Above avg - favourable","Below avg - unfavourable"),IF(O175="Lower",IF(L175&lt;=0,"Below avg - favourable","Above avg - unfavourable"),IF(L175&gt;=0,"Above avg - context-dependent","Below avg - context-dependent"))))&amp;IF(K175&lt;5," (N="&amp;K175&amp;")","")</x:f>
        <x:v>Above avg - favourable</x:v>
      </x:c>
      <x:c r="R175" s="59" t="str">
        <x:f aca="0">IF(K175=0,"n/m",IF(ABS(J175-SUM(E175:I175)/K175)&lt;0.000000001,"OK","ERR"))</x:f>
        <x:v>OK</x:v>
      </x:c>
    </x:row>
    <x:row r="176" ht="15" hidden="0">
      <x:c r="C176" s="56" t="s">
        <x:v>152</x:v>
      </x:c>
      <x:c r="D176" s="11" t="s">
        <x:v>77</x:v>
      </x:c>
      <x:c r="E176" s="65" t="n">
        <x:f aca="0">KOHC!H168</x:f>
        <x:v>0.28807830028219766</x:v>
      </x:c>
      <x:c r="F176" s="65" t="n">
        <x:f aca="0">LUCK!H168</x:f>
        <x:v>0.19447652728583156</x:v>
      </x:c>
      <x:c r="G176" s="65" t="n">
        <x:f aca="0">DGKC!H168</x:f>
        <x:v>0.11870857622241335</x:v>
      </x:c>
      <x:c r="H176" s="65" t="n">
        <x:f aca="0">MLCF!H168</x:f>
        <x:v>0.23086739193474415</x:v>
      </x:c>
      <x:c r="I176" s="65" t="n">
        <x:f aca="0">FCCL!H168</x:f>
        <x:v>0.1769808100965798</x:v>
      </x:c>
      <x:c r="J176" s="66" t="n">
        <x:f aca="0">IF(COUNT(E176:I176)=0,"n/m",AVERAGE(E176:I176))</x:f>
        <x:v>0.20182232116435334</x:v>
      </x:c>
      <x:c r="K176" s="11" t="n">
        <x:f aca="0">COUNT(E176:I176)</x:f>
        <x:v>5</x:v>
      </x:c>
      <x:c r="L176" s="42" t="n">
        <x:f aca="0">IF(AND(ISNUMBER(E176),ISNUMBER(J176)),E176-J176,"n/m")</x:f>
        <x:v>0.08625597911784433</x:v>
      </x:c>
      <x:c r="M176" s="42" t="n">
        <x:f aca="0">IF(COUNT(F176:I176)=0,"n/m",AVERAGE(F176:I176))</x:f>
        <x:v>0.1802583263848922</x:v>
      </x:c>
      <x:c r="N176" s="42" t="n">
        <x:f aca="0">IF(COUNT(E176:I176)=0,"n/m",MEDIAN(E176:I176))</x:f>
        <x:v>0.19447652728583156</x:v>
      </x:c>
      <x:c r="O176" s="11" t="s">
        <x:v>90</x:v>
      </x:c>
      <x:c r="P176" s="9" t="str">
        <x:f aca="0">IF(NOT(ISNUMBER(L176)),"n/m",IF(O176="Higher",IF(L176&gt;=0,"Above avg - favourable","Below avg - unfavourable"),IF(O176="Lower",IF(L176&lt;=0,"Below avg - favourable","Above avg - unfavourable"),IF(L176&gt;=0,"Above avg - context-dependent","Below avg - context-dependent"))))&amp;IF(K176&lt;5," (N="&amp;K176&amp;")","")</x:f>
        <x:v>Above avg - favourable</x:v>
      </x:c>
      <x:c r="R176" s="59" t="str">
        <x:f aca="0">IF(K176=0,"n/m",IF(ABS(J176-SUM(E176:I176)/K176)&lt;0.000000001,"OK","ERR"))</x:f>
        <x:v>OK</x:v>
      </x:c>
    </x:row>
    <x:row r="177" ht="15" hidden="0">
      <x:c r="A177" s="54" t="s">
        <x:v>141</x:v>
      </x:c>
      <x:c r="B177" s="25" t="n">
        <x:v>29</x:v>
      </x:c>
      <x:c r="C177" s="24" t="s">
        <x:v>154</x:v>
      </x:c>
      <x:c r="D177" s="25"/>
      <x:c r="E177" s="25"/>
      <x:c r="F177" s="25"/>
      <x:c r="G177" s="25"/>
      <x:c r="H177" s="25"/>
      <x:c r="I177" s="25"/>
      <x:c r="J177" s="25"/>
      <x:c r="K177" s="25"/>
      <x:c r="L177" s="25"/>
      <x:c r="M177" s="25"/>
      <x:c r="N177" s="25"/>
      <x:c r="O177" s="25"/>
      <x:c r="P177" s="25"/>
      <x:c r="Q177" s="55"/>
      <x:c r="R177" s="25"/>
    </x:row>
    <x:row r="178" ht="15" hidden="0">
      <x:c r="C178" s="56" t="s">
        <x:v>154</x:v>
      </x:c>
      <x:c r="D178" s="11" t="s">
        <x:v>73</x:v>
      </x:c>
      <x:c r="E178" s="65" t="n">
        <x:f aca="0">KOHC!D169</x:f>
        <x:v>0.2757450655967617</x:v>
      </x:c>
      <x:c r="F178" s="65" t="n">
        <x:f aca="0">LUCK!D169</x:f>
        <x:v>0.3435589678269924</x:v>
      </x:c>
      <x:c r="G178" s="65" t="n">
        <x:f aca="0">DGKC!D169</x:f>
        <x:v>0.24991497015253938</x:v>
      </x:c>
      <x:c r="H178" s="65" t="n">
        <x:f aca="0">MLCF!D169</x:f>
        <x:v>0.3396682638261181</x:v>
      </x:c>
      <x:c r="I178" s="65" t="n">
        <x:f aca="0">FCCL!D169</x:f>
        <x:v>0.28086135530113043</x:v>
      </x:c>
      <x:c r="J178" s="66" t="n">
        <x:f aca="0">IF(COUNT(E178:I178)=0,"n/m",AVERAGE(E178:I178))</x:f>
        <x:v>0.29794972454070845</x:v>
      </x:c>
      <x:c r="K178" s="11" t="n">
        <x:f aca="0">COUNT(E178:I178)</x:f>
        <x:v>5</x:v>
      </x:c>
      <x:c r="L178" s="42" t="n">
        <x:f aca="0">IF(AND(ISNUMBER(E178),ISNUMBER(J178)),E178-J178,"n/m")</x:f>
        <x:v>-0.022204658943946742</x:v>
      </x:c>
      <x:c r="M178" s="42" t="n">
        <x:f aca="0">IF(COUNT(F178:I178)=0,"n/m",AVERAGE(F178:I178))</x:f>
        <x:v>0.30350088927669505</x:v>
      </x:c>
      <x:c r="N178" s="42" t="n">
        <x:f aca="0">IF(COUNT(E178:I178)=0,"n/m",MEDIAN(E178:I178))</x:f>
        <x:v>0.28086135530113043</x:v>
      </x:c>
      <x:c r="O178" s="11" t="s">
        <x:v>90</x:v>
      </x:c>
      <x:c r="P178" s="9" t="str">
        <x:f aca="0">IF(NOT(ISNUMBER(L178)),"n/m",IF(O178="Higher",IF(L178&gt;=0,"Above avg - favourable","Below avg - unfavourable"),IF(O178="Lower",IF(L178&lt;=0,"Below avg - favourable","Above avg - unfavourable"),IF(L178&gt;=0,"Above avg - context-dependent","Below avg - context-dependent"))))&amp;IF(K178&lt;5," (N="&amp;K178&amp;")","")</x:f>
        <x:v>Below avg - unfavourable</x:v>
      </x:c>
      <x:c r="R178" s="59" t="str">
        <x:f aca="0">IF(K178=0,"n/m",IF(ABS(J178-SUM(E178:I178)/K178)&lt;0.000000001,"OK","ERR"))</x:f>
        <x:v>OK</x:v>
      </x:c>
    </x:row>
    <x:row r="179" ht="15" hidden="0">
      <x:c r="C179" s="56" t="s">
        <x:v>154</x:v>
      </x:c>
      <x:c r="D179" s="11" t="s">
        <x:v>74</x:v>
      </x:c>
      <x:c r="E179" s="65" t="n">
        <x:f aca="0">KOHC!E169</x:f>
        <x:v>0.3218458531352648</x:v>
      </x:c>
      <x:c r="F179" s="65" t="n">
        <x:f aca="0">LUCK!E169</x:f>
        <x:v>0.32485343311935194</x:v>
      </x:c>
      <x:c r="G179" s="65" t="n">
        <x:f aca="0">DGKC!E169</x:f>
        <x:v>0.23265570728812449</x:v>
      </x:c>
      <x:c r="H179" s="65" t="n">
        <x:f aca="0">MLCF!E169</x:f>
        <x:v>0.25058964803971473</x:v>
      </x:c>
      <x:c r="I179" s="65" t="n">
        <x:f aca="0">FCCL!E169</x:f>
        <x:v>0.2890661263240804</x:v>
      </x:c>
      <x:c r="J179" s="66" t="n">
        <x:f aca="0">IF(COUNT(E179:I179)=0,"n/m",AVERAGE(E179:I179))</x:f>
        <x:v>0.2838021535813073</x:v>
      </x:c>
      <x:c r="K179" s="11" t="n">
        <x:f aca="0">COUNT(E179:I179)</x:f>
        <x:v>5</x:v>
      </x:c>
      <x:c r="L179" s="42" t="n">
        <x:f aca="0">IF(AND(ISNUMBER(E179),ISNUMBER(J179)),E179-J179,"n/m")</x:f>
        <x:v>0.03804369955395753</x:v>
      </x:c>
      <x:c r="M179" s="42" t="n">
        <x:f aca="0">IF(COUNT(F179:I179)=0,"n/m",AVERAGE(F179:I179))</x:f>
        <x:v>0.2742912286928179</x:v>
      </x:c>
      <x:c r="N179" s="42" t="n">
        <x:f aca="0">IF(COUNT(E179:I179)=0,"n/m",MEDIAN(E179:I179))</x:f>
        <x:v>0.2890661263240804</x:v>
      </x:c>
      <x:c r="O179" s="11" t="s">
        <x:v>90</x:v>
      </x:c>
      <x:c r="P179" s="9" t="str">
        <x:f aca="0">IF(NOT(ISNUMBER(L179)),"n/m",IF(O179="Higher",IF(L179&gt;=0,"Above avg - favourable","Below avg - unfavourable"),IF(O179="Lower",IF(L179&lt;=0,"Below avg - favourable","Above avg - unfavourable"),IF(L179&gt;=0,"Above avg - context-dependent","Below avg - context-dependent"))))&amp;IF(K179&lt;5," (N="&amp;K179&amp;")","")</x:f>
        <x:v>Above avg - favourable</x:v>
      </x:c>
      <x:c r="R179" s="59" t="str">
        <x:f aca="0">IF(K179=0,"n/m",IF(ABS(J179-SUM(E179:I179)/K179)&lt;0.000000001,"OK","ERR"))</x:f>
        <x:v>OK</x:v>
      </x:c>
    </x:row>
    <x:row r="180" ht="15" hidden="0">
      <x:c r="C180" s="56" t="s">
        <x:v>154</x:v>
      </x:c>
      <x:c r="D180" s="11" t="s">
        <x:v>75</x:v>
      </x:c>
      <x:c r="E180" s="65" t="n">
        <x:f aca="0">KOHC!F169</x:f>
        <x:v>0.31667859993966047</x:v>
      </x:c>
      <x:c r="F180" s="65" t="n">
        <x:f aca="0">LUCK!F169</x:f>
        <x:v>0.2903807007475268</x:v>
      </x:c>
      <x:c r="G180" s="65" t="n">
        <x:f aca="0">DGKC!F169</x:f>
        <x:v>0.2131140149484285</x:v>
      </x:c>
      <x:c r="H180" s="65" t="n">
        <x:f aca="0">MLCF!F169</x:f>
        <x:v>0.2493225843810011</x:v>
      </x:c>
      <x:c r="I180" s="65" t="n">
        <x:f aca="0">FCCL!F169</x:f>
        <x:v>0.29668683739017554</x:v>
      </x:c>
      <x:c r="J180" s="66" t="n">
        <x:f aca="0">IF(COUNT(E180:I180)=0,"n/m",AVERAGE(E180:I180))</x:f>
        <x:v>0.27323654748135845</x:v>
      </x:c>
      <x:c r="K180" s="11" t="n">
        <x:f aca="0">COUNT(E180:I180)</x:f>
        <x:v>5</x:v>
      </x:c>
      <x:c r="L180" s="42" t="n">
        <x:f aca="0">IF(AND(ISNUMBER(E180),ISNUMBER(J180)),E180-J180,"n/m")</x:f>
        <x:v>0.043442052458302016</x:v>
      </x:c>
      <x:c r="M180" s="42" t="n">
        <x:f aca="0">IF(COUNT(F180:I180)=0,"n/m",AVERAGE(F180:I180))</x:f>
        <x:v>0.262376034366783</x:v>
      </x:c>
      <x:c r="N180" s="42" t="n">
        <x:f aca="0">IF(COUNT(E180:I180)=0,"n/m",MEDIAN(E180:I180))</x:f>
        <x:v>0.2903807007475268</x:v>
      </x:c>
      <x:c r="O180" s="11" t="s">
        <x:v>90</x:v>
      </x:c>
      <x:c r="P180" s="9" t="str">
        <x:f aca="0">IF(NOT(ISNUMBER(L180)),"n/m",IF(O180="Higher",IF(L180&gt;=0,"Above avg - favourable","Below avg - unfavourable"),IF(O180="Lower",IF(L180&lt;=0,"Below avg - favourable","Above avg - unfavourable"),IF(L180&gt;=0,"Above avg - context-dependent","Below avg - context-dependent"))))&amp;IF(K180&lt;5," (N="&amp;K180&amp;")","")</x:f>
        <x:v>Above avg - favourable</x:v>
      </x:c>
      <x:c r="R180" s="59" t="str">
        <x:f aca="0">IF(K180=0,"n/m",IF(ABS(J180-SUM(E180:I180)/K180)&lt;0.000000001,"OK","ERR"))</x:f>
        <x:v>OK</x:v>
      </x:c>
    </x:row>
    <x:row r="181" ht="15" hidden="0">
      <x:c r="C181" s="56" t="s">
        <x:v>154</x:v>
      </x:c>
      <x:c r="D181" s="11" t="s">
        <x:v>76</x:v>
      </x:c>
      <x:c r="E181" s="65" t="n">
        <x:f aca="0">KOHC!G169</x:f>
        <x:v>0.4045887754844856</x:v>
      </x:c>
      <x:c r="F181" s="65" t="n">
        <x:f aca="0">LUCK!G169</x:f>
        <x:v>0.4254600362166235</x:v>
      </x:c>
      <x:c r="G181" s="65" t="n">
        <x:f aca="0">DGKC!G169</x:f>
        <x:v>0.2224978603073117</x:v>
      </x:c>
      <x:c r="H181" s="65" t="n">
        <x:f aca="0">MLCF!G169</x:f>
        <x:v>0.2647021742557539</x:v>
      </x:c>
      <x:c r="I181" s="65" t="n">
        <x:f aca="0">FCCL!G169</x:f>
        <x:v>0.3117640834393464</x:v>
      </x:c>
      <x:c r="J181" s="66" t="n">
        <x:f aca="0">IF(COUNT(E181:I181)=0,"n/m",AVERAGE(E181:I181))</x:f>
        <x:v>0.3258025859407042</x:v>
      </x:c>
      <x:c r="K181" s="11" t="n">
        <x:f aca="0">COUNT(E181:I181)</x:f>
        <x:v>5</x:v>
      </x:c>
      <x:c r="L181" s="42" t="n">
        <x:f aca="0">IF(AND(ISNUMBER(E181),ISNUMBER(J181)),E181-J181,"n/m")</x:f>
        <x:v>0.07878618954378136</x:v>
      </x:c>
      <x:c r="M181" s="42" t="n">
        <x:f aca="0">IF(COUNT(F181:I181)=0,"n/m",AVERAGE(F181:I181))</x:f>
        <x:v>0.3061060385547589</x:v>
      </x:c>
      <x:c r="N181" s="42" t="n">
        <x:f aca="0">IF(COUNT(E181:I181)=0,"n/m",MEDIAN(E181:I181))</x:f>
        <x:v>0.3117640834393464</x:v>
      </x:c>
      <x:c r="O181" s="11" t="s">
        <x:v>90</x:v>
      </x:c>
      <x:c r="P181" s="9" t="str">
        <x:f aca="0">IF(NOT(ISNUMBER(L181)),"n/m",IF(O181="Higher",IF(L181&gt;=0,"Above avg - favourable","Below avg - unfavourable"),IF(O181="Lower",IF(L181&lt;=0,"Below avg - favourable","Above avg - unfavourable"),IF(L181&gt;=0,"Above avg - context-dependent","Below avg - context-dependent"))))&amp;IF(K181&lt;5," (N="&amp;K181&amp;")","")</x:f>
        <x:v>Above avg - favourable</x:v>
      </x:c>
      <x:c r="R181" s="59" t="str">
        <x:f aca="0">IF(K181=0,"n/m",IF(ABS(J181-SUM(E181:I181)/K181)&lt;0.000000001,"OK","ERR"))</x:f>
        <x:v>OK</x:v>
      </x:c>
    </x:row>
    <x:row r="182" ht="15" hidden="0">
      <x:c r="C182" s="56" t="s">
        <x:v>154</x:v>
      </x:c>
      <x:c r="D182" s="11" t="s">
        <x:v>77</x:v>
      </x:c>
      <x:c r="E182" s="65" t="n">
        <x:f aca="0">KOHC!H169</x:f>
        <x:v>0.5158217027553589</x:v>
      </x:c>
      <x:c r="F182" s="65" t="n">
        <x:f aca="0">LUCK!H169</x:f>
        <x:v>0.4467960869618853</x:v>
      </x:c>
      <x:c r="G182" s="65" t="n">
        <x:f aca="0">DGKC!H169</x:f>
        <x:v>0.2880345228273576</x:v>
      </x:c>
      <x:c r="H182" s="65" t="n">
        <x:f aca="0">MLCF!H169</x:f>
        <x:v>0.4298124989647161</x:v>
      </x:c>
      <x:c r="I182" s="65" t="n">
        <x:f aca="0">FCCL!H169</x:f>
        <x:v>0.36273294689052354</x:v>
      </x:c>
      <x:c r="J182" s="66" t="n">
        <x:f aca="0">IF(COUNT(E182:I182)=0,"n/m",AVERAGE(E182:I182))</x:f>
        <x:v>0.40863955167996824</x:v>
      </x:c>
      <x:c r="K182" s="11" t="n">
        <x:f aca="0">COUNT(E182:I182)</x:f>
        <x:v>5</x:v>
      </x:c>
      <x:c r="L182" s="42" t="n">
        <x:f aca="0">IF(AND(ISNUMBER(E182),ISNUMBER(J182)),E182-J182,"n/m")</x:f>
        <x:v>0.10718215107539064</x:v>
      </x:c>
      <x:c r="M182" s="42" t="n">
        <x:f aca="0">IF(COUNT(F182:I182)=0,"n/m",AVERAGE(F182:I182))</x:f>
        <x:v>0.38184401391112066</x:v>
      </x:c>
      <x:c r="N182" s="42" t="n">
        <x:f aca="0">IF(COUNT(E182:I182)=0,"n/m",MEDIAN(E182:I182))</x:f>
        <x:v>0.4298124989647161</x:v>
      </x:c>
      <x:c r="O182" s="11" t="s">
        <x:v>90</x:v>
      </x:c>
      <x:c r="P182" s="9" t="str">
        <x:f aca="0">IF(NOT(ISNUMBER(L182)),"n/m",IF(O182="Higher",IF(L182&gt;=0,"Above avg - favourable","Below avg - unfavourable"),IF(O182="Lower",IF(L182&lt;=0,"Below avg - favourable","Above avg - unfavourable"),IF(L182&gt;=0,"Above avg - context-dependent","Below avg - context-dependent"))))&amp;IF(K182&lt;5," (N="&amp;K182&amp;")","")</x:f>
        <x:v>Above avg - favourable</x:v>
      </x:c>
      <x:c r="R182" s="59" t="str">
        <x:f aca="0">IF(K182=0,"n/m",IF(ABS(J182-SUM(E182:I182)/K182)&lt;0.000000001,"OK","ERR"))</x:f>
        <x:v>OK</x:v>
      </x:c>
    </x:row>
    <x:row r="183" ht="15" hidden="0">
      <x:c r="A183" s="5" t="s">
        <x:v>1060</x:v>
      </x:c>
      <x:c r="B183" s="20"/>
      <x:c r="C183" s="20"/>
      <x:c r="D183" s="20"/>
      <x:c r="E183" s="20"/>
      <x:c r="F183" s="20"/>
      <x:c r="G183" s="20"/>
      <x:c r="H183" s="20"/>
      <x:c r="I183" s="20"/>
      <x:c r="J183" s="20"/>
      <x:c r="K183" s="20"/>
      <x:c r="L183" s="20"/>
      <x:c r="M183" s="20"/>
      <x:c r="N183" s="20"/>
      <x:c r="O183" s="20"/>
      <x:c r="P183" s="20"/>
      <x:c r="Q183" s="20"/>
      <x:c r="R183" s="20"/>
    </x:row>
    <x:row r="184" ht="15" hidden="0">
      <x:c r="A184" s="54" t="s">
        <x:v>159</x:v>
      </x:c>
      <x:c r="B184" s="25" t="n">
        <x:v>30</x:v>
      </x:c>
      <x:c r="C184" s="24" t="s">
        <x:v>156</x:v>
      </x:c>
      <x:c r="D184" s="25"/>
      <x:c r="E184" s="25"/>
      <x:c r="F184" s="25"/>
      <x:c r="G184" s="25"/>
      <x:c r="H184" s="25"/>
      <x:c r="I184" s="25"/>
      <x:c r="J184" s="25"/>
      <x:c r="K184" s="25"/>
      <x:c r="L184" s="25"/>
      <x:c r="M184" s="25"/>
      <x:c r="N184" s="25"/>
      <x:c r="O184" s="25"/>
      <x:c r="P184" s="25"/>
      <x:c r="Q184" s="55" t="s">
        <x:v>1061</x:v>
      </x:c>
      <x:c r="R184" s="25"/>
    </x:row>
    <x:row r="185" ht="15" hidden="0">
      <x:c r="C185" s="56" t="s">
        <x:v>156</x:v>
      </x:c>
      <x:c r="D185" s="11" t="s">
        <x:v>73</x:v>
      </x:c>
      <x:c r="E185" s="67" t="n">
        <x:f aca="0">KOHC!D171</x:f>
        <x:v>110.64122209168052</x:v>
      </x:c>
      <x:c r="F185" s="67" t="n">
        <x:f aca="0">LUCK!D171</x:f>
        <x:v>350.05878005411677</x:v>
      </x:c>
      <x:c r="G185" s="67" t="n">
        <x:f aca="0">DGKC!D171</x:f>
        <x:v>167.71209700741193</x:v>
      </x:c>
      <x:c r="H185" s="67" t="n">
        <x:f aca="0">MLCF!D171</x:f>
        <x:v>34.18097226539319</x:v>
      </x:c>
      <x:c r="I185" s="67" t="n">
        <x:f aca="0">FCCL!D171</x:f>
        <x:v>16.868689643176804</x:v>
      </x:c>
      <x:c r="J185" s="68" t="n">
        <x:f aca="0">IF(COUNT(E185:I185)=0,"n/m",AVERAGE(E185:I185))</x:f>
        <x:v>135.89235221235583</x:v>
      </x:c>
      <x:c r="K185" s="11" t="n">
        <x:f aca="0">COUNT(E185:I185)</x:f>
        <x:v>5</x:v>
      </x:c>
      <x:c r="L185" s="52" t="n">
        <x:f aca="0">IF(AND(ISNUMBER(E185),ISNUMBER(J185)),E185-J185,"n/m")</x:f>
        <x:v>-25.251130120675313</x:v>
      </x:c>
      <x:c r="M185" s="52" t="n">
        <x:f aca="0">IF(COUNT(F185:I185)=0,"n/m",AVERAGE(F185:I185))</x:f>
        <x:v>142.20513474252468</x:v>
      </x:c>
      <x:c r="N185" s="52" t="n">
        <x:f aca="0">IF(COUNT(E185:I185)=0,"n/m",MEDIAN(E185:I185))</x:f>
        <x:v>110.64122209168052</x:v>
      </x:c>
      <x:c r="O185" s="11" t="s">
        <x:v>99</x:v>
      </x:c>
      <x:c r="P185" s="9" t="str">
        <x:f aca="0">IF(NOT(ISNUMBER(L185)),"n/m",IF(O185="Higher",IF(L185&gt;=0,"Above avg - favourable","Below avg - unfavourable"),IF(O185="Lower",IF(L185&lt;=0,"Below avg - favourable","Above avg - unfavourable"),IF(L185&gt;=0,"Above avg - context-dependent","Below avg - context-dependent"))))&amp;IF(K185&lt;5," (N="&amp;K185&amp;")","")</x:f>
        <x:v>Below avg - context-dependent</x:v>
      </x:c>
      <x:c r="R185" s="59" t="str">
        <x:f aca="0">IF(K185=0,"n/m",IF(ABS(J185-SUM(E185:I185)/K185)&lt;0.000000001,"OK","ERR"))</x:f>
        <x:v>OK</x:v>
      </x:c>
    </x:row>
    <x:row r="186" ht="15" hidden="0">
      <x:c r="C186" s="56" t="s">
        <x:v>156</x:v>
      </x:c>
      <x:c r="D186" s="11" t="s">
        <x:v>74</x:v>
      </x:c>
      <x:c r="E186" s="67" t="n">
        <x:f aca="0">KOHC!E171</x:f>
        <x:v>135.64693964412666</x:v>
      </x:c>
      <x:c r="F186" s="67" t="n">
        <x:f aca="0">LUCK!E171</x:f>
        <x:v>397.4961700811751</x:v>
      </x:c>
      <x:c r="G186" s="67" t="n">
        <x:f aca="0">DGKC!E171</x:f>
        <x:v>159.58697532246367</x:v>
      </x:c>
      <x:c r="H186" s="67" t="n">
        <x:f aca="0">MLCF!E171</x:f>
        <x:v>37.56155762745958</x:v>
      </x:c>
      <x:c r="I186" s="67" t="n">
        <x:f aca="0">FCCL!E171</x:f>
        <x:v>26.480675904195227</x:v>
      </x:c>
      <x:c r="J186" s="68" t="n">
        <x:f aca="0">IF(COUNT(E186:I186)=0,"n/m",AVERAGE(E186:I186))</x:f>
        <x:v>151.35446371588404</x:v>
      </x:c>
      <x:c r="K186" s="11" t="n">
        <x:f aca="0">COUNT(E186:I186)</x:f>
        <x:v>5</x:v>
      </x:c>
      <x:c r="L186" s="52" t="n">
        <x:f aca="0">IF(AND(ISNUMBER(E186),ISNUMBER(J186)),E186-J186,"n/m")</x:f>
        <x:v>-15.707524071757376</x:v>
      </x:c>
      <x:c r="M186" s="52" t="n">
        <x:f aca="0">IF(COUNT(F186:I186)=0,"n/m",AVERAGE(F186:I186))</x:f>
        <x:v>155.2813447338234</x:v>
      </x:c>
      <x:c r="N186" s="52" t="n">
        <x:f aca="0">IF(COUNT(E186:I186)=0,"n/m",MEDIAN(E186:I186))</x:f>
        <x:v>135.64693964412666</x:v>
      </x:c>
      <x:c r="O186" s="11" t="s">
        <x:v>99</x:v>
      </x:c>
      <x:c r="P186" s="9" t="str">
        <x:f aca="0">IF(NOT(ISNUMBER(L186)),"n/m",IF(O186="Higher",IF(L186&gt;=0,"Above avg - favourable","Below avg - unfavourable"),IF(O186="Lower",IF(L186&lt;=0,"Below avg - favourable","Above avg - unfavourable"),IF(L186&gt;=0,"Above avg - context-dependent","Below avg - context-dependent"))))&amp;IF(K186&lt;5," (N="&amp;K186&amp;")","")</x:f>
        <x:v>Below avg - context-dependent</x:v>
      </x:c>
      <x:c r="R186" s="59" t="str">
        <x:f aca="0">IF(K186=0,"n/m",IF(ABS(J186-SUM(E186:I186)/K186)&lt;0.000000001,"OK","ERR"))</x:f>
        <x:v>OK</x:v>
      </x:c>
    </x:row>
    <x:row r="187" ht="15" hidden="0">
      <x:c r="C187" s="56" t="s">
        <x:v>156</x:v>
      </x:c>
      <x:c r="D187" s="11" t="s">
        <x:v>75</x:v>
      </x:c>
      <x:c r="E187" s="67" t="n">
        <x:f aca="0">KOHC!F171</x:f>
        <x:v>162.35106244484723</x:v>
      </x:c>
      <x:c r="F187" s="67" t="n">
        <x:f aca="0">LUCK!F171</x:f>
        <x:v>440.50456229600826</x:v>
      </x:c>
      <x:c r="G187" s="67" t="n">
        <x:f aca="0">DGKC!F171</x:f>
        <x:v>146.51786922779672</x:v>
      </x:c>
      <x:c r="H187" s="67" t="n">
        <x:f aca="0">MLCF!F171</x:f>
        <x:v>41.84401454069526</x:v>
      </x:c>
      <x:c r="I187" s="67" t="n">
        <x:f aca="0">FCCL!F171</x:f>
        <x:v>26.57145800660424</x:v>
      </x:c>
      <x:c r="J187" s="68" t="n">
        <x:f aca="0">IF(COUNT(E187:I187)=0,"n/m",AVERAGE(E187:I187))</x:f>
        <x:v>163.55779330319035</x:v>
      </x:c>
      <x:c r="K187" s="11" t="n">
        <x:f aca="0">COUNT(E187:I187)</x:f>
        <x:v>5</x:v>
      </x:c>
      <x:c r="L187" s="52" t="n">
        <x:f aca="0">IF(AND(ISNUMBER(E187),ISNUMBER(J187)),E187-J187,"n/m")</x:f>
        <x:v>-1.2067308583431213</x:v>
      </x:c>
      <x:c r="M187" s="52" t="n">
        <x:f aca="0">IF(COUNT(F187:I187)=0,"n/m",AVERAGE(F187:I187))</x:f>
        <x:v>163.8594760177761</x:v>
      </x:c>
      <x:c r="N187" s="52" t="n">
        <x:f aca="0">IF(COUNT(E187:I187)=0,"n/m",MEDIAN(E187:I187))</x:f>
        <x:v>146.51786922779672</x:v>
      </x:c>
      <x:c r="O187" s="11" t="s">
        <x:v>99</x:v>
      </x:c>
      <x:c r="P187" s="9" t="str">
        <x:f aca="0">IF(NOT(ISNUMBER(L187)),"n/m",IF(O187="Higher",IF(L187&gt;=0,"Above avg - favourable","Below avg - unfavourable"),IF(O187="Lower",IF(L187&lt;=0,"Below avg - favourable","Above avg - unfavourable"),IF(L187&gt;=0,"Above avg - context-dependent","Below avg - context-dependent"))))&amp;IF(K187&lt;5," (N="&amp;K187&amp;")","")</x:f>
        <x:v>Below avg - context-dependent</x:v>
      </x:c>
      <x:c r="R187" s="59" t="str">
        <x:f aca="0">IF(K187=0,"n/m",IF(ABS(J187-SUM(E187:I187)/K187)&lt;0.000000001,"OK","ERR"))</x:f>
        <x:v>OK</x:v>
      </x:c>
    </x:row>
    <x:row r="188" ht="15" hidden="0">
      <x:c r="C188" s="56" t="s">
        <x:v>156</x:v>
      </x:c>
      <x:c r="D188" s="11" t="s">
        <x:v>76</x:v>
      </x:c>
      <x:c r="E188" s="67" t="n">
        <x:f aca="0">KOHC!G171</x:f>
        <x:v>209.7928785338331</x:v>
      </x:c>
      <x:c r="F188" s="67" t="n">
        <x:f aca="0">LUCK!G171</x:f>
        <x:v>504.3046996587031</x:v>
      </x:c>
      <x:c r="G188" s="67" t="n">
        <x:f aca="0">DGKC!G171</x:f>
        <x:v>173.12082034314415</x:v>
      </x:c>
      <x:c r="H188" s="67" t="n">
        <x:f aca="0">MLCF!G171</x:f>
        <x:v>50.22698213930126</x:v>
      </x:c>
      <x:c r="I188" s="67" t="n">
        <x:f aca="0">FCCL!G171</x:f>
        <x:v>29.923935347634316</x:v>
      </x:c>
      <x:c r="J188" s="68" t="n">
        <x:f aca="0">IF(COUNT(E188:I188)=0,"n/m",AVERAGE(E188:I188))</x:f>
        <x:v>193.47386320452318</x:v>
      </x:c>
      <x:c r="K188" s="11" t="n">
        <x:f aca="0">COUNT(E188:I188)</x:f>
        <x:v>5</x:v>
      </x:c>
      <x:c r="L188" s="52" t="n">
        <x:f aca="0">IF(AND(ISNUMBER(E188),ISNUMBER(J188)),E188-J188,"n/m")</x:f>
        <x:v>16.319015329309906</x:v>
      </x:c>
      <x:c r="M188" s="52" t="n">
        <x:f aca="0">IF(COUNT(F188:I188)=0,"n/m",AVERAGE(F188:I188))</x:f>
        <x:v>189.39410937219571</x:v>
      </x:c>
      <x:c r="N188" s="52" t="n">
        <x:f aca="0">IF(COUNT(E188:I188)=0,"n/m",MEDIAN(E188:I188))</x:f>
        <x:v>173.12082034314415</x:v>
      </x:c>
      <x:c r="O188" s="11" t="s">
        <x:v>99</x:v>
      </x:c>
      <x:c r="P188" s="9" t="str">
        <x:f aca="0">IF(NOT(ISNUMBER(L188)),"n/m",IF(O188="Higher",IF(L188&gt;=0,"Above avg - favourable","Below avg - unfavourable"),IF(O188="Lower",IF(L188&lt;=0,"Below avg - favourable","Above avg - unfavourable"),IF(L188&gt;=0,"Above avg - context-dependent","Below avg - context-dependent"))))&amp;IF(K188&lt;5," (N="&amp;K188&amp;")","")</x:f>
        <x:v>Above avg - context-dependent</x:v>
      </x:c>
      <x:c r="R188" s="59" t="str">
        <x:f aca="0">IF(K188=0,"n/m",IF(ABS(J188-SUM(E188:I188)/K188)&lt;0.000000001,"OK","ERR"))</x:f>
        <x:v>OK</x:v>
      </x:c>
    </x:row>
    <x:row r="189" ht="15" hidden="0">
      <x:c r="C189" s="56" t="s">
        <x:v>156</x:v>
      </x:c>
      <x:c r="D189" s="11" t="s">
        <x:v>77</x:v>
      </x:c>
      <x:c r="E189" s="67" t="n">
        <x:f aca="0">KOHC!H171</x:f>
        <x:v>260.8226721418157</x:v>
      </x:c>
      <x:c r="F189" s="67" t="n">
        <x:f aca="0">LUCK!H171</x:f>
        <x:v>120.07535836177475</x:v>
      </x:c>
      <x:c r="G189" s="67" t="n">
        <x:f aca="0">DGKC!H171</x:f>
        <x:v>216.07703932560804</x:v>
      </x:c>
      <x:c r="H189" s="67" t="n">
        <x:f aca="0">MLCF!H171</x:f>
        <x:v>68.21701347489879</x:v>
      </x:c>
      <x:c r="I189" s="67" t="n">
        <x:f aca="0">FCCL!H171</x:f>
        <x:v>34.35688707280468</x:v>
      </x:c>
      <x:c r="J189" s="68" t="n">
        <x:f aca="0">IF(COUNT(E189:I189)=0,"n/m",AVERAGE(E189:I189))</x:f>
        <x:v>139.90979407538038</x:v>
      </x:c>
      <x:c r="K189" s="11" t="n">
        <x:f aca="0">COUNT(E189:I189)</x:f>
        <x:v>5</x:v>
      </x:c>
      <x:c r="L189" s="52" t="n">
        <x:f aca="0">IF(AND(ISNUMBER(E189),ISNUMBER(J189)),E189-J189,"n/m")</x:f>
        <x:v>120.91287806643533</x:v>
      </x:c>
      <x:c r="M189" s="52" t="n">
        <x:f aca="0">IF(COUNT(F189:I189)=0,"n/m",AVERAGE(F189:I189))</x:f>
        <x:v>109.68157455877157</x:v>
      </x:c>
      <x:c r="N189" s="52" t="n">
        <x:f aca="0">IF(COUNT(E189:I189)=0,"n/m",MEDIAN(E189:I189))</x:f>
        <x:v>120.07535836177475</x:v>
      </x:c>
      <x:c r="O189" s="11" t="s">
        <x:v>99</x:v>
      </x:c>
      <x:c r="P189" s="9" t="str">
        <x:f aca="0">IF(NOT(ISNUMBER(L189)),"n/m",IF(O189="Higher",IF(L189&gt;=0,"Above avg - favourable","Below avg - unfavourable"),IF(O189="Lower",IF(L189&lt;=0,"Below avg - favourable","Above avg - unfavourable"),IF(L189&gt;=0,"Above avg - context-dependent","Below avg - context-dependent"))))&amp;IF(K189&lt;5," (N="&amp;K189&amp;")","")</x:f>
        <x:v>Above avg - context-dependent</x:v>
      </x:c>
      <x:c r="R189" s="59" t="str">
        <x:f aca="0">IF(K189=0,"n/m",IF(ABS(J189-SUM(E189:I189)/K189)&lt;0.000000001,"OK","ERR"))</x:f>
        <x:v>OK</x:v>
      </x:c>
    </x:row>
    <x:row r="190" ht="15" hidden="0">
      <x:c r="A190" s="54" t="s">
        <x:v>159</x:v>
      </x:c>
      <x:c r="B190" s="25" t="n">
        <x:v>31</x:v>
      </x:c>
      <x:c r="C190" s="24" t="s">
        <x:v>160</x:v>
      </x:c>
      <x:c r="D190" s="25"/>
      <x:c r="E190" s="25"/>
      <x:c r="F190" s="25"/>
      <x:c r="G190" s="25"/>
      <x:c r="H190" s="25"/>
      <x:c r="I190" s="25"/>
      <x:c r="J190" s="25"/>
      <x:c r="K190" s="25"/>
      <x:c r="L190" s="25"/>
      <x:c r="M190" s="25"/>
      <x:c r="N190" s="25"/>
      <x:c r="O190" s="25"/>
      <x:c r="P190" s="25"/>
      <x:c r="Q190" s="55" t="s">
        <x:v>1062</x:v>
      </x:c>
      <x:c r="R190" s="25"/>
    </x:row>
    <x:row r="191" ht="15" hidden="0">
      <x:c r="C191" s="56" t="s">
        <x:v>160</x:v>
      </x:c>
      <x:c r="D191" s="11" t="s">
        <x:v>73</x:v>
      </x:c>
      <x:c r="E191" s="57" t="n">
        <x:f aca="0">KOHC!D172</x:f>
        <x:v>1.8663025958706099</x:v>
      </x:c>
      <x:c r="F191" s="57" t="n">
        <x:f aca="0">LUCK!D172</x:f>
        <x:v>2.4665571875286716</x:v>
      </x:c>
      <x:c r="G191" s="57" t="n">
        <x:f aca="0">DGKC!D172</x:f>
        <x:v>0.7031096868032638</x:v>
      </x:c>
      <x:c r="H191" s="57" t="n">
        <x:f aca="0">MLCF!D172</x:f>
        <x:v>1.3744489078669448</x:v>
      </x:c>
      <x:c r="I191" s="57" t="n">
        <x:f aca="0">FCCL!D172</x:f>
        <x:v>1.3634728296339984</x:v>
      </x:c>
      <x:c r="J191" s="58" t="n">
        <x:f aca="0">IF(COUNT(E191:I191)=0,"n/m",AVERAGE(E191:I191))</x:f>
        <x:v>1.5547782415406979</x:v>
      </x:c>
      <x:c r="K191" s="11" t="n">
        <x:f aca="0">COUNT(E191:I191)</x:f>
        <x:v>5</x:v>
      </x:c>
      <x:c r="L191" s="46" t="n">
        <x:f aca="0">IF(AND(ISNUMBER(E191),ISNUMBER(J191)),E191-J191,"n/m")</x:f>
        <x:v>0.311524354329912</x:v>
      </x:c>
      <x:c r="M191" s="46" t="n">
        <x:f aca="0">IF(COUNT(F191:I191)=0,"n/m",AVERAGE(F191:I191))</x:f>
        <x:v>1.4768971529582196</x:v>
      </x:c>
      <x:c r="N191" s="46" t="n">
        <x:f aca="0">IF(COUNT(E191:I191)=0,"n/m",MEDIAN(E191:I191))</x:f>
        <x:v>1.3744489078669448</x:v>
      </x:c>
      <x:c r="O191" s="11" t="s">
        <x:v>99</x:v>
      </x:c>
      <x:c r="P191" s="9" t="str">
        <x:f aca="0">IF(NOT(ISNUMBER(L191)),"n/m",IF(O191="Higher",IF(L191&gt;=0,"Above avg - favourable","Below avg - unfavourable"),IF(O191="Lower",IF(L191&lt;=0,"Below avg - favourable","Above avg - unfavourable"),IF(L191&gt;=0,"Above avg - context-dependent","Below avg - context-dependent"))))&amp;IF(K191&lt;5," (N="&amp;K191&amp;")","")</x:f>
        <x:v>Above avg - context-dependent</x:v>
      </x:c>
      <x:c r="R191" s="59" t="str">
        <x:f aca="0">IF(K191=0,"n/m",IF(ABS(J191-SUM(E191:I191)/K191)&lt;0.000000001,"OK","ERR"))</x:f>
        <x:v>OK</x:v>
      </x:c>
    </x:row>
    <x:row r="192" ht="15" hidden="0">
      <x:c r="C192" s="56" t="s">
        <x:v>160</x:v>
      </x:c>
      <x:c r="D192" s="11" t="s">
        <x:v>74</x:v>
      </x:c>
      <x:c r="E192" s="57" t="n">
        <x:f aca="0">KOHC!E172</x:f>
        <x:v>0.959328683281757</x:v>
      </x:c>
      <x:c r="F192" s="57" t="n">
        <x:f aca="0">LUCK!E172</x:f>
        <x:v>1.154828736856148</x:v>
      </x:c>
      <x:c r="G192" s="57" t="n">
        <x:f aca="0">DGKC!E172</x:f>
        <x:v>0.3916359707533251</x:v>
      </x:c>
      <x:c r="H192" s="57" t="n">
        <x:f aca="0">MLCF!E172</x:f>
        <x:v>0.7281380679486422</x:v>
      </x:c>
      <x:c r="I192" s="57" t="n">
        <x:f aca="0">FCCL!E172</x:f>
        <x:v>0.535107187266134</x:v>
      </x:c>
      <x:c r="J192" s="58" t="n">
        <x:f aca="0">IF(COUNT(E192:I192)=0,"n/m",AVERAGE(E192:I192))</x:f>
        <x:v>0.7538077292212013</x:v>
      </x:c>
      <x:c r="K192" s="11" t="n">
        <x:f aca="0">COUNT(E192:I192)</x:f>
        <x:v>5</x:v>
      </x:c>
      <x:c r="L192" s="46" t="n">
        <x:f aca="0">IF(AND(ISNUMBER(E192),ISNUMBER(J192)),E192-J192,"n/m")</x:f>
        <x:v>0.2055209540605557</x:v>
      </x:c>
      <x:c r="M192" s="46" t="n">
        <x:f aca="0">IF(COUNT(F192:I192)=0,"n/m",AVERAGE(F192:I192))</x:f>
        <x:v>0.7024274907060624</x:v>
      </x:c>
      <x:c r="N192" s="46" t="n">
        <x:f aca="0">IF(COUNT(E192:I192)=0,"n/m",MEDIAN(E192:I192))</x:f>
        <x:v>0.7281380679486422</x:v>
      </x:c>
      <x:c r="O192" s="11" t="s">
        <x:v>99</x:v>
      </x:c>
      <x:c r="P192" s="9" t="str">
        <x:f aca="0">IF(NOT(ISNUMBER(L192)),"n/m",IF(O192="Higher",IF(L192&gt;=0,"Above avg - favourable","Below avg - unfavourable"),IF(O192="Lower",IF(L192&lt;=0,"Below avg - favourable","Above avg - unfavourable"),IF(L192&gt;=0,"Above avg - context-dependent","Below avg - context-dependent"))))&amp;IF(K192&lt;5," (N="&amp;K192&amp;")","")</x:f>
        <x:v>Above avg - context-dependent</x:v>
      </x:c>
      <x:c r="R192" s="59" t="str">
        <x:f aca="0">IF(K192=0,"n/m",IF(ABS(J192-SUM(E192:I192)/K192)&lt;0.000000001,"OK","ERR"))</x:f>
        <x:v>OK</x:v>
      </x:c>
    </x:row>
    <x:row r="193" ht="15" hidden="0">
      <x:c r="C193" s="56" t="s">
        <x:v>160</x:v>
      </x:c>
      <x:c r="D193" s="11" t="s">
        <x:v>75</x:v>
      </x:c>
      <x:c r="E193" s="57" t="n">
        <x:f aca="0">KOHC!F172</x:f>
        <x:v>1.0684870021034203</x:v>
      </x:c>
      <x:c r="F193" s="57" t="n">
        <x:f aca="0">LUCK!F172</x:f>
        <x:v>1.185209064075864</x:v>
      </x:c>
      <x:c r="G193" s="57" t="n">
        <x:f aca="0">DGKC!F172</x:f>
        <x:v>0.35012794187063967</x:v>
      </x:c>
      <x:c r="H193" s="57" t="n">
        <x:f aca="0">MLCF!F172</x:f>
        <x:v>0.6770382887724061</x:v>
      </x:c>
      <x:c r="I193" s="57" t="n">
        <x:f aca="0">FCCL!F172</x:f>
        <x:v>0.4425801548818697</x:v>
      </x:c>
      <x:c r="J193" s="58" t="n">
        <x:f aca="0">IF(COUNT(E193:I193)=0,"n/m",AVERAGE(E193:I193))</x:f>
        <x:v>0.7446884903408398</x:v>
      </x:c>
      <x:c r="K193" s="11" t="n">
        <x:f aca="0">COUNT(E193:I193)</x:f>
        <x:v>5</x:v>
      </x:c>
      <x:c r="L193" s="46" t="n">
        <x:f aca="0">IF(AND(ISNUMBER(E193),ISNUMBER(J193)),E193-J193,"n/m")</x:f>
        <x:v>0.32379851176258045</x:v>
      </x:c>
      <x:c r="M193" s="46" t="n">
        <x:f aca="0">IF(COUNT(F193:I193)=0,"n/m",AVERAGE(F193:I193))</x:f>
        <x:v>0.6637388624001948</x:v>
      </x:c>
      <x:c r="N193" s="46" t="n">
        <x:f aca="0">IF(COUNT(E193:I193)=0,"n/m",MEDIAN(E193:I193))</x:f>
        <x:v>0.6770382887724061</x:v>
      </x:c>
      <x:c r="O193" s="11" t="s">
        <x:v>99</x:v>
      </x:c>
      <x:c r="P193" s="9" t="str">
        <x:f aca="0">IF(NOT(ISNUMBER(L193)),"n/m",IF(O193="Higher",IF(L193&gt;=0,"Above avg - favourable","Below avg - unfavourable"),IF(O193="Lower",IF(L193&lt;=0,"Below avg - favourable","Above avg - unfavourable"),IF(L193&gt;=0,"Above avg - context-dependent","Below avg - context-dependent"))))&amp;IF(K193&lt;5," (N="&amp;K193&amp;")","")</x:f>
        <x:v>Above avg - context-dependent</x:v>
      </x:c>
      <x:c r="R193" s="59" t="str">
        <x:f aca="0">IF(K193=0,"n/m",IF(ABS(J193-SUM(E193:I193)/K193)&lt;0.000000001,"OK","ERR"))</x:f>
        <x:v>OK</x:v>
      </x:c>
    </x:row>
    <x:row r="194" ht="15" hidden="0">
      <x:c r="C194" s="56" t="s">
        <x:v>160</x:v>
      </x:c>
      <x:c r="D194" s="11" t="s">
        <x:v>76</x:v>
      </x:c>
      <x:c r="E194" s="57" t="n">
        <x:f aca="0">KOHC!G172</x:f>
        <x:v>1.1937011482475721</x:v>
      </x:c>
      <x:c r="F194" s="57" t="n">
        <x:f aca="0">LUCK!G172</x:f>
        <x:v>1.7979804681845026</x:v>
      </x:c>
      <x:c r="G194" s="57" t="n">
        <x:f aca="0">DGKC!G172</x:f>
        <x:v>0.5214277509838222</x:v>
      </x:c>
      <x:c r="H194" s="57" t="n">
        <x:f aca="0">MLCF!G172</x:f>
        <x:v>0.7565654630534934</x:v>
      </x:c>
      <x:c r="I194" s="57" t="n">
        <x:f aca="0">FCCL!G172</x:f>
        <x:v>0.7656078565151421</x:v>
      </x:c>
      <x:c r="J194" s="58" t="n">
        <x:f aca="0">IF(COUNT(E194:I194)=0,"n/m",AVERAGE(E194:I194))</x:f>
        <x:v>1.0070565373969065</x:v>
      </x:c>
      <x:c r="K194" s="11" t="n">
        <x:f aca="0">COUNT(E194:I194)</x:f>
        <x:v>5</x:v>
      </x:c>
      <x:c r="L194" s="46" t="n">
        <x:f aca="0">IF(AND(ISNUMBER(E194),ISNUMBER(J194)),E194-J194,"n/m")</x:f>
        <x:v>0.18664461085066564</x:v>
      </x:c>
      <x:c r="M194" s="46" t="n">
        <x:f aca="0">IF(COUNT(F194:I194)=0,"n/m",AVERAGE(F194:I194))</x:f>
        <x:v>0.9603953846842401</x:v>
      </x:c>
      <x:c r="N194" s="46" t="n">
        <x:f aca="0">IF(COUNT(E194:I194)=0,"n/m",MEDIAN(E194:I194))</x:f>
        <x:v>0.7656078565151421</x:v>
      </x:c>
      <x:c r="O194" s="11" t="s">
        <x:v>99</x:v>
      </x:c>
      <x:c r="P194" s="9" t="str">
        <x:f aca="0">IF(NOT(ISNUMBER(L194)),"n/m",IF(O194="Higher",IF(L194&gt;=0,"Above avg - favourable","Below avg - unfavourable"),IF(O194="Lower",IF(L194&lt;=0,"Below avg - favourable","Above avg - unfavourable"),IF(L194&gt;=0,"Above avg - context-dependent","Below avg - context-dependent"))))&amp;IF(K194&lt;5," (N="&amp;K194&amp;")","")</x:f>
        <x:v>Above avg - context-dependent</x:v>
      </x:c>
      <x:c r="R194" s="59" t="str">
        <x:f aca="0">IF(K194=0,"n/m",IF(ABS(J194-SUM(E194:I194)/K194)&lt;0.000000001,"OK","ERR"))</x:f>
        <x:v>OK</x:v>
      </x:c>
    </x:row>
    <x:row r="195" ht="15" hidden="0">
      <x:c r="C195" s="56" t="s">
        <x:v>160</x:v>
      </x:c>
      <x:c r="D195" s="11" t="s">
        <x:v>77</x:v>
      </x:c>
      <x:c r="E195" s="57" t="n">
        <x:f aca="0">KOHC!H172</x:f>
        <x:v>1.4544747850514033</x:v>
      </x:c>
      <x:c r="F195" s="57" t="n">
        <x:f aca="0">LUCK!H172</x:f>
        <x:v>2.9584754511387614</x:v>
      </x:c>
      <x:c r="G195" s="57" t="n">
        <x:f aca="0">DGKC!H172</x:f>
        <x:v>0.7662082029480072</x:v>
      </x:c>
      <x:c r="H195" s="57" t="n">
        <x:f aca="0">MLCF!H172</x:f>
        <x:v>1.2354689205356633</x:v>
      </x:c>
      <x:c r="I195" s="57" t="n">
        <x:f aca="0">FCCL!H172</x:f>
        <x:v>1.3001759998029245</x:v>
      </x:c>
      <x:c r="J195" s="58" t="n">
        <x:f aca="0">IF(COUNT(E195:I195)=0,"n/m",AVERAGE(E195:I195))</x:f>
        <x:v>1.542960671895352</x:v>
      </x:c>
      <x:c r="K195" s="11" t="n">
        <x:f aca="0">COUNT(E195:I195)</x:f>
        <x:v>5</x:v>
      </x:c>
      <x:c r="L195" s="46" t="n">
        <x:f aca="0">IF(AND(ISNUMBER(E195),ISNUMBER(J195)),E195-J195,"n/m")</x:f>
        <x:v>-0.08848588684394865</x:v>
      </x:c>
      <x:c r="M195" s="46" t="n">
        <x:f aca="0">IF(COUNT(F195:I195)=0,"n/m",AVERAGE(F195:I195))</x:f>
        <x:v>1.5650821436063391</x:v>
      </x:c>
      <x:c r="N195" s="46" t="n">
        <x:f aca="0">IF(COUNT(E195:I195)=0,"n/m",MEDIAN(E195:I195))</x:f>
        <x:v>1.3001759998029245</x:v>
      </x:c>
      <x:c r="O195" s="11" t="s">
        <x:v>99</x:v>
      </x:c>
      <x:c r="P195" s="9" t="str">
        <x:f aca="0">IF(NOT(ISNUMBER(L195)),"n/m",IF(O195="Higher",IF(L195&gt;=0,"Above avg - favourable","Below avg - unfavourable"),IF(O195="Lower",IF(L195&lt;=0,"Below avg - favourable","Above avg - unfavourable"),IF(L195&gt;=0,"Above avg - context-dependent","Below avg - context-dependent"))))&amp;IF(K195&lt;5," (N="&amp;K195&amp;")","")</x:f>
        <x:v>Below avg - context-dependent</x:v>
      </x:c>
      <x:c r="R195" s="59" t="str">
        <x:f aca="0">IF(K195=0,"n/m",IF(ABS(J195-SUM(E195:I195)/K195)&lt;0.000000001,"OK","ERR"))</x:f>
        <x:v>OK</x:v>
      </x:c>
    </x:row>
    <x:row r="196" ht="15" hidden="0">
      <x:c r="A196" s="54" t="s">
        <x:v>159</x:v>
      </x:c>
      <x:c r="B196" s="25" t="n">
        <x:v>32</x:v>
      </x:c>
      <x:c r="C196" s="24" t="s">
        <x:v>162</x:v>
      </x:c>
      <x:c r="D196" s="25"/>
      <x:c r="E196" s="25"/>
      <x:c r="F196" s="25"/>
      <x:c r="G196" s="25"/>
      <x:c r="H196" s="25"/>
      <x:c r="I196" s="25"/>
      <x:c r="J196" s="25"/>
      <x:c r="K196" s="25"/>
      <x:c r="L196" s="25"/>
      <x:c r="M196" s="25"/>
      <x:c r="N196" s="25"/>
      <x:c r="O196" s="25"/>
      <x:c r="P196" s="25"/>
      <x:c r="Q196" s="55" t="s">
        <x:v>1063</x:v>
      </x:c>
      <x:c r="R196" s="25"/>
    </x:row>
    <x:row r="197" ht="15" hidden="0">
      <x:c r="C197" s="56" t="s">
        <x:v>162</x:v>
      </x:c>
      <x:c r="D197" s="11" t="s">
        <x:v>73</x:v>
      </x:c>
      <x:c r="E197" s="67" t="n">
        <x:f aca="0">KOHC!D173</x:f>
        <x:v>17.412549352402124</x:v>
      </x:c>
      <x:c r="F197" s="67" t="n">
        <x:f aca="0">LUCK!D173</x:f>
        <x:v>43.51044143795904</x:v>
      </x:c>
      <x:c r="G197" s="67" t="n">
        <x:f aca="0">DGKC!D173</x:f>
        <x:v>8.493747127465003</x:v>
      </x:c>
      <x:c r="H197" s="67" t="n">
        <x:f aca="0">MLCF!D173</x:f>
        <x:v>5.694115515511503</x:v>
      </x:c>
      <x:c r="I197" s="67" t="n">
        <x:f aca="0">FCCL!D173</x:f>
        <x:v>2.5158090033808875</x:v>
      </x:c>
      <x:c r="J197" s="68" t="n">
        <x:f aca="0">IF(COUNT(E197:I197)=0,"n/m",AVERAGE(E197:I197))</x:f>
        <x:v>15.525332487343713</x:v>
      </x:c>
      <x:c r="K197" s="11" t="n">
        <x:f aca="0">COUNT(E197:I197)</x:f>
        <x:v>5</x:v>
      </x:c>
      <x:c r="L197" s="52" t="n">
        <x:f aca="0">IF(AND(ISNUMBER(E197),ISNUMBER(J197)),E197-J197,"n/m")</x:f>
        <x:v>1.8872168650584111</x:v>
      </x:c>
      <x:c r="M197" s="52" t="n">
        <x:f aca="0">IF(COUNT(F197:I197)=0,"n/m",AVERAGE(F197:I197))</x:f>
        <x:v>15.05352827107911</x:v>
      </x:c>
      <x:c r="N197" s="52" t="n">
        <x:f aca="0">IF(COUNT(E197:I197)=0,"n/m",MEDIAN(E197:I197))</x:f>
        <x:v>8.493747127465003</x:v>
      </x:c>
      <x:c r="O197" s="11" t="s">
        <x:v>99</x:v>
      </x:c>
      <x:c r="P197" s="9" t="str">
        <x:f aca="0">IF(NOT(ISNUMBER(L197)),"n/m",IF(O197="Higher",IF(L197&gt;=0,"Above avg - favourable","Below avg - unfavourable"),IF(O197="Lower",IF(L197&lt;=0,"Below avg - favourable","Above avg - unfavourable"),IF(L197&gt;=0,"Above avg - context-dependent","Below avg - context-dependent"))))&amp;IF(K197&lt;5," (N="&amp;K197&amp;")","")</x:f>
        <x:v>Above avg - context-dependent</x:v>
      </x:c>
      <x:c r="R197" s="59" t="str">
        <x:f aca="0">IF(K197=0,"n/m",IF(ABS(J197-SUM(E197:I197)/K197)&lt;0.000000001,"OK","ERR"))</x:f>
        <x:v>OK</x:v>
      </x:c>
    </x:row>
    <x:row r="198" ht="15" hidden="0">
      <x:c r="C198" s="56" t="s">
        <x:v>162</x:v>
      </x:c>
      <x:c r="D198" s="11" t="s">
        <x:v>74</x:v>
      </x:c>
      <x:c r="E198" s="67" t="n">
        <x:f aca="0">KOHC!E173</x:f>
        <x:v>25.013680261160516</x:v>
      </x:c>
      <x:c r="F198" s="67" t="n">
        <x:f aca="0">LUCK!E173</x:f>
        <x:v>47.30921685349824</x:v>
      </x:c>
      <x:c r="G198" s="67" t="n">
        <x:f aca="0">DGKC!E173</x:f>
        <x:v>6.783844570781772</x:v>
      </x:c>
      <x:c r="H198" s="67" t="n">
        <x:f aca="0">MLCF!E173</x:f>
        <x:v>3.3041099784606085</x:v>
      </x:c>
      <x:c r="I198" s="67" t="n">
        <x:f aca="0">FCCL!E173</x:f>
        <x:v>3.2621706372812294</x:v>
      </x:c>
      <x:c r="J198" s="68" t="n">
        <x:f aca="0">IF(COUNT(E198:I198)=0,"n/m",AVERAGE(E198:I198))</x:f>
        <x:v>17.13460446023647</x:v>
      </x:c>
      <x:c r="K198" s="11" t="n">
        <x:f aca="0">COUNT(E198:I198)</x:f>
        <x:v>5</x:v>
      </x:c>
      <x:c r="L198" s="52" t="n">
        <x:f aca="0">IF(AND(ISNUMBER(E198),ISNUMBER(J198)),E198-J198,"n/m")</x:f>
        <x:v>7.879075800924046</x:v>
      </x:c>
      <x:c r="M198" s="52" t="n">
        <x:f aca="0">IF(COUNT(F198:I198)=0,"n/m",AVERAGE(F198:I198))</x:f>
        <x:v>15.164835510005464</x:v>
      </x:c>
      <x:c r="N198" s="52" t="n">
        <x:f aca="0">IF(COUNT(E198:I198)=0,"n/m",MEDIAN(E198:I198))</x:f>
        <x:v>6.783844570781772</x:v>
      </x:c>
      <x:c r="O198" s="11" t="s">
        <x:v>99</x:v>
      </x:c>
      <x:c r="P198" s="9" t="str">
        <x:f aca="0">IF(NOT(ISNUMBER(L198)),"n/m",IF(O198="Higher",IF(L198&gt;=0,"Above avg - favourable","Below avg - unfavourable"),IF(O198="Lower",IF(L198&lt;=0,"Below avg - favourable","Above avg - unfavourable"),IF(L198&gt;=0,"Above avg - context-dependent","Below avg - context-dependent"))))&amp;IF(K198&lt;5," (N="&amp;K198&amp;")","")</x:f>
        <x:v>Above avg - context-dependent</x:v>
      </x:c>
      <x:c r="R198" s="59" t="str">
        <x:f aca="0">IF(K198=0,"n/m",IF(ABS(J198-SUM(E198:I198)/K198)&lt;0.000000001,"OK","ERR"))</x:f>
        <x:v>OK</x:v>
      </x:c>
    </x:row>
    <x:row r="199" ht="15" hidden="0">
      <x:c r="C199" s="56" t="s">
        <x:v>162</x:v>
      </x:c>
      <x:c r="D199" s="11" t="s">
        <x:v>75</x:v>
      </x:c>
      <x:c r="E199" s="67" t="n">
        <x:f aca="0">KOHC!F173</x:f>
        <x:v>28.978958275869324</x:v>
      </x:c>
      <x:c r="F199" s="67" t="n">
        <x:f aca="0">LUCK!F173</x:f>
        <x:v>43.06151234984266</x:v>
      </x:c>
      <x:c r="G199" s="67" t="n">
        <x:f aca="0">DGKC!F173</x:f>
        <x:v>-8.299058065756444</x:v>
      </x:c>
      <x:c r="H199" s="67" t="n">
        <x:f aca="0">MLCF!F173</x:f>
        <x:v>4.18450538240459</x:v>
      </x:c>
      <x:c r="I199" s="67" t="n">
        <x:f aca="0">FCCL!F173</x:f>
        <x:v>3.0330791851886794</x:v>
      </x:c>
      <x:c r="J199" s="68" t="n">
        <x:f aca="0">IF(COUNT(E199:I199)=0,"n/m",AVERAGE(E199:I199))</x:f>
        <x:v>14.191799425509762</x:v>
      </x:c>
      <x:c r="K199" s="11" t="n">
        <x:f aca="0">COUNT(E199:I199)</x:f>
        <x:v>5</x:v>
      </x:c>
      <x:c r="L199" s="52" t="n">
        <x:f aca="0">IF(AND(ISNUMBER(E199),ISNUMBER(J199)),E199-J199,"n/m")</x:f>
        <x:v>14.787158850359562</x:v>
      </x:c>
      <x:c r="M199" s="52" t="n">
        <x:f aca="0">IF(COUNT(F199:I199)=0,"n/m",AVERAGE(F199:I199))</x:f>
        <x:v>10.49500971291987</x:v>
      </x:c>
      <x:c r="N199" s="52" t="n">
        <x:f aca="0">IF(COUNT(E199:I199)=0,"n/m",MEDIAN(E199:I199))</x:f>
        <x:v>4.18450538240459</x:v>
      </x:c>
      <x:c r="O199" s="11" t="s">
        <x:v>99</x:v>
      </x:c>
      <x:c r="P199" s="9" t="str">
        <x:f aca="0">IF(NOT(ISNUMBER(L199)),"n/m",IF(O199="Higher",IF(L199&gt;=0,"Above avg - favourable","Below avg - unfavourable"),IF(O199="Lower",IF(L199&lt;=0,"Below avg - favourable","Above avg - unfavourable"),IF(L199&gt;=0,"Above avg - context-dependent","Below avg - context-dependent"))))&amp;IF(K199&lt;5," (N="&amp;K199&amp;")","")</x:f>
        <x:v>Above avg - context-dependent</x:v>
      </x:c>
      <x:c r="R199" s="59" t="str">
        <x:f aca="0">IF(K199=0,"n/m",IF(ABS(J199-SUM(E199:I199)/K199)&lt;0.000000001,"OK","ERR"))</x:f>
        <x:v>OK</x:v>
      </x:c>
    </x:row>
    <x:row r="200" ht="15" hidden="0">
      <x:c r="C200" s="56" t="s">
        <x:v>162</x:v>
      </x:c>
      <x:c r="D200" s="11" t="s">
        <x:v>76</x:v>
      </x:c>
      <x:c r="E200" s="67" t="n">
        <x:f aca="0">KOHC!G173</x:f>
        <x:v>45.27427267861498</x:v>
      </x:c>
      <x:c r="F200" s="67" t="n">
        <x:f aca="0">LUCK!G173</x:f>
        <x:v>94.54058917711643</x:v>
      </x:c>
      <x:c r="G200" s="67" t="n">
        <x:f aca="0">DGKC!G173</x:f>
        <x:v>1.2380103440270365</x:v>
      </x:c>
      <x:c r="H200" s="67" t="n">
        <x:f aca="0">MLCF!G173</x:f>
        <x:v>4.979197496295721</x:v>
      </x:c>
      <x:c r="I200" s="67" t="n">
        <x:f aca="0">FCCL!G173</x:f>
        <x:v>3.3524781610919856</x:v>
      </x:c>
      <x:c r="J200" s="68" t="n">
        <x:f aca="0">IF(COUNT(E200:I200)=0,"n/m",AVERAGE(E200:I200))</x:f>
        <x:v>29.87690957142923</x:v>
      </x:c>
      <x:c r="K200" s="11" t="n">
        <x:f aca="0">COUNT(E200:I200)</x:f>
        <x:v>5</x:v>
      </x:c>
      <x:c r="L200" s="52" t="n">
        <x:f aca="0">IF(AND(ISNUMBER(E200),ISNUMBER(J200)),E200-J200,"n/m")</x:f>
        <x:v>15.397363107185747</x:v>
      </x:c>
      <x:c r="M200" s="52" t="n">
        <x:f aca="0">IF(COUNT(F200:I200)=0,"n/m",AVERAGE(F200:I200))</x:f>
        <x:v>26.027568794632792</x:v>
      </x:c>
      <x:c r="N200" s="52" t="n">
        <x:f aca="0">IF(COUNT(E200:I200)=0,"n/m",MEDIAN(E200:I200))</x:f>
        <x:v>4.979197496295721</x:v>
      </x:c>
      <x:c r="O200" s="11" t="s">
        <x:v>99</x:v>
      </x:c>
      <x:c r="P200" s="9" t="str">
        <x:f aca="0">IF(NOT(ISNUMBER(L200)),"n/m",IF(O200="Higher",IF(L200&gt;=0,"Above avg - favourable","Below avg - unfavourable"),IF(O200="Lower",IF(L200&lt;=0,"Below avg - favourable","Above avg - unfavourable"),IF(L200&gt;=0,"Above avg - context-dependent","Below avg - context-dependent"))))&amp;IF(K200&lt;5," (N="&amp;K200&amp;")","")</x:f>
        <x:v>Above avg - context-dependent</x:v>
      </x:c>
      <x:c r="R200" s="59" t="str">
        <x:f aca="0">IF(K200=0,"n/m",IF(ABS(J200-SUM(E200:I200)/K200)&lt;0.000000001,"OK","ERR"))</x:f>
        <x:v>OK</x:v>
      </x:c>
    </x:row>
    <x:row r="201" ht="15" hidden="0">
      <x:c r="C201" s="56" t="s">
        <x:v>162</x:v>
      </x:c>
      <x:c r="D201" s="11" t="s">
        <x:v>77</x:v>
      </x:c>
      <x:c r="E201" s="67" t="n">
        <x:f aca="0">KOHC!H173</x:f>
        <x:v>59.84205460086993</x:v>
      </x:c>
      <x:c r="F201" s="67" t="n">
        <x:f aca="0">LUCK!H173</x:f>
        <x:v>22.58850648464164</x:v>
      </x:c>
      <x:c r="G201" s="67" t="n">
        <x:f aca="0">DGKC!H173</x:f>
        <x:v>19.800685803443983</x:v>
      </x:c>
      <x:c r="H201" s="67" t="n">
        <x:f aca="0">MLCF!H173</x:f>
        <x:v>16.262863426829693</x:v>
      </x:c>
      <x:c r="I201" s="67" t="n">
        <x:f aca="0">FCCL!H173</x:f>
        <x:v>5.432952809531124</x:v>
      </x:c>
      <x:c r="J201" s="68" t="n">
        <x:f aca="0">IF(COUNT(E201:I201)=0,"n/m",AVERAGE(E201:I201))</x:f>
        <x:v>24.785412625063277</x:v>
      </x:c>
      <x:c r="K201" s="11" t="n">
        <x:f aca="0">COUNT(E201:I201)</x:f>
        <x:v>5</x:v>
      </x:c>
      <x:c r="L201" s="52" t="n">
        <x:f aca="0">IF(AND(ISNUMBER(E201),ISNUMBER(J201)),E201-J201,"n/m")</x:f>
        <x:v>35.056641975806656</x:v>
      </x:c>
      <x:c r="M201" s="52" t="n">
        <x:f aca="0">IF(COUNT(F201:I201)=0,"n/m",AVERAGE(F201:I201))</x:f>
        <x:v>16.021252131111613</x:v>
      </x:c>
      <x:c r="N201" s="52" t="n">
        <x:f aca="0">IF(COUNT(E201:I201)=0,"n/m",MEDIAN(E201:I201))</x:f>
        <x:v>19.800685803443983</x:v>
      </x:c>
      <x:c r="O201" s="11" t="s">
        <x:v>99</x:v>
      </x:c>
      <x:c r="P201" s="9" t="str">
        <x:f aca="0">IF(NOT(ISNUMBER(L201)),"n/m",IF(O201="Higher",IF(L201&gt;=0,"Above avg - favourable","Below avg - unfavourable"),IF(O201="Lower",IF(L201&lt;=0,"Below avg - favourable","Above avg - unfavourable"),IF(L201&gt;=0,"Above avg - context-dependent","Below avg - context-dependent"))))&amp;IF(K201&lt;5," (N="&amp;K201&amp;")","")</x:f>
        <x:v>Above avg - context-dependent</x:v>
      </x:c>
      <x:c r="R201" s="59" t="str">
        <x:f aca="0">IF(K201=0,"n/m",IF(ABS(J201-SUM(E201:I201)/K201)&lt;0.000000001,"OK","ERR"))</x:f>
        <x:v>OK</x:v>
      </x:c>
    </x:row>
    <x:row r="202" ht="15" hidden="0">
      <x:c r="A202" s="54" t="s">
        <x:v>159</x:v>
      </x:c>
      <x:c r="B202" s="25" t="n">
        <x:v>33</x:v>
      </x:c>
      <x:c r="C202" s="24" t="s">
        <x:v>164</x:v>
      </x:c>
      <x:c r="D202" s="25"/>
      <x:c r="E202" s="25"/>
      <x:c r="F202" s="25"/>
      <x:c r="G202" s="25"/>
      <x:c r="H202" s="25"/>
      <x:c r="I202" s="25"/>
      <x:c r="J202" s="25"/>
      <x:c r="K202" s="25"/>
      <x:c r="L202" s="25"/>
      <x:c r="M202" s="25"/>
      <x:c r="N202" s="25"/>
      <x:c r="O202" s="25"/>
      <x:c r="P202" s="25"/>
      <x:c r="Q202" s="55" t="s">
        <x:v>1064</x:v>
      </x:c>
      <x:c r="R202" s="25"/>
    </x:row>
    <x:row r="203" ht="15" hidden="0">
      <x:c r="C203" s="56" t="s">
        <x:v>164</x:v>
      </x:c>
      <x:c r="D203" s="11" t="s">
        <x:v>73</x:v>
      </x:c>
      <x:c r="E203" s="57" t="n">
        <x:f aca="0">KOHC!D174</x:f>
        <x:v>11.858688571154802</x:v>
      </x:c>
      <x:c r="F203" s="57" t="n">
        <x:f aca="0">LUCK!D174</x:f>
        <x:v>19.844432082610968</x:v>
      </x:c>
      <x:c r="G203" s="57" t="n">
        <x:f aca="0">DGKC!D174</x:f>
        <x:v>13.883154069739035</x:v>
      </x:c>
      <x:c r="H203" s="57" t="n">
        <x:f aca="0">MLCF!D174</x:f>
        <x:v>8.250622923265333</x:v>
      </x:c>
      <x:c r="I203" s="57" t="n">
        <x:f aca="0">FCCL!D174</x:f>
        <x:v>9.14218844478706</x:v>
      </x:c>
      <x:c r="J203" s="58" t="n">
        <x:f aca="0">IF(COUNT(E203:I203)=0,"n/m",AVERAGE(E203:I203))</x:f>
        <x:v>12.59581721831144</x:v>
      </x:c>
      <x:c r="K203" s="11" t="n">
        <x:f aca="0">COUNT(E203:I203)</x:f>
        <x:v>5</x:v>
      </x:c>
      <x:c r="L203" s="46" t="n">
        <x:f aca="0">IF(AND(ISNUMBER(E203),ISNUMBER(J203)),E203-J203,"n/m")</x:f>
        <x:v>-0.7371286471566378</x:v>
      </x:c>
      <x:c r="M203" s="46" t="n">
        <x:f aca="0">IF(COUNT(F203:I203)=0,"n/m",AVERAGE(F203:I203))</x:f>
        <x:v>12.780099380100598</x:v>
      </x:c>
      <x:c r="N203" s="46" t="n">
        <x:f aca="0">IF(COUNT(E203:I203)=0,"n/m",MEDIAN(E203:I203))</x:f>
        <x:v>11.858688571154802</x:v>
      </x:c>
      <x:c r="O203" s="11" t="s">
        <x:v>99</x:v>
      </x:c>
      <x:c r="P203" s="9" t="str">
        <x:f aca="0">IF(NOT(ISNUMBER(L203)),"n/m",IF(O203="Higher",IF(L203&gt;=0,"Above avg - favourable","Below avg - unfavourable"),IF(O203="Lower",IF(L203&lt;=0,"Below avg - favourable","Above avg - unfavourable"),IF(L203&gt;=0,"Above avg - context-dependent","Below avg - context-dependent"))))&amp;IF(K203&lt;5," (N="&amp;K203&amp;")","")</x:f>
        <x:v>Below avg - context-dependent</x:v>
      </x:c>
      <x:c r="R203" s="59" t="str">
        <x:f aca="0">IF(K203=0,"n/m",IF(ABS(J203-SUM(E203:I203)/K203)&lt;0.000000001,"OK","ERR"))</x:f>
        <x:v>OK</x:v>
      </x:c>
    </x:row>
    <x:row r="204" ht="15" hidden="0">
      <x:c r="C204" s="56" t="s">
        <x:v>164</x:v>
      </x:c>
      <x:c r="D204" s="11" t="s">
        <x:v>74</x:v>
      </x:c>
      <x:c r="E204" s="57" t="n">
        <x:f aca="0">KOHC!E174</x:f>
        <x:v>5.202353217973155</x:v>
      </x:c>
      <x:c r="F204" s="57" t="n">
        <x:f aca="0">LUCK!E174</x:f>
        <x:v>9.702971863210132</x:v>
      </x:c>
      <x:c r="G204" s="57" t="n">
        <x:f aca="0">DGKC!E174</x:f>
        <x:v>9.213064855464028</x:v>
      </x:c>
      <x:c r="H204" s="57" t="n">
        <x:f aca="0">MLCF!E174</x:f>
        <x:v>8.277569505341472</x:v>
      </x:c>
      <x:c r="I204" s="57" t="n">
        <x:f aca="0">FCCL!E174</x:f>
        <x:v>4.343733536823694</x:v>
      </x:c>
      <x:c r="J204" s="58" t="n">
        <x:f aca="0">IF(COUNT(E204:I204)=0,"n/m",AVERAGE(E204:I204))</x:f>
        <x:v>7.347938595762495</x:v>
      </x:c>
      <x:c r="K204" s="11" t="n">
        <x:f aca="0">COUNT(E204:I204)</x:f>
        <x:v>5</x:v>
      </x:c>
      <x:c r="L204" s="46" t="n">
        <x:f aca="0">IF(AND(ISNUMBER(E204),ISNUMBER(J204)),E204-J204,"n/m")</x:f>
        <x:v>-2.1455853777893408</x:v>
      </x:c>
      <x:c r="M204" s="46" t="n">
        <x:f aca="0">IF(COUNT(F204:I204)=0,"n/m",AVERAGE(F204:I204))</x:f>
        <x:v>7.884334940209832</x:v>
      </x:c>
      <x:c r="N204" s="46" t="n">
        <x:f aca="0">IF(COUNT(E204:I204)=0,"n/m",MEDIAN(E204:I204))</x:f>
        <x:v>8.277569505341472</x:v>
      </x:c>
      <x:c r="O204" s="11" t="s">
        <x:v>99</x:v>
      </x:c>
      <x:c r="P204" s="9" t="str">
        <x:f aca="0">IF(NOT(ISNUMBER(L204)),"n/m",IF(O204="Higher",IF(L204&gt;=0,"Above avg - favourable","Below avg - unfavourable"),IF(O204="Lower",IF(L204&lt;=0,"Below avg - favourable","Above avg - unfavourable"),IF(L204&gt;=0,"Above avg - context-dependent","Below avg - context-dependent"))))&amp;IF(K204&lt;5," (N="&amp;K204&amp;")","")</x:f>
        <x:v>Below avg - context-dependent</x:v>
      </x:c>
      <x:c r="R204" s="59" t="str">
        <x:f aca="0">IF(K204=0,"n/m",IF(ABS(J204-SUM(E204:I204)/K204)&lt;0.000000001,"OK","ERR"))</x:f>
        <x:v>OK</x:v>
      </x:c>
    </x:row>
    <x:row r="205" ht="15" hidden="0">
      <x:c r="C205" s="56" t="s">
        <x:v>164</x:v>
      </x:c>
      <x:c r="D205" s="11" t="s">
        <x:v>75</x:v>
      </x:c>
      <x:c r="E205" s="57" t="n">
        <x:f aca="0">KOHC!F174</x:f>
        <x:v>5.986067488990722</x:v>
      </x:c>
      <x:c r="F205" s="57" t="n">
        <x:f aca="0">LUCK!F174</x:f>
        <x:v>12.124283879265743</x:v>
      </x:c>
      <x:c r="G205" s="57" t="str">
        <x:f aca="0">DGKC!F174</x:f>
        <x:v>n/m</x:v>
      </x:c>
      <x:c r="H205" s="57" t="n">
        <x:f aca="0">MLCF!F174</x:f>
        <x:v>6.770214735324442</x:v>
      </x:c>
      <x:c r="I205" s="57" t="n">
        <x:f aca="0">FCCL!F174</x:f>
        <x:v>3.877247932539039</x:v>
      </x:c>
      <x:c r="J205" s="58" t="n">
        <x:f aca="0">IF(COUNT(E205:I205)=0,"n/m",AVERAGE(E205:I205))</x:f>
        <x:v>7.189453509029987</x:v>
      </x:c>
      <x:c r="K205" s="11" t="n">
        <x:f aca="0">COUNT(E205:I205)</x:f>
        <x:v>4</x:v>
      </x:c>
      <x:c r="L205" s="46" t="n">
        <x:f aca="0">IF(AND(ISNUMBER(E205),ISNUMBER(J205)),E205-J205,"n/m")</x:f>
        <x:v>-1.2033860200392654</x:v>
      </x:c>
      <x:c r="M205" s="46" t="n">
        <x:f aca="0">IF(COUNT(F205:I205)=0,"n/m",AVERAGE(F205:I205))</x:f>
        <x:v>7.590582182376408</x:v>
      </x:c>
      <x:c r="N205" s="46" t="n">
        <x:f aca="0">IF(COUNT(E205:I205)=0,"n/m",MEDIAN(E205:I205))</x:f>
        <x:v>6.378141112157582</x:v>
      </x:c>
      <x:c r="O205" s="11" t="s">
        <x:v>99</x:v>
      </x:c>
      <x:c r="P205" s="9" t="str">
        <x:f aca="0">IF(NOT(ISNUMBER(L205)),"n/m",IF(O205="Higher",IF(L205&gt;=0,"Above avg - favourable","Below avg - unfavourable"),IF(O205="Lower",IF(L205&lt;=0,"Below avg - favourable","Above avg - unfavourable"),IF(L205&gt;=0,"Above avg - context-dependent","Below avg - context-dependent"))))&amp;IF(K205&lt;5," (N="&amp;K205&amp;")","")</x:f>
        <x:v>Below avg - context-dependent (N=4)</x:v>
      </x:c>
      <x:c r="R205" s="59" t="str">
        <x:f aca="0">IF(K205=0,"n/m",IF(ABS(J205-SUM(E205:I205)/K205)&lt;0.000000001,"OK","ERR"))</x:f>
        <x:v>OK</x:v>
      </x:c>
    </x:row>
    <x:row r="206" ht="15" hidden="0">
      <x:c r="C206" s="56" t="s">
        <x:v>164</x:v>
      </x:c>
      <x:c r="D206" s="11" t="s">
        <x:v>76</x:v>
      </x:c>
      <x:c r="E206" s="57" t="n">
        <x:f aca="0">KOHC!G174</x:f>
        <x:v>5.531397528519306</x:v>
      </x:c>
      <x:c r="F206" s="57" t="n">
        <x:f aca="0">LUCK!G174</x:f>
        <x:v>9.590907015623658</x:v>
      </x:c>
      <x:c r="G206" s="57" t="n">
        <x:f aca="0">DGKC!G174</x:f>
        <x:v>72.91538429829842</x:v>
      </x:c>
      <x:c r="H206" s="57" t="n">
        <x:f aca="0">MLCF!G174</x:f>
        <x:v>7.631751909473391</x:v>
      </x:c>
      <x:c r="I206" s="57" t="n">
        <x:f aca="0">FCCL!G174</x:f>
        <x:v>6.833750705936781</x:v>
      </x:c>
      <x:c r="J206" s="58" t="n">
        <x:f aca="0">IF(COUNT(E206:I206)=0,"n/m",AVERAGE(E206:I206))</x:f>
        <x:v>20.50063829157031</x:v>
      </x:c>
      <x:c r="K206" s="11" t="n">
        <x:f aca="0">COUNT(E206:I206)</x:f>
        <x:v>5</x:v>
      </x:c>
      <x:c r="L206" s="46" t="n">
        <x:f aca="0">IF(AND(ISNUMBER(E206),ISNUMBER(J206)),E206-J206,"n/m")</x:f>
        <x:v>-14.969240763051005</x:v>
      </x:c>
      <x:c r="M206" s="46" t="n">
        <x:f aca="0">IF(COUNT(F206:I206)=0,"n/m",AVERAGE(F206:I206))</x:f>
        <x:v>24.242948482333063</x:v>
      </x:c>
      <x:c r="N206" s="46" t="n">
        <x:f aca="0">IF(COUNT(E206:I206)=0,"n/m",MEDIAN(E206:I206))</x:f>
        <x:v>7.631751909473391</x:v>
      </x:c>
      <x:c r="O206" s="11" t="s">
        <x:v>99</x:v>
      </x:c>
      <x:c r="P206" s="9" t="str">
        <x:f aca="0">IF(NOT(ISNUMBER(L206)),"n/m",IF(O206="Higher",IF(L206&gt;=0,"Above avg - favourable","Below avg - unfavourable"),IF(O206="Lower",IF(L206&lt;=0,"Below avg - favourable","Above avg - unfavourable"),IF(L206&gt;=0,"Above avg - context-dependent","Below avg - context-dependent"))))&amp;IF(K206&lt;5," (N="&amp;K206&amp;")","")</x:f>
        <x:v>Below avg - context-dependent</x:v>
      </x:c>
      <x:c r="R206" s="59" t="str">
        <x:f aca="0">IF(K206=0,"n/m",IF(ABS(J206-SUM(E206:I206)/K206)&lt;0.000000001,"OK","ERR"))</x:f>
        <x:v>OK</x:v>
      </x:c>
    </x:row>
    <x:row r="207" ht="15" hidden="0">
      <x:c r="C207" s="56" t="s">
        <x:v>164</x:v>
      </x:c>
      <x:c r="D207" s="11" t="s">
        <x:v>77</x:v>
      </x:c>
      <x:c r="E207" s="57" t="n">
        <x:f aca="0">KOHC!H174</x:f>
        <x:v>6.339354531361382</x:v>
      </x:c>
      <x:c r="F207" s="57" t="n">
        <x:f aca="0">LUCK!H174</x:f>
        <x:v>15.726582022655393</x:v>
      </x:c>
      <x:c r="G207" s="57" t="n">
        <x:f aca="0">DGKC!H174</x:f>
        <x:v>8.361326554214791</x:v>
      </x:c>
      <x:c r="H207" s="57" t="n">
        <x:f aca="0">MLCF!H174</x:f>
        <x:v>5.182359206248938</x:v>
      </x:c>
      <x:c r="I207" s="57" t="n">
        <x:f aca="0">FCCL!H174</x:f>
        <x:v>8.222048224242743</x:v>
      </x:c>
      <x:c r="J207" s="58" t="n">
        <x:f aca="0">IF(COUNT(E207:I207)=0,"n/m",AVERAGE(E207:I207))</x:f>
        <x:v>8.76633410774465</x:v>
      </x:c>
      <x:c r="K207" s="11" t="n">
        <x:f aca="0">COUNT(E207:I207)</x:f>
        <x:v>5</x:v>
      </x:c>
      <x:c r="L207" s="46" t="n">
        <x:f aca="0">IF(AND(ISNUMBER(E207),ISNUMBER(J207)),E207-J207,"n/m")</x:f>
        <x:v>-2.4269795763832676</x:v>
      </x:c>
      <x:c r="M207" s="46" t="n">
        <x:f aca="0">IF(COUNT(F207:I207)=0,"n/m",AVERAGE(F207:I207))</x:f>
        <x:v>9.373079001840466</x:v>
      </x:c>
      <x:c r="N207" s="46" t="n">
        <x:f aca="0">IF(COUNT(E207:I207)=0,"n/m",MEDIAN(E207:I207))</x:f>
        <x:v>8.222048224242743</x:v>
      </x:c>
      <x:c r="O207" s="11" t="s">
        <x:v>99</x:v>
      </x:c>
      <x:c r="P207" s="9" t="str">
        <x:f aca="0">IF(NOT(ISNUMBER(L207)),"n/m",IF(O207="Higher",IF(L207&gt;=0,"Above avg - favourable","Below avg - unfavourable"),IF(O207="Lower",IF(L207&lt;=0,"Below avg - favourable","Above avg - unfavourable"),IF(L207&gt;=0,"Above avg - context-dependent","Below avg - context-dependent"))))&amp;IF(K207&lt;5," (N="&amp;K207&amp;")","")</x:f>
        <x:v>Below avg - context-dependent</x:v>
      </x:c>
      <x:c r="R207" s="59" t="str">
        <x:f aca="0">IF(K207=0,"n/m",IF(ABS(J207-SUM(E207:I207)/K207)&lt;0.000000001,"OK","ERR"))</x:f>
        <x:v>OK</x:v>
      </x:c>
    </x:row>
    <x:row r="208" ht="15" hidden="0">
      <x:c r="A208" s="54" t="s">
        <x:v>159</x:v>
      </x:c>
      <x:c r="B208" s="25" t="n">
        <x:v>34</x:v>
      </x:c>
      <x:c r="C208" s="24" t="s">
        <x:v>166</x:v>
      </x:c>
      <x:c r="D208" s="25"/>
      <x:c r="E208" s="25"/>
      <x:c r="F208" s="25"/>
      <x:c r="G208" s="25"/>
      <x:c r="H208" s="25"/>
      <x:c r="I208" s="25"/>
      <x:c r="J208" s="25"/>
      <x:c r="K208" s="25"/>
      <x:c r="L208" s="25"/>
      <x:c r="M208" s="25"/>
      <x:c r="N208" s="25"/>
      <x:c r="O208" s="25"/>
      <x:c r="P208" s="25"/>
      <x:c r="Q208" s="55" t="s">
        <x:v>1065</x:v>
      </x:c>
      <x:c r="R208" s="25"/>
    </x:row>
    <x:row r="209" ht="15" hidden="0">
      <x:c r="C209" s="56" t="s">
        <x:v>166</x:v>
      </x:c>
      <x:c r="D209" s="11" t="s">
        <x:v>73</x:v>
      </x:c>
      <x:c r="E209" s="65" t="n">
        <x:f aca="0">KOHC!D175</x:f>
        <x:v>0</x:v>
      </x:c>
      <x:c r="F209" s="65" t="n">
        <x:f aca="0">LUCK!D175</x:f>
        <x:v>0</x:v>
      </x:c>
      <x:c r="G209" s="65" t="n">
        <x:f aca="0">DGKC!D175</x:f>
        <x:v>0.008480325644504749</x:v>
      </x:c>
      <x:c r="H209" s="65" t="n">
        <x:f aca="0">MLCF!D175</x:f>
        <x:v>0</x:v>
      </x:c>
      <x:c r="I209" s="65" t="n">
        <x:f aca="0">FCCL!D175</x:f>
        <x:v>0</x:v>
      </x:c>
      <x:c r="J209" s="66" t="n">
        <x:f aca="0">IF(COUNT(E209:I209)=0,"n/m",AVERAGE(E209:I209))</x:f>
        <x:v>0.0016960651289009497</x:v>
      </x:c>
      <x:c r="K209" s="11" t="n">
        <x:f aca="0">COUNT(E209:I209)</x:f>
        <x:v>5</x:v>
      </x:c>
      <x:c r="L209" s="42" t="n">
        <x:f aca="0">IF(AND(ISNUMBER(E209),ISNUMBER(J209)),E209-J209,"n/m")</x:f>
        <x:v>-0.0016960651289009497</x:v>
      </x:c>
      <x:c r="M209" s="42" t="n">
        <x:f aca="0">IF(COUNT(F209:I209)=0,"n/m",AVERAGE(F209:I209))</x:f>
        <x:v>0.002120081411126187</x:v>
      </x:c>
      <x:c r="N209" s="42" t="n">
        <x:f aca="0">IF(COUNT(E209:I209)=0,"n/m",MEDIAN(E209:I209))</x:f>
        <x:v>0</x:v>
      </x:c>
      <x:c r="O209" s="11" t="s">
        <x:v>99</x:v>
      </x:c>
      <x:c r="P209" s="9" t="str">
        <x:f aca="0">IF(NOT(ISNUMBER(L209)),"n/m",IF(O209="Higher",IF(L209&gt;=0,"Above avg - favourable","Below avg - unfavourable"),IF(O209="Lower",IF(L209&lt;=0,"Below avg - favourable","Above avg - unfavourable"),IF(L209&gt;=0,"Above avg - context-dependent","Below avg - context-dependent"))))&amp;IF(K209&lt;5," (N="&amp;K209&amp;")","")</x:f>
        <x:v>Below avg - context-dependent</x:v>
      </x:c>
      <x:c r="R209" s="59" t="str">
        <x:f aca="0">IF(K209=0,"n/m",IF(ABS(J209-SUM(E209:I209)/K209)&lt;0.000000001,"OK","ERR"))</x:f>
        <x:v>OK</x:v>
      </x:c>
    </x:row>
    <x:row r="210" ht="15" hidden="0">
      <x:c r="C210" s="56" t="s">
        <x:v>166</x:v>
      </x:c>
      <x:c r="D210" s="11" t="s">
        <x:v>74</x:v>
      </x:c>
      <x:c r="E210" s="65" t="n">
        <x:f aca="0">KOHC!E175</x:f>
        <x:v>0</x:v>
      </x:c>
      <x:c r="F210" s="65" t="n">
        <x:f aca="0">LUCK!E175</x:f>
        <x:v>0</x:v>
      </x:c>
      <x:c r="G210" s="65" t="n">
        <x:f aca="0">DGKC!E175</x:f>
        <x:v>0.016</x:v>
      </x:c>
      <x:c r="H210" s="65" t="n">
        <x:f aca="0">MLCF!E175</x:f>
        <x:v>0</x:v>
      </x:c>
      <x:c r="I210" s="65" t="n">
        <x:f aca="0">FCCL!E175</x:f>
        <x:v>0</x:v>
      </x:c>
      <x:c r="J210" s="66" t="n">
        <x:f aca="0">IF(COUNT(E210:I210)=0,"n/m",AVERAGE(E210:I210))</x:f>
        <x:v>0.0032</x:v>
      </x:c>
      <x:c r="K210" s="11" t="n">
        <x:f aca="0">COUNT(E210:I210)</x:f>
        <x:v>5</x:v>
      </x:c>
      <x:c r="L210" s="42" t="n">
        <x:f aca="0">IF(AND(ISNUMBER(E210),ISNUMBER(J210)),E210-J210,"n/m")</x:f>
        <x:v>-0.0032</x:v>
      </x:c>
      <x:c r="M210" s="42" t="n">
        <x:f aca="0">IF(COUNT(F210:I210)=0,"n/m",AVERAGE(F210:I210))</x:f>
        <x:v>0.004</x:v>
      </x:c>
      <x:c r="N210" s="42" t="n">
        <x:f aca="0">IF(COUNT(E210:I210)=0,"n/m",MEDIAN(E210:I210))</x:f>
        <x:v>0</x:v>
      </x:c>
      <x:c r="O210" s="11" t="s">
        <x:v>99</x:v>
      </x:c>
      <x:c r="P210" s="9" t="str">
        <x:f aca="0">IF(NOT(ISNUMBER(L210)),"n/m",IF(O210="Higher",IF(L210&gt;=0,"Above avg - favourable","Below avg - unfavourable"),IF(O210="Lower",IF(L210&lt;=0,"Below avg - favourable","Above avg - unfavourable"),IF(L210&gt;=0,"Above avg - context-dependent","Below avg - context-dependent"))))&amp;IF(K210&lt;5," (N="&amp;K210&amp;")","")</x:f>
        <x:v>Below avg - context-dependent</x:v>
      </x:c>
      <x:c r="R210" s="59" t="str">
        <x:f aca="0">IF(K210=0,"n/m",IF(ABS(J210-SUM(E210:I210)/K210)&lt;0.000000001,"OK","ERR"))</x:f>
        <x:v>OK</x:v>
      </x:c>
    </x:row>
    <x:row r="211" ht="15" hidden="0">
      <x:c r="C211" s="56" t="s">
        <x:v>166</x:v>
      </x:c>
      <x:c r="D211" s="11" t="s">
        <x:v>75</x:v>
      </x:c>
      <x:c r="E211" s="65" t="n">
        <x:f aca="0">KOHC!F175</x:f>
        <x:v>0</x:v>
      </x:c>
      <x:c r="F211" s="65" t="n">
        <x:f aca="0">LUCK!F175</x:f>
        <x:v>0.034476814342354764</x:v>
      </x:c>
      <x:c r="G211" s="65" t="n">
        <x:f aca="0">DGKC!F175</x:f>
        <x:v>0</x:v>
      </x:c>
      <x:c r="H211" s="65" t="n">
        <x:f aca="0">MLCF!F175</x:f>
        <x:v>0</x:v>
      </x:c>
      <x:c r="I211" s="65" t="n">
        <x:f aca="0">FCCL!F175</x:f>
        <x:v>0</x:v>
      </x:c>
      <x:c r="J211" s="66" t="n">
        <x:f aca="0">IF(COUNT(E211:I211)=0,"n/m",AVERAGE(E211:I211))</x:f>
        <x:v>0.006895362868470953</x:v>
      </x:c>
      <x:c r="K211" s="11" t="n">
        <x:f aca="0">COUNT(E211:I211)</x:f>
        <x:v>5</x:v>
      </x:c>
      <x:c r="L211" s="42" t="n">
        <x:f aca="0">IF(AND(ISNUMBER(E211),ISNUMBER(J211)),E211-J211,"n/m")</x:f>
        <x:v>-0.006895362868470953</x:v>
      </x:c>
      <x:c r="M211" s="42" t="n">
        <x:f aca="0">IF(COUNT(F211:I211)=0,"n/m",AVERAGE(F211:I211))</x:f>
        <x:v>0.008619203585588691</x:v>
      </x:c>
      <x:c r="N211" s="42" t="n">
        <x:f aca="0">IF(COUNT(E211:I211)=0,"n/m",MEDIAN(E211:I211))</x:f>
        <x:v>0</x:v>
      </x:c>
      <x:c r="O211" s="11" t="s">
        <x:v>99</x:v>
      </x:c>
      <x:c r="P211" s="9" t="str">
        <x:f aca="0">IF(NOT(ISNUMBER(L211)),"n/m",IF(O211="Higher",IF(L211&gt;=0,"Above avg - favourable","Below avg - unfavourable"),IF(O211="Lower",IF(L211&lt;=0,"Below avg - favourable","Above avg - unfavourable"),IF(L211&gt;=0,"Above avg - context-dependent","Below avg - context-dependent"))))&amp;IF(K211&lt;5," (N="&amp;K211&amp;")","")</x:f>
        <x:v>Below avg - context-dependent</x:v>
      </x:c>
      <x:c r="R211" s="59" t="str">
        <x:f aca="0">IF(K211=0,"n/m",IF(ABS(J211-SUM(E211:I211)/K211)&lt;0.000000001,"OK","ERR"))</x:f>
        <x:v>OK</x:v>
      </x:c>
    </x:row>
    <x:row r="212" ht="15" hidden="0">
      <x:c r="C212" s="56" t="s">
        <x:v>166</x:v>
      </x:c>
      <x:c r="D212" s="11" t="s">
        <x:v>76</x:v>
      </x:c>
      <x:c r="E212" s="65" t="n">
        <x:f aca="0">KOHC!G175</x:f>
        <x:v>0</x:v>
      </x:c>
      <x:c r="F212" s="65" t="n">
        <x:f aca="0">LUCK!G175</x:f>
        <x:v>0.016542962072502287</x:v>
      </x:c>
      <x:c r="G212" s="65" t="n">
        <x:f aca="0">DGKC!G175</x:f>
        <x:v>0</x:v>
      </x:c>
      <x:c r="H212" s="65" t="n">
        <x:f aca="0">MLCF!G175</x:f>
        <x:v>0</x:v>
      </x:c>
      <x:c r="I212" s="65" t="n">
        <x:f aca="0">FCCL!G175</x:f>
        <x:v>0.04364906154517678</x:v>
      </x:c>
      <x:c r="J212" s="66" t="n">
        <x:f aca="0">IF(COUNT(E212:I212)=0,"n/m",AVERAGE(E212:I212))</x:f>
        <x:v>0.012038404723535814</x:v>
      </x:c>
      <x:c r="K212" s="11" t="n">
        <x:f aca="0">COUNT(E212:I212)</x:f>
        <x:v>5</x:v>
      </x:c>
      <x:c r="L212" s="42" t="n">
        <x:f aca="0">IF(AND(ISNUMBER(E212),ISNUMBER(J212)),E212-J212,"n/m")</x:f>
        <x:v>-0.012038404723535814</x:v>
      </x:c>
      <x:c r="M212" s="42" t="n">
        <x:f aca="0">IF(COUNT(F212:I212)=0,"n/m",AVERAGE(F212:I212))</x:f>
        <x:v>0.015048005904419768</x:v>
      </x:c>
      <x:c r="N212" s="42" t="n">
        <x:f aca="0">IF(COUNT(E212:I212)=0,"n/m",MEDIAN(E212:I212))</x:f>
        <x:v>0</x:v>
      </x:c>
      <x:c r="O212" s="11" t="s">
        <x:v>99</x:v>
      </x:c>
      <x:c r="P212" s="9" t="str">
        <x:f aca="0">IF(NOT(ISNUMBER(L212)),"n/m",IF(O212="Higher",IF(L212&gt;=0,"Above avg - favourable","Below avg - unfavourable"),IF(O212="Lower",IF(L212&lt;=0,"Below avg - favourable","Above avg - unfavourable"),IF(L212&gt;=0,"Above avg - context-dependent","Below avg - context-dependent"))))&amp;IF(K212&lt;5," (N="&amp;K212&amp;")","")</x:f>
        <x:v>Below avg - context-dependent</x:v>
      </x:c>
      <x:c r="R212" s="59" t="str">
        <x:f aca="0">IF(K212=0,"n/m",IF(ABS(J212-SUM(E212:I212)/K212)&lt;0.000000001,"OK","ERR"))</x:f>
        <x:v>OK</x:v>
      </x:c>
    </x:row>
    <x:row r="213" ht="15" hidden="0">
      <x:c r="C213" s="56" t="s">
        <x:v>166</x:v>
      </x:c>
      <x:c r="D213" s="11" t="s">
        <x:v>77</x:v>
      </x:c>
      <x:c r="E213" s="65" t="n">
        <x:f aca="0">KOHC!H175</x:f>
        <x:v>0</x:v>
      </x:c>
      <x:c r="F213" s="65" t="n">
        <x:f aca="0">LUCK!H175</x:f>
        <x:v>0.011259993244004052</x:v>
      </x:c>
      <x:c r="G213" s="65" t="n">
        <x:f aca="0">DGKC!H175</x:f>
        <x:v>0.012080212611741966</x:v>
      </x:c>
      <x:c r="H213" s="65" t="n">
        <x:f aca="0">MLCF!H175</x:f>
        <x:v>0</x:v>
      </x:c>
      <x:c r="I213" s="65" t="n">
        <x:f aca="0">FCCL!H175</x:f>
        <x:v>0.027982986344302664</x:v>
      </x:c>
      <x:c r="J213" s="66" t="n">
        <x:f aca="0">IF(COUNT(E213:I213)=0,"n/m",AVERAGE(E213:I213))</x:f>
        <x:v>0.010264638440009737</x:v>
      </x:c>
      <x:c r="K213" s="11" t="n">
        <x:f aca="0">COUNT(E213:I213)</x:f>
        <x:v>5</x:v>
      </x:c>
      <x:c r="L213" s="42" t="n">
        <x:f aca="0">IF(AND(ISNUMBER(E213),ISNUMBER(J213)),E213-J213,"n/m")</x:f>
        <x:v>-0.010264638440009737</x:v>
      </x:c>
      <x:c r="M213" s="42" t="n">
        <x:f aca="0">IF(COUNT(F213:I213)=0,"n/m",AVERAGE(F213:I213))</x:f>
        <x:v>0.01283079805001217</x:v>
      </x:c>
      <x:c r="N213" s="42" t="n">
        <x:f aca="0">IF(COUNT(E213:I213)=0,"n/m",MEDIAN(E213:I213))</x:f>
        <x:v>0.011259993244004052</x:v>
      </x:c>
      <x:c r="O213" s="11" t="s">
        <x:v>99</x:v>
      </x:c>
      <x:c r="P213" s="9" t="str">
        <x:f aca="0">IF(NOT(ISNUMBER(L213)),"n/m",IF(O213="Higher",IF(L213&gt;=0,"Above avg - favourable","Below avg - unfavourable"),IF(O213="Lower",IF(L213&lt;=0,"Below avg - favourable","Above avg - unfavourable"),IF(L213&gt;=0,"Above avg - context-dependent","Below avg - context-dependent"))))&amp;IF(K213&lt;5," (N="&amp;K213&amp;")","")</x:f>
        <x:v>Below avg - context-dependent</x:v>
      </x:c>
      <x:c r="R213" s="59" t="str">
        <x:f aca="0">IF(K213=0,"n/m",IF(ABS(J213-SUM(E213:I213)/K213)&lt;0.000000001,"OK","ERR"))</x:f>
        <x:v>OK</x:v>
      </x:c>
    </x:row>
    <x:row r="214" ht="15" hidden="0">
      <x:c r="A214" s="54" t="s">
        <x:v>159</x:v>
      </x:c>
      <x:c r="B214" s="25" t="n">
        <x:v>35</x:v>
      </x:c>
      <x:c r="C214" s="24" t="s">
        <x:v>168</x:v>
      </x:c>
      <x:c r="D214" s="25"/>
      <x:c r="E214" s="25"/>
      <x:c r="F214" s="25"/>
      <x:c r="G214" s="25"/>
      <x:c r="H214" s="25"/>
      <x:c r="I214" s="25"/>
      <x:c r="J214" s="25"/>
      <x:c r="K214" s="25"/>
      <x:c r="L214" s="25"/>
      <x:c r="M214" s="25"/>
      <x:c r="N214" s="25"/>
      <x:c r="O214" s="25"/>
      <x:c r="P214" s="25"/>
      <x:c r="Q214" s="55" t="s">
        <x:v>1066</x:v>
      </x:c>
      <x:c r="R214" s="25"/>
    </x:row>
    <x:row r="215" ht="15" hidden="0">
      <x:c r="C215" s="56" t="s">
        <x:v>168</x:v>
      </x:c>
      <x:c r="D215" s="11" t="s">
        <x:v>73</x:v>
      </x:c>
      <x:c r="E215" s="65" t="n">
        <x:f aca="0">KOHC!D176</x:f>
        <x:v>0</x:v>
      </x:c>
      <x:c r="F215" s="65" t="n">
        <x:f aca="0">LUCK!D176</x:f>
        <x:v>0</x:v>
      </x:c>
      <x:c r="G215" s="65" t="n">
        <x:f aca="0">DGKC!D176</x:f>
        <x:v>0.11773366748421842</x:v>
      </x:c>
      <x:c r="H215" s="65" t="n">
        <x:f aca="0">MLCF!D176</x:f>
        <x:v>0</x:v>
      </x:c>
      <x:c r="I215" s="65" t="n">
        <x:f aca="0">FCCL!D176</x:f>
        <x:v>0</x:v>
      </x:c>
      <x:c r="J215" s="66" t="n">
        <x:f aca="0">IF(COUNT(E215:I215)=0,"n/m",AVERAGE(E215:I215))</x:f>
        <x:v>0.023546733496843684</x:v>
      </x:c>
      <x:c r="K215" s="11" t="n">
        <x:f aca="0">COUNT(E215:I215)</x:f>
        <x:v>5</x:v>
      </x:c>
      <x:c r="L215" s="42" t="n">
        <x:f aca="0">IF(AND(ISNUMBER(E215),ISNUMBER(J215)),E215-J215,"n/m")</x:f>
        <x:v>-0.023546733496843684</x:v>
      </x:c>
      <x:c r="M215" s="42" t="n">
        <x:f aca="0">IF(COUNT(F215:I215)=0,"n/m",AVERAGE(F215:I215))</x:f>
        <x:v>0.029433416871054604</x:v>
      </x:c>
      <x:c r="N215" s="42" t="n">
        <x:f aca="0">IF(COUNT(E215:I215)=0,"n/m",MEDIAN(E215:I215))</x:f>
        <x:v>0</x:v>
      </x:c>
      <x:c r="O215" s="11" t="s">
        <x:v>99</x:v>
      </x:c>
      <x:c r="P215" s="9" t="str">
        <x:f aca="0">IF(NOT(ISNUMBER(L215)),"n/m",IF(O215="Higher",IF(L215&gt;=0,"Above avg - favourable","Below avg - unfavourable"),IF(O215="Lower",IF(L215&lt;=0,"Below avg - favourable","Above avg - unfavourable"),IF(L215&gt;=0,"Above avg - context-dependent","Below avg - context-dependent"))))&amp;IF(K215&lt;5," (N="&amp;K215&amp;")","")</x:f>
        <x:v>Below avg - context-dependent</x:v>
      </x:c>
      <x:c r="R215" s="59" t="str">
        <x:f aca="0">IF(K215=0,"n/m",IF(ABS(J215-SUM(E215:I215)/K215)&lt;0.000000001,"OK","ERR"))</x:f>
        <x:v>OK</x:v>
      </x:c>
    </x:row>
    <x:row r="216" ht="15" hidden="0">
      <x:c r="C216" s="56" t="s">
        <x:v>168</x:v>
      </x:c>
      <x:c r="D216" s="11" t="s">
        <x:v>74</x:v>
      </x:c>
      <x:c r="E216" s="65" t="n">
        <x:f aca="0">KOHC!E176</x:f>
        <x:v>0</x:v>
      </x:c>
      <x:c r="F216" s="65" t="n">
        <x:f aca="0">LUCK!E176</x:f>
        <x:v>0</x:v>
      </x:c>
      <x:c r="G216" s="65" t="n">
        <x:f aca="0">DGKC!E176</x:f>
        <x:v>0.14740903768742444</x:v>
      </x:c>
      <x:c r="H216" s="65" t="n">
        <x:f aca="0">MLCF!E176</x:f>
        <x:v>0</x:v>
      </x:c>
      <x:c r="I216" s="65" t="n">
        <x:f aca="0">FCCL!E176</x:f>
        <x:v>0</x:v>
      </x:c>
      <x:c r="J216" s="66" t="n">
        <x:f aca="0">IF(COUNT(E216:I216)=0,"n/m",AVERAGE(E216:I216))</x:f>
        <x:v>0.02948180753748489</x:v>
      </x:c>
      <x:c r="K216" s="11" t="n">
        <x:f aca="0">COUNT(E216:I216)</x:f>
        <x:v>5</x:v>
      </x:c>
      <x:c r="L216" s="42" t="n">
        <x:f aca="0">IF(AND(ISNUMBER(E216),ISNUMBER(J216)),E216-J216,"n/m")</x:f>
        <x:v>-0.02948180753748489</x:v>
      </x:c>
      <x:c r="M216" s="42" t="n">
        <x:f aca="0">IF(COUNT(F216:I216)=0,"n/m",AVERAGE(F216:I216))</x:f>
        <x:v>0.03685225942185611</x:v>
      </x:c>
      <x:c r="N216" s="42" t="n">
        <x:f aca="0">IF(COUNT(E216:I216)=0,"n/m",MEDIAN(E216:I216))</x:f>
        <x:v>0</x:v>
      </x:c>
      <x:c r="O216" s="11" t="s">
        <x:v>99</x:v>
      </x:c>
      <x:c r="P216" s="9" t="str">
        <x:f aca="0">IF(NOT(ISNUMBER(L216)),"n/m",IF(O216="Higher",IF(L216&gt;=0,"Above avg - favourable","Below avg - unfavourable"),IF(O216="Lower",IF(L216&lt;=0,"Below avg - favourable","Above avg - unfavourable"),IF(L216&gt;=0,"Above avg - context-dependent","Below avg - context-dependent"))))&amp;IF(K216&lt;5," (N="&amp;K216&amp;")","")</x:f>
        <x:v>Below avg - context-dependent</x:v>
      </x:c>
      <x:c r="R216" s="59" t="str">
        <x:f aca="0">IF(K216=0,"n/m",IF(ABS(J216-SUM(E216:I216)/K216)&lt;0.000000001,"OK","ERR"))</x:f>
        <x:v>OK</x:v>
      </x:c>
    </x:row>
    <x:row r="217" ht="15" hidden="0">
      <x:c r="C217" s="56" t="s">
        <x:v>168</x:v>
      </x:c>
      <x:c r="D217" s="11" t="s">
        <x:v>75</x:v>
      </x:c>
      <x:c r="E217" s="65" t="n">
        <x:f aca="0">KOHC!F176</x:f>
        <x:v>0</x:v>
      </x:c>
      <x:c r="F217" s="65" t="n">
        <x:f aca="0">LUCK!F176</x:f>
        <x:v>0.4180066843394498</x:v>
      </x:c>
      <x:c r="G217" s="65" t="str">
        <x:f aca="0">DGKC!F176</x:f>
        <x:v>n/m</x:v>
      </x:c>
      <x:c r="H217" s="65" t="n">
        <x:f aca="0">MLCF!F176</x:f>
        <x:v>0</x:v>
      </x:c>
      <x:c r="I217" s="65" t="n">
        <x:f aca="0">FCCL!F176</x:f>
        <x:v>0</x:v>
      </x:c>
      <x:c r="J217" s="66" t="n">
        <x:f aca="0">IF(COUNT(E217:I217)=0,"n/m",AVERAGE(E217:I217))</x:f>
        <x:v>0.10450167108486245</x:v>
      </x:c>
      <x:c r="K217" s="11" t="n">
        <x:f aca="0">COUNT(E217:I217)</x:f>
        <x:v>4</x:v>
      </x:c>
      <x:c r="L217" s="42" t="n">
        <x:f aca="0">IF(AND(ISNUMBER(E217),ISNUMBER(J217)),E217-J217,"n/m")</x:f>
        <x:v>-0.10450167108486245</x:v>
      </x:c>
      <x:c r="M217" s="42" t="n">
        <x:f aca="0">IF(COUNT(F217:I217)=0,"n/m",AVERAGE(F217:I217))</x:f>
        <x:v>0.13933556144648326</x:v>
      </x:c>
      <x:c r="N217" s="42" t="n">
        <x:f aca="0">IF(COUNT(E217:I217)=0,"n/m",MEDIAN(E217:I217))</x:f>
        <x:v>0</x:v>
      </x:c>
      <x:c r="O217" s="11" t="s">
        <x:v>99</x:v>
      </x:c>
      <x:c r="P217" s="9" t="str">
        <x:f aca="0">IF(NOT(ISNUMBER(L217)),"n/m",IF(O217="Higher",IF(L217&gt;=0,"Above avg - favourable","Below avg - unfavourable"),IF(O217="Lower",IF(L217&lt;=0,"Below avg - favourable","Above avg - unfavourable"),IF(L217&gt;=0,"Above avg - context-dependent","Below avg - context-dependent"))))&amp;IF(K217&lt;5," (N="&amp;K217&amp;")","")</x:f>
        <x:v>Below avg - context-dependent (N=4)</x:v>
      </x:c>
      <x:c r="R217" s="59" t="str">
        <x:f aca="0">IF(K217=0,"n/m",IF(ABS(J217-SUM(E217:I217)/K217)&lt;0.000000001,"OK","ERR"))</x:f>
        <x:v>OK</x:v>
      </x:c>
    </x:row>
    <x:row r="218" ht="15" hidden="0">
      <x:c r="C218" s="56" t="s">
        <x:v>168</x:v>
      </x:c>
      <x:c r="D218" s="11" t="s">
        <x:v>76</x:v>
      </x:c>
      <x:c r="E218" s="65" t="n">
        <x:f aca="0">KOHC!G176</x:f>
        <x:v>0</x:v>
      </x:c>
      <x:c r="F218" s="65" t="n">
        <x:f aca="0">LUCK!G176</x:f>
        <x:v>0.1586620110003583</x:v>
      </x:c>
      <x:c r="G218" s="65" t="n">
        <x:f aca="0">DGKC!G176</x:f>
        <x:v>0</x:v>
      </x:c>
      <x:c r="H218" s="65" t="n">
        <x:f aca="0">MLCF!G176</x:f>
        <x:v>0</x:v>
      </x:c>
      <x:c r="I218" s="65" t="n">
        <x:f aca="0">FCCL!G176</x:f>
        <x:v>0.29828680514782985</x:v>
      </x:c>
      <x:c r="J218" s="66" t="n">
        <x:f aca="0">IF(COUNT(E218:I218)=0,"n/m",AVERAGE(E218:I218))</x:f>
        <x:v>0.09138976322963763</x:v>
      </x:c>
      <x:c r="K218" s="11" t="n">
        <x:f aca="0">COUNT(E218:I218)</x:f>
        <x:v>5</x:v>
      </x:c>
      <x:c r="L218" s="42" t="n">
        <x:f aca="0">IF(AND(ISNUMBER(E218),ISNUMBER(J218)),E218-J218,"n/m")</x:f>
        <x:v>-0.09138976322963763</x:v>
      </x:c>
      <x:c r="M218" s="42" t="n">
        <x:f aca="0">IF(COUNT(F218:I218)=0,"n/m",AVERAGE(F218:I218))</x:f>
        <x:v>0.11423720403704704</x:v>
      </x:c>
      <x:c r="N218" s="42" t="n">
        <x:f aca="0">IF(COUNT(E218:I218)=0,"n/m",MEDIAN(E218:I218))</x:f>
        <x:v>0</x:v>
      </x:c>
      <x:c r="O218" s="11" t="s">
        <x:v>99</x:v>
      </x:c>
      <x:c r="P218" s="9" t="str">
        <x:f aca="0">IF(NOT(ISNUMBER(L218)),"n/m",IF(O218="Higher",IF(L218&gt;=0,"Above avg - favourable","Below avg - unfavourable"),IF(O218="Lower",IF(L218&lt;=0,"Below avg - favourable","Above avg - unfavourable"),IF(L218&gt;=0,"Above avg - context-dependent","Below avg - context-dependent"))))&amp;IF(K218&lt;5," (N="&amp;K218&amp;")","")</x:f>
        <x:v>Below avg - context-dependent</x:v>
      </x:c>
      <x:c r="R218" s="59" t="str">
        <x:f aca="0">IF(K218=0,"n/m",IF(ABS(J218-SUM(E218:I218)/K218)&lt;0.000000001,"OK","ERR"))</x:f>
        <x:v>OK</x:v>
      </x:c>
    </x:row>
    <x:row r="219" ht="15" hidden="0">
      <x:c r="C219" s="56" t="s">
        <x:v>168</x:v>
      </x:c>
      <x:c r="D219" s="11" t="s">
        <x:v>77</x:v>
      </x:c>
      <x:c r="E219" s="65" t="n">
        <x:f aca="0">KOHC!H176</x:f>
        <x:v>0</x:v>
      </x:c>
      <x:c r="F219" s="65" t="n">
        <x:f aca="0">LUCK!H176</x:f>
        <x:v>0.17708120732637533</x:v>
      </x:c>
      <x:c r="G219" s="65" t="n">
        <x:f aca="0">DGKC!H176</x:f>
        <x:v>0.10100660249111851</x:v>
      </x:c>
      <x:c r="H219" s="65" t="n">
        <x:f aca="0">MLCF!H176</x:f>
        <x:v>0</x:v>
      </x:c>
      <x:c r="I219" s="65" t="n">
        <x:f aca="0">FCCL!H176</x:f>
        <x:v>0.23007746318118263</x:v>
      </x:c>
      <x:c r="J219" s="66" t="n">
        <x:f aca="0">IF(COUNT(E219:I219)=0,"n/m",AVERAGE(E219:I219))</x:f>
        <x:v>0.10163305459973529</x:v>
      </x:c>
      <x:c r="K219" s="11" t="n">
        <x:f aca="0">COUNT(E219:I219)</x:f>
        <x:v>5</x:v>
      </x:c>
      <x:c r="L219" s="42" t="n">
        <x:f aca="0">IF(AND(ISNUMBER(E219),ISNUMBER(J219)),E219-J219,"n/m")</x:f>
        <x:v>-0.10163305459973529</x:v>
      </x:c>
      <x:c r="M219" s="42" t="n">
        <x:f aca="0">IF(COUNT(F219:I219)=0,"n/m",AVERAGE(F219:I219))</x:f>
        <x:v>0.1270413182496691</x:v>
      </x:c>
      <x:c r="N219" s="42" t="n">
        <x:f aca="0">IF(COUNT(E219:I219)=0,"n/m",MEDIAN(E219:I219))</x:f>
        <x:v>0.10100660249111851</x:v>
      </x:c>
      <x:c r="O219" s="11" t="s">
        <x:v>99</x:v>
      </x:c>
      <x:c r="P219" s="9" t="str">
        <x:f aca="0">IF(NOT(ISNUMBER(L219)),"n/m",IF(O219="Higher",IF(L219&gt;=0,"Above avg - favourable","Below avg - unfavourable"),IF(O219="Lower",IF(L219&lt;=0,"Below avg - favourable","Above avg - unfavourable"),IF(L219&gt;=0,"Above avg - context-dependent","Below avg - context-dependent"))))&amp;IF(K219&lt;5," (N="&amp;K219&amp;")","")</x:f>
        <x:v>Below avg - context-dependent</x:v>
      </x:c>
      <x:c r="R219" s="59" t="str">
        <x:f aca="0">IF(K219=0,"n/m",IF(ABS(J219-SUM(E219:I219)/K219)&lt;0.000000001,"OK","ERR"))</x:f>
        <x:v>OK</x:v>
      </x:c>
    </x:row>
    <x:row r="220" ht="15" hidden="0">
      <x:c r="A220" s="5" t="s">
        <x:v>1067</x:v>
      </x:c>
      <x:c r="B220" s="20"/>
      <x:c r="C220" s="20"/>
      <x:c r="D220" s="20"/>
      <x:c r="E220" s="20"/>
      <x:c r="F220" s="20"/>
      <x:c r="G220" s="20"/>
      <x:c r="H220" s="20"/>
      <x:c r="I220" s="20"/>
      <x:c r="J220" s="20"/>
      <x:c r="K220" s="20"/>
      <x:c r="L220" s="20"/>
      <x:c r="M220" s="20"/>
      <x:c r="N220" s="20"/>
      <x:c r="O220" s="20"/>
      <x:c r="P220" s="20"/>
      <x:c r="Q220" s="20"/>
      <x:c r="R220" s="20"/>
    </x:row>
    <x:row r="221" ht="15" hidden="0">
      <x:c r="A221" s="54" t="s">
        <x:v>172</x:v>
      </x:c>
      <x:c r="B221" s="25" t="n">
        <x:v>36</x:v>
      </x:c>
      <x:c r="C221" s="24" t="s">
        <x:v>170</x:v>
      </x:c>
      <x:c r="D221" s="25"/>
      <x:c r="E221" s="25"/>
      <x:c r="F221" s="25"/>
      <x:c r="G221" s="25"/>
      <x:c r="H221" s="25"/>
      <x:c r="I221" s="25"/>
      <x:c r="J221" s="25"/>
      <x:c r="K221" s="25"/>
      <x:c r="L221" s="25"/>
      <x:c r="M221" s="25"/>
      <x:c r="N221" s="25"/>
      <x:c r="O221" s="25"/>
      <x:c r="P221" s="25"/>
      <x:c r="Q221" s="55" t="s">
        <x:v>1068</x:v>
      </x:c>
      <x:c r="R221" s="25"/>
    </x:row>
    <x:row r="222" ht="15" hidden="0">
      <x:c r="C222" s="56" t="s">
        <x:v>170</x:v>
      </x:c>
      <x:c r="D222" s="11" t="s">
        <x:v>73</x:v>
      </x:c>
      <x:c r="E222" s="57" t="n">
        <x:f aca="0">KOHC!D178</x:f>
        <x:v>0.7348241709774519</x:v>
      </x:c>
      <x:c r="F222" s="57" t="n">
        <x:f aca="0">LUCK!D178</x:f>
        <x:v>0.42103545561625083</x:v>
      </x:c>
      <x:c r="G222" s="57" t="n">
        <x:f aca="0">DGKC!D178</x:f>
        <x:v>0.1581418796924945</x:v>
      </x:c>
      <x:c r="H222" s="57" t="n">
        <x:f aca="0">MLCF!D178</x:f>
        <x:v>0.4896246614243733</x:v>
      </x:c>
      <x:c r="I222" s="57" t="n">
        <x:f aca="0">FCCL!D178</x:f>
        <x:v>1.0117896447486598</x:v>
      </x:c>
      <x:c r="J222" s="58" t="n">
        <x:f aca="0">IF(COUNT(E222:I222)=0,"n/m",AVERAGE(E222:I222))</x:f>
        <x:v>0.5630831624918461</x:v>
      </x:c>
      <x:c r="K222" s="11" t="n">
        <x:f aca="0">COUNT(E222:I222)</x:f>
        <x:v>5</x:v>
      </x:c>
      <x:c r="L222" s="46" t="n">
        <x:f aca="0">IF(AND(ISNUMBER(E222),ISNUMBER(J222)),E222-J222,"n/m")</x:f>
        <x:v>0.1717410084856058</x:v>
      </x:c>
      <x:c r="M222" s="46" t="n">
        <x:f aca="0">IF(COUNT(F222:I222)=0,"n/m",AVERAGE(F222:I222))</x:f>
        <x:v>0.5201479103704446</x:v>
      </x:c>
      <x:c r="N222" s="46" t="n">
        <x:f aca="0">IF(COUNT(E222:I222)=0,"n/m",MEDIAN(E222:I222))</x:f>
        <x:v>0.4896246614243733</x:v>
      </x:c>
      <x:c r="O222" s="11" t="s">
        <x:v>90</x:v>
      </x:c>
      <x:c r="P222" s="9" t="str">
        <x:f aca="0">IF(NOT(ISNUMBER(L222)),"n/m",IF(O222="Higher",IF(L222&gt;=0,"Above avg - favourable","Below avg - unfavourable"),IF(O222="Lower",IF(L222&lt;=0,"Below avg - favourable","Above avg - unfavourable"),IF(L222&gt;=0,"Above avg - context-dependent","Below avg - context-dependent"))))&amp;IF(K222&lt;5," (N="&amp;K222&amp;")","")</x:f>
        <x:v>Above avg - favourable</x:v>
      </x:c>
      <x:c r="R222" s="59" t="str">
        <x:f aca="0">IF(K222=0,"n/m",IF(ABS(J222-SUM(E222:I222)/K222)&lt;0.000000001,"OK","ERR"))</x:f>
        <x:v>OK</x:v>
      </x:c>
    </x:row>
    <x:row r="223" ht="15" hidden="0">
      <x:c r="C223" s="56" t="s">
        <x:v>170</x:v>
      </x:c>
      <x:c r="D223" s="11" t="s">
        <x:v>74</x:v>
      </x:c>
      <x:c r="E223" s="57" t="n">
        <x:f aca="0">KOHC!E178</x:f>
        <x:v>0.9591143466325385</x:v>
      </x:c>
      <x:c r="F223" s="57" t="n">
        <x:f aca="0">LUCK!E178</x:f>
        <x:v>0.5092954839453943</x:v>
      </x:c>
      <x:c r="G223" s="57" t="n">
        <x:f aca="0">DGKC!E178</x:f>
        <x:v>-0.09104588620249932</x:v>
      </x:c>
      <x:c r="H223" s="57" t="n">
        <x:f aca="0">MLCF!E178</x:f>
        <x:v>0.6026954756709324</x:v>
      </x:c>
      <x:c r="I223" s="57" t="n">
        <x:f aca="0">FCCL!E178</x:f>
        <x:v>0.46026872897751386</x:v>
      </x:c>
      <x:c r="J223" s="58" t="n">
        <x:f aca="0">IF(COUNT(E223:I223)=0,"n/m",AVERAGE(E223:I223))</x:f>
        <x:v>0.4880656298047759</x:v>
      </x:c>
      <x:c r="K223" s="11" t="n">
        <x:f aca="0">COUNT(E223:I223)</x:f>
        <x:v>5</x:v>
      </x:c>
      <x:c r="L223" s="46" t="n">
        <x:f aca="0">IF(AND(ISNUMBER(E223),ISNUMBER(J223)),E223-J223,"n/m")</x:f>
        <x:v>0.47104871682776256</x:v>
      </x:c>
      <x:c r="M223" s="46" t="n">
        <x:f aca="0">IF(COUNT(F223:I223)=0,"n/m",AVERAGE(F223:I223))</x:f>
        <x:v>0.37030345059783526</x:v>
      </x:c>
      <x:c r="N223" s="46" t="n">
        <x:f aca="0">IF(COUNT(E223:I223)=0,"n/m",MEDIAN(E223:I223))</x:f>
        <x:v>0.5092954839453943</x:v>
      </x:c>
      <x:c r="O223" s="11" t="s">
        <x:v>90</x:v>
      </x:c>
      <x:c r="P223" s="9" t="str">
        <x:f aca="0">IF(NOT(ISNUMBER(L223)),"n/m",IF(O223="Higher",IF(L223&gt;=0,"Above avg - favourable","Below avg - unfavourable"),IF(O223="Lower",IF(L223&lt;=0,"Below avg - favourable","Above avg - unfavourable"),IF(L223&gt;=0,"Above avg - context-dependent","Below avg - context-dependent"))))&amp;IF(K223&lt;5," (N="&amp;K223&amp;")","")</x:f>
        <x:v>Above avg - favourable</x:v>
      </x:c>
      <x:c r="R223" s="59" t="str">
        <x:f aca="0">IF(K223=0,"n/m",IF(ABS(J223-SUM(E223:I223)/K223)&lt;0.000000001,"OK","ERR"))</x:f>
        <x:v>OK</x:v>
      </x:c>
    </x:row>
    <x:row r="224" ht="15" hidden="0">
      <x:c r="C224" s="56" t="s">
        <x:v>170</x:v>
      </x:c>
      <x:c r="D224" s="11" t="s">
        <x:v>75</x:v>
      </x:c>
      <x:c r="E224" s="57" t="n">
        <x:f aca="0">KOHC!F178</x:f>
        <x:v>0.45896656897619287</x:v>
      </x:c>
      <x:c r="F224" s="57" t="n">
        <x:f aca="0">LUCK!F178</x:f>
        <x:v>0.6073220985166661</x:v>
      </x:c>
      <x:c r="G224" s="57" t="n">
        <x:f aca="0">DGKC!F178</x:f>
        <x:v>0.13727106602143005</x:v>
      </x:c>
      <x:c r="H224" s="57" t="n">
        <x:f aca="0">MLCF!F178</x:f>
        <x:v>1.2431133620493349</x:v>
      </x:c>
      <x:c r="I224" s="57" t="n">
        <x:f aca="0">FCCL!F178</x:f>
        <x:v>0.5807479582527986</x:v>
      </x:c>
      <x:c r="J224" s="58" t="n">
        <x:f aca="0">IF(COUNT(E224:I224)=0,"n/m",AVERAGE(E224:I224))</x:f>
        <x:v>0.6054842107632845</x:v>
      </x:c>
      <x:c r="K224" s="11" t="n">
        <x:f aca="0">COUNT(E224:I224)</x:f>
        <x:v>5</x:v>
      </x:c>
      <x:c r="L224" s="46" t="n">
        <x:f aca="0">IF(AND(ISNUMBER(E224),ISNUMBER(J224)),E224-J224,"n/m")</x:f>
        <x:v>-0.14651764178709165</x:v>
      </x:c>
      <x:c r="M224" s="46" t="n">
        <x:f aca="0">IF(COUNT(F224:I224)=0,"n/m",AVERAGE(F224:I224))</x:f>
        <x:v>0.6421136212100573</x:v>
      </x:c>
      <x:c r="N224" s="46" t="n">
        <x:f aca="0">IF(COUNT(E224:I224)=0,"n/m",MEDIAN(E224:I224))</x:f>
        <x:v>0.5807479582527986</x:v>
      </x:c>
      <x:c r="O224" s="11" t="s">
        <x:v>90</x:v>
      </x:c>
      <x:c r="P224" s="9" t="str">
        <x:f aca="0">IF(NOT(ISNUMBER(L224)),"n/m",IF(O224="Higher",IF(L224&gt;=0,"Above avg - favourable","Below avg - unfavourable"),IF(O224="Lower",IF(L224&lt;=0,"Below avg - favourable","Above avg - unfavourable"),IF(L224&gt;=0,"Above avg - context-dependent","Below avg - context-dependent"))))&amp;IF(K224&lt;5," (N="&amp;K224&amp;")","")</x:f>
        <x:v>Below avg - unfavourable</x:v>
      </x:c>
      <x:c r="R224" s="59" t="str">
        <x:f aca="0">IF(K224=0,"n/m",IF(ABS(J224-SUM(E224:I224)/K224)&lt;0.000000001,"OK","ERR"))</x:f>
        <x:v>OK</x:v>
      </x:c>
    </x:row>
    <x:row r="225" ht="15" hidden="0">
      <x:c r="C225" s="56" t="s">
        <x:v>170</x:v>
      </x:c>
      <x:c r="D225" s="11" t="s">
        <x:v>76</x:v>
      </x:c>
      <x:c r="E225" s="57" t="n">
        <x:f aca="0">KOHC!G178</x:f>
        <x:v>0.6328198162609167</x:v>
      </x:c>
      <x:c r="F225" s="57" t="n">
        <x:f aca="0">LUCK!G178</x:f>
        <x:v>0.5495849171169304</x:v>
      </x:c>
      <x:c r="G225" s="57" t="n">
        <x:f aca="0">DGKC!G178</x:f>
        <x:v>0.14905890442807204</x:v>
      </x:c>
      <x:c r="H225" s="57" t="n">
        <x:f aca="0">MLCF!G178</x:f>
        <x:v>0.5455600969539355</x:v>
      </x:c>
      <x:c r="I225" s="57" t="n">
        <x:f aca="0">FCCL!G178</x:f>
        <x:v>0.8051914064237449</x:v>
      </x:c>
      <x:c r="J225" s="58" t="n">
        <x:f aca="0">IF(COUNT(E225:I225)=0,"n/m",AVERAGE(E225:I225))</x:f>
        <x:v>0.5364430282367199</x:v>
      </x:c>
      <x:c r="K225" s="11" t="n">
        <x:f aca="0">COUNT(E225:I225)</x:f>
        <x:v>5</x:v>
      </x:c>
      <x:c r="L225" s="46" t="n">
        <x:f aca="0">IF(AND(ISNUMBER(E225),ISNUMBER(J225)),E225-J225,"n/m")</x:f>
        <x:v>0.0963767880241968</x:v>
      </x:c>
      <x:c r="M225" s="46" t="n">
        <x:f aca="0">IF(COUNT(F225:I225)=0,"n/m",AVERAGE(F225:I225))</x:f>
        <x:v>0.5123488312306708</x:v>
      </x:c>
      <x:c r="N225" s="46" t="n">
        <x:f aca="0">IF(COUNT(E225:I225)=0,"n/m",MEDIAN(E225:I225))</x:f>
        <x:v>0.5495849171169304</x:v>
      </x:c>
      <x:c r="O225" s="11" t="s">
        <x:v>90</x:v>
      </x:c>
      <x:c r="P225" s="9" t="str">
        <x:f aca="0">IF(NOT(ISNUMBER(L225)),"n/m",IF(O225="Higher",IF(L225&gt;=0,"Above avg - favourable","Below avg - unfavourable"),IF(O225="Lower",IF(L225&lt;=0,"Below avg - favourable","Above avg - unfavourable"),IF(L225&gt;=0,"Above avg - context-dependent","Below avg - context-dependent"))))&amp;IF(K225&lt;5," (N="&amp;K225&amp;")","")</x:f>
        <x:v>Above avg - favourable</x:v>
      </x:c>
      <x:c r="R225" s="59" t="str">
        <x:f aca="0">IF(K225=0,"n/m",IF(ABS(J225-SUM(E225:I225)/K225)&lt;0.000000001,"OK","ERR"))</x:f>
        <x:v>OK</x:v>
      </x:c>
    </x:row>
    <x:row r="226" ht="15" hidden="0">
      <x:c r="C226" s="56" t="s">
        <x:v>170</x:v>
      </x:c>
      <x:c r="D226" s="11" t="s">
        <x:v>77</x:v>
      </x:c>
      <x:c r="E226" s="57" t="n">
        <x:f aca="0">KOHC!H178</x:f>
        <x:v>0.8241991052874028</x:v>
      </x:c>
      <x:c r="F226" s="57" t="n">
        <x:f aca="0">LUCK!H178</x:f>
        <x:v>0.48874593972715874</x:v>
      </x:c>
      <x:c r="G226" s="57" t="n">
        <x:f aca="0">DGKC!H178</x:f>
        <x:v>0.34519134637939236</x:v>
      </x:c>
      <x:c r="H226" s="57" t="n">
        <x:f aca="0">MLCF!H178</x:f>
        <x:v>0.921413038275278</x:v>
      </x:c>
      <x:c r="I226" s="57" t="n">
        <x:f aca="0">FCCL!H178</x:f>
        <x:v>0.8456332094463861</x:v>
      </x:c>
      <x:c r="J226" s="58" t="n">
        <x:f aca="0">IF(COUNT(E226:I226)=0,"n/m",AVERAGE(E226:I226))</x:f>
        <x:v>0.6850365278231235</x:v>
      </x:c>
      <x:c r="K226" s="11" t="n">
        <x:f aca="0">COUNT(E226:I226)</x:f>
        <x:v>5</x:v>
      </x:c>
      <x:c r="L226" s="46" t="n">
        <x:f aca="0">IF(AND(ISNUMBER(E226),ISNUMBER(J226)),E226-J226,"n/m")</x:f>
        <x:v>0.1391625774642793</x:v>
      </x:c>
      <x:c r="M226" s="46" t="n">
        <x:f aca="0">IF(COUNT(F226:I226)=0,"n/m",AVERAGE(F226:I226))</x:f>
        <x:v>0.6502458834570537</x:v>
      </x:c>
      <x:c r="N226" s="46" t="n">
        <x:f aca="0">IF(COUNT(E226:I226)=0,"n/m",MEDIAN(E226:I226))</x:f>
        <x:v>0.8241991052874028</x:v>
      </x:c>
      <x:c r="O226" s="11" t="s">
        <x:v>90</x:v>
      </x:c>
      <x:c r="P226" s="9" t="str">
        <x:f aca="0">IF(NOT(ISNUMBER(L226)),"n/m",IF(O226="Higher",IF(L226&gt;=0,"Above avg - favourable","Below avg - unfavourable"),IF(O226="Lower",IF(L226&lt;=0,"Below avg - favourable","Above avg - unfavourable"),IF(L226&gt;=0,"Above avg - context-dependent","Below avg - context-dependent"))))&amp;IF(K226&lt;5," (N="&amp;K226&amp;")","")</x:f>
        <x:v>Above avg - favourable</x:v>
      </x:c>
      <x:c r="R226" s="59" t="str">
        <x:f aca="0">IF(K226=0,"n/m",IF(ABS(J226-SUM(E226:I226)/K226)&lt;0.000000001,"OK","ERR"))</x:f>
        <x:v>OK</x:v>
      </x:c>
    </x:row>
    <x:row r="227" ht="15" hidden="0">
      <x:c r="A227" s="5" t="s">
        <x:v>1069</x:v>
      </x:c>
      <x:c r="B227" s="20"/>
      <x:c r="C227" s="20"/>
      <x:c r="D227" s="20"/>
      <x:c r="E227" s="20"/>
      <x:c r="F227" s="20"/>
      <x:c r="G227" s="20"/>
      <x:c r="H227" s="20"/>
      <x:c r="I227" s="20"/>
      <x:c r="J227" s="20"/>
      <x:c r="K227" s="20"/>
      <x:c r="L227" s="20"/>
      <x:c r="M227" s="20"/>
      <x:c r="N227" s="20"/>
      <x:c r="O227" s="20"/>
      <x:c r="P227" s="20"/>
      <x:c r="Q227" s="20"/>
      <x:c r="R227" s="20"/>
    </x:row>
    <x:row r="228" ht="15" hidden="0">
      <x:c r="A228" s="54" t="s">
        <x:v>175</x:v>
      </x:c>
      <x:c r="B228" s="25" t="s">
        <x:v>1070</x:v>
      </x:c>
      <x:c r="C228" s="24" t="s">
        <x:v>173</x:v>
      </x:c>
      <x:c r="D228" s="25"/>
      <x:c r="E228" s="25"/>
      <x:c r="F228" s="25"/>
      <x:c r="G228" s="25"/>
      <x:c r="H228" s="25"/>
      <x:c r="I228" s="25"/>
      <x:c r="J228" s="25"/>
      <x:c r="K228" s="25"/>
      <x:c r="L228" s="25"/>
      <x:c r="M228" s="25"/>
      <x:c r="N228" s="25"/>
      <x:c r="O228" s="25"/>
      <x:c r="P228" s="25"/>
      <x:c r="Q228" s="55" t="s">
        <x:v>175</x:v>
      </x:c>
      <x:c r="R228" s="25"/>
    </x:row>
    <x:row r="229" ht="15" hidden="0">
      <x:c r="C229" s="56" t="s">
        <x:v>173</x:v>
      </x:c>
      <x:c r="D229" s="11" t="s">
        <x:v>73</x:v>
      </x:c>
      <x:c r="E229" s="65" t="n">
        <x:f aca="0">KOHC!D180</x:f>
        <x:v>0.20014188698824495</x:v>
      </x:c>
      <x:c r="F229" s="65" t="n">
        <x:f aca="0">LUCK!D180</x:f>
        <x:v>0.14878106968764235</x:v>
      </x:c>
      <x:c r="G229" s="65" t="n">
        <x:f aca="0">DGKC!D180</x:f>
        <x:v>0.08117368143235561</x:v>
      </x:c>
      <x:c r="H229" s="65" t="n">
        <x:f aca="0">MLCF!D180</x:f>
        <x:v>0.16653481008908244</x:v>
      </x:c>
      <x:c r="I229" s="65" t="n">
        <x:f aca="0">FCCL!D180</x:f>
        <x:v>0.2009918001683498</x:v>
      </x:c>
      <x:c r="J229" s="66" t="n">
        <x:f aca="0">IF(COUNT(E229:I229)=0,"n/m",AVERAGE(E229:I229))</x:f>
        <x:v>0.15952464967313504</x:v>
      </x:c>
      <x:c r="K229" s="11" t="n">
        <x:f aca="0">COUNT(E229:I229)</x:f>
        <x:v>5</x:v>
      </x:c>
      <x:c r="L229" s="42" t="n">
        <x:f aca="0">IF(AND(ISNUMBER(E229),ISNUMBER(J229)),E229-J229,"n/m")</x:f>
        <x:v>0.04061723731510991</x:v>
      </x:c>
      <x:c r="M229" s="42" t="n">
        <x:f aca="0">IF(COUNT(F229:I229)=0,"n/m",AVERAGE(F229:I229))</x:f>
        <x:v>0.14937034034435756</x:v>
      </x:c>
      <x:c r="N229" s="42" t="n">
        <x:f aca="0">IF(COUNT(E229:I229)=0,"n/m",MEDIAN(E229:I229))</x:f>
        <x:v>0.16653481008908244</x:v>
      </x:c>
      <x:c r="O229" s="11" t="s">
        <x:v>90</x:v>
      </x:c>
      <x:c r="P229" s="9" t="str">
        <x:f aca="0">IF(NOT(ISNUMBER(L229)),"n/m",IF(O229="Higher",IF(L229&gt;=0,"Above avg - favourable","Below avg - unfavourable"),IF(O229="Lower",IF(L229&lt;=0,"Below avg - favourable","Above avg - unfavourable"),IF(L229&gt;=0,"Above avg - context-dependent","Below avg - context-dependent"))))&amp;IF(K229&lt;5," (N="&amp;K229&amp;")","")</x:f>
        <x:v>Above avg - favourable</x:v>
      </x:c>
      <x:c r="R229" s="59" t="str">
        <x:f aca="0">IF(K229=0,"n/m",IF(ABS(J229-SUM(E229:I229)/K229)&lt;0.000000001,"OK","ERR"))</x:f>
        <x:v>OK</x:v>
      </x:c>
    </x:row>
    <x:row r="230" ht="15" hidden="0">
      <x:c r="C230" s="56" t="s">
        <x:v>173</x:v>
      </x:c>
      <x:c r="D230" s="11" t="s">
        <x:v>74</x:v>
      </x:c>
      <x:c r="E230" s="65" t="n">
        <x:f aca="0">KOHC!E180</x:f>
        <x:v>0.30341780257523293</x:v>
      </x:c>
      <x:c r="F230" s="65" t="n">
        <x:f aca="0">LUCK!E180</x:f>
        <x:v>0.15550355000313162</x:v>
      </x:c>
      <x:c r="G230" s="65" t="n">
        <x:f aca="0">DGKC!E180</x:f>
        <x:v>0.10199221459461202</x:v>
      </x:c>
      <x:c r="H230" s="65" t="n">
        <x:f aca="0">MLCF!E180</x:f>
        <x:v>0.14774422741491938</x:v>
      </x:c>
      <x:c r="I230" s="65" t="n">
        <x:f aca="0">FCCL!E180</x:f>
        <x:v>0.2216423809414615</x:v>
      </x:c>
      <x:c r="J230" s="66" t="n">
        <x:f aca="0">IF(COUNT(E230:I230)=0,"n/m",AVERAGE(E230:I230))</x:f>
        <x:v>0.1860600351058715</x:v>
      </x:c>
      <x:c r="K230" s="11" t="n">
        <x:f aca="0">COUNT(E230:I230)</x:f>
        <x:v>5</x:v>
      </x:c>
      <x:c r="L230" s="42" t="n">
        <x:f aca="0">IF(AND(ISNUMBER(E230),ISNUMBER(J230)),E230-J230,"n/m")</x:f>
        <x:v>0.11735776746936144</x:v>
      </x:c>
      <x:c r="M230" s="42" t="n">
        <x:f aca="0">IF(COUNT(F230:I230)=0,"n/m",AVERAGE(F230:I230))</x:f>
        <x:v>0.15672059323853113</x:v>
      </x:c>
      <x:c r="N230" s="42" t="n">
        <x:f aca="0">IF(COUNT(E230:I230)=0,"n/m",MEDIAN(E230:I230))</x:f>
        <x:v>0.15550355000313162</x:v>
      </x:c>
      <x:c r="O230" s="11" t="s">
        <x:v>90</x:v>
      </x:c>
      <x:c r="P230" s="9" t="str">
        <x:f aca="0">IF(NOT(ISNUMBER(L230)),"n/m",IF(O230="Higher",IF(L230&gt;=0,"Above avg - favourable","Below avg - unfavourable"),IF(O230="Lower",IF(L230&lt;=0,"Below avg - favourable","Above avg - unfavourable"),IF(L230&gt;=0,"Above avg - context-dependent","Below avg - context-dependent"))))&amp;IF(K230&lt;5," (N="&amp;K230&amp;")","")</x:f>
        <x:v>Above avg - favourable</x:v>
      </x:c>
      <x:c r="R230" s="59" t="str">
        <x:f aca="0">IF(K230=0,"n/m",IF(ABS(J230-SUM(E230:I230)/K230)&lt;0.000000001,"OK","ERR"))</x:f>
        <x:v>OK</x:v>
      </x:c>
    </x:row>
    <x:row r="231" ht="15" hidden="0">
      <x:c r="C231" s="56" t="s">
        <x:v>173</x:v>
      </x:c>
      <x:c r="D231" s="11" t="s">
        <x:v>75</x:v>
      </x:c>
      <x:c r="E231" s="65" t="n">
        <x:f aca="0">KOHC!F180</x:f>
        <x:v>0.30510595228634624</x:v>
      </x:c>
      <x:c r="F231" s="65" t="n">
        <x:f aca="0">LUCK!F180</x:f>
        <x:v>0.14005038979910608</x:v>
      </x:c>
      <x:c r="G231" s="65" t="n">
        <x:f aca="0">DGKC!F180</x:f>
        <x:v>0.11222944844862043</x:v>
      </x:c>
      <x:c r="H231" s="65" t="n">
        <x:f aca="0">MLCF!F180</x:f>
        <x:v>0.1720466367167354</x:v>
      </x:c>
      <x:c r="I231" s="65" t="n">
        <x:f aca="0">FCCL!F180</x:f>
        <x:v>0.16770223624179204</x:v>
      </x:c>
      <x:c r="J231" s="66" t="n">
        <x:f aca="0">IF(COUNT(E231:I231)=0,"n/m",AVERAGE(E231:I231))</x:f>
        <x:v>0.17942693269852</x:v>
      </x:c>
      <x:c r="K231" s="11" t="n">
        <x:f aca="0">COUNT(E231:I231)</x:f>
        <x:v>5</x:v>
      </x:c>
      <x:c r="L231" s="42" t="n">
        <x:f aca="0">IF(AND(ISNUMBER(E231),ISNUMBER(J231)),E231-J231,"n/m")</x:f>
        <x:v>0.12567901958782624</x:v>
      </x:c>
      <x:c r="M231" s="42" t="n">
        <x:f aca="0">IF(COUNT(F231:I231)=0,"n/m",AVERAGE(F231:I231))</x:f>
        <x:v>0.14800717780156347</x:v>
      </x:c>
      <x:c r="N231" s="42" t="n">
        <x:f aca="0">IF(COUNT(E231:I231)=0,"n/m",MEDIAN(E231:I231))</x:f>
        <x:v>0.16770223624179204</x:v>
      </x:c>
      <x:c r="O231" s="11" t="s">
        <x:v>90</x:v>
      </x:c>
      <x:c r="P231" s="9" t="str">
        <x:f aca="0">IF(NOT(ISNUMBER(L231)),"n/m",IF(O231="Higher",IF(L231&gt;=0,"Above avg - favourable","Below avg - unfavourable"),IF(O231="Lower",IF(L231&lt;=0,"Below avg - favourable","Above avg - unfavourable"),IF(L231&gt;=0,"Above avg - context-dependent","Below avg - context-dependent"))))&amp;IF(K231&lt;5," (N="&amp;K231&amp;")","")</x:f>
        <x:v>Above avg - favourable</x:v>
      </x:c>
      <x:c r="R231" s="59" t="str">
        <x:f aca="0">IF(K231=0,"n/m",IF(ABS(J231-SUM(E231:I231)/K231)&lt;0.000000001,"OK","ERR"))</x:f>
        <x:v>OK</x:v>
      </x:c>
    </x:row>
    <x:row r="232" ht="15" hidden="0">
      <x:c r="C232" s="56" t="s">
        <x:v>173</x:v>
      </x:c>
      <x:c r="D232" s="11" t="s">
        <x:v>76</x:v>
      </x:c>
      <x:c r="E232" s="65" t="n">
        <x:f aca="0">KOHC!G180</x:f>
        <x:v>0.33087901145461096</x:v>
      </x:c>
      <x:c r="F232" s="65" t="n">
        <x:f aca="0">LUCK!G180</x:f>
        <x:v>0.24785281930302647</x:v>
      </x:c>
      <x:c r="G232" s="65" t="n">
        <x:f aca="0">DGKC!G180</x:f>
        <x:v>0.11280079026625844</x:v>
      </x:c>
      <x:c r="H232" s="65" t="n">
        <x:f aca="0">MLCF!G180</x:f>
        <x:v>0.16945009123912752</x:v>
      </x:c>
      <x:c r="I232" s="65" t="n">
        <x:f aca="0">FCCL!G180</x:f>
        <x:v>0.18078861463791</x:v>
      </x:c>
      <x:c r="J232" s="66" t="n">
        <x:f aca="0">IF(COUNT(E232:I232)=0,"n/m",AVERAGE(E232:I232))</x:f>
        <x:v>0.2083542653801867</x:v>
      </x:c>
      <x:c r="K232" s="11" t="n">
        <x:f aca="0">COUNT(E232:I232)</x:f>
        <x:v>5</x:v>
      </x:c>
      <x:c r="L232" s="42" t="n">
        <x:f aca="0">IF(AND(ISNUMBER(E232),ISNUMBER(J232)),E232-J232,"n/m")</x:f>
        <x:v>0.12252474607442426</x:v>
      </x:c>
      <x:c r="M232" s="42" t="n">
        <x:f aca="0">IF(COUNT(F232:I232)=0,"n/m",AVERAGE(F232:I232))</x:f>
        <x:v>0.1777230788615806</x:v>
      </x:c>
      <x:c r="N232" s="42" t="n">
        <x:f aca="0">IF(COUNT(E232:I232)=0,"n/m",MEDIAN(E232:I232))</x:f>
        <x:v>0.18078861463791</x:v>
      </x:c>
      <x:c r="O232" s="11" t="s">
        <x:v>90</x:v>
      </x:c>
      <x:c r="P232" s="9" t="str">
        <x:f aca="0">IF(NOT(ISNUMBER(L232)),"n/m",IF(O232="Higher",IF(L232&gt;=0,"Above avg - favourable","Below avg - unfavourable"),IF(O232="Lower",IF(L232&lt;=0,"Below avg - favourable","Above avg - unfavourable"),IF(L232&gt;=0,"Above avg - context-dependent","Below avg - context-dependent"))))&amp;IF(K232&lt;5," (N="&amp;K232&amp;")","")</x:f>
        <x:v>Above avg - favourable</x:v>
      </x:c>
      <x:c r="R232" s="59" t="str">
        <x:f aca="0">IF(K232=0,"n/m",IF(ABS(J232-SUM(E232:I232)/K232)&lt;0.000000001,"OK","ERR"))</x:f>
        <x:v>OK</x:v>
      </x:c>
    </x:row>
    <x:row r="233" ht="15" hidden="0">
      <x:c r="C233" s="56" t="s">
        <x:v>173</x:v>
      </x:c>
      <x:c r="D233" s="11" t="s">
        <x:v>77</x:v>
      </x:c>
      <x:c r="E233" s="65" t="n">
        <x:f aca="0">KOHC!H180</x:f>
        <x:v>0.35180184109770796</x:v>
      </x:c>
      <x:c r="F233" s="65" t="n">
        <x:f aca="0">LUCK!H180</x:f>
        <x:v>0.25103932021163144</x:v>
      </x:c>
      <x:c r="G233" s="65" t="n">
        <x:f aca="0">DGKC!H180</x:f>
        <x:v>0.1492219737716935</x:v>
      </x:c>
      <x:c r="H233" s="65" t="n">
        <x:f aca="0">MLCF!H180</x:f>
        <x:v>0.2856973137897185</x:v>
      </x:c>
      <x:c r="I233" s="65" t="n">
        <x:f aca="0">FCCL!H180</x:f>
        <x:v>0.21752978181089475</x:v>
      </x:c>
      <x:c r="J233" s="66" t="n">
        <x:f aca="0">IF(COUNT(E233:I233)=0,"n/m",AVERAGE(E233:I233))</x:f>
        <x:v>0.25105804613632926</x:v>
      </x:c>
      <x:c r="K233" s="11" t="n">
        <x:f aca="0">COUNT(E233:I233)</x:f>
        <x:v>5</x:v>
      </x:c>
      <x:c r="L233" s="42" t="n">
        <x:f aca="0">IF(AND(ISNUMBER(E233),ISNUMBER(J233)),E233-J233,"n/m")</x:f>
        <x:v>0.1007437949613787</x:v>
      </x:c>
      <x:c r="M233" s="42" t="n">
        <x:f aca="0">IF(COUNT(F233:I233)=0,"n/m",AVERAGE(F233:I233))</x:f>
        <x:v>0.22587209739598457</x:v>
      </x:c>
      <x:c r="N233" s="42" t="n">
        <x:f aca="0">IF(COUNT(E233:I233)=0,"n/m",MEDIAN(E233:I233))</x:f>
        <x:v>0.25103932021163144</x:v>
      </x:c>
      <x:c r="O233" s="11" t="s">
        <x:v>90</x:v>
      </x:c>
      <x:c r="P233" s="9" t="str">
        <x:f aca="0">IF(NOT(ISNUMBER(L233)),"n/m",IF(O233="Higher",IF(L233&gt;=0,"Above avg - favourable","Below avg - unfavourable"),IF(O233="Lower",IF(L233&lt;=0,"Below avg - favourable","Above avg - unfavourable"),IF(L233&gt;=0,"Above avg - context-dependent","Below avg - context-dependent"))))&amp;IF(K233&lt;5," (N="&amp;K233&amp;")","")</x:f>
        <x:v>Above avg - favourable</x:v>
      </x:c>
      <x:c r="R233" s="59" t="str">
        <x:f aca="0">IF(K233=0,"n/m",IF(ABS(J233-SUM(E233:I233)/K233)&lt;0.000000001,"OK","ERR"))</x:f>
        <x:v>OK</x:v>
      </x:c>
    </x:row>
    <x:row r="234" ht="15" hidden="0">
      <x:c r="A234" s="54" t="s">
        <x:v>175</x:v>
      </x:c>
      <x:c r="B234" s="25" t="s">
        <x:v>1071</x:v>
      </x:c>
      <x:c r="C234" s="24" t="s">
        <x:v>176</x:v>
      </x:c>
      <x:c r="D234" s="25"/>
      <x:c r="E234" s="25"/>
      <x:c r="F234" s="25"/>
      <x:c r="G234" s="25"/>
      <x:c r="H234" s="25"/>
      <x:c r="I234" s="25"/>
      <x:c r="J234" s="25"/>
      <x:c r="K234" s="25"/>
      <x:c r="L234" s="25"/>
      <x:c r="M234" s="25"/>
      <x:c r="N234" s="25"/>
      <x:c r="O234" s="25"/>
      <x:c r="P234" s="25"/>
      <x:c r="Q234" s="55" t="s">
        <x:v>175</x:v>
      </x:c>
      <x:c r="R234" s="25"/>
    </x:row>
    <x:row r="235" ht="15" hidden="0">
      <x:c r="C235" s="56" t="s">
        <x:v>176</x:v>
      </x:c>
      <x:c r="D235" s="11" t="s">
        <x:v>73</x:v>
      </x:c>
      <x:c r="E235" s="65" t="n">
        <x:f aca="0">KOHC!D181</x:f>
        <x:v>0.2115490843927614</x:v>
      </x:c>
      <x:c r="F235" s="65" t="n">
        <x:f aca="0">LUCK!D181</x:f>
        <x:v>0.1984822246871485</x:v>
      </x:c>
      <x:c r="G235" s="65" t="n">
        <x:f aca="0">DGKC!D181</x:f>
        <x:v>0.13658846196734967</x:v>
      </x:c>
      <x:c r="H235" s="65" t="n">
        <x:f aca="0">MLCF!D181</x:f>
        <x:v>0.18436354062058283</x:v>
      </x:c>
      <x:c r="I235" s="65" t="n">
        <x:f aca="0">FCCL!D181</x:f>
        <x:v>0.2364562486081804</x:v>
      </x:c>
      <x:c r="J235" s="66" t="n">
        <x:f aca="0">IF(COUNT(E235:I235)=0,"n/m",AVERAGE(E235:I235))</x:f>
        <x:v>0.19348791205520455</x:v>
      </x:c>
      <x:c r="K235" s="11" t="n">
        <x:f aca="0">COUNT(E235:I235)</x:f>
        <x:v>5</x:v>
      </x:c>
      <x:c r="L235" s="42" t="n">
        <x:f aca="0">IF(AND(ISNUMBER(E235),ISNUMBER(J235)),E235-J235,"n/m")</x:f>
        <x:v>0.018061172337556858</x:v>
      </x:c>
      <x:c r="M235" s="42" t="n">
        <x:f aca="0">IF(COUNT(F235:I235)=0,"n/m",AVERAGE(F235:I235))</x:f>
        <x:v>0.18897261897081533</x:v>
      </x:c>
      <x:c r="N235" s="42" t="n">
        <x:f aca="0">IF(COUNT(E235:I235)=0,"n/m",MEDIAN(E235:I235))</x:f>
        <x:v>0.1984822246871485</x:v>
      </x:c>
      <x:c r="O235" s="11" t="s">
        <x:v>90</x:v>
      </x:c>
      <x:c r="P235" s="9" t="str">
        <x:f aca="0">IF(NOT(ISNUMBER(L235)),"n/m",IF(O235="Higher",IF(L235&gt;=0,"Above avg - favourable","Below avg - unfavourable"),IF(O235="Lower",IF(L235&lt;=0,"Below avg - favourable","Above avg - unfavourable"),IF(L235&gt;=0,"Above avg - context-dependent","Below avg - context-dependent"))))&amp;IF(K235&lt;5," (N="&amp;K235&amp;")","")</x:f>
        <x:v>Above avg - favourable</x:v>
      </x:c>
      <x:c r="R235" s="59" t="str">
        <x:f aca="0">IF(K235=0,"n/m",IF(ABS(J235-SUM(E235:I235)/K235)&lt;0.000000001,"OK","ERR"))</x:f>
        <x:v>OK</x:v>
      </x:c>
    </x:row>
    <x:row r="236" ht="15" hidden="0">
      <x:c r="C236" s="56" t="s">
        <x:v>176</x:v>
      </x:c>
      <x:c r="D236" s="11" t="s">
        <x:v>74</x:v>
      </x:c>
      <x:c r="E236" s="65" t="n">
        <x:f aca="0">KOHC!E181</x:f>
        <x:v>0.24884784307255017</x:v>
      </x:c>
      <x:c r="F236" s="65" t="n">
        <x:f aca="0">LUCK!E181</x:f>
        <x:v>0.19076059401783313</x:v>
      </x:c>
      <x:c r="G236" s="65" t="n">
        <x:f aca="0">DGKC!E181</x:f>
        <x:v>-0.06775012545253922</x:v>
      </x:c>
      <x:c r="H236" s="65" t="n">
        <x:f aca="0">MLCF!E181</x:f>
        <x:v>0.17168532351715352</x:v>
      </x:c>
      <x:c r="I236" s="65" t="n">
        <x:f aca="0">FCCL!E181</x:f>
        <x:v>0.13951196537042726</x:v>
      </x:c>
      <x:c r="J236" s="66" t="n">
        <x:f aca="0">IF(COUNT(E236:I236)=0,"n/m",AVERAGE(E236:I236))</x:f>
        <x:v>0.13661112010508497</x:v>
      </x:c>
      <x:c r="K236" s="11" t="n">
        <x:f aca="0">COUNT(E236:I236)</x:f>
        <x:v>5</x:v>
      </x:c>
      <x:c r="L236" s="42" t="n">
        <x:f aca="0">IF(AND(ISNUMBER(E236),ISNUMBER(J236)),E236-J236,"n/m")</x:f>
        <x:v>0.1122367229674652</x:v>
      </x:c>
      <x:c r="M236" s="42" t="n">
        <x:f aca="0">IF(COUNT(F236:I236)=0,"n/m",AVERAGE(F236:I236))</x:f>
        <x:v>0.10855193936321868</x:v>
      </x:c>
      <x:c r="N236" s="42" t="n">
        <x:f aca="0">IF(COUNT(E236:I236)=0,"n/m",MEDIAN(E236:I236))</x:f>
        <x:v>0.17168532351715352</x:v>
      </x:c>
      <x:c r="O236" s="11" t="s">
        <x:v>90</x:v>
      </x:c>
      <x:c r="P236" s="9" t="str">
        <x:f aca="0">IF(NOT(ISNUMBER(L236)),"n/m",IF(O236="Higher",IF(L236&gt;=0,"Above avg - favourable","Below avg - unfavourable"),IF(O236="Lower",IF(L236&lt;=0,"Below avg - favourable","Above avg - unfavourable"),IF(L236&gt;=0,"Above avg - context-dependent","Below avg - context-dependent"))))&amp;IF(K236&lt;5," (N="&amp;K236&amp;")","")</x:f>
        <x:v>Above avg - favourable</x:v>
      </x:c>
      <x:c r="R236" s="59" t="str">
        <x:f aca="0">IF(K236=0,"n/m",IF(ABS(J236-SUM(E236:I236)/K236)&lt;0.000000001,"OK","ERR"))</x:f>
        <x:v>OK</x:v>
      </x:c>
    </x:row>
    <x:row r="237" ht="15" hidden="0">
      <x:c r="C237" s="56" t="s">
        <x:v>176</x:v>
      </x:c>
      <x:c r="D237" s="11" t="s">
        <x:v>75</x:v>
      </x:c>
      <x:c r="E237" s="65" t="n">
        <x:f aca="0">KOHC!F181</x:f>
        <x:v>0.11438578366414917</x:v>
      </x:c>
      <x:c r="F237" s="65" t="n">
        <x:f aca="0">LUCK!F181</x:f>
        <x:v>0.2425375693607282</x:v>
      </x:c>
      <x:c r="G237" s="65" t="n">
        <x:f aca="0">DGKC!F181</x:f>
        <x:v>0.10009005164531645</x:v>
      </x:c>
      <x:c r="H237" s="65" t="n">
        <x:f aca="0">MLCF!F181</x:f>
        <x:v>0.32450392192483646</x:v>
      </x:c>
      <x:c r="I237" s="65" t="n">
        <x:f aca="0">FCCL!F181</x:f>
        <x:v>0.23551002051116093</x:v>
      </x:c>
      <x:c r="J237" s="66" t="n">
        <x:f aca="0">IF(COUNT(E237:I237)=0,"n/m",AVERAGE(E237:I237))</x:f>
        <x:v>0.20340546942123824</x:v>
      </x:c>
      <x:c r="K237" s="11" t="n">
        <x:f aca="0">COUNT(E237:I237)</x:f>
        <x:v>5</x:v>
      </x:c>
      <x:c r="L237" s="42" t="n">
        <x:f aca="0">IF(AND(ISNUMBER(E237),ISNUMBER(J237)),E237-J237,"n/m")</x:f>
        <x:v>-0.08901968575708907</x:v>
      </x:c>
      <x:c r="M237" s="42" t="n">
        <x:f aca="0">IF(COUNT(F237:I237)=0,"n/m",AVERAGE(F237:I237))</x:f>
        <x:v>0.22566039086051048</x:v>
      </x:c>
      <x:c r="N237" s="42" t="n">
        <x:f aca="0">IF(COUNT(E237:I237)=0,"n/m",MEDIAN(E237:I237))</x:f>
        <x:v>0.23551002051116093</x:v>
      </x:c>
      <x:c r="O237" s="11" t="s">
        <x:v>90</x:v>
      </x:c>
      <x:c r="P237" s="9" t="str">
        <x:f aca="0">IF(NOT(ISNUMBER(L237)),"n/m",IF(O237="Higher",IF(L237&gt;=0,"Above avg - favourable","Below avg - unfavourable"),IF(O237="Lower",IF(L237&lt;=0,"Below avg - favourable","Above avg - unfavourable"),IF(L237&gt;=0,"Above avg - context-dependent","Below avg - context-dependent"))))&amp;IF(K237&lt;5," (N="&amp;K237&amp;")","")</x:f>
        <x:v>Below avg - unfavourable</x:v>
      </x:c>
      <x:c r="R237" s="59" t="str">
        <x:f aca="0">IF(K237=0,"n/m",IF(ABS(J237-SUM(E237:I237)/K237)&lt;0.000000001,"OK","ERR"))</x:f>
        <x:v>OK</x:v>
      </x:c>
    </x:row>
    <x:row r="238" ht="15" hidden="0">
      <x:c r="C238" s="56" t="s">
        <x:v>176</x:v>
      </x:c>
      <x:c r="D238" s="11" t="s">
        <x:v>76</x:v>
      </x:c>
      <x:c r="E238" s="65" t="n">
        <x:f aca="0">KOHC!G181</x:f>
        <x:v>0.17199372066753826</x:v>
      </x:c>
      <x:c r="F238" s="65" t="n">
        <x:f aca="0">LUCK!G181</x:f>
        <x:v>0.23915677321563278</x:v>
      </x:c>
      <x:c r="G238" s="65" t="n">
        <x:f aca="0">DGKC!G181</x:f>
        <x:v>0.0913032207529135</x:v>
      </x:c>
      <x:c r="H238" s="65" t="n">
        <x:f aca="0">MLCF!G181</x:f>
        <x:v>0.14290304685697489</x:v>
      </x:c>
      <x:c r="I238" s="65" t="n">
        <x:f aca="0">FCCL!G181</x:f>
        <x:v>0.27846629928543676</x:v>
      </x:c>
      <x:c r="J238" s="66" t="n">
        <x:f aca="0">IF(COUNT(E238:I238)=0,"n/m",AVERAGE(E238:I238))</x:f>
        <x:v>0.18476461215569923</x:v>
      </x:c>
      <x:c r="K238" s="11" t="n">
        <x:f aca="0">COUNT(E238:I238)</x:f>
        <x:v>5</x:v>
      </x:c>
      <x:c r="L238" s="42" t="n">
        <x:f aca="0">IF(AND(ISNUMBER(E238),ISNUMBER(J238)),E238-J238,"n/m")</x:f>
        <x:v>-0.012770891488160963</x:v>
      </x:c>
      <x:c r="M238" s="42" t="n">
        <x:f aca="0">IF(COUNT(F238:I238)=0,"n/m",AVERAGE(F238:I238))</x:f>
        <x:v>0.18795733502773948</x:v>
      </x:c>
      <x:c r="N238" s="42" t="n">
        <x:f aca="0">IF(COUNT(E238:I238)=0,"n/m",MEDIAN(E238:I238))</x:f>
        <x:v>0.17199372066753826</x:v>
      </x:c>
      <x:c r="O238" s="11" t="s">
        <x:v>90</x:v>
      </x:c>
      <x:c r="P238" s="9" t="str">
        <x:f aca="0">IF(NOT(ISNUMBER(L238)),"n/m",IF(O238="Higher",IF(L238&gt;=0,"Above avg - favourable","Below avg - unfavourable"),IF(O238="Lower",IF(L238&lt;=0,"Below avg - favourable","Above avg - unfavourable"),IF(L238&gt;=0,"Above avg - context-dependent","Below avg - context-dependent"))))&amp;IF(K238&lt;5," (N="&amp;K238&amp;")","")</x:f>
        <x:v>Below avg - unfavourable</x:v>
      </x:c>
      <x:c r="R238" s="59" t="str">
        <x:f aca="0">IF(K238=0,"n/m",IF(ABS(J238-SUM(E238:I238)/K238)&lt;0.000000001,"OK","ERR"))</x:f>
        <x:v>OK</x:v>
      </x:c>
    </x:row>
    <x:row r="239" ht="15" hidden="0">
      <x:c r="C239" s="56" t="s">
        <x:v>176</x:v>
      </x:c>
      <x:c r="D239" s="11" t="s">
        <x:v>77</x:v>
      </x:c>
      <x:c r="E239" s="65" t="n">
        <x:f aca="0">KOHC!H181</x:f>
        <x:v>0.24984983482540254</x:v>
      </x:c>
      <x:c r="F239" s="65" t="n">
        <x:f aca="0">LUCK!H181</x:f>
        <x:v>0.22144551280239075</x:v>
      </x:c>
      <x:c r="G239" s="65" t="n">
        <x:f aca="0">DGKC!H181</x:f>
        <x:v>0.1395706779522416</x:v>
      </x:c>
      <x:c r="H239" s="65" t="n">
        <x:f aca="0">MLCF!H181</x:f>
        <x:v>0.28018496761777206</x:v>
      </x:c>
      <x:c r="I239" s="65" t="n">
        <x:f aca="0">FCCL!H181</x:f>
        <x:v>0.2733162277111978</x:v>
      </x:c>
      <x:c r="J239" s="66" t="n">
        <x:f aca="0">IF(COUNT(E239:I239)=0,"n/m",AVERAGE(E239:I239))</x:f>
        <x:v>0.23287344418180095</x:v>
      </x:c>
      <x:c r="K239" s="11" t="n">
        <x:f aca="0">COUNT(E239:I239)</x:f>
        <x:v>5</x:v>
      </x:c>
      <x:c r="L239" s="42" t="n">
        <x:f aca="0">IF(AND(ISNUMBER(E239),ISNUMBER(J239)),E239-J239,"n/m")</x:f>
        <x:v>0.016976390643601597</x:v>
      </x:c>
      <x:c r="M239" s="42" t="n">
        <x:f aca="0">IF(COUNT(F239:I239)=0,"n/m",AVERAGE(F239:I239))</x:f>
        <x:v>0.22862934652090056</x:v>
      </x:c>
      <x:c r="N239" s="42" t="n">
        <x:f aca="0">IF(COUNT(E239:I239)=0,"n/m",MEDIAN(E239:I239))</x:f>
        <x:v>0.24984983482540254</x:v>
      </x:c>
      <x:c r="O239" s="11" t="s">
        <x:v>90</x:v>
      </x:c>
      <x:c r="P239" s="9" t="str">
        <x:f aca="0">IF(NOT(ISNUMBER(L239)),"n/m",IF(O239="Higher",IF(L239&gt;=0,"Above avg - favourable","Below avg - unfavourable"),IF(O239="Lower",IF(L239&lt;=0,"Below avg - favourable","Above avg - unfavourable"),IF(L239&gt;=0,"Above avg - context-dependent","Below avg - context-dependent"))))&amp;IF(K239&lt;5," (N="&amp;K239&amp;")","")</x:f>
        <x:v>Above avg - favourable</x:v>
      </x:c>
      <x:c r="R239" s="59" t="str">
        <x:f aca="0">IF(K239=0,"n/m",IF(ABS(J239-SUM(E239:I239)/K239)&lt;0.000000001,"OK","ERR"))</x:f>
        <x:v>OK</x:v>
      </x:c>
    </x:row>
    <x:row r="240" ht="15" hidden="0">
      <x:c r="A240" s="54" t="s">
        <x:v>175</x:v>
      </x:c>
      <x:c r="B240" s="25" t="s">
        <x:v>1072</x:v>
      </x:c>
      <x:c r="C240" s="24" t="s">
        <x:v>178</x:v>
      </x:c>
      <x:c r="D240" s="25"/>
      <x:c r="E240" s="25"/>
      <x:c r="F240" s="25"/>
      <x:c r="G240" s="25"/>
      <x:c r="H240" s="25"/>
      <x:c r="I240" s="25"/>
      <x:c r="J240" s="25"/>
      <x:c r="K240" s="25"/>
      <x:c r="L240" s="25"/>
      <x:c r="M240" s="25"/>
      <x:c r="N240" s="25"/>
      <x:c r="O240" s="25"/>
      <x:c r="P240" s="25"/>
      <x:c r="Q240" s="55" t="s">
        <x:v>175</x:v>
      </x:c>
      <x:c r="R240" s="25"/>
    </x:row>
    <x:row r="241" ht="15" hidden="0">
      <x:c r="C241" s="56" t="s">
        <x:v>178</x:v>
      </x:c>
      <x:c r="D241" s="11" t="s">
        <x:v>73</x:v>
      </x:c>
      <x:c r="E241" s="57" t="n">
        <x:f aca="0">KOHC!D182</x:f>
        <x:v>0.2722692388457173</x:v>
      </x:c>
      <x:c r="F241" s="57" t="n">
        <x:f aca="0">LUCK!D182</x:f>
        <x:v>0.09267604319417716</x:v>
      </x:c>
      <x:c r="G241" s="57" t="n">
        <x:f aca="0">DGKC!D182</x:f>
        <x:v>0.5960000638559584</x:v>
      </x:c>
      <x:c r="H241" s="57" t="n">
        <x:f aca="0">MLCF!D182</x:f>
        <x:v>0.43245543768601064</x:v>
      </x:c>
      <x:c r="I241" s="57" t="n">
        <x:f aca="0">FCCL!D182</x:f>
        <x:v>0.11033361830900601</x:v>
      </x:c>
      <x:c r="J241" s="58" t="n">
        <x:f aca="0">IF(COUNT(E241:I241)=0,"n/m",AVERAGE(E241:I241))</x:f>
        <x:v>0.3007468803781739</x:v>
      </x:c>
      <x:c r="K241" s="11" t="n">
        <x:f aca="0">COUNT(E241:I241)</x:f>
        <x:v>5</x:v>
      </x:c>
      <x:c r="L241" s="46" t="n">
        <x:f aca="0">IF(AND(ISNUMBER(E241),ISNUMBER(J241)),E241-J241,"n/m")</x:f>
        <x:v>-0.028477641532456577</x:v>
      </x:c>
      <x:c r="M241" s="46" t="n">
        <x:f aca="0">IF(COUNT(F241:I241)=0,"n/m",AVERAGE(F241:I241))</x:f>
        <x:v>0.307866290761288</x:v>
      </x:c>
      <x:c r="N241" s="46" t="n">
        <x:f aca="0">IF(COUNT(E241:I241)=0,"n/m",MEDIAN(E241:I241))</x:f>
        <x:v>0.2722692388457173</x:v>
      </x:c>
      <x:c r="O241" s="11" t="s">
        <x:v>112</x:v>
      </x:c>
      <x:c r="P241" s="9" t="str">
        <x:f aca="0">IF(NOT(ISNUMBER(L241)),"n/m",IF(O241="Higher",IF(L241&gt;=0,"Above avg - favourable","Below avg - unfavourable"),IF(O241="Lower",IF(L241&lt;=0,"Below avg - favourable","Above avg - unfavourable"),IF(L241&gt;=0,"Above avg - context-dependent","Below avg - context-dependent"))))&amp;IF(K241&lt;5," (N="&amp;K241&amp;")","")</x:f>
        <x:v>Below avg - favourable</x:v>
      </x:c>
      <x:c r="R241" s="59" t="str">
        <x:f aca="0">IF(K241=0,"n/m",IF(ABS(J241-SUM(E241:I241)/K241)&lt;0.000000001,"OK","ERR"))</x:f>
        <x:v>OK</x:v>
      </x:c>
    </x:row>
    <x:row r="242" ht="15" hidden="0">
      <x:c r="C242" s="56" t="s">
        <x:v>178</x:v>
      </x:c>
      <x:c r="D242" s="11" t="s">
        <x:v>74</x:v>
      </x:c>
      <x:c r="E242" s="57" t="n">
        <x:f aca="0">KOHC!E182</x:f>
        <x:v>0.1560331098389557</x:v>
      </x:c>
      <x:c r="F242" s="57" t="n">
        <x:f aca="0">LUCK!E182</x:f>
        <x:v>0.12132883685589589</x:v>
      </x:c>
      <x:c r="G242" s="57" t="n">
        <x:f aca="0">DGKC!E182</x:f>
        <x:v>0.6647191452651274</x:v>
      </x:c>
      <x:c r="H242" s="57" t="n">
        <x:f aca="0">MLCF!E182</x:f>
        <x:v>0.6157376849511754</x:v>
      </x:c>
      <x:c r="I242" s="57" t="n">
        <x:f aca="0">FCCL!E182</x:f>
        <x:v>0.5768428311071336</x:v>
      </x:c>
      <x:c r="J242" s="58" t="n">
        <x:f aca="0">IF(COUNT(E242:I242)=0,"n/m",AVERAGE(E242:I242))</x:f>
        <x:v>0.4269323216036576</x:v>
      </x:c>
      <x:c r="K242" s="11" t="n">
        <x:f aca="0">COUNT(E242:I242)</x:f>
        <x:v>5</x:v>
      </x:c>
      <x:c r="L242" s="46" t="n">
        <x:f aca="0">IF(AND(ISNUMBER(E242),ISNUMBER(J242)),E242-J242,"n/m")</x:f>
        <x:v>-0.2708992117647019</x:v>
      </x:c>
      <x:c r="M242" s="46" t="n">
        <x:f aca="0">IF(COUNT(F242:I242)=0,"n/m",AVERAGE(F242:I242))</x:f>
        <x:v>0.49465712454483307</x:v>
      </x:c>
      <x:c r="N242" s="46" t="n">
        <x:f aca="0">IF(COUNT(E242:I242)=0,"n/m",MEDIAN(E242:I242))</x:f>
        <x:v>0.5768428311071336</x:v>
      </x:c>
      <x:c r="O242" s="11" t="s">
        <x:v>112</x:v>
      </x:c>
      <x:c r="P242" s="9" t="str">
        <x:f aca="0">IF(NOT(ISNUMBER(L242)),"n/m",IF(O242="Higher",IF(L242&gt;=0,"Above avg - favourable","Below avg - unfavourable"),IF(O242="Lower",IF(L242&lt;=0,"Below avg - favourable","Above avg - unfavourable"),IF(L242&gt;=0,"Above avg - context-dependent","Below avg - context-dependent"))))&amp;IF(K242&lt;5," (N="&amp;K242&amp;")","")</x:f>
        <x:v>Below avg - favourable</x:v>
      </x:c>
      <x:c r="R242" s="59" t="str">
        <x:f aca="0">IF(K242=0,"n/m",IF(ABS(J242-SUM(E242:I242)/K242)&lt;0.000000001,"OK","ERR"))</x:f>
        <x:v>OK</x:v>
      </x:c>
    </x:row>
    <x:row r="243" ht="15" hidden="0">
      <x:c r="C243" s="56" t="s">
        <x:v>178</x:v>
      </x:c>
      <x:c r="D243" s="11" t="s">
        <x:v>75</x:v>
      </x:c>
      <x:c r="E243" s="57" t="n">
        <x:f aca="0">KOHC!F182</x:f>
        <x:v>0.09761940686476646</x:v>
      </x:c>
      <x:c r="F243" s="57" t="n">
        <x:f aca="0">LUCK!F182</x:f>
        <x:v>0.1531812607407146</x:v>
      </x:c>
      <x:c r="G243" s="57" t="n">
        <x:f aca="0">DGKC!F182</x:f>
        <x:v>0.6625139033469712</x:v>
      </x:c>
      <x:c r="H243" s="57" t="n">
        <x:f aca="0">MLCF!F182</x:f>
        <x:v>0.44250779404874935</x:v>
      </x:c>
      <x:c r="I243" s="57" t="n">
        <x:f aca="0">FCCL!F182</x:f>
        <x:v>0.737099390222469</x:v>
      </x:c>
      <x:c r="J243" s="58" t="n">
        <x:f aca="0">IF(COUNT(E243:I243)=0,"n/m",AVERAGE(E243:I243))</x:f>
        <x:v>0.4185843510447341</x:v>
      </x:c>
      <x:c r="K243" s="11" t="n">
        <x:f aca="0">COUNT(E243:I243)</x:f>
        <x:v>5</x:v>
      </x:c>
      <x:c r="L243" s="46" t="n">
        <x:f aca="0">IF(AND(ISNUMBER(E243),ISNUMBER(J243)),E243-J243,"n/m")</x:f>
        <x:v>-0.3209649441799677</x:v>
      </x:c>
      <x:c r="M243" s="46" t="n">
        <x:f aca="0">IF(COUNT(F243:I243)=0,"n/m",AVERAGE(F243:I243))</x:f>
        <x:v>0.498825587089726</x:v>
      </x:c>
      <x:c r="N243" s="46" t="n">
        <x:f aca="0">IF(COUNT(E243:I243)=0,"n/m",MEDIAN(E243:I243))</x:f>
        <x:v>0.44250779404874935</x:v>
      </x:c>
      <x:c r="O243" s="11" t="s">
        <x:v>112</x:v>
      </x:c>
      <x:c r="P243" s="9" t="str">
        <x:f aca="0">IF(NOT(ISNUMBER(L243)),"n/m",IF(O243="Higher",IF(L243&gt;=0,"Above avg - favourable","Below avg - unfavourable"),IF(O243="Lower",IF(L243&lt;=0,"Below avg - favourable","Above avg - unfavourable"),IF(L243&gt;=0,"Above avg - context-dependent","Below avg - context-dependent"))))&amp;IF(K243&lt;5," (N="&amp;K243&amp;")","")</x:f>
        <x:v>Below avg - favourable</x:v>
      </x:c>
      <x:c r="R243" s="59" t="str">
        <x:f aca="0">IF(K243=0,"n/m",IF(ABS(J243-SUM(E243:I243)/K243)&lt;0.000000001,"OK","ERR"))</x:f>
        <x:v>OK</x:v>
      </x:c>
    </x:row>
    <x:row r="244" ht="15" hidden="0">
      <x:c r="C244" s="56" t="s">
        <x:v>178</x:v>
      </x:c>
      <x:c r="D244" s="11" t="s">
        <x:v>76</x:v>
      </x:c>
      <x:c r="E244" s="57" t="n">
        <x:f aca="0">KOHC!G182</x:f>
        <x:v>0.05568221890288899</x:v>
      </x:c>
      <x:c r="F244" s="57" t="n">
        <x:f aca="0">LUCK!G182</x:f>
        <x:v>0.13768684470695258</x:v>
      </x:c>
      <x:c r="G244" s="57" t="n">
        <x:f aca="0">DGKC!G182</x:f>
        <x:v>0.45251048227827784</x:v>
      </x:c>
      <x:c r="H244" s="57" t="n">
        <x:f aca="0">MLCF!G182</x:f>
        <x:v>0.36846998820204724</x:v>
      </x:c>
      <x:c r="I244" s="57" t="n">
        <x:f aca="0">FCCL!G182</x:f>
        <x:v>0.5991476324568723</x:v>
      </x:c>
      <x:c r="J244" s="58" t="n">
        <x:f aca="0">IF(COUNT(E244:I244)=0,"n/m",AVERAGE(E244:I244))</x:f>
        <x:v>0.3226994333094078</x:v>
      </x:c>
      <x:c r="K244" s="11" t="n">
        <x:f aca="0">COUNT(E244:I244)</x:f>
        <x:v>5</x:v>
      </x:c>
      <x:c r="L244" s="46" t="n">
        <x:f aca="0">IF(AND(ISNUMBER(E244),ISNUMBER(J244)),E244-J244,"n/m")</x:f>
        <x:v>-0.2670172144065188</x:v>
      </x:c>
      <x:c r="M244" s="46" t="n">
        <x:f aca="0">IF(COUNT(F244:I244)=0,"n/m",AVERAGE(F244:I244))</x:f>
        <x:v>0.38945373691103746</x:v>
      </x:c>
      <x:c r="N244" s="46" t="n">
        <x:f aca="0">IF(COUNT(E244:I244)=0,"n/m",MEDIAN(E244:I244))</x:f>
        <x:v>0.36846998820204724</x:v>
      </x:c>
      <x:c r="O244" s="11" t="s">
        <x:v>112</x:v>
      </x:c>
      <x:c r="P244" s="9" t="str">
        <x:f aca="0">IF(NOT(ISNUMBER(L244)),"n/m",IF(O244="Higher",IF(L244&gt;=0,"Above avg - favourable","Below avg - unfavourable"),IF(O244="Lower",IF(L244&lt;=0,"Below avg - favourable","Above avg - unfavourable"),IF(L244&gt;=0,"Above avg - context-dependent","Below avg - context-dependent"))))&amp;IF(K244&lt;5," (N="&amp;K244&amp;")","")</x:f>
        <x:v>Below avg - favourable</x:v>
      </x:c>
      <x:c r="R244" s="59" t="str">
        <x:f aca="0">IF(K244=0,"n/m",IF(ABS(J244-SUM(E244:I244)/K244)&lt;0.000000001,"OK","ERR"))</x:f>
        <x:v>OK</x:v>
      </x:c>
    </x:row>
    <x:row r="245" ht="15" hidden="0">
      <x:c r="C245" s="56" t="s">
        <x:v>178</x:v>
      </x:c>
      <x:c r="D245" s="11" t="s">
        <x:v>77</x:v>
      </x:c>
      <x:c r="E245" s="57" t="n">
        <x:f aca="0">KOHC!H182</x:f>
        <x:v>0.04775378248741467</x:v>
      </x:c>
      <x:c r="F245" s="57" t="n">
        <x:f aca="0">LUCK!H182</x:f>
        <x:v>0.09968487934766791</x:v>
      </x:c>
      <x:c r="G245" s="57" t="n">
        <x:f aca="0">DGKC!H182</x:f>
        <x:v>0.23141104487858016</x:v>
      </x:c>
      <x:c r="H245" s="57" t="n">
        <x:f aca="0">MLCF!H182</x:f>
        <x:v>0.20402666092297522</x:v>
      </x:c>
      <x:c r="I245" s="57" t="n">
        <x:f aca="0">FCCL!H182</x:f>
        <x:v>0.4772825698360722</x:v>
      </x:c>
      <x:c r="J245" s="58" t="n">
        <x:f aca="0">IF(COUNT(E245:I245)=0,"n/m",AVERAGE(E245:I245))</x:f>
        <x:v>0.21203178749454202</x:v>
      </x:c>
      <x:c r="K245" s="11" t="n">
        <x:f aca="0">COUNT(E245:I245)</x:f>
        <x:v>5</x:v>
      </x:c>
      <x:c r="L245" s="46" t="n">
        <x:f aca="0">IF(AND(ISNUMBER(E245),ISNUMBER(J245)),E245-J245,"n/m")</x:f>
        <x:v>-0.16427800500712736</x:v>
      </x:c>
      <x:c r="M245" s="46" t="n">
        <x:f aca="0">IF(COUNT(F245:I245)=0,"n/m",AVERAGE(F245:I245))</x:f>
        <x:v>0.25310128874632387</x:v>
      </x:c>
      <x:c r="N245" s="46" t="n">
        <x:f aca="0">IF(COUNT(E245:I245)=0,"n/m",MEDIAN(E245:I245))</x:f>
        <x:v>0.20402666092297522</x:v>
      </x:c>
      <x:c r="O245" s="11" t="s">
        <x:v>112</x:v>
      </x:c>
      <x:c r="P245" s="9" t="str">
        <x:f aca="0">IF(NOT(ISNUMBER(L245)),"n/m",IF(O245="Higher",IF(L245&gt;=0,"Above avg - favourable","Below avg - unfavourable"),IF(O245="Lower",IF(L245&lt;=0,"Below avg - favourable","Above avg - unfavourable"),IF(L245&gt;=0,"Above avg - context-dependent","Below avg - context-dependent"))))&amp;IF(K245&lt;5," (N="&amp;K245&amp;")","")</x:f>
        <x:v>Below avg - favourable</x:v>
      </x:c>
      <x:c r="R245" s="59" t="str">
        <x:f aca="0">IF(K245=0,"n/m",IF(ABS(J245-SUM(E245:I245)/K245)&lt;0.000000001,"OK","ERR"))</x:f>
        <x:v>OK</x:v>
      </x:c>
    </x:row>
  </x:sheetData>
  <x:pageMargins left="0.7" right="0.7" top="0.75" bottom="0.75" header="0.3" footer="0.3"/>
  <x:drawing xmlns:r="http://schemas.openxmlformats.org/officeDocument/2006/relationships" r:id="Rc42e79ca251d4cbb"/>
</x:worksheet>
</file>

<file path=xl/worksheets/sheet9.xml><?xml version="1.0" encoding="utf-8"?>
<x:worksheet xmlns:x="http://schemas.openxmlformats.org/spreadsheetml/2006/main">
  <x:sheetViews>
    <x:sheetView showGridLines="0" workbookViewId="0">
      <x:pane ySplit="4" topLeftCell="A5" activePane="bottomLeft" state="frozen"/>
    </x:sheetView>
  </x:sheetViews>
  <x:sheetFormatPr defaultColWidth="8.6796875" defaultRowHeight="15"/>
  <x:cols>
    <x:col min="1" max="1" width="12" hidden="0" customWidth="1"/>
    <x:col min="2" max="2" width="10" hidden="0" customWidth="1"/>
    <x:col min="3" max="3" width="7" hidden="0" customWidth="1"/>
    <x:col min="4" max="4" width="30" hidden="0" customWidth="1"/>
    <x:col min="5" max="5" width="12" hidden="0" customWidth="1"/>
    <x:col min="6" max="6" width="40" hidden="0" customWidth="1"/>
    <x:col min="7" max="7" width="34" hidden="0" customWidth="1"/>
    <x:col min="8" max="8" width="13" hidden="0" customWidth="1"/>
    <x:col min="9" max="9" width="24" hidden="0" customWidth="1"/>
    <x:col min="10" max="10" width="8" hidden="0" customWidth="1"/>
    <x:col min="11" max="12" width="9" hidden="0" customWidth="1"/>
    <x:col min="13" max="13" width="12" hidden="0" customWidth="1"/>
    <x:col min="14" max="14" width="18" hidden="0" customWidth="1"/>
    <x:col min="15" max="16" width="14" hidden="0" customWidth="1"/>
    <x:col min="17" max="17" width="10" hidden="0" customWidth="1"/>
    <x:col min="18" max="18" width="22" hidden="0" customWidth="1"/>
    <x:col min="19" max="19" width="50" hidden="0" customWidth="1"/>
  </x:cols>
  <x:sheetData>
    <x:row r="1" ht="17.350000381469727" hidden="0">
      <x:c r="A1" s="17" t="s">
        <x:v>1073</x:v>
      </x:c>
    </x:row>
    <x:row r="3" ht="15" hidden="0">
      <x:c r="A3" s="5" t="s">
        <x:v>1074</x:v>
      </x:c>
      <x:c r="B3" s="20"/>
      <x:c r="C3" s="20"/>
      <x:c r="D3" s="20"/>
      <x:c r="E3" s="20"/>
      <x:c r="F3" s="20"/>
      <x:c r="G3" s="20"/>
      <x:c r="H3" s="20"/>
      <x:c r="I3" s="20"/>
      <x:c r="J3" s="20"/>
      <x:c r="K3" s="20"/>
      <x:c r="L3" s="20"/>
      <x:c r="M3" s="20"/>
      <x:c r="N3" s="20"/>
      <x:c r="O3" s="20"/>
      <x:c r="P3" s="20"/>
      <x:c r="Q3" s="20"/>
      <x:c r="R3" s="20"/>
      <x:c r="S3" s="20"/>
    </x:row>
    <x:row r="4" ht="15" hidden="0">
      <x:c r="A4" s="24" t="s">
        <x:v>19</x:v>
      </x:c>
      <x:c r="B4" s="24" t="s">
        <x:v>1075</x:v>
      </x:c>
      <x:c r="C4" s="24"/>
      <x:c r="D4" s="24"/>
      <x:c r="E4" s="24" t="s">
        <x:v>1076</x:v>
      </x:c>
      <x:c r="F4" s="24" t="s">
        <x:v>73</x:v>
      </x:c>
      <x:c r="G4" s="24" t="s">
        <x:v>74</x:v>
      </x:c>
      <x:c r="H4" s="24" t="s">
        <x:v>75</x:v>
      </x:c>
      <x:c r="I4" s="24" t="s">
        <x:v>76</x:v>
      </x:c>
      <x:c r="J4" s="24" t="s">
        <x:v>77</x:v>
      </x:c>
    </x:row>
    <x:row r="5" ht="15" hidden="0">
      <x:c r="A5" t="s">
        <x:v>25</x:v>
      </x:c>
      <x:c r="B5" t="s">
        <x:v>1077</x:v>
      </x:c>
      <x:c r="E5" t="str">
        <x:f aca="0">KOHC!C79</x:f>
        <x:v>PASS</x:v>
      </x:c>
      <x:c r="F5" t="str">
        <x:f aca="0">KOHC!D79</x:f>
        <x:v>PASS</x:v>
      </x:c>
      <x:c r="G5" t="str">
        <x:f aca="0">KOHC!E79</x:f>
        <x:v>PASS</x:v>
      </x:c>
      <x:c r="H5" t="str">
        <x:f aca="0">KOHC!F79</x:f>
        <x:v>PASS</x:v>
      </x:c>
      <x:c r="I5" t="str">
        <x:f aca="0">KOHC!G79</x:f>
        <x:v>PASS</x:v>
      </x:c>
      <x:c r="J5" t="str">
        <x:f aca="0">KOHC!H79</x:f>
        <x:v>PASS</x:v>
      </x:c>
    </x:row>
    <x:row r="6" ht="15" hidden="0">
      <x:c r="A6" t="s">
        <x:v>25</x:v>
      </x:c>
      <x:c r="B6" t="s">
        <x:v>1078</x:v>
      </x:c>
      <x:c r="E6" t="str">
        <x:f aca="0">KOHC!C80</x:f>
        <x:v>PASS</x:v>
      </x:c>
      <x:c r="F6" t="str">
        <x:f aca="0">KOHC!D80</x:f>
        <x:v>PASS</x:v>
      </x:c>
      <x:c r="G6" t="str">
        <x:f aca="0">KOHC!E80</x:f>
        <x:v>PASS</x:v>
      </x:c>
      <x:c r="H6" t="str">
        <x:f aca="0">KOHC!F80</x:f>
        <x:v>PASS</x:v>
      </x:c>
      <x:c r="I6" t="str">
        <x:f aca="0">KOHC!G80</x:f>
        <x:v>PASS</x:v>
      </x:c>
      <x:c r="J6" t="str">
        <x:f aca="0">KOHC!H80</x:f>
        <x:v>PASS</x:v>
      </x:c>
    </x:row>
    <x:row r="7" ht="15" hidden="0">
      <x:c r="A7" t="s">
        <x:v>25</x:v>
      </x:c>
      <x:c r="B7" t="s">
        <x:v>1079</x:v>
      </x:c>
      <x:c r="E7" t="str">
        <x:f aca="0">KOHC!C81</x:f>
        <x:v>PASS</x:v>
      </x:c>
      <x:c r="F7" t="str">
        <x:f aca="0">KOHC!D81</x:f>
        <x:v>PASS</x:v>
      </x:c>
      <x:c r="G7" t="str">
        <x:f aca="0">KOHC!E81</x:f>
        <x:v>PASS</x:v>
      </x:c>
      <x:c r="H7" t="str">
        <x:f aca="0">KOHC!F81</x:f>
        <x:v>PASS</x:v>
      </x:c>
      <x:c r="I7" t="str">
        <x:f aca="0">KOHC!G81</x:f>
        <x:v>PASS</x:v>
      </x:c>
      <x:c r="J7" t="str">
        <x:f aca="0">KOHC!H81</x:f>
        <x:v>PASS</x:v>
      </x:c>
    </x:row>
    <x:row r="8" ht="15" hidden="0">
      <x:c r="A8" t="s">
        <x:v>25</x:v>
      </x:c>
      <x:c r="B8" t="s">
        <x:v>1080</x:v>
      </x:c>
      <x:c r="F8" t="str">
        <x:f aca="0">KOHC!D103</x:f>
        <x:v>PASS</x:v>
      </x:c>
      <x:c r="G8" t="str">
        <x:f aca="0">KOHC!E103</x:f>
        <x:v>PASS</x:v>
      </x:c>
      <x:c r="H8" t="str">
        <x:f aca="0">KOHC!F103</x:f>
        <x:v>PASS</x:v>
      </x:c>
      <x:c r="I8" t="str">
        <x:f aca="0">KOHC!G103</x:f>
        <x:v>PASS</x:v>
      </x:c>
      <x:c r="J8" t="str">
        <x:f aca="0">KOHC!H103</x:f>
        <x:v>PASS</x:v>
      </x:c>
    </x:row>
    <x:row r="9" ht="15" hidden="0">
      <x:c r="A9" t="s">
        <x:v>25</x:v>
      </x:c>
      <x:c r="B9" t="s">
        <x:v>1081</x:v>
      </x:c>
      <x:c r="F9" t="str">
        <x:f aca="0">IF(ABS(KOHC!D173/1-KOHC!D132)&lt;=0.01,"PASS","REVIEW")</x:f>
        <x:v>PASS</x:v>
      </x:c>
      <x:c r="G9" t="str">
        <x:f aca="0">IF(ABS(KOHC!E173/1-KOHC!E132)&lt;=0.01,"PASS","REVIEW")</x:f>
        <x:v>PASS</x:v>
      </x:c>
      <x:c r="H9" t="str">
        <x:f aca="0">IF(ABS(KOHC!F173/1-KOHC!F132)&lt;=0.01,"PASS","REVIEW")</x:f>
        <x:v>PASS</x:v>
      </x:c>
      <x:c r="I9" t="str">
        <x:f aca="0">IF(ABS(KOHC!G173/1-KOHC!G132)&lt;=0.01,"PASS","REVIEW")</x:f>
        <x:v>PASS</x:v>
      </x:c>
      <x:c r="J9" t="str">
        <x:f aca="0">IF(ABS(KOHC!H173/5-KOHC!H132)&lt;=0.01,"PASS","REVIEW")</x:f>
        <x:v>PASS</x:v>
      </x:c>
    </x:row>
    <x:row r="10" ht="15" hidden="0">
      <x:c r="A10" t="s">
        <x:v>25</x:v>
      </x:c>
      <x:c r="B10" t="s">
        <x:v>1082</x:v>
      </x:c>
      <x:c r="F10" t="str">
        <x:f aca="0">IF(AND(ISNUMBER(KOHC!C37),ISNUMBER(KOHC!C51),ISNUMBER(KOHC!C21)),"PASS","FAIL")</x:f>
        <x:v>PASS</x:v>
      </x:c>
      <x:c r="G10" t="str">
        <x:f aca="0">IF(AND(ISNUMBER(KOHC!D37),ISNUMBER(KOHC!D51),ISNUMBER(KOHC!D21)),"PASS","FAIL")</x:f>
        <x:v>PASS</x:v>
      </x:c>
      <x:c r="H10" t="str">
        <x:f aca="0">IF(AND(ISNUMBER(KOHC!E37),ISNUMBER(KOHC!E51),ISNUMBER(KOHC!E21)),"PASS","FAIL")</x:f>
        <x:v>PASS</x:v>
      </x:c>
      <x:c r="I10" t="str">
        <x:f aca="0">IF(AND(ISNUMBER(KOHC!F37),ISNUMBER(KOHC!F51),ISNUMBER(KOHC!F21)),"PASS","FAIL")</x:f>
        <x:v>PASS</x:v>
      </x:c>
      <x:c r="J10" t="str">
        <x:f aca="0">IF(AND(ISNUMBER(KOHC!G37),ISNUMBER(KOHC!G51),ISNUMBER(KOHC!G21)),"PASS","FAIL")</x:f>
        <x:v>PASS</x:v>
      </x:c>
    </x:row>
    <x:row r="11" ht="15" hidden="0">
      <x:c r="A11" t="s">
        <x:v>25</x:v>
      </x:c>
      <x:c r="B11" t="s">
        <x:v>1083</x:v>
      </x:c>
      <x:c r="F11" t="str">
        <x:f aca="0">IF(SUMPRODUCT(--ISERROR(KOHC!D138:D189))=0,"PASS","FAIL")</x:f>
        <x:v>PASS</x:v>
      </x:c>
      <x:c r="G11" t="str">
        <x:f aca="0">IF(SUMPRODUCT(--ISERROR(KOHC!E138:E189))=0,"PASS","FAIL")</x:f>
        <x:v>PASS</x:v>
      </x:c>
      <x:c r="H11" t="str">
        <x:f aca="0">IF(SUMPRODUCT(--ISERROR(KOHC!F138:F189))=0,"PASS","FAIL")</x:f>
        <x:v>PASS</x:v>
      </x:c>
      <x:c r="I11" t="str">
        <x:f aca="0">IF(SUMPRODUCT(--ISERROR(KOHC!G138:G189))=0,"PASS","FAIL")</x:f>
        <x:v>PASS</x:v>
      </x:c>
      <x:c r="J11" t="str">
        <x:f aca="0">IF(SUMPRODUCT(--ISERROR(KOHC!H138:H189))=0,"PASS","FAIL")</x:f>
        <x:v>PASS</x:v>
      </x:c>
    </x:row>
    <x:row r="12" ht="15" hidden="0">
      <x:c r="A12" t="s">
        <x:v>25</x:v>
      </x:c>
      <x:c r="B12" t="s">
        <x:v>1084</x:v>
      </x:c>
      <x:c r="F12" t="n">
        <x:f aca="0">COUNTIF(KOHC!D138:D182,"n/m")</x:f>
        <x:v>0</x:v>
      </x:c>
      <x:c r="G12" t="n">
        <x:f aca="0">COUNTIF(KOHC!E138:E182,"n/m")</x:f>
        <x:v>0</x:v>
      </x:c>
      <x:c r="H12" t="n">
        <x:f aca="0">COUNTIF(KOHC!F138:F182,"n/m")</x:f>
        <x:v>0</x:v>
      </x:c>
      <x:c r="I12" t="n">
        <x:f aca="0">COUNTIF(KOHC!G138:G182,"n/m")</x:f>
        <x:v>0</x:v>
      </x:c>
      <x:c r="J12" t="n">
        <x:f aca="0">COUNTIF(KOHC!H138:H182,"n/m")</x:f>
        <x:v>0</x:v>
      </x:c>
    </x:row>
    <x:row r="13" ht="15" hidden="0">
      <x:c r="A13" t="s">
        <x:v>25</x:v>
      </x:c>
      <x:c r="B13" t="s">
        <x:v>1085</x:v>
      </x:c>
      <x:c r="F13" t="str">
        <x:v>VERIFIED PSX</x:v>
      </x:c>
      <x:c r="G13" t="str">
        <x:v>VERIFIED PSX</x:v>
      </x:c>
      <x:c r="H13" t="str">
        <x:v>VERIFIED PSX</x:v>
      </x:c>
      <x:c r="I13" t="str">
        <x:v>VERIFIED PSX</x:v>
      </x:c>
      <x:c r="J13" t="str">
        <x:v>VERIFIED PSX</x:v>
      </x:c>
      <x:c r="K13" s="9" t="str">
        <x:v>25 observations verified independently against PSX historical CLOSE records on 22 October 2026; see PSX Prices and Price Evidence.</x:v>
      </x:c>
    </x:row>
    <x:row r="14" ht="15" hidden="0">
      <x:c r="A14" t="s">
        <x:v>31</x:v>
      </x:c>
      <x:c r="B14" t="s">
        <x:v>1077</x:v>
      </x:c>
      <x:c r="E14" t="str">
        <x:f aca="0">LUCK!C79</x:f>
        <x:v>PASS</x:v>
      </x:c>
      <x:c r="F14" t="str">
        <x:f aca="0">LUCK!D79</x:f>
        <x:v>PASS</x:v>
      </x:c>
      <x:c r="G14" t="str">
        <x:f aca="0">LUCK!E79</x:f>
        <x:v>PASS</x:v>
      </x:c>
      <x:c r="H14" t="str">
        <x:f aca="0">LUCK!F79</x:f>
        <x:v>PASS</x:v>
      </x:c>
      <x:c r="I14" t="str">
        <x:f aca="0">LUCK!G79</x:f>
        <x:v>PASS</x:v>
      </x:c>
      <x:c r="J14" t="str">
        <x:f aca="0">LUCK!H79</x:f>
        <x:v>PASS</x:v>
      </x:c>
    </x:row>
    <x:row r="15" ht="15" hidden="0">
      <x:c r="A15" t="s">
        <x:v>31</x:v>
      </x:c>
      <x:c r="B15" t="s">
        <x:v>1078</x:v>
      </x:c>
      <x:c r="E15" t="str">
        <x:f aca="0">LUCK!C80</x:f>
        <x:v>PASS</x:v>
      </x:c>
      <x:c r="F15" t="str">
        <x:f aca="0">LUCK!D80</x:f>
        <x:v>PASS</x:v>
      </x:c>
      <x:c r="G15" t="str">
        <x:f aca="0">LUCK!E80</x:f>
        <x:v>PASS</x:v>
      </x:c>
      <x:c r="H15" t="str">
        <x:f aca="0">LUCK!F80</x:f>
        <x:v>PASS</x:v>
      </x:c>
      <x:c r="I15" t="str">
        <x:f aca="0">LUCK!G80</x:f>
        <x:v>PASS</x:v>
      </x:c>
      <x:c r="J15" t="str">
        <x:f aca="0">LUCK!H80</x:f>
        <x:v>PASS</x:v>
      </x:c>
    </x:row>
    <x:row r="16" ht="15" hidden="0">
      <x:c r="A16" t="s">
        <x:v>31</x:v>
      </x:c>
      <x:c r="B16" t="s">
        <x:v>1079</x:v>
      </x:c>
      <x:c r="E16" t="str">
        <x:f aca="0">LUCK!C81</x:f>
        <x:v>PASS</x:v>
      </x:c>
      <x:c r="F16" t="str">
        <x:f aca="0">LUCK!D81</x:f>
        <x:v>PASS</x:v>
      </x:c>
      <x:c r="G16" t="str">
        <x:f aca="0">LUCK!E81</x:f>
        <x:v>PASS</x:v>
      </x:c>
      <x:c r="H16" t="str">
        <x:f aca="0">LUCK!F81</x:f>
        <x:v>PASS</x:v>
      </x:c>
      <x:c r="I16" t="str">
        <x:f aca="0">LUCK!G81</x:f>
        <x:v>PASS</x:v>
      </x:c>
      <x:c r="J16" t="str">
        <x:f aca="0">LUCK!H81</x:f>
        <x:v>PASS</x:v>
      </x:c>
    </x:row>
    <x:row r="17" ht="15" hidden="0">
      <x:c r="A17" t="s">
        <x:v>31</x:v>
      </x:c>
      <x:c r="B17" t="s">
        <x:v>1080</x:v>
      </x:c>
      <x:c r="F17" t="str">
        <x:f aca="0">LUCK!D103</x:f>
        <x:v>PASS</x:v>
      </x:c>
      <x:c r="G17" t="str">
        <x:f aca="0">LUCK!E103</x:f>
        <x:v>PASS</x:v>
      </x:c>
      <x:c r="H17" t="str">
        <x:f aca="0">LUCK!F103</x:f>
        <x:v>PASS</x:v>
      </x:c>
      <x:c r="I17" t="str">
        <x:f aca="0">LUCK!G103</x:f>
        <x:v>PASS</x:v>
      </x:c>
      <x:c r="J17" t="str">
        <x:f aca="0">LUCK!H103</x:f>
        <x:v>PASS</x:v>
      </x:c>
    </x:row>
    <x:row r="18" ht="15" hidden="0">
      <x:c r="A18" t="s">
        <x:v>31</x:v>
      </x:c>
      <x:c r="B18" t="s">
        <x:v>1081</x:v>
      </x:c>
      <x:c r="F18" t="str">
        <x:f aca="0">IF(ABS(LUCK!D173/1-LUCK!D132)&lt;=0.01,"PASS","REVIEW")</x:f>
        <x:v>PASS</x:v>
      </x:c>
      <x:c r="G18" t="str">
        <x:f aca="0">IF(ABS(LUCK!E173/1-LUCK!E132)&lt;=0.01,"PASS","REVIEW")</x:f>
        <x:v>PASS</x:v>
      </x:c>
      <x:c r="H18" t="str">
        <x:f aca="0">IF(ABS(LUCK!F173/1-LUCK!F132)&lt;=0.01,"PASS","REVIEW")</x:f>
        <x:v>PASS</x:v>
      </x:c>
      <x:c r="I18" t="str">
        <x:f aca="0">IF(ABS(LUCK!G173/1-LUCK!G132)&lt;=0.01,"PASS","REVIEW")</x:f>
        <x:v>PASS</x:v>
      </x:c>
      <x:c r="J18" t="str">
        <x:f aca="0">IF(ABS(LUCK!H173/1-LUCK!H132)&lt;=0.01,"PASS","REVIEW")</x:f>
        <x:v>PASS</x:v>
      </x:c>
    </x:row>
    <x:row r="19" ht="15" hidden="0">
      <x:c r="A19" t="s">
        <x:v>31</x:v>
      </x:c>
      <x:c r="B19" t="s">
        <x:v>1082</x:v>
      </x:c>
      <x:c r="F19" t="str">
        <x:f aca="0">IF(AND(ISNUMBER(LUCK!C37),ISNUMBER(LUCK!C51),ISNUMBER(LUCK!C21)),"PASS","FAIL")</x:f>
        <x:v>PASS</x:v>
      </x:c>
      <x:c r="G19" t="str">
        <x:f aca="0">IF(AND(ISNUMBER(LUCK!D37),ISNUMBER(LUCK!D51),ISNUMBER(LUCK!D21)),"PASS","FAIL")</x:f>
        <x:v>PASS</x:v>
      </x:c>
      <x:c r="H19" t="str">
        <x:f aca="0">IF(AND(ISNUMBER(LUCK!E37),ISNUMBER(LUCK!E51),ISNUMBER(LUCK!E21)),"PASS","FAIL")</x:f>
        <x:v>PASS</x:v>
      </x:c>
      <x:c r="I19" t="str">
        <x:f aca="0">IF(AND(ISNUMBER(LUCK!F37),ISNUMBER(LUCK!F51),ISNUMBER(LUCK!F21)),"PASS","FAIL")</x:f>
        <x:v>PASS</x:v>
      </x:c>
      <x:c r="J19" t="str">
        <x:f aca="0">IF(AND(ISNUMBER(LUCK!G37),ISNUMBER(LUCK!G51),ISNUMBER(LUCK!G21)),"PASS","FAIL")</x:f>
        <x:v>PASS</x:v>
      </x:c>
    </x:row>
    <x:row r="20" ht="15" hidden="0">
      <x:c r="A20" t="s">
        <x:v>31</x:v>
      </x:c>
      <x:c r="B20" t="s">
        <x:v>1083</x:v>
      </x:c>
      <x:c r="F20" t="str">
        <x:f aca="0">IF(SUMPRODUCT(--ISERROR(LUCK!D138:D189))=0,"PASS","FAIL")</x:f>
        <x:v>PASS</x:v>
      </x:c>
      <x:c r="G20" t="str">
        <x:f aca="0">IF(SUMPRODUCT(--ISERROR(LUCK!E138:E189))=0,"PASS","FAIL")</x:f>
        <x:v>PASS</x:v>
      </x:c>
      <x:c r="H20" t="str">
        <x:f aca="0">IF(SUMPRODUCT(--ISERROR(LUCK!F138:F189))=0,"PASS","FAIL")</x:f>
        <x:v>PASS</x:v>
      </x:c>
      <x:c r="I20" t="str">
        <x:f aca="0">IF(SUMPRODUCT(--ISERROR(LUCK!G138:G189))=0,"PASS","FAIL")</x:f>
        <x:v>PASS</x:v>
      </x:c>
      <x:c r="J20" t="str">
        <x:f aca="0">IF(SUMPRODUCT(--ISERROR(LUCK!H138:H189))=0,"PASS","FAIL")</x:f>
        <x:v>PASS</x:v>
      </x:c>
    </x:row>
    <x:row r="21" ht="15" hidden="0">
      <x:c r="A21" t="s">
        <x:v>31</x:v>
      </x:c>
      <x:c r="B21" t="s">
        <x:v>1084</x:v>
      </x:c>
      <x:c r="F21" t="n">
        <x:f aca="0">COUNTIF(LUCK!D138:D182,"n/m")</x:f>
        <x:v>0</x:v>
      </x:c>
      <x:c r="G21" t="n">
        <x:f aca="0">COUNTIF(LUCK!E138:E182,"n/m")</x:f>
        <x:v>0</x:v>
      </x:c>
      <x:c r="H21" t="n">
        <x:f aca="0">COUNTIF(LUCK!F138:F182,"n/m")</x:f>
        <x:v>0</x:v>
      </x:c>
      <x:c r="I21" t="n">
        <x:f aca="0">COUNTIF(LUCK!G138:G182,"n/m")</x:f>
        <x:v>0</x:v>
      </x:c>
      <x:c r="J21" t="n">
        <x:f aca="0">COUNTIF(LUCK!H138:H182,"n/m")</x:f>
        <x:v>0</x:v>
      </x:c>
    </x:row>
    <x:row r="22" ht="15" hidden="0">
      <x:c r="A22" t="s">
        <x:v>31</x:v>
      </x:c>
      <x:c r="B22" t="s">
        <x:v>1085</x:v>
      </x:c>
      <x:c r="F22" t="str">
        <x:v>VERIFIED PSX</x:v>
      </x:c>
      <x:c r="G22" t="str">
        <x:v>VERIFIED PSX</x:v>
      </x:c>
      <x:c r="H22" t="str">
        <x:v>VERIFIED PSX</x:v>
      </x:c>
      <x:c r="I22" t="str">
        <x:v>VERIFIED PSX</x:v>
      </x:c>
      <x:c r="J22" t="str">
        <x:v>VERIFIED PSX</x:v>
      </x:c>
      <x:c r="K22" s="9" t="str">
        <x:v>25 observations verified independently against PSX historical CLOSE records on 22 October 2026; see PSX Prices and Price Evidence.</x:v>
      </x:c>
    </x:row>
    <x:row r="23" ht="15" hidden="0">
      <x:c r="A23" t="s">
        <x:v>37</x:v>
      </x:c>
      <x:c r="B23" t="s">
        <x:v>1077</x:v>
      </x:c>
      <x:c r="E23" t="str">
        <x:f aca="0">DGKC!C79</x:f>
        <x:v>PASS</x:v>
      </x:c>
      <x:c r="F23" t="str">
        <x:f aca="0">DGKC!D79</x:f>
        <x:v>PASS</x:v>
      </x:c>
      <x:c r="G23" t="str">
        <x:f aca="0">DGKC!E79</x:f>
        <x:v>PASS</x:v>
      </x:c>
      <x:c r="H23" t="str">
        <x:f aca="0">DGKC!F79</x:f>
        <x:v>PASS</x:v>
      </x:c>
      <x:c r="I23" t="str">
        <x:f aca="0">DGKC!G79</x:f>
        <x:v>PASS</x:v>
      </x:c>
      <x:c r="J23" t="str">
        <x:f aca="0">DGKC!H79</x:f>
        <x:v>PASS</x:v>
      </x:c>
    </x:row>
    <x:row r="24" ht="15" hidden="0">
      <x:c r="A24" t="s">
        <x:v>37</x:v>
      </x:c>
      <x:c r="B24" t="s">
        <x:v>1078</x:v>
      </x:c>
      <x:c r="E24" t="str">
        <x:f aca="0">DGKC!C80</x:f>
        <x:v>PASS</x:v>
      </x:c>
      <x:c r="F24" t="str">
        <x:f aca="0">DGKC!D80</x:f>
        <x:v>PASS</x:v>
      </x:c>
      <x:c r="G24" t="str">
        <x:f aca="0">DGKC!E80</x:f>
        <x:v>PASS</x:v>
      </x:c>
      <x:c r="H24" t="str">
        <x:f aca="0">DGKC!F80</x:f>
        <x:v>PASS</x:v>
      </x:c>
      <x:c r="I24" t="str">
        <x:f aca="0">DGKC!G80</x:f>
        <x:v>PASS</x:v>
      </x:c>
      <x:c r="J24" t="str">
        <x:f aca="0">DGKC!H80</x:f>
        <x:v>PASS</x:v>
      </x:c>
    </x:row>
    <x:row r="25" ht="15" hidden="0">
      <x:c r="A25" t="s">
        <x:v>37</x:v>
      </x:c>
      <x:c r="B25" t="s">
        <x:v>1079</x:v>
      </x:c>
      <x:c r="E25" t="str">
        <x:f aca="0">DGKC!C81</x:f>
        <x:v>PASS</x:v>
      </x:c>
      <x:c r="F25" t="str">
        <x:f aca="0">DGKC!D81</x:f>
        <x:v>PASS</x:v>
      </x:c>
      <x:c r="G25" t="str">
        <x:f aca="0">DGKC!E81</x:f>
        <x:v>PASS</x:v>
      </x:c>
      <x:c r="H25" t="str">
        <x:f aca="0">DGKC!F81</x:f>
        <x:v>PASS</x:v>
      </x:c>
      <x:c r="I25" t="str">
        <x:f aca="0">DGKC!G81</x:f>
        <x:v>PASS</x:v>
      </x:c>
      <x:c r="J25" t="str">
        <x:f aca="0">DGKC!H81</x:f>
        <x:v>PASS</x:v>
      </x:c>
    </x:row>
    <x:row r="26" ht="15" hidden="0">
      <x:c r="A26" t="s">
        <x:v>37</x:v>
      </x:c>
      <x:c r="B26" t="s">
        <x:v>1080</x:v>
      </x:c>
      <x:c r="F26" t="str">
        <x:f aca="0">DGKC!D103</x:f>
        <x:v>PASS</x:v>
      </x:c>
      <x:c r="G26" t="str">
        <x:f aca="0">DGKC!E103</x:f>
        <x:v>PASS</x:v>
      </x:c>
      <x:c r="H26" t="str">
        <x:f aca="0">DGKC!F103</x:f>
        <x:v>PASS</x:v>
      </x:c>
      <x:c r="I26" t="str">
        <x:f aca="0">DGKC!G103</x:f>
        <x:v>PASS</x:v>
      </x:c>
      <x:c r="J26" t="str">
        <x:f aca="0">DGKC!H103</x:f>
        <x:v>PASS</x:v>
      </x:c>
    </x:row>
    <x:row r="27" ht="15" hidden="0">
      <x:c r="A27" t="s">
        <x:v>37</x:v>
      </x:c>
      <x:c r="B27" t="s">
        <x:v>1081</x:v>
      </x:c>
      <x:c r="F27" t="str">
        <x:f aca="0">IF(ABS(DGKC!D173/1-DGKC!D132)&lt;=0.01,"PASS","REVIEW")</x:f>
        <x:v>PASS</x:v>
      </x:c>
      <x:c r="G27" t="str">
        <x:f aca="0">IF(ABS(DGKC!E173/1-DGKC!E132)&lt;=0.01,"PASS","REVIEW")</x:f>
        <x:v>PASS</x:v>
      </x:c>
      <x:c r="H27" t="str">
        <x:f aca="0">IF(ABS(DGKC!F173/1-DGKC!F132)&lt;=0.01,"PASS","REVIEW")</x:f>
        <x:v>PASS</x:v>
      </x:c>
      <x:c r="I27" t="str">
        <x:f aca="0">IF(ABS(DGKC!G173/1-DGKC!G132)&lt;=0.01,"PASS","REVIEW")</x:f>
        <x:v>PASS</x:v>
      </x:c>
      <x:c r="J27" t="str">
        <x:f aca="0">IF(ABS(DGKC!H173/1-DGKC!H132)&lt;=0.01,"PASS","REVIEW")</x:f>
        <x:v>PASS</x:v>
      </x:c>
    </x:row>
    <x:row r="28" ht="15" hidden="0">
      <x:c r="A28" t="s">
        <x:v>37</x:v>
      </x:c>
      <x:c r="B28" t="s">
        <x:v>1082</x:v>
      </x:c>
      <x:c r="F28" t="str">
        <x:f aca="0">IF(AND(ISNUMBER(DGKC!C37),ISNUMBER(DGKC!C51),ISNUMBER(DGKC!C21)),"PASS","FAIL")</x:f>
        <x:v>PASS</x:v>
      </x:c>
      <x:c r="G28" t="str">
        <x:f aca="0">IF(AND(ISNUMBER(DGKC!D37),ISNUMBER(DGKC!D51),ISNUMBER(DGKC!D21)),"PASS","FAIL")</x:f>
        <x:v>PASS</x:v>
      </x:c>
      <x:c r="H28" t="str">
        <x:f aca="0">IF(AND(ISNUMBER(DGKC!E37),ISNUMBER(DGKC!E51),ISNUMBER(DGKC!E21)),"PASS","FAIL")</x:f>
        <x:v>PASS</x:v>
      </x:c>
      <x:c r="I28" t="str">
        <x:f aca="0">IF(AND(ISNUMBER(DGKC!F37),ISNUMBER(DGKC!F51),ISNUMBER(DGKC!F21)),"PASS","FAIL")</x:f>
        <x:v>PASS</x:v>
      </x:c>
      <x:c r="J28" t="str">
        <x:f aca="0">IF(AND(ISNUMBER(DGKC!G37),ISNUMBER(DGKC!G51),ISNUMBER(DGKC!G21)),"PASS","FAIL")</x:f>
        <x:v>PASS</x:v>
      </x:c>
    </x:row>
    <x:row r="29" ht="15" hidden="0">
      <x:c r="A29" t="s">
        <x:v>37</x:v>
      </x:c>
      <x:c r="B29" t="s">
        <x:v>1083</x:v>
      </x:c>
      <x:c r="F29" t="str">
        <x:f aca="0">IF(SUMPRODUCT(--ISERROR(DGKC!D138:D189))=0,"PASS","FAIL")</x:f>
        <x:v>PASS</x:v>
      </x:c>
      <x:c r="G29" t="str">
        <x:f aca="0">IF(SUMPRODUCT(--ISERROR(DGKC!E138:E189))=0,"PASS","FAIL")</x:f>
        <x:v>PASS</x:v>
      </x:c>
      <x:c r="H29" t="str">
        <x:f aca="0">IF(SUMPRODUCT(--ISERROR(DGKC!F138:F189))=0,"PASS","FAIL")</x:f>
        <x:v>PASS</x:v>
      </x:c>
      <x:c r="I29" t="str">
        <x:f aca="0">IF(SUMPRODUCT(--ISERROR(DGKC!G138:G189))=0,"PASS","FAIL")</x:f>
        <x:v>PASS</x:v>
      </x:c>
      <x:c r="J29" t="str">
        <x:f aca="0">IF(SUMPRODUCT(--ISERROR(DGKC!H138:H189))=0,"PASS","FAIL")</x:f>
        <x:v>PASS</x:v>
      </x:c>
    </x:row>
    <x:row r="30" ht="15" hidden="0">
      <x:c r="A30" t="s">
        <x:v>37</x:v>
      </x:c>
      <x:c r="B30" t="s">
        <x:v>1084</x:v>
      </x:c>
      <x:c r="F30" t="n">
        <x:f aca="0">COUNTIF(DGKC!D138:D182,"n/m")</x:f>
        <x:v>0</x:v>
      </x:c>
      <x:c r="G30" t="n">
        <x:f aca="0">COUNTIF(DGKC!E138:E182,"n/m")</x:f>
        <x:v>0</x:v>
      </x:c>
      <x:c r="H30" t="n">
        <x:f aca="0">COUNTIF(DGKC!F138:F182,"n/m")</x:f>
        <x:v>2</x:v>
      </x:c>
      <x:c r="I30" t="n">
        <x:f aca="0">COUNTIF(DGKC!G138:G182,"n/m")</x:f>
        <x:v>0</x:v>
      </x:c>
      <x:c r="J30" t="n">
        <x:f aca="0">COUNTIF(DGKC!H138:H182,"n/m")</x:f>
        <x:v>0</x:v>
      </x:c>
    </x:row>
    <x:row r="31" ht="15" hidden="0">
      <x:c r="A31" t="s">
        <x:v>37</x:v>
      </x:c>
      <x:c r="B31" t="s">
        <x:v>1085</x:v>
      </x:c>
      <x:c r="F31" t="str">
        <x:v>VERIFIED PSX</x:v>
      </x:c>
      <x:c r="G31" t="str">
        <x:v>VERIFIED PSX</x:v>
      </x:c>
      <x:c r="H31" t="str">
        <x:v>VERIFIED PSX</x:v>
      </x:c>
      <x:c r="I31" t="str">
        <x:v>VERIFIED PSX</x:v>
      </x:c>
      <x:c r="J31" t="str">
        <x:v>VERIFIED PSX</x:v>
      </x:c>
      <x:c r="K31" s="9" t="str">
        <x:v>25 observations verified independently against PSX historical CLOSE records on 22 October 2026; see PSX Prices and Price Evidence.</x:v>
      </x:c>
    </x:row>
    <x:row r="32" ht="15" hidden="0">
      <x:c r="A32" t="s">
        <x:v>42</x:v>
      </x:c>
      <x:c r="B32" t="s">
        <x:v>1077</x:v>
      </x:c>
      <x:c r="E32" t="str">
        <x:f aca="0">MLCF!C79</x:f>
        <x:v>PASS</x:v>
      </x:c>
      <x:c r="F32" t="str">
        <x:f aca="0">MLCF!D79</x:f>
        <x:v>PASS</x:v>
      </x:c>
      <x:c r="G32" t="str">
        <x:f aca="0">MLCF!E79</x:f>
        <x:v>PASS</x:v>
      </x:c>
      <x:c r="H32" t="str">
        <x:f aca="0">MLCF!F79</x:f>
        <x:v>PASS</x:v>
      </x:c>
      <x:c r="I32" t="str">
        <x:f aca="0">MLCF!G79</x:f>
        <x:v>PASS</x:v>
      </x:c>
      <x:c r="J32" t="str">
        <x:f aca="0">MLCF!H79</x:f>
        <x:v>PASS</x:v>
      </x:c>
    </x:row>
    <x:row r="33" ht="15" hidden="0">
      <x:c r="A33" t="s">
        <x:v>42</x:v>
      </x:c>
      <x:c r="B33" t="s">
        <x:v>1078</x:v>
      </x:c>
      <x:c r="E33" t="str">
        <x:f aca="0">MLCF!C80</x:f>
        <x:v>PASS</x:v>
      </x:c>
      <x:c r="F33" t="str">
        <x:f aca="0">MLCF!D80</x:f>
        <x:v>PASS</x:v>
      </x:c>
      <x:c r="G33" t="str">
        <x:f aca="0">MLCF!E80</x:f>
        <x:v>PASS</x:v>
      </x:c>
      <x:c r="H33" t="str">
        <x:f aca="0">MLCF!F80</x:f>
        <x:v>PASS</x:v>
      </x:c>
      <x:c r="I33" t="str">
        <x:f aca="0">MLCF!G80</x:f>
        <x:v>PASS</x:v>
      </x:c>
      <x:c r="J33" t="str">
        <x:f aca="0">MLCF!H80</x:f>
        <x:v>PASS</x:v>
      </x:c>
    </x:row>
    <x:row r="34" ht="15" hidden="0">
      <x:c r="A34" t="s">
        <x:v>42</x:v>
      </x:c>
      <x:c r="B34" t="s">
        <x:v>1079</x:v>
      </x:c>
      <x:c r="E34" t="str">
        <x:f aca="0">MLCF!C81</x:f>
        <x:v>PASS</x:v>
      </x:c>
      <x:c r="F34" t="str">
        <x:f aca="0">MLCF!D81</x:f>
        <x:v>PASS</x:v>
      </x:c>
      <x:c r="G34" t="str">
        <x:f aca="0">MLCF!E81</x:f>
        <x:v>PASS</x:v>
      </x:c>
      <x:c r="H34" t="str">
        <x:f aca="0">MLCF!F81</x:f>
        <x:v>PASS</x:v>
      </x:c>
      <x:c r="I34" t="str">
        <x:f aca="0">MLCF!G81</x:f>
        <x:v>PASS</x:v>
      </x:c>
      <x:c r="J34" t="str">
        <x:f aca="0">MLCF!H81</x:f>
        <x:v>PASS</x:v>
      </x:c>
    </x:row>
    <x:row r="35" ht="15" hidden="0">
      <x:c r="A35" t="s">
        <x:v>42</x:v>
      </x:c>
      <x:c r="B35" t="s">
        <x:v>1080</x:v>
      </x:c>
      <x:c r="F35" t="str">
        <x:f aca="0">MLCF!D103</x:f>
        <x:v>PASS</x:v>
      </x:c>
      <x:c r="G35" t="str">
        <x:f aca="0">MLCF!E103</x:f>
        <x:v>PASS</x:v>
      </x:c>
      <x:c r="H35" t="str">
        <x:f aca="0">MLCF!F103</x:f>
        <x:v>PASS</x:v>
      </x:c>
      <x:c r="I35" t="str">
        <x:f aca="0">MLCF!G103</x:f>
        <x:v>PASS</x:v>
      </x:c>
      <x:c r="J35" t="str">
        <x:f aca="0">MLCF!H103</x:f>
        <x:v>PASS</x:v>
      </x:c>
    </x:row>
    <x:row r="36" ht="15" hidden="0">
      <x:c r="A36" t="s">
        <x:v>42</x:v>
      </x:c>
      <x:c r="B36" t="s">
        <x:v>1081</x:v>
      </x:c>
      <x:c r="F36" t="str">
        <x:f aca="0">IF(ABS(MLCF!D173/1-MLCF!D132)&lt;=0.01,"PASS","REVIEW")</x:f>
        <x:v>PASS</x:v>
      </x:c>
      <x:c r="G36" t="str">
        <x:f aca="0">IF(ABS(MLCF!E173/1-MLCF!E132)&lt;=0.01,"PASS","REVIEW")</x:f>
        <x:v>PASS</x:v>
      </x:c>
      <x:c r="H36" t="str">
        <x:f aca="0">IF(ABS(MLCF!F173/1-MLCF!F132)&lt;=0.01,"PASS","REVIEW")</x:f>
        <x:v>PASS</x:v>
      </x:c>
      <x:c r="I36" t="str">
        <x:f aca="0">IF(ABS(MLCF!G173/1-MLCF!G132)&lt;=0.01,"PASS","REVIEW")</x:f>
        <x:v>PASS</x:v>
      </x:c>
      <x:c r="J36" t="str">
        <x:f aca="0">IF(ABS(MLCF!H173/1-MLCF!H132)&lt;=0.01,"PASS","REVIEW")</x:f>
        <x:v>PASS</x:v>
      </x:c>
    </x:row>
    <x:row r="37" ht="15" hidden="0">
      <x:c r="A37" t="s">
        <x:v>42</x:v>
      </x:c>
      <x:c r="B37" t="s">
        <x:v>1082</x:v>
      </x:c>
      <x:c r="F37" t="str">
        <x:f aca="0">IF(AND(ISNUMBER(MLCF!C37),ISNUMBER(MLCF!C51),ISNUMBER(MLCF!C21)),"PASS","FAIL")</x:f>
        <x:v>PASS</x:v>
      </x:c>
      <x:c r="G37" t="str">
        <x:f aca="0">IF(AND(ISNUMBER(MLCF!D37),ISNUMBER(MLCF!D51),ISNUMBER(MLCF!D21)),"PASS","FAIL")</x:f>
        <x:v>PASS</x:v>
      </x:c>
      <x:c r="H37" t="str">
        <x:f aca="0">IF(AND(ISNUMBER(MLCF!E37),ISNUMBER(MLCF!E51),ISNUMBER(MLCF!E21)),"PASS","FAIL")</x:f>
        <x:v>PASS</x:v>
      </x:c>
      <x:c r="I37" t="str">
        <x:f aca="0">IF(AND(ISNUMBER(MLCF!F37),ISNUMBER(MLCF!F51),ISNUMBER(MLCF!F21)),"PASS","FAIL")</x:f>
        <x:v>PASS</x:v>
      </x:c>
      <x:c r="J37" t="str">
        <x:f aca="0">IF(AND(ISNUMBER(MLCF!G37),ISNUMBER(MLCF!G51),ISNUMBER(MLCF!G21)),"PASS","FAIL")</x:f>
        <x:v>PASS</x:v>
      </x:c>
    </x:row>
    <x:row r="38" ht="15" hidden="0">
      <x:c r="A38" t="s">
        <x:v>42</x:v>
      </x:c>
      <x:c r="B38" t="s">
        <x:v>1083</x:v>
      </x:c>
      <x:c r="F38" t="str">
        <x:f aca="0">IF(SUMPRODUCT(--ISERROR(MLCF!D138:D189))=0,"PASS","FAIL")</x:f>
        <x:v>PASS</x:v>
      </x:c>
      <x:c r="G38" t="str">
        <x:f aca="0">IF(SUMPRODUCT(--ISERROR(MLCF!E138:E189))=0,"PASS","FAIL")</x:f>
        <x:v>PASS</x:v>
      </x:c>
      <x:c r="H38" t="str">
        <x:f aca="0">IF(SUMPRODUCT(--ISERROR(MLCF!F138:F189))=0,"PASS","FAIL")</x:f>
        <x:v>PASS</x:v>
      </x:c>
      <x:c r="I38" t="str">
        <x:f aca="0">IF(SUMPRODUCT(--ISERROR(MLCF!G138:G189))=0,"PASS","FAIL")</x:f>
        <x:v>PASS</x:v>
      </x:c>
      <x:c r="J38" t="str">
        <x:f aca="0">IF(SUMPRODUCT(--ISERROR(MLCF!H138:H189))=0,"PASS","FAIL")</x:f>
        <x:v>PASS</x:v>
      </x:c>
    </x:row>
    <x:row r="39" ht="15" hidden="0">
      <x:c r="A39" t="s">
        <x:v>42</x:v>
      </x:c>
      <x:c r="B39" t="s">
        <x:v>1084</x:v>
      </x:c>
      <x:c r="F39" t="n">
        <x:f aca="0">COUNTIF(MLCF!D138:D182,"n/m")</x:f>
        <x:v>0</x:v>
      </x:c>
      <x:c r="G39" t="n">
        <x:f aca="0">COUNTIF(MLCF!E138:E182,"n/m")</x:f>
        <x:v>0</x:v>
      </x:c>
      <x:c r="H39" t="n">
        <x:f aca="0">COUNTIF(MLCF!F138:F182,"n/m")</x:f>
        <x:v>0</x:v>
      </x:c>
      <x:c r="I39" t="n">
        <x:f aca="0">COUNTIF(MLCF!G138:G182,"n/m")</x:f>
        <x:v>0</x:v>
      </x:c>
      <x:c r="J39" t="n">
        <x:f aca="0">COUNTIF(MLCF!H138:H182,"n/m")</x:f>
        <x:v>0</x:v>
      </x:c>
    </x:row>
    <x:row r="40" ht="15" hidden="0">
      <x:c r="A40" t="s">
        <x:v>42</x:v>
      </x:c>
      <x:c r="B40" t="s">
        <x:v>1085</x:v>
      </x:c>
      <x:c r="F40" t="str">
        <x:v>VERIFIED PSX</x:v>
      </x:c>
      <x:c r="G40" t="str">
        <x:v>VERIFIED PSX</x:v>
      </x:c>
      <x:c r="H40" t="str">
        <x:v>VERIFIED PSX</x:v>
      </x:c>
      <x:c r="I40" t="str">
        <x:v>VERIFIED PSX</x:v>
      </x:c>
      <x:c r="J40" t="str">
        <x:v>VERIFIED PSX</x:v>
      </x:c>
      <x:c r="K40" s="9" t="str">
        <x:v>25 observations verified independently against PSX historical CLOSE records on 22 October 2026; see PSX Prices and Price Evidence.</x:v>
      </x:c>
    </x:row>
    <x:row r="41" ht="15" hidden="0">
      <x:c r="A41" t="s">
        <x:v>46</x:v>
      </x:c>
      <x:c r="B41" t="s">
        <x:v>1077</x:v>
      </x:c>
      <x:c r="E41" t="str">
        <x:f aca="0">FCCL!C79</x:f>
        <x:v>PASS</x:v>
      </x:c>
      <x:c r="F41" t="str">
        <x:f aca="0">FCCL!D79</x:f>
        <x:v>PASS</x:v>
      </x:c>
      <x:c r="G41" t="str">
        <x:f aca="0">FCCL!E79</x:f>
        <x:v>PASS</x:v>
      </x:c>
      <x:c r="H41" t="str">
        <x:f aca="0">FCCL!F79</x:f>
        <x:v>PASS</x:v>
      </x:c>
      <x:c r="I41" t="str">
        <x:f aca="0">FCCL!G79</x:f>
        <x:v>PASS</x:v>
      </x:c>
      <x:c r="J41" t="str">
        <x:f aca="0">FCCL!H79</x:f>
        <x:v>PASS</x:v>
      </x:c>
    </x:row>
    <x:row r="42" ht="15" hidden="0">
      <x:c r="A42" t="s">
        <x:v>46</x:v>
      </x:c>
      <x:c r="B42" t="s">
        <x:v>1078</x:v>
      </x:c>
      <x:c r="E42" t="str">
        <x:f aca="0">FCCL!C80</x:f>
        <x:v>PASS</x:v>
      </x:c>
      <x:c r="F42" t="str">
        <x:f aca="0">FCCL!D80</x:f>
        <x:v>PASS</x:v>
      </x:c>
      <x:c r="G42" t="str">
        <x:f aca="0">FCCL!E80</x:f>
        <x:v>PASS</x:v>
      </x:c>
      <x:c r="H42" t="str">
        <x:f aca="0">FCCL!F80</x:f>
        <x:v>PASS</x:v>
      </x:c>
      <x:c r="I42" t="str">
        <x:f aca="0">FCCL!G80</x:f>
        <x:v>PASS</x:v>
      </x:c>
      <x:c r="J42" t="str">
        <x:f aca="0">FCCL!H80</x:f>
        <x:v>PASS</x:v>
      </x:c>
    </x:row>
    <x:row r="43" ht="15" hidden="0">
      <x:c r="A43" t="s">
        <x:v>46</x:v>
      </x:c>
      <x:c r="B43" t="s">
        <x:v>1079</x:v>
      </x:c>
      <x:c r="E43" t="str">
        <x:f aca="0">FCCL!C81</x:f>
        <x:v>PASS</x:v>
      </x:c>
      <x:c r="F43" t="str">
        <x:f aca="0">FCCL!D81</x:f>
        <x:v>PASS</x:v>
      </x:c>
      <x:c r="G43" t="str">
        <x:f aca="0">FCCL!E81</x:f>
        <x:v>PASS</x:v>
      </x:c>
      <x:c r="H43" t="str">
        <x:f aca="0">FCCL!F81</x:f>
        <x:v>PASS</x:v>
      </x:c>
      <x:c r="I43" t="str">
        <x:f aca="0">FCCL!G81</x:f>
        <x:v>PASS</x:v>
      </x:c>
      <x:c r="J43" t="str">
        <x:f aca="0">FCCL!H81</x:f>
        <x:v>PASS</x:v>
      </x:c>
    </x:row>
    <x:row r="44" ht="15" hidden="0">
      <x:c r="A44" t="s">
        <x:v>46</x:v>
      </x:c>
      <x:c r="B44" t="s">
        <x:v>1080</x:v>
      </x:c>
      <x:c r="F44" t="str">
        <x:f aca="0">FCCL!D103</x:f>
        <x:v>PASS</x:v>
      </x:c>
      <x:c r="G44" t="str">
        <x:f aca="0">FCCL!E103</x:f>
        <x:v>PASS</x:v>
      </x:c>
      <x:c r="H44" t="str">
        <x:f aca="0">FCCL!F103</x:f>
        <x:v>PASS</x:v>
      </x:c>
      <x:c r="I44" t="str">
        <x:f aca="0">FCCL!G103</x:f>
        <x:v>PASS</x:v>
      </x:c>
      <x:c r="J44" t="str">
        <x:f aca="0">FCCL!H103</x:f>
        <x:v>PASS</x:v>
      </x:c>
    </x:row>
    <x:row r="45" ht="15" hidden="0">
      <x:c r="A45" t="s">
        <x:v>46</x:v>
      </x:c>
      <x:c r="B45" t="s">
        <x:v>1081</x:v>
      </x:c>
      <x:c r="F45" t="str">
        <x:f aca="0">IF(ABS(FCCL!D173/1-FCCL!D132)&lt;=0.01,"PASS","REVIEW")</x:f>
        <x:v>PASS</x:v>
      </x:c>
      <x:c r="G45" t="str">
        <x:f aca="0">IF(ABS(FCCL!E173/1-FCCL!E132)&lt;=0.01,"PASS","REVIEW")</x:f>
        <x:v>PASS</x:v>
      </x:c>
      <x:c r="H45" t="str">
        <x:f aca="0">IF(ABS(FCCL!F173/1-FCCL!F132)&lt;=0.01,"PASS","REVIEW")</x:f>
        <x:v>REVIEW</x:v>
      </x:c>
      <x:c r="I45" t="str">
        <x:f aca="0">IF(ABS(FCCL!G173/1-FCCL!G132)&lt;=0.01,"PASS","REVIEW")</x:f>
        <x:v>PASS</x:v>
      </x:c>
      <x:c r="J45" t="str">
        <x:f aca="0">IF(ABS(FCCL!H173/1-FCCL!H132)&lt;=0.01,"PASS","REVIEW")</x:f>
        <x:v>PASS</x:v>
      </x:c>
    </x:row>
    <x:row r="46" ht="15" hidden="0">
      <x:c r="A46" t="s">
        <x:v>46</x:v>
      </x:c>
      <x:c r="B46" t="s">
        <x:v>1082</x:v>
      </x:c>
      <x:c r="F46" t="str">
        <x:f aca="0">IF(AND(ISNUMBER(FCCL!C37),ISNUMBER(FCCL!C51),ISNUMBER(FCCL!C21)),"PASS","FAIL")</x:f>
        <x:v>PASS</x:v>
      </x:c>
      <x:c r="G46" t="str">
        <x:f aca="0">IF(AND(ISNUMBER(FCCL!D37),ISNUMBER(FCCL!D51),ISNUMBER(FCCL!D21)),"PASS","FAIL")</x:f>
        <x:v>PASS</x:v>
      </x:c>
      <x:c r="H46" t="str">
        <x:f aca="0">IF(AND(ISNUMBER(FCCL!E37),ISNUMBER(FCCL!E51),ISNUMBER(FCCL!E21)),"PASS","FAIL")</x:f>
        <x:v>PASS</x:v>
      </x:c>
      <x:c r="I46" t="str">
        <x:f aca="0">IF(AND(ISNUMBER(FCCL!F37),ISNUMBER(FCCL!F51),ISNUMBER(FCCL!F21)),"PASS","FAIL")</x:f>
        <x:v>PASS</x:v>
      </x:c>
      <x:c r="J46" t="str">
        <x:f aca="0">IF(AND(ISNUMBER(FCCL!G37),ISNUMBER(FCCL!G51),ISNUMBER(FCCL!G21)),"PASS","FAIL")</x:f>
        <x:v>PASS</x:v>
      </x:c>
    </x:row>
    <x:row r="47" ht="15" hidden="0">
      <x:c r="A47" t="s">
        <x:v>46</x:v>
      </x:c>
      <x:c r="B47" t="s">
        <x:v>1083</x:v>
      </x:c>
      <x:c r="F47" t="str">
        <x:f aca="0">IF(SUMPRODUCT(--ISERROR(FCCL!D138:D189))=0,"PASS","FAIL")</x:f>
        <x:v>PASS</x:v>
      </x:c>
      <x:c r="G47" t="str">
        <x:f aca="0">IF(SUMPRODUCT(--ISERROR(FCCL!E138:E189))=0,"PASS","FAIL")</x:f>
        <x:v>PASS</x:v>
      </x:c>
      <x:c r="H47" t="str">
        <x:f aca="0">IF(SUMPRODUCT(--ISERROR(FCCL!F138:F189))=0,"PASS","FAIL")</x:f>
        <x:v>PASS</x:v>
      </x:c>
      <x:c r="I47" t="str">
        <x:f aca="0">IF(SUMPRODUCT(--ISERROR(FCCL!G138:G189))=0,"PASS","FAIL")</x:f>
        <x:v>PASS</x:v>
      </x:c>
      <x:c r="J47" t="str">
        <x:f aca="0">IF(SUMPRODUCT(--ISERROR(FCCL!H138:H189))=0,"PASS","FAIL")</x:f>
        <x:v>PASS</x:v>
      </x:c>
    </x:row>
    <x:row r="48" ht="15" hidden="0">
      <x:c r="A48" t="s">
        <x:v>46</x:v>
      </x:c>
      <x:c r="B48" t="s">
        <x:v>1084</x:v>
      </x:c>
      <x:c r="F48" t="n">
        <x:f aca="0">COUNTIF(FCCL!D138:D182,"n/m")</x:f>
        <x:v>0</x:v>
      </x:c>
      <x:c r="G48" t="n">
        <x:f aca="0">COUNTIF(FCCL!E138:E182,"n/m")</x:f>
        <x:v>0</x:v>
      </x:c>
      <x:c r="H48" t="n">
        <x:f aca="0">COUNTIF(FCCL!F138:F182,"n/m")</x:f>
        <x:v>0</x:v>
      </x:c>
      <x:c r="I48" t="n">
        <x:f aca="0">COUNTIF(FCCL!G138:G182,"n/m")</x:f>
        <x:v>0</x:v>
      </x:c>
      <x:c r="J48" t="n">
        <x:f aca="0">COUNTIF(FCCL!H138:H182,"n/m")</x:f>
        <x:v>0</x:v>
      </x:c>
    </x:row>
    <x:row r="49" ht="15" hidden="0">
      <x:c r="A49" t="s">
        <x:v>46</x:v>
      </x:c>
      <x:c r="B49" t="s">
        <x:v>1085</x:v>
      </x:c>
      <x:c r="F49" t="str">
        <x:v>VERIFIED PSX</x:v>
      </x:c>
      <x:c r="G49" t="str">
        <x:v>VERIFIED PSX</x:v>
      </x:c>
      <x:c r="H49" t="str">
        <x:v>VERIFIED PSX</x:v>
      </x:c>
      <x:c r="I49" t="str">
        <x:v>VERIFIED PSX</x:v>
      </x:c>
      <x:c r="J49" t="str">
        <x:v>VERIFIED PSX</x:v>
      </x:c>
      <x:c r="K49" s="9" t="str">
        <x:v>25 observations verified independently against PSX historical CLOSE records on 22 October 2026; see PSX Prices and Price Evidence.</x:v>
      </x:c>
    </x:row>
    <x:row r="50" ht="15" hidden="0">
      <x:c r="A50" t="s">
        <x:v>1086</x:v>
      </x:c>
      <x:c r="B50" t="s">
        <x:v>1087</x:v>
      </x:c>
      <x:c r="F50" t="str">
        <x:f aca="0">IF(AND(ABS(SUM('Industry Comparison'!E5:E400)-SUM(KOHC!D138:H182))&lt;0.000001,ABS(SUM('Industry Comparison'!F5:F400)-SUM(LUCK!D138:H182))&lt;0.000001,ABS(SUM('Industry Comparison'!G5:G400)-SUM(DGKC!D138:H182))&lt;0.000001,ABS(SUM('Industry Comparison'!H5:H400)-SUM(MLCF!D138:H182))&lt;0.000001,ABS(SUM('Industry Comparison'!I5:I400)-SUM(FCCL!D138:H182))&lt;0.000001),"PASS","FAIL")</x:f>
        <x:v>PASS</x:v>
      </x:c>
    </x:row>
    <x:row r="51" ht="15" hidden="0">
      <x:c r="A51" t="s">
        <x:v>1086</x:v>
      </x:c>
      <x:c r="B51" t="s">
        <x:v>1088</x:v>
      </x:c>
      <x:c r="F51" t="str">
        <x:f aca="0">IF(COUNTIF('Industry Comparison'!R:R,"ERR")=0,"PASS","FAIL")</x:f>
        <x:v>PASS</x:v>
      </x:c>
    </x:row>
    <x:row r="52" ht="15" hidden="0">
      <x:c r="A52" t="s">
        <x:v>1086</x:v>
      </x:c>
      <x:c r="B52" t="s">
        <x:v>1089</x:v>
      </x:c>
      <x:c r="F52" t="str">
        <x:f aca="0">IF(COUNTIF(Q:Q,"FAIL")=0,"PASS","FAIL")</x:f>
        <x:v>PASS</x:v>
      </x:c>
    </x:row>
    <x:row r="53" ht="15" hidden="0">
      <x:c r="A53" t="s">
        <x:v>1086</x:v>
      </x:c>
      <x:c r="B53" t="s">
        <x:v>1090</x:v>
      </x:c>
      <x:c r="F53" t="s">
        <x:v>1091</x:v>
      </x:c>
    </x:row>
    <x:row r="55" ht="15" hidden="0">
      <x:c r="A55" s="5" t="s">
        <x:v>1092</x:v>
      </x:c>
      <x:c r="B55" s="20"/>
      <x:c r="C55" s="20"/>
      <x:c r="D55" s="20"/>
      <x:c r="E55" s="20"/>
      <x:c r="F55" s="20"/>
      <x:c r="G55" s="20"/>
      <x:c r="H55" s="20"/>
      <x:c r="I55" s="20"/>
      <x:c r="J55" s="20"/>
      <x:c r="K55" s="20"/>
      <x:c r="L55" s="20"/>
      <x:c r="M55" s="20"/>
      <x:c r="N55" s="20"/>
      <x:c r="O55" s="20"/>
      <x:c r="P55" s="20"/>
      <x:c r="Q55" s="20"/>
      <x:c r="R55" s="20"/>
      <x:c r="S55" s="20"/>
    </x:row>
    <x:row r="56" ht="15" hidden="0">
      <x:c r="A56" s="24" t="s">
        <x:v>19</x:v>
      </x:c>
      <x:c r="B56" s="24" t="s">
        <x:v>1093</x:v>
      </x:c>
      <x:c r="C56" s="25"/>
      <x:c r="D56" s="24" t="s">
        <x:v>1094</x:v>
      </x:c>
      <x:c r="E56" s="25"/>
      <x:c r="F56" s="25"/>
      <x:c r="G56" s="25"/>
      <x:c r="H56" s="25"/>
      <x:c r="I56" s="25"/>
      <x:c r="J56" s="24" t="s">
        <x:v>194</x:v>
      </x:c>
    </x:row>
    <x:row r="57" ht="27.75" hidden="0" customHeight="1">
      <x:c r="A57" t="s">
        <x:v>1095</x:v>
      </x:c>
      <x:c r="B57" t="s">
        <x:v>287</x:v>
      </x:c>
      <x:c r="D57" s="12" t="str">
        <x:v>Replaced report-wide split basis with actual FY-end market basis. KOHC Rs 10 through FY2025. LUCK Rs 10 FY2021–24 and Rs 2 FY2025. Verified split dates and adjustments appear on Corporate Actions.</x:v>
      </x:c>
      <x:c r="E57" s="12"/>
      <x:c r="F57" s="12"/>
      <x:c r="G57" s="12"/>
      <x:c r="H57" s="12"/>
      <x:c r="I57" s="12"/>
      <x:c r="J57" s="2" t="str">
        <x:v>CORRECTED</x:v>
      </x:c>
    </x:row>
    <x:row r="58" ht="27.75" hidden="0" customHeight="1">
      <x:c r="A58" t="s">
        <x:v>1096</x:v>
      </x:c>
      <x:c r="B58" t="s">
        <x:v>1097</x:v>
      </x:c>
      <x:c r="D58" s="12" t="str">
        <x:v>All 25 historical prices retrieved from PSX. KOHC FY2024 and FY2025 report prices disagree beyond rounding after confirmed split conversion. PSX close governs. See PSX Prices.</x:v>
      </x:c>
      <x:c r="E58" s="12"/>
      <x:c r="F58" s="12"/>
      <x:c r="G58" s="12"/>
      <x:c r="H58" s="12"/>
      <x:c r="I58" s="12"/>
      <x:c r="J58" s="2" t="str">
        <x:v>PRICES VERIFIED; 2 REPORT DIFFERENCES</x:v>
      </x:c>
    </x:row>
    <x:row r="59" ht="27.75" hidden="0" customHeight="1">
      <x:c r="A59" t="s">
        <x:v>25</x:v>
      </x:c>
      <x:c r="B59" t="s">
        <x:v>1098</x:v>
      </x:c>
      <x:c r="D59" s="12" t="s">
        <x:v>1099</x:v>
      </x:c>
      <x:c r="E59" s="12"/>
      <x:c r="F59" s="12"/>
      <x:c r="G59" s="12"/>
      <x:c r="H59" s="12"/>
      <x:c r="I59" s="12"/>
      <x:c r="J59" s="2" t="s">
        <x:v>1100</x:v>
      </x:c>
    </x:row>
    <x:row r="60" ht="27.75" hidden="0" customHeight="1">
      <x:c r="A60" t="s">
        <x:v>25</x:v>
      </x:c>
      <x:c r="B60" t="s">
        <x:v>1101</x:v>
      </x:c>
      <x:c r="D60" s="12" t="s">
        <x:v>1102</x:v>
      </x:c>
      <x:c r="E60" s="12"/>
      <x:c r="F60" s="12"/>
      <x:c r="G60" s="12"/>
      <x:c r="H60" s="12"/>
      <x:c r="I60" s="12"/>
      <x:c r="J60" s="2" t="s">
        <x:v>1103</x:v>
      </x:c>
    </x:row>
    <x:row r="61" ht="27.75" hidden="0" customHeight="1">
      <x:c r="A61" t="s">
        <x:v>25</x:v>
      </x:c>
      <x:c r="B61" t="s">
        <x:v>1104</x:v>
      </x:c>
      <x:c r="D61" s="12" t="s">
        <x:v>1105</x:v>
      </x:c>
      <x:c r="E61" s="12"/>
      <x:c r="F61" s="12"/>
      <x:c r="G61" s="12"/>
      <x:c r="H61" s="12"/>
      <x:c r="I61" s="12"/>
      <x:c r="J61" s="2" t="s">
        <x:v>1100</x:v>
      </x:c>
    </x:row>
    <x:row r="62" ht="27.75" hidden="0" customHeight="1">
      <x:c r="A62" t="s">
        <x:v>31</x:v>
      </x:c>
      <x:c r="B62" t="s">
        <x:v>1106</x:v>
      </x:c>
      <x:c r="D62" s="12" t="s">
        <x:v>1107</x:v>
      </x:c>
      <x:c r="E62" s="12"/>
      <x:c r="F62" s="12"/>
      <x:c r="G62" s="12"/>
      <x:c r="H62" s="12"/>
      <x:c r="I62" s="12"/>
      <x:c r="J62" s="2" t="s">
        <x:v>1100</x:v>
      </x:c>
    </x:row>
    <x:row r="63" ht="27.75" hidden="0" customHeight="1">
      <x:c r="A63" t="s">
        <x:v>31</x:v>
      </x:c>
      <x:c r="B63" t="s">
        <x:v>1108</x:v>
      </x:c>
      <x:c r="D63" s="12" t="s">
        <x:v>1109</x:v>
      </x:c>
      <x:c r="E63" s="12"/>
      <x:c r="F63" s="12"/>
      <x:c r="G63" s="12"/>
      <x:c r="H63" s="12"/>
      <x:c r="I63" s="12"/>
      <x:c r="J63" s="2" t="s">
        <x:v>1103</x:v>
      </x:c>
    </x:row>
    <x:row r="64" ht="27.75" hidden="0" customHeight="1">
      <x:c r="A64" t="s">
        <x:v>46</x:v>
      </x:c>
      <x:c r="B64" t="s">
        <x:v>1110</x:v>
      </x:c>
      <x:c r="D64" s="12" t="str">
        <x:v>FY2023 published WAVG 2,353.539m cannot be reconstructed from opening 2,180.309m and the sole 12.5% bonus issue. Standardized EPS uses full-year bonus denominator equal to closing shares per IAS 33.26–28. Company disclosure remains unreconciled.</x:v>
      </x:c>
      <x:c r="E64" s="12"/>
      <x:c r="F64" s="12"/>
      <x:c r="G64" s="12"/>
      <x:c r="H64" s="12"/>
      <x:c r="I64" s="12"/>
      <x:c r="J64" s="2" t="str">
        <x:v>CORRECTED BASIS; REPORT UNRESOLVED</x:v>
      </x:c>
    </x:row>
    <x:row r="65" ht="27.75" hidden="0" customHeight="1">
      <x:c r="A65" t="s">
        <x:v>46</x:v>
      </x:c>
      <x:c r="B65" t="s">
        <x:v>1111</x:v>
      </x:c>
      <x:c r="D65" s="12" t="s">
        <x:v>1112</x:v>
      </x:c>
      <x:c r="E65" s="12"/>
      <x:c r="F65" s="12"/>
      <x:c r="G65" s="12"/>
      <x:c r="H65" s="12"/>
      <x:c r="I65" s="12"/>
      <x:c r="J65" s="2" t="s">
        <x:v>1100</x:v>
      </x:c>
    </x:row>
    <x:row r="66" ht="27.75" hidden="0" customHeight="1">
      <x:c r="A66" t="s">
        <x:v>46</x:v>
      </x:c>
      <x:c r="B66" t="s">
        <x:v>1113</x:v>
      </x:c>
      <x:c r="D66" s="12" t="s">
        <x:v>1114</x:v>
      </x:c>
      <x:c r="E66" s="12"/>
      <x:c r="F66" s="12"/>
      <x:c r="G66" s="12"/>
      <x:c r="H66" s="12"/>
      <x:c r="I66" s="12"/>
      <x:c r="J66" s="2" t="s">
        <x:v>1103</x:v>
      </x:c>
    </x:row>
    <x:row r="67" ht="27.75" hidden="0" customHeight="1">
      <x:c r="A67" t="s">
        <x:v>42</x:v>
      </x:c>
      <x:c r="B67" t="s">
        <x:v>1115</x:v>
      </x:c>
      <x:c r="D67" s="12" t="s">
        <x:v>1116</x:v>
      </x:c>
      <x:c r="E67" s="12"/>
      <x:c r="F67" s="12"/>
      <x:c r="G67" s="12"/>
      <x:c r="H67" s="12"/>
      <x:c r="I67" s="12"/>
      <x:c r="J67" s="2" t="s">
        <x:v>1100</x:v>
      </x:c>
    </x:row>
    <x:row r="68" ht="27.75" hidden="0" customHeight="1">
      <x:c r="A68" t="s">
        <x:v>46</x:v>
      </x:c>
      <x:c r="B68" t="s">
        <x:v>1115</x:v>
      </x:c>
      <x:c r="D68" s="12" t="s">
        <x:v>1117</x:v>
      </x:c>
      <x:c r="E68" s="12"/>
      <x:c r="F68" s="12"/>
      <x:c r="G68" s="12"/>
      <x:c r="H68" s="12"/>
      <x:c r="I68" s="12"/>
      <x:c r="J68" s="2" t="s">
        <x:v>1100</x:v>
      </x:c>
    </x:row>
    <x:row r="69" ht="27.75" hidden="0" customHeight="1">
      <x:c r="A69" t="s">
        <x:v>1118</x:v>
      </x:c>
      <x:c r="B69" t="s">
        <x:v>1119</x:v>
      </x:c>
      <x:c r="D69" s="12" t="s">
        <x:v>1120</x:v>
      </x:c>
      <x:c r="E69" s="12"/>
      <x:c r="F69" s="12"/>
      <x:c r="G69" s="12"/>
      <x:c r="H69" s="12"/>
      <x:c r="I69" s="12"/>
      <x:c r="J69" s="2" t="s">
        <x:v>1103</x:v>
      </x:c>
    </x:row>
    <x:row r="70" ht="27.75" hidden="0" customHeight="1">
      <x:c r="A70" t="s">
        <x:v>1096</x:v>
      </x:c>
      <x:c r="B70" t="s">
        <x:v>1121</x:v>
      </x:c>
      <x:c r="D70" s="12" t="s">
        <x:v>1122</x:v>
      </x:c>
      <x:c r="E70" s="12"/>
      <x:c r="F70" s="12"/>
      <x:c r="G70" s="12"/>
      <x:c r="H70" s="12"/>
      <x:c r="I70" s="12"/>
      <x:c r="J70" s="2" t="s">
        <x:v>1103</x:v>
      </x:c>
    </x:row>
    <x:row r="72" ht="15" hidden="0">
      <x:c r="A72" s="5" t="s">
        <x:v>1123</x:v>
      </x:c>
      <x:c r="B72" s="20"/>
      <x:c r="C72" s="20"/>
      <x:c r="D72" s="20"/>
      <x:c r="E72" s="20"/>
      <x:c r="F72" s="20"/>
      <x:c r="G72" s="20"/>
      <x:c r="H72" s="20"/>
      <x:c r="I72" s="20"/>
      <x:c r="J72" s="20"/>
      <x:c r="K72" s="20"/>
      <x:c r="L72" s="20"/>
      <x:c r="M72" s="20"/>
      <x:c r="N72" s="20"/>
      <x:c r="O72" s="20"/>
      <x:c r="P72" s="20"/>
      <x:c r="Q72" s="20"/>
      <x:c r="R72" s="20"/>
      <x:c r="S72" s="20"/>
    </x:row>
    <x:row r="73" ht="15" hidden="0">
      <x:c r="A73" s="24" t="s">
        <x:v>19</x:v>
      </x:c>
      <x:c r="B73" s="24" t="s">
        <x:v>189</x:v>
      </x:c>
      <x:c r="C73" s="24" t="s">
        <x:v>1124</x:v>
      </x:c>
      <x:c r="D73" s="24" t="s">
        <x:v>86</x:v>
      </x:c>
      <x:c r="E73" s="24" t="s">
        <x:v>1125</x:v>
      </x:c>
      <x:c r="F73" s="24" t="s">
        <x:v>1126</x:v>
      </x:c>
      <x:c r="G73" s="24" t="s">
        <x:v>1127</x:v>
      </x:c>
      <x:c r="H73" s="24" t="s">
        <x:v>1128</x:v>
      </x:c>
    </x:row>
    <x:row r="74" ht="15" hidden="0">
      <x:c r="A74" t="s">
        <x:v>25</x:v>
      </x:c>
      <x:c r="B74" t="s">
        <x:v>73</x:v>
      </x:c>
      <x:c r="C74" t="s">
        <x:v>1129</x:v>
      </x:c>
      <x:c r="D74" t="s">
        <x:v>1130</x:v>
      </x:c>
      <x:c r="E74" s="44" t="n">
        <x:v>4136.086159</x:v>
      </x:c>
      <x:c r="F74" s="44" t="n">
        <x:v>4134.086159</x:v>
      </x:c>
      <x:c r="G74" s="44" t="n">
        <x:f aca="0">F74-E74</x:f>
        <x:v>-2</x:v>
      </x:c>
      <x:c r="H74" s="11" t="s">
        <x:v>1131</x:v>
      </x:c>
    </x:row>
    <x:row r="75" ht="15" hidden="0">
      <x:c r="A75" t="s">
        <x:v>25</x:v>
      </x:c>
      <x:c r="B75" t="s">
        <x:v>73</x:v>
      </x:c>
      <x:c r="C75" t="s">
        <x:v>1129</x:v>
      </x:c>
      <x:c r="D75" t="s">
        <x:v>1132</x:v>
      </x:c>
      <x:c r="E75" s="44" t="n">
        <x:v>43.32664</x:v>
      </x:c>
      <x:c r="F75" s="44" t="n">
        <x:v>69.76574</x:v>
      </x:c>
      <x:c r="G75" s="44" t="n">
        <x:f aca="0">F75-E75</x:f>
        <x:v>26.439099999999996</x:v>
      </x:c>
      <x:c r="H75" s="11" t="s">
        <x:v>1131</x:v>
      </x:c>
    </x:row>
    <x:row r="76" ht="15" hidden="0">
      <x:c r="A76" t="s">
        <x:v>25</x:v>
      </x:c>
      <x:c r="B76" t="s">
        <x:v>73</x:v>
      </x:c>
      <x:c r="C76" t="s">
        <x:v>1129</x:v>
      </x:c>
      <x:c r="D76" t="s">
        <x:v>1133</x:v>
      </x:c>
      <x:c r="E76" s="44" t="n">
        <x:v>22051.984013</x:v>
      </x:c>
      <x:c r="F76" s="44" t="n">
        <x:v>22027.544913</x:v>
      </x:c>
      <x:c r="G76" s="44" t="n">
        <x:f aca="0">F76-E76</x:f>
        <x:v>-24.4390999999996</x:v>
      </x:c>
      <x:c r="H76" s="11" t="s">
        <x:v>1131</x:v>
      </x:c>
    </x:row>
    <x:row r="77" ht="15" hidden="0">
      <x:c r="A77" t="s">
        <x:v>25</x:v>
      </x:c>
      <x:c r="B77" t="s">
        <x:v>75</x:v>
      </x:c>
      <x:c r="C77" t="s">
        <x:v>1129</x:v>
      </x:c>
      <x:c r="D77" t="s">
        <x:v>1134</x:v>
      </x:c>
      <x:c r="E77" s="44" t="n">
        <x:v>5171.144705</x:v>
      </x:c>
      <x:c r="F77" s="44" t="n">
        <x:v>5307.075353</x:v>
      </x:c>
      <x:c r="G77" s="44" t="n">
        <x:f aca="0">F77-E77</x:f>
        <x:v>135.93064800000047</x:v>
      </x:c>
      <x:c r="H77" s="11" t="s">
        <x:v>1135</x:v>
      </x:c>
    </x:row>
    <x:row r="78" ht="15" hidden="0">
      <x:c r="A78" t="s">
        <x:v>25</x:v>
      </x:c>
      <x:c r="B78" t="s">
        <x:v>75</x:v>
      </x:c>
      <x:c r="C78" t="s">
        <x:v>1129</x:v>
      </x:c>
      <x:c r="D78" t="s">
        <x:v>1136</x:v>
      </x:c>
      <x:c r="E78" s="44" t="n">
        <x:v>3215.684878</x:v>
      </x:c>
      <x:c r="F78" s="44" t="n">
        <x:v>3079.75423</x:v>
      </x:c>
      <x:c r="G78" s="44" t="n">
        <x:f aca="0">F78-E78</x:f>
        <x:v>-135.93064800000002</x:v>
      </x:c>
      <x:c r="H78" s="11" t="s">
        <x:v>1135</x:v>
      </x:c>
    </x:row>
    <x:row r="79" ht="15" hidden="0">
      <x:c r="A79" t="s">
        <x:v>25</x:v>
      </x:c>
      <x:c r="B79" t="s">
        <x:v>75</x:v>
      </x:c>
      <x:c r="C79" t="s">
        <x:v>1137</x:v>
      </x:c>
      <x:c r="D79" t="s">
        <x:v>1138</x:v>
      </x:c>
      <x:c r="E79" s="44" t="n">
        <x:v>11209.6356</x:v>
      </x:c>
      <x:c r="F79" s="44" t="n">
        <x:v>9123.827547</x:v>
      </x:c>
      <x:c r="G79" s="44" t="n">
        <x:f aca="0">F79-E79</x:f>
        <x:v>-2085.808052999999</x:v>
      </x:c>
      <x:c r="H79" s="11" t="s">
        <x:v>1135</x:v>
      </x:c>
    </x:row>
    <x:row r="80" ht="15" hidden="0">
      <x:c r="A80" t="s">
        <x:v>25</x:v>
      </x:c>
      <x:c r="B80" t="s">
        <x:v>75</x:v>
      </x:c>
      <x:c r="C80" t="s">
        <x:v>1137</x:v>
      </x:c>
      <x:c r="D80" t="s">
        <x:v>1139</x:v>
      </x:c>
      <x:c r="E80" s="44" t="n">
        <x:v>10469.327828</x:v>
      </x:c>
      <x:c r="F80" s="44" t="n">
        <x:v>10125.346823</x:v>
      </x:c>
      <x:c r="G80" s="44" t="n">
        <x:f aca="0">F80-E80</x:f>
        <x:v>-343.98100499999964</x:v>
      </x:c>
      <x:c r="H80" s="11" t="s">
        <x:v>1135</x:v>
      </x:c>
    </x:row>
    <x:row r="81" ht="15" hidden="0">
      <x:c r="A81" t="s">
        <x:v>25</x:v>
      </x:c>
      <x:c r="B81" t="s">
        <x:v>75</x:v>
      </x:c>
      <x:c r="C81" t="s">
        <x:v>1137</x:v>
      </x:c>
      <x:c r="D81" t="s">
        <x:v>1140</x:v>
      </x:c>
      <x:c r="E81" s="44" t="n">
        <x:v>-4648.576683</x:v>
      </x:c>
      <x:c r="F81" s="44" t="n">
        <x:v>-4304.595678</x:v>
      </x:c>
      <x:c r="G81" s="44" t="n">
        <x:f aca="0">F81-E81</x:f>
        <x:v>343.98100500000055</x:v>
      </x:c>
      <x:c r="H81" s="11" t="s">
        <x:v>1135</x:v>
      </x:c>
    </x:row>
    <x:row r="82" ht="15" hidden="0">
      <x:c r="A82" t="s">
        <x:v>25</x:v>
      </x:c>
      <x:c r="B82" t="s">
        <x:v>75</x:v>
      </x:c>
      <x:c r="C82" t="s">
        <x:v>1141</x:v>
      </x:c>
      <x:c r="D82" t="s">
        <x:v>1142</x:v>
      </x:c>
      <x:c r="E82" s="44" t="n">
        <x:v>-3669.822246</x:v>
      </x:c>
      <x:c r="F82" s="44" t="n">
        <x:v>-2470.515763</x:v>
      </x:c>
      <x:c r="G82" s="44" t="n">
        <x:f aca="0">F82-E82</x:f>
        <x:v>1199.3064830000003</x:v>
      </x:c>
      <x:c r="H82" s="11" t="s">
        <x:v>1135</x:v>
      </x:c>
    </x:row>
    <x:row r="83" ht="15" hidden="0">
      <x:c r="A83" t="s">
        <x:v>25</x:v>
      </x:c>
      <x:c r="B83" t="s">
        <x:v>75</x:v>
      </x:c>
      <x:c r="C83" t="s">
        <x:v>1141</x:v>
      </x:c>
      <x:c r="D83" t="s">
        <x:v>1143</x:v>
      </x:c>
      <x:c r="E83" s="44" t="n">
        <x:v>5651.388244</x:v>
      </x:c>
      <x:c r="F83" s="44" t="n">
        <x:v>4452.081761</x:v>
      </x:c>
      <x:c r="G83" s="44" t="n">
        <x:f aca="0">F83-E83</x:f>
        <x:v>-1199.3064829999994</x:v>
      </x:c>
      <x:c r="H83" s="11" t="s">
        <x:v>1135</x:v>
      </x:c>
    </x:row>
    <x:row r="84" ht="15" hidden="0">
      <x:c r="A84" t="s">
        <x:v>25</x:v>
      </x:c>
      <x:c r="B84" t="s">
        <x:v>75</x:v>
      </x:c>
      <x:c r="C84" t="s">
        <x:v>1141</x:v>
      </x:c>
      <x:c r="D84" t="s">
        <x:v>1144</x:v>
      </x:c>
      <x:c r="E84" s="44" t="n">
        <x:v>9061.899692</x:v>
      </x:c>
      <x:c r="F84" s="44" t="n">
        <x:v>7862.593209</x:v>
      </x:c>
      <x:c r="G84" s="44" t="n">
        <x:f aca="0">F84-E84</x:f>
        <x:v>-1199.3064830000012</x:v>
      </x:c>
      <x:c r="H84" s="11" t="s">
        <x:v>1135</x:v>
      </x:c>
    </x:row>
    <x:row r="85" ht="15" hidden="0">
      <x:c r="A85" t="s">
        <x:v>25</x:v>
      </x:c>
      <x:c r="B85" t="s">
        <x:v>75</x:v>
      </x:c>
      <x:c r="C85" t="s">
        <x:v>1141</x:v>
      </x:c>
      <x:c r="D85" t="s">
        <x:v>1145</x:v>
      </x:c>
      <x:c r="E85" s="44" t="n">
        <x:v>-2455.159642</x:v>
      </x:c>
      <x:c r="F85" s="44" t="n">
        <x:v>-2247.109285</x:v>
      </x:c>
      <x:c r="G85" s="44" t="n">
        <x:f aca="0">F85-E85</x:f>
        <x:v>208.05035700000008</x:v>
      </x:c>
      <x:c r="H85" s="11" t="s">
        <x:v>1135</x:v>
      </x:c>
    </x:row>
    <x:row r="86" ht="15" hidden="0">
      <x:c r="A86" t="s">
        <x:v>25</x:v>
      </x:c>
      <x:c r="B86" t="s">
        <x:v>76</x:v>
      </x:c>
      <x:c r="C86" t="s">
        <x:v>1129</x:v>
      </x:c>
      <x:c r="D86" t="s">
        <x:v>1146</x:v>
      </x:c>
      <x:c r="E86" s="44" t="n">
        <x:v>135.001023</x:v>
      </x:c>
      <x:c r="F86" s="44" t="n">
        <x:v>0</x:v>
      </x:c>
      <x:c r="G86" s="44" t="n">
        <x:f aca="0">F86-E86</x:f>
        <x:v>-135.001023</x:v>
      </x:c>
      <x:c r="H86" s="11" t="s">
        <x:v>1147</x:v>
      </x:c>
    </x:row>
    <x:row r="87" ht="15" hidden="0">
      <x:c r="A87" t="s">
        <x:v>25</x:v>
      </x:c>
      <x:c r="B87" t="s">
        <x:v>76</x:v>
      </x:c>
      <x:c r="C87" t="s">
        <x:v>1129</x:v>
      </x:c>
      <x:c r="D87" t="s">
        <x:v>1148</x:v>
      </x:c>
      <x:c r="E87" s="44" t="n">
        <x:v>1222.138891</x:v>
      </x:c>
      <x:c r="F87" s="44" t="n">
        <x:v>1140.327819</x:v>
      </x:c>
      <x:c r="G87" s="44" t="n">
        <x:f aca="0">F87-E87</x:f>
        <x:v>-81.81107199999997</x:v>
      </x:c>
      <x:c r="H87" s="11" t="s">
        <x:v>1147</x:v>
      </x:c>
    </x:row>
    <x:row r="88" ht="15" hidden="0">
      <x:c r="A88" t="s">
        <x:v>25</x:v>
      </x:c>
      <x:c r="B88" t="s">
        <x:v>76</x:v>
      </x:c>
      <x:c r="C88" t="s">
        <x:v>1129</x:v>
      </x:c>
      <x:c r="D88" t="s">
        <x:v>1149</x:v>
      </x:c>
      <x:c r="E88" s="44" t="n">
        <x:v>1034.355873</x:v>
      </x:c>
      <x:c r="F88" s="44" t="n">
        <x:v>1169.295643</x:v>
      </x:c>
      <x:c r="G88" s="44" t="n">
        <x:f aca="0">F88-E88</x:f>
        <x:v>134.93976999999995</x:v>
      </x:c>
      <x:c r="H88" s="11" t="s">
        <x:v>1147</x:v>
      </x:c>
    </x:row>
    <x:row r="89" ht="15" hidden="0">
      <x:c r="A89" t="s">
        <x:v>25</x:v>
      </x:c>
      <x:c r="B89" t="s">
        <x:v>76</x:v>
      </x:c>
      <x:c r="C89" t="s">
        <x:v>1129</x:v>
      </x:c>
      <x:c r="D89" t="s">
        <x:v>1132</x:v>
      </x:c>
      <x:c r="E89" s="44" t="n">
        <x:v>64.527034</x:v>
      </x:c>
      <x:c r="F89" s="44" t="n">
        <x:v>147.388106</x:v>
      </x:c>
      <x:c r="G89" s="44" t="n">
        <x:f aca="0">F89-E89</x:f>
        <x:v>82.861072</x:v>
      </x:c>
      <x:c r="H89" s="11" t="s">
        <x:v>1147</x:v>
      </x:c>
    </x:row>
    <x:row r="90" ht="15" hidden="0">
      <x:c r="A90" t="s">
        <x:v>25</x:v>
      </x:c>
      <x:c r="B90" t="s">
        <x:v>76</x:v>
      </x:c>
      <x:c r="C90" t="s">
        <x:v>1129</x:v>
      </x:c>
      <x:c r="D90" t="s">
        <x:v>1133</x:v>
      </x:c>
      <x:c r="E90" s="44" t="n">
        <x:v>22157.690533</x:v>
      </x:c>
      <x:c r="F90" s="44" t="n">
        <x:v>22156.640533</x:v>
      </x:c>
      <x:c r="G90" s="44" t="n">
        <x:f aca="0">F90-E90</x:f>
        <x:v>-1.0499999999992724</x:v>
      </x:c>
      <x:c r="H90" s="11" t="s">
        <x:v>1147</x:v>
      </x:c>
    </x:row>
    <x:row r="91" ht="15" hidden="0">
      <x:c r="A91" t="s">
        <x:v>25</x:v>
      </x:c>
      <x:c r="B91" t="s">
        <x:v>76</x:v>
      </x:c>
      <x:c r="C91" t="s">
        <x:v>1129</x:v>
      </x:c>
      <x:c r="D91" t="s">
        <x:v>1150</x:v>
      </x:c>
      <x:c r="E91" s="44" t="n">
        <x:v>0</x:v>
      </x:c>
      <x:c r="F91" s="44" t="n">
        <x:v>0.061253</x:v>
      </x:c>
      <x:c r="G91" s="44" t="n">
        <x:f aca="0">F91-E91</x:f>
        <x:v>0.061253</x:v>
      </x:c>
      <x:c r="H91" s="11" t="s">
        <x:v>1147</x:v>
      </x:c>
    </x:row>
    <x:row r="92" ht="15" hidden="0">
      <x:c r="A92" t="s">
        <x:v>25</x:v>
      </x:c>
      <x:c r="B92" t="s">
        <x:v>76</x:v>
      </x:c>
      <x:c r="C92" t="s">
        <x:v>1137</x:v>
      </x:c>
      <x:c r="D92" t="s">
        <x:v>1138</x:v>
      </x:c>
      <x:c r="E92" s="44" t="n">
        <x:v>9999.238916</x:v>
      </x:c>
      <x:c r="F92" s="44" t="n">
        <x:v>10001.249432</x:v>
      </x:c>
      <x:c r="G92" s="44" t="n">
        <x:f aca="0">F92-E92</x:f>
        <x:v>2.0105160000002797</x:v>
      </x:c>
      <x:c r="H92" s="11" t="s">
        <x:v>1147</x:v>
      </x:c>
    </x:row>
    <x:row r="93" ht="15" hidden="0">
      <x:c r="A93" t="s">
        <x:v>25</x:v>
      </x:c>
      <x:c r="B93" t="s">
        <x:v>76</x:v>
      </x:c>
      <x:c r="C93" t="s">
        <x:v>1137</x:v>
      </x:c>
      <x:c r="D93" t="s">
        <x:v>1151</x:v>
      </x:c>
      <x:c r="E93" s="44" t="n">
        <x:v>4454.427029</x:v>
      </x:c>
      <x:c r="F93" s="44" t="n">
        <x:v>4452.416513</x:v>
      </x:c>
      <x:c r="G93" s="44" t="n">
        <x:f aca="0">F93-E93</x:f>
        <x:v>-2.0105160000002797</x:v>
      </x:c>
      <x:c r="H93" s="11" t="s">
        <x:v>1147</x:v>
      </x:c>
    </x:row>
    <x:row r="94" ht="15" hidden="0">
      <x:c r="A94" t="s">
        <x:v>25</x:v>
      </x:c>
      <x:c r="B94" t="s">
        <x:v>76</x:v>
      </x:c>
      <x:c r="C94" t="s">
        <x:v>1137</x:v>
      </x:c>
      <x:c r="D94" t="s">
        <x:v>1152</x:v>
      </x:c>
      <x:c r="E94" s="44" t="n">
        <x:v>8893.454788</x:v>
      </x:c>
      <x:c r="F94" s="44" t="n">
        <x:v>8893.454787</x:v>
      </x:c>
      <x:c r="G94" s="44" t="n">
        <x:f aca="0">F94-E94</x:f>
        <x:v>-9.999985195463523e-7</x:v>
      </x:c>
      <x:c r="H94" s="11" t="s">
        <x:v>1147</x:v>
      </x:c>
    </x:row>
    <x:row r="95" ht="15" hidden="0">
      <x:c r="A95" t="s">
        <x:v>25</x:v>
      </x:c>
      <x:c r="B95" t="s">
        <x:v>76</x:v>
      </x:c>
      <x:c r="C95" t="s">
        <x:v>1137</x:v>
      </x:c>
      <x:c r="D95" t="s">
        <x:v>1140</x:v>
      </x:c>
      <x:c r="E95" s="44" t="n">
        <x:v>-4038.678947</x:v>
      </x:c>
      <x:c r="F95" s="44" t="n">
        <x:v>-4038.678948</x:v>
      </x:c>
      <x:c r="G95" s="44" t="n">
        <x:f aca="0">F95-E95</x:f>
        <x:v>-0.0000010000003385357559</x:v>
      </x:c>
      <x:c r="H95" s="11" t="s">
        <x:v>1147</x:v>
      </x:c>
    </x:row>
    <x:row r="96" ht="15" hidden="0">
      <x:c r="A96" t="s">
        <x:v>25</x:v>
      </x:c>
      <x:c r="B96" t="s">
        <x:v>76</x:v>
      </x:c>
      <x:c r="C96" t="s">
        <x:v>1141</x:v>
      </x:c>
      <x:c r="D96" t="s">
        <x:v>1153</x:v>
      </x:c>
      <x:c r="E96" s="44" t="n">
        <x:v>-1110.54388</x:v>
      </x:c>
      <x:c r="F96" s="44" t="n">
        <x:v>-1107.284933</x:v>
      </x:c>
      <x:c r="G96" s="44" t="n">
        <x:f aca="0">F96-E96</x:f>
        <x:v>3.2589470000000347</x:v>
      </x:c>
      <x:c r="H96" s="11" t="s">
        <x:v>1147</x:v>
      </x:c>
    </x:row>
    <x:row r="97" ht="15" hidden="0">
      <x:c r="A97" t="s">
        <x:v>25</x:v>
      </x:c>
      <x:c r="B97" t="s">
        <x:v>76</x:v>
      </x:c>
      <x:c r="C97" t="s">
        <x:v>1141</x:v>
      </x:c>
      <x:c r="D97" t="s">
        <x:v>1142</x:v>
      </x:c>
      <x:c r="E97" s="44" t="n">
        <x:v>-4962.132518</x:v>
      </x:c>
      <x:c r="F97" s="44" t="n">
        <x:v>-5030.324094</x:v>
      </x:c>
      <x:c r="G97" s="44" t="n">
        <x:f aca="0">F97-E97</x:f>
        <x:v>-68.19157599999926</x:v>
      </x:c>
      <x:c r="H97" s="11" t="s">
        <x:v>1147</x:v>
      </x:c>
    </x:row>
    <x:row r="98" ht="15" hidden="0">
      <x:c r="A98" t="s">
        <x:v>25</x:v>
      </x:c>
      <x:c r="B98" t="s">
        <x:v>76</x:v>
      </x:c>
      <x:c r="C98" t="s">
        <x:v>1141</x:v>
      </x:c>
      <x:c r="D98" t="s">
        <x:v>1143</x:v>
      </x:c>
      <x:c r="E98" s="44" t="n">
        <x:v>6578.981833</x:v>
      </x:c>
      <x:c r="F98" s="44" t="n">
        <x:v>6647.173409</x:v>
      </x:c>
      <x:c r="G98" s="44" t="n">
        <x:f aca="0">F98-E98</x:f>
        <x:v>68.19157600000017</x:v>
      </x:c>
      <x:c r="H98" s="11" t="s">
        <x:v>1147</x:v>
      </x:c>
    </x:row>
    <x:row r="99" ht="15" hidden="0">
      <x:c r="A99" t="s">
        <x:v>25</x:v>
      </x:c>
      <x:c r="B99" t="s">
        <x:v>76</x:v>
      </x:c>
      <x:c r="C99" t="s">
        <x:v>1141</x:v>
      </x:c>
      <x:c r="D99" t="s">
        <x:v>1144</x:v>
      </x:c>
      <x:c r="E99" s="44" t="n">
        <x:v>11414.783911</x:v>
      </x:c>
      <x:c r="F99" s="44" t="n">
        <x:v>11482.975487</x:v>
      </x:c>
      <x:c r="G99" s="44" t="n">
        <x:f aca="0">F99-E99</x:f>
        <x:v>68.19157599999926</x:v>
      </x:c>
      <x:c r="H99" s="11" t="s">
        <x:v>1147</x:v>
      </x:c>
    </x:row>
    <x:row r="100" ht="15" hidden="0">
      <x:c r="A100" t="s">
        <x:v>31</x:v>
      </x:c>
      <x:c r="B100" t="s">
        <x:v>73</x:v>
      </x:c>
      <x:c r="C100" t="s">
        <x:v>1137</x:v>
      </x:c>
      <x:c r="D100" t="s">
        <x:v>1154</x:v>
      </x:c>
      <x:c r="E100" s="44" t="n">
        <x:v>-1361.005</x:v>
      </x:c>
      <x:c r="F100" s="44" t="n">
        <x:v>-1507.673</x:v>
      </x:c>
      <x:c r="G100" s="44" t="n">
        <x:f aca="0">F100-E100</x:f>
        <x:v>-146.6679999999999</x:v>
      </x:c>
      <x:c r="H100" s="11" t="s">
        <x:v>1155</x:v>
      </x:c>
    </x:row>
    <x:row r="101" ht="15" hidden="0">
      <x:c r="A101" t="s">
        <x:v>31</x:v>
      </x:c>
      <x:c r="B101" t="s">
        <x:v>73</x:v>
      </x:c>
      <x:c r="C101" t="s">
        <x:v>1137</x:v>
      </x:c>
      <x:c r="D101" t="s">
        <x:v>1151</x:v>
      </x:c>
      <x:c r="E101" s="44" t="n">
        <x:v>5846.361</x:v>
      </x:c>
      <x:c r="F101" s="44" t="n">
        <x:v>5993.029</x:v>
      </x:c>
      <x:c r="G101" s="44" t="n">
        <x:f aca="0">F101-E101</x:f>
        <x:v>146.66800000000057</x:v>
      </x:c>
      <x:c r="H101" s="11" t="s">
        <x:v>1155</x:v>
      </x:c>
    </x:row>
    <x:row r="102" ht="15" hidden="0">
      <x:c r="A102" t="s">
        <x:v>31</x:v>
      </x:c>
      <x:c r="B102" t="s">
        <x:v>74</x:v>
      </x:c>
      <x:c r="C102" t="s">
        <x:v>1141</x:v>
      </x:c>
      <x:c r="D102" t="s">
        <x:v>1153</x:v>
      </x:c>
      <x:c r="E102" s="44" t="n">
        <x:v>-24591.059</x:v>
      </x:c>
      <x:c r="F102" s="44" t="n">
        <x:v>-24537.83</x:v>
      </x:c>
      <x:c r="G102" s="44" t="n">
        <x:f aca="0">F102-E102</x:f>
        <x:v>53.22899999999936</x:v>
      </x:c>
      <x:c r="H102" s="11" t="s">
        <x:v>1156</x:v>
      </x:c>
    </x:row>
    <x:row r="103" ht="15" hidden="0">
      <x:c r="A103" t="s">
        <x:v>31</x:v>
      </x:c>
      <x:c r="B103" t="s">
        <x:v>74</x:v>
      </x:c>
      <x:c r="C103" t="s">
        <x:v>1141</x:v>
      </x:c>
      <x:c r="D103" t="s">
        <x:v>1157</x:v>
      </x:c>
      <x:c r="E103" s="44" t="n">
        <x:v>12208.783</x:v>
      </x:c>
      <x:c r="F103" s="44" t="n">
        <x:v>6158.783</x:v>
      </x:c>
      <x:c r="G103" s="44" t="n">
        <x:f aca="0">F103-E103</x:f>
        <x:v>-6049.999999999999</x:v>
      </x:c>
      <x:c r="H103" s="11" t="s">
        <x:v>1156</x:v>
      </x:c>
    </x:row>
    <x:row r="104" ht="15" hidden="0">
      <x:c r="A104" t="s">
        <x:v>31</x:v>
      </x:c>
      <x:c r="B104" t="s">
        <x:v>75</x:v>
      </x:c>
      <x:c r="C104" t="s">
        <x:v>1137</x:v>
      </x:c>
      <x:c r="D104" t="s">
        <x:v>1139</x:v>
      </x:c>
      <x:c r="E104" s="44" t="n">
        <x:v>21343.274</x:v>
      </x:c>
      <x:c r="F104" s="44" t="n">
        <x:v>20905.441</x:v>
      </x:c>
      <x:c r="G104" s="44" t="n">
        <x:f aca="0">F104-E104</x:f>
        <x:v>-437.83300000000236</x:v>
      </x:c>
      <x:c r="H104" s="11" t="s">
        <x:v>1158</x:v>
      </x:c>
    </x:row>
    <x:row r="105" ht="15" hidden="0">
      <x:c r="A105" t="s">
        <x:v>31</x:v>
      </x:c>
      <x:c r="B105" t="s">
        <x:v>75</x:v>
      </x:c>
      <x:c r="C105" t="s">
        <x:v>1137</x:v>
      </x:c>
      <x:c r="D105" t="s">
        <x:v>1140</x:v>
      </x:c>
      <x:c r="E105" s="44" t="n">
        <x:v>-7617.46</x:v>
      </x:c>
      <x:c r="F105" s="44" t="n">
        <x:v>-7179.627</x:v>
      </x:c>
      <x:c r="G105" s="44" t="n">
        <x:f aca="0">F105-E105</x:f>
        <x:v>437.83299999999963</x:v>
      </x:c>
      <x:c r="H105" s="11" t="s">
        <x:v>1158</x:v>
      </x:c>
    </x:row>
    <x:row r="106" ht="15" hidden="0">
      <x:c r="A106" t="s">
        <x:v>31</x:v>
      </x:c>
      <x:c r="B106" t="s">
        <x:v>76</x:v>
      </x:c>
      <x:c r="C106" t="s">
        <x:v>1129</x:v>
      </x:c>
      <x:c r="D106" t="s">
        <x:v>1159</x:v>
      </x:c>
      <x:c r="E106" s="44" t="n">
        <x:v>14015.32</x:v>
      </x:c>
      <x:c r="F106" s="44" t="n">
        <x:v>0</x:v>
      </x:c>
      <x:c r="G106" s="44" t="n">
        <x:f aca="0">F106-E106</x:f>
        <x:v>-14015.32</x:v>
      </x:c>
      <x:c r="H106" s="11" t="s">
        <x:v>1160</x:v>
      </x:c>
    </x:row>
    <x:row r="107" ht="15" hidden="0">
      <x:c r="A107" t="s">
        <x:v>31</x:v>
      </x:c>
      <x:c r="B107" t="s">
        <x:v>76</x:v>
      </x:c>
      <x:c r="C107" t="s">
        <x:v>1129</x:v>
      </x:c>
      <x:c r="D107" t="s">
        <x:v>1161</x:v>
      </x:c>
      <x:c r="E107" s="44" t="n">
        <x:v>3526.328</x:v>
      </x:c>
      <x:c r="F107" s="44" t="n">
        <x:v>17541.648</x:v>
      </x:c>
      <x:c r="G107" s="44" t="n">
        <x:f aca="0">F107-E107</x:f>
        <x:v>14015.320000000002</x:v>
      </x:c>
      <x:c r="H107" s="11" t="s">
        <x:v>1160</x:v>
      </x:c>
    </x:row>
    <x:row r="108" ht="15" hidden="0">
      <x:c r="A108" t="s">
        <x:v>37</x:v>
      </x:c>
      <x:c r="B108" t="s">
        <x:v>75</x:v>
      </x:c>
      <x:c r="C108" t="s">
        <x:v>1137</x:v>
      </x:c>
      <x:c r="D108" t="s">
        <x:v>1139</x:v>
      </x:c>
      <x:c r="E108" s="44" t="n">
        <x:v>3162.543</x:v>
      </x:c>
      <x:c r="F108" s="44" t="n">
        <x:v>2798.489</x:v>
      </x:c>
      <x:c r="G108" s="44" t="n">
        <x:f aca="0">F108-E108</x:f>
        <x:v>-364.0540000000001</x:v>
      </x:c>
      <x:c r="H108" s="11" t="s">
        <x:v>1162</x:v>
      </x:c>
    </x:row>
    <x:row r="109" ht="15" hidden="0">
      <x:c r="A109" t="s">
        <x:v>37</x:v>
      </x:c>
      <x:c r="B109" t="s">
        <x:v>75</x:v>
      </x:c>
      <x:c r="C109" t="s">
        <x:v>1137</x:v>
      </x:c>
      <x:c r="D109" t="s">
        <x:v>1140</x:v>
      </x:c>
      <x:c r="E109" s="44" t="n">
        <x:v>-6798.519</x:v>
      </x:c>
      <x:c r="F109" s="44" t="n">
        <x:v>-6434.465</x:v>
      </x:c>
      <x:c r="G109" s="44" t="n">
        <x:f aca="0">F109-E109</x:f>
        <x:v>364.0540000000001</x:v>
      </x:c>
      <x:c r="H109" s="11" t="s">
        <x:v>1162</x:v>
      </x:c>
    </x:row>
    <x:row r="110" ht="15" hidden="0">
      <x:c r="A110" t="s">
        <x:v>37</x:v>
      </x:c>
      <x:c r="B110" t="s">
        <x:v>75</x:v>
      </x:c>
      <x:c r="C110" t="s">
        <x:v>1141</x:v>
      </x:c>
      <x:c r="D110" t="s">
        <x:v>1145</x:v>
      </x:c>
      <x:c r="E110" s="44" t="n">
        <x:v>-925.544</x:v>
      </x:c>
      <x:c r="F110" s="44" t="n">
        <x:v>-561.49</x:v>
      </x:c>
      <x:c r="G110" s="44" t="n">
        <x:f aca="0">F110-E110</x:f>
        <x:v>364.054</x:v>
      </x:c>
      <x:c r="H110" s="11" t="s">
        <x:v>1162</x:v>
      </x:c>
    </x:row>
    <x:row r="111" ht="15" hidden="0">
      <x:c r="A111" t="s">
        <x:v>42</x:v>
      </x:c>
      <x:c r="B111" t="s">
        <x:v>73</x:v>
      </x:c>
      <x:c r="C111" t="s">
        <x:v>1137</x:v>
      </x:c>
      <x:c r="D111" t="s">
        <x:v>1163</x:v>
      </x:c>
      <x:c r="E111" s="44" t="n">
        <x:v>-972.547</x:v>
      </x:c>
      <x:c r="F111" s="44" t="n">
        <x:v>-813.489</x:v>
      </x:c>
      <x:c r="G111" s="44" t="n">
        <x:f aca="0">F111-E111</x:f>
        <x:v>159.058</x:v>
      </x:c>
      <x:c r="H111" s="11" t="s">
        <x:v>1155</x:v>
      </x:c>
    </x:row>
    <x:row r="112" ht="15" hidden="0">
      <x:c r="A112" t="s">
        <x:v>42</x:v>
      </x:c>
      <x:c r="B112" t="s">
        <x:v>73</x:v>
      </x:c>
      <x:c r="C112" t="s">
        <x:v>1137</x:v>
      </x:c>
      <x:c r="D112" t="s">
        <x:v>1164</x:v>
      </x:c>
      <x:c r="E112" s="44" t="n">
        <x:v>7504.762</x:v>
      </x:c>
      <x:c r="F112" s="44" t="n">
        <x:v>7402.882</x:v>
      </x:c>
      <x:c r="G112" s="44" t="n">
        <x:f aca="0">F112-E112</x:f>
        <x:v>-101.88000000000011</x:v>
      </x:c>
      <x:c r="H112" s="11" t="s">
        <x:v>1155</x:v>
      </x:c>
    </x:row>
    <x:row r="113" ht="15" hidden="0">
      <x:c r="A113" t="s">
        <x:v>42</x:v>
      </x:c>
      <x:c r="B113" t="s">
        <x:v>73</x:v>
      </x:c>
      <x:c r="C113" t="s">
        <x:v>1137</x:v>
      </x:c>
      <x:c r="D113" t="s">
        <x:v>1154</x:v>
      </x:c>
      <x:c r="E113" s="44" t="n">
        <x:v>-365.084</x:v>
      </x:c>
      <x:c r="F113" s="44" t="n">
        <x:v>-524.142</x:v>
      </x:c>
      <x:c r="G113" s="44" t="n">
        <x:f aca="0">F113-E113</x:f>
        <x:v>-159.05800000000005</x:v>
      </x:c>
      <x:c r="H113" s="11" t="s">
        <x:v>1155</x:v>
      </x:c>
    </x:row>
    <x:row r="114" ht="15" hidden="0">
      <x:c r="A114" t="s">
        <x:v>42</x:v>
      </x:c>
      <x:c r="B114" t="s">
        <x:v>73</x:v>
      </x:c>
      <x:c r="C114" t="s">
        <x:v>1137</x:v>
      </x:c>
      <x:c r="D114" t="s">
        <x:v>1165</x:v>
      </x:c>
      <x:c r="E114" s="44" t="n">
        <x:v>35640.181</x:v>
      </x:c>
      <x:c r="F114" s="44" t="n">
        <x:v>35538.301</x:v>
      </x:c>
      <x:c r="G114" s="44" t="n">
        <x:f aca="0">F114-E114</x:f>
        <x:v>-101.87999999999738</x:v>
      </x:c>
      <x:c r="H114" s="11" t="s">
        <x:v>1155</x:v>
      </x:c>
    </x:row>
    <x:row r="115" ht="15" hidden="0">
      <x:c r="A115" t="s">
        <x:v>42</x:v>
      </x:c>
      <x:c r="B115" t="s">
        <x:v>73</x:v>
      </x:c>
      <x:c r="C115" t="s">
        <x:v>1137</x:v>
      </x:c>
      <x:c r="D115" t="s">
        <x:v>1166</x:v>
      </x:c>
      <x:c r="E115" s="44" t="n">
        <x:v>-1115.732</x:v>
      </x:c>
      <x:c r="F115" s="44" t="n">
        <x:v>-1013.852</x:v>
      </x:c>
      <x:c r="G115" s="44" t="n">
        <x:f aca="0">F115-E115</x:f>
        <x:v>101.88</x:v>
      </x:c>
      <x:c r="H115" s="11" t="s">
        <x:v>1155</x:v>
      </x:c>
    </x:row>
    <x:row r="116" ht="15" hidden="0">
      <x:c r="A116" t="s">
        <x:v>42</x:v>
      </x:c>
      <x:c r="B116" t="s">
        <x:v>73</x:v>
      </x:c>
      <x:c r="C116" t="s">
        <x:v>1141</x:v>
      </x:c>
      <x:c r="D116" t="s">
        <x:v>1144</x:v>
      </x:c>
      <x:c r="E116" s="44" t="n">
        <x:v>9013.17</x:v>
      </x:c>
      <x:c r="F116" s="44" t="n">
        <x:v>9013.169</x:v>
      </x:c>
      <x:c r="G116" s="44" t="n">
        <x:f aca="0">F116-E116</x:f>
        <x:v>-0.0010000000002037268</x:v>
      </x:c>
      <x:c r="H116" s="11" t="s">
        <x:v>1155</x:v>
      </x:c>
    </x:row>
    <x:row r="117" ht="15" hidden="0">
      <x:c r="A117" t="s">
        <x:v>42</x:v>
      </x:c>
      <x:c r="B117" t="s">
        <x:v>74</x:v>
      </x:c>
      <x:c r="C117" t="s">
        <x:v>1137</x:v>
      </x:c>
      <x:c r="D117" t="s">
        <x:v>1154</x:v>
      </x:c>
      <x:c r="E117" s="44" t="n">
        <x:v>-952.2</x:v>
      </x:c>
      <x:c r="F117" s="44" t="n">
        <x:v>-742.28</x:v>
      </x:c>
      <x:c r="G117" s="44" t="n">
        <x:f aca="0">F117-E117</x:f>
        <x:v>209.92000000000007</x:v>
      </x:c>
      <x:c r="H117" s="11" t="s">
        <x:v>1156</x:v>
      </x:c>
    </x:row>
    <x:row r="118" ht="15" hidden="0">
      <x:c r="A118" t="s">
        <x:v>42</x:v>
      </x:c>
      <x:c r="B118" t="s">
        <x:v>74</x:v>
      </x:c>
      <x:c r="C118" t="s">
        <x:v>1141</x:v>
      </x:c>
      <x:c r="D118" t="s">
        <x:v>1143</x:v>
      </x:c>
      <x:c r="E118" s="44" t="n">
        <x:v>8334.083</x:v>
      </x:c>
      <x:c r="F118" s="44" t="n">
        <x:v>8330.107</x:v>
      </x:c>
      <x:c r="G118" s="44" t="n">
        <x:f aca="0">F118-E118</x:f>
        <x:v>-3.9760000000005675</x:v>
      </x:c>
      <x:c r="H118" s="11" t="s">
        <x:v>1156</x:v>
      </x:c>
    </x:row>
    <x:row r="119" ht="15" hidden="0">
      <x:c r="A119" t="s">
        <x:v>42</x:v>
      </x:c>
      <x:c r="B119" t="s">
        <x:v>74</x:v>
      </x:c>
      <x:c r="C119" t="s">
        <x:v>1141</x:v>
      </x:c>
      <x:c r="D119" t="s">
        <x:v>1144</x:v>
      </x:c>
      <x:c r="E119" s="44" t="n">
        <x:v>12909.174</x:v>
      </x:c>
      <x:c r="F119" s="44" t="n">
        <x:v>12905.198</x:v>
      </x:c>
      <x:c r="G119" s="44" t="n">
        <x:f aca="0">F119-E119</x:f>
        <x:v>-3.9760000000005675</x:v>
      </x:c>
      <x:c r="H119" s="11" t="s">
        <x:v>1156</x:v>
      </x:c>
    </x:row>
    <x:row r="120" ht="15" hidden="0">
      <x:c r="A120" t="s">
        <x:v>42</x:v>
      </x:c>
      <x:c r="B120" t="s">
        <x:v>75</x:v>
      </x:c>
      <x:c r="C120" t="s">
        <x:v>1129</x:v>
      </x:c>
      <x:c r="D120" t="s">
        <x:v>1167</x:v>
      </x:c>
      <x:c r="E120" s="44" t="n">
        <x:v>2600.988</x:v>
      </x:c>
      <x:c r="F120" s="44" t="n">
        <x:v>2600.985</x:v>
      </x:c>
      <x:c r="G120" s="44" t="n">
        <x:f aca="0">F120-E120</x:f>
        <x:v>-0.0029999999997016857</x:v>
      </x:c>
      <x:c r="H120" s="11" t="s">
        <x:v>1158</x:v>
      </x:c>
    </x:row>
    <x:row r="121" ht="15" hidden="0">
      <x:c r="A121" t="s">
        <x:v>42</x:v>
      </x:c>
      <x:c r="B121" t="s">
        <x:v>75</x:v>
      </x:c>
      <x:c r="C121" t="s">
        <x:v>1129</x:v>
      </x:c>
      <x:c r="D121" t="s">
        <x:v>1168</x:v>
      </x:c>
      <x:c r="E121" s="44" t="n">
        <x:v>9925.852</x:v>
      </x:c>
      <x:c r="F121" s="44" t="n">
        <x:v>9925.855</x:v>
      </x:c>
      <x:c r="G121" s="44" t="n">
        <x:f aca="0">F121-E121</x:f>
        <x:v>0.002999999998792191</x:v>
      </x:c>
      <x:c r="H121" s="11" t="s">
        <x:v>1158</x:v>
      </x:c>
    </x:row>
    <x:row r="122" ht="15" hidden="0">
      <x:c r="A122" t="s">
        <x:v>42</x:v>
      </x:c>
      <x:c r="B122" t="s">
        <x:v>75</x:v>
      </x:c>
      <x:c r="C122" t="s">
        <x:v>1137</x:v>
      </x:c>
      <x:c r="D122" t="s">
        <x:v>1169</x:v>
      </x:c>
      <x:c r="E122" s="44" t="n">
        <x:v>-45651.503</x:v>
      </x:c>
      <x:c r="F122" s="44" t="n">
        <x:v>-43901.906</x:v>
      </x:c>
      <x:c r="G122" s="44" t="n">
        <x:f aca="0">F122-E122</x:f>
        <x:v>1749.5969999999943</x:v>
      </x:c>
      <x:c r="H122" s="11" t="s">
        <x:v>1158</x:v>
      </x:c>
    </x:row>
    <x:row r="123" ht="15" hidden="0">
      <x:c r="A123" t="s">
        <x:v>42</x:v>
      </x:c>
      <x:c r="B123" t="s">
        <x:v>75</x:v>
      </x:c>
      <x:c r="C123" t="s">
        <x:v>1137</x:v>
      </x:c>
      <x:c r="D123" t="s">
        <x:v>1164</x:v>
      </x:c>
      <x:c r="E123" s="44" t="n">
        <x:v>16423.756</x:v>
      </x:c>
      <x:c r="F123" s="44" t="n">
        <x:v>18173.353</x:v>
      </x:c>
      <x:c r="G123" s="44" t="n">
        <x:f aca="0">F123-E123</x:f>
        <x:v>1749.596999999998</x:v>
      </x:c>
      <x:c r="H123" s="11" t="s">
        <x:v>1158</x:v>
      </x:c>
    </x:row>
    <x:row r="124" ht="15" hidden="0">
      <x:c r="A124" t="s">
        <x:v>42</x:v>
      </x:c>
      <x:c r="B124" t="s">
        <x:v>75</x:v>
      </x:c>
      <x:c r="C124" t="s">
        <x:v>1137</x:v>
      </x:c>
      <x:c r="D124" t="s">
        <x:v>1139</x:v>
      </x:c>
      <x:c r="E124" s="44" t="n">
        <x:v>9250.667</x:v>
      </x:c>
      <x:c r="F124" s="44" t="n">
        <x:v>9238.475</x:v>
      </x:c>
      <x:c r="G124" s="44" t="n">
        <x:f aca="0">F124-E124</x:f>
        <x:v>-12.191999999999098</x:v>
      </x:c>
      <x:c r="H124" s="11" t="s">
        <x:v>1158</x:v>
      </x:c>
    </x:row>
    <x:row r="125" ht="15" hidden="0">
      <x:c r="A125" t="s">
        <x:v>42</x:v>
      </x:c>
      <x:c r="B125" t="s">
        <x:v>75</x:v>
      </x:c>
      <x:c r="C125" t="s">
        <x:v>1137</x:v>
      </x:c>
      <x:c r="D125" t="s">
        <x:v>1166</x:v>
      </x:c>
      <x:c r="E125" s="44" t="n">
        <x:v>-2001.499</x:v>
      </x:c>
      <x:c r="F125" s="44" t="n">
        <x:v>-3751.096</x:v>
      </x:c>
      <x:c r="G125" s="44" t="n">
        <x:f aca="0">F125-E125</x:f>
        <x:v>-1749.597</x:v>
      </x:c>
      <x:c r="H125" s="11" t="s">
        <x:v>1158</x:v>
      </x:c>
    </x:row>
    <x:row r="126" ht="15" hidden="0">
      <x:c r="A126" t="s">
        <x:v>42</x:v>
      </x:c>
      <x:c r="B126" t="s">
        <x:v>75</x:v>
      </x:c>
      <x:c r="C126" t="s">
        <x:v>1137</x:v>
      </x:c>
      <x:c r="D126" t="s">
        <x:v>1140</x:v>
      </x:c>
      <x:c r="E126" s="44" t="n">
        <x:v>-4758.998</x:v>
      </x:c>
      <x:c r="F126" s="44" t="n">
        <x:v>-4746.806</x:v>
      </x:c>
      <x:c r="G126" s="44" t="n">
        <x:f aca="0">F126-E126</x:f>
        <x:v>12.192000000000007</x:v>
      </x:c>
      <x:c r="H126" s="11" t="s">
        <x:v>1158</x:v>
      </x:c>
    </x:row>
    <x:row r="127" ht="15" hidden="0">
      <x:c r="A127" t="s">
        <x:v>42</x:v>
      </x:c>
      <x:c r="B127" t="s">
        <x:v>75</x:v>
      </x:c>
      <x:c r="C127" t="s">
        <x:v>1141</x:v>
      </x:c>
      <x:c r="D127" t="s">
        <x:v>1144</x:v>
      </x:c>
      <x:c r="E127" s="44" t="n">
        <x:v>15897.923</x:v>
      </x:c>
      <x:c r="F127" s="44" t="n">
        <x:v>19906.827</x:v>
      </x:c>
      <x:c r="G127" s="44" t="n">
        <x:f aca="0">F127-E127</x:f>
        <x:v>4008.9040000000005</x:v>
      </x:c>
      <x:c r="H127" s="11" t="s">
        <x:v>1158</x:v>
      </x:c>
    </x:row>
    <x:row r="128" ht="15" hidden="0">
      <x:c r="A128" t="s">
        <x:v>42</x:v>
      </x:c>
      <x:c r="B128" t="s">
        <x:v>76</x:v>
      </x:c>
      <x:c r="C128" t="s">
        <x:v>1137</x:v>
      </x:c>
      <x:c r="D128" t="s">
        <x:v>1138</x:v>
      </x:c>
      <x:c r="E128" s="44" t="n">
        <x:v>13069.734</x:v>
      </x:c>
      <x:c r="F128" s="44" t="n">
        <x:v>12952.043</x:v>
      </x:c>
      <x:c r="G128" s="44" t="n">
        <x:f aca="0">F128-E128</x:f>
        <x:v>-117.69100000000071</x:v>
      </x:c>
      <x:c r="H128" s="11" t="s">
        <x:v>1160</x:v>
      </x:c>
    </x:row>
    <x:row r="129" ht="15" hidden="0">
      <x:c r="A129" t="s">
        <x:v>42</x:v>
      </x:c>
      <x:c r="B129" t="s">
        <x:v>76</x:v>
      </x:c>
      <x:c r="C129" t="s">
        <x:v>1137</x:v>
      </x:c>
      <x:c r="D129" t="s">
        <x:v>1151</x:v>
      </x:c>
      <x:c r="E129" s="44" t="n">
        <x:v>356.142</x:v>
      </x:c>
      <x:c r="F129" s="44" t="n">
        <x:v>238.451</x:v>
      </x:c>
      <x:c r="G129" s="44" t="n">
        <x:f aca="0">F129-E129</x:f>
        <x:v>-117.691</x:v>
      </x:c>
      <x:c r="H129" s="11" t="s">
        <x:v>1160</x:v>
      </x:c>
    </x:row>
    <x:row r="130" ht="15" hidden="0">
      <x:c r="A130" t="s">
        <x:v>46</x:v>
      </x:c>
      <x:c r="B130" t="s">
        <x:v>73</x:v>
      </x:c>
      <x:c r="C130" t="s">
        <x:v>1129</x:v>
      </x:c>
      <x:c r="D130" t="s">
        <x:v>1170</x:v>
      </x:c>
      <x:c r="E130" s="44" t="n">
        <x:v>0</x:v>
      </x:c>
      <x:c r="F130" s="44" t="n">
        <x:v>15.654</x:v>
      </x:c>
      <x:c r="G130" s="44" t="n">
        <x:f aca="0">F130-E130</x:f>
        <x:v>15.654</x:v>
      </x:c>
      <x:c r="H130" s="11" t="s">
        <x:v>1171</x:v>
      </x:c>
    </x:row>
    <x:row r="131" ht="15" hidden="0">
      <x:c r="A131" t="s">
        <x:v>46</x:v>
      </x:c>
      <x:c r="B131" t="s">
        <x:v>73</x:v>
      </x:c>
      <x:c r="C131" t="s">
        <x:v>1129</x:v>
      </x:c>
      <x:c r="D131" t="s">
        <x:v>1172</x:v>
      </x:c>
      <x:c r="E131" s="44" t="n">
        <x:v>22.261</x:v>
      </x:c>
      <x:c r="F131" s="44" t="n">
        <x:v>6.607</x:v>
      </x:c>
      <x:c r="G131" s="44" t="n">
        <x:f aca="0">F131-E131</x:f>
        <x:v>-15.654</x:v>
      </x:c>
      <x:c r="H131" s="11" t="s">
        <x:v>1171</x:v>
      </x:c>
    </x:row>
    <x:row r="132" ht="15" hidden="0">
      <x:c r="A132" t="s">
        <x:v>46</x:v>
      </x:c>
      <x:c r="B132" t="s">
        <x:v>74</x:v>
      </x:c>
      <x:c r="C132" t="s">
        <x:v>1137</x:v>
      </x:c>
      <x:c r="D132" t="s">
        <x:v>1169</x:v>
      </x:c>
      <x:c r="E132" s="44" t="n">
        <x:v>-39843.851</x:v>
      </x:c>
      <x:c r="F132" s="44" t="n">
        <x:v>-38779.542</x:v>
      </x:c>
      <x:c r="G132" s="44" t="n">
        <x:f aca="0">F132-E132</x:f>
        <x:v>1064.309000000001</x:v>
      </x:c>
      <x:c r="H132" s="11" t="s">
        <x:v>1173</x:v>
      </x:c>
    </x:row>
    <x:row r="133" ht="15" hidden="0">
      <x:c r="A133" t="s">
        <x:v>46</x:v>
      </x:c>
      <x:c r="B133" t="s">
        <x:v>74</x:v>
      </x:c>
      <x:c r="C133" t="s">
        <x:v>1137</x:v>
      </x:c>
      <x:c r="D133" t="s">
        <x:v>1164</x:v>
      </x:c>
      <x:c r="E133" s="44" t="n">
        <x:v>14399.267</x:v>
      </x:c>
      <x:c r="F133" s="44" t="n">
        <x:v>15463.576</x:v>
      </x:c>
      <x:c r="G133" s="44" t="n">
        <x:f aca="0">F133-E133</x:f>
        <x:v>1064.3089999999993</x:v>
      </x:c>
      <x:c r="H133" s="11" t="s">
        <x:v>1173</x:v>
      </x:c>
    </x:row>
    <x:row r="134" ht="15" hidden="0">
      <x:c r="A134" t="s">
        <x:v>46</x:v>
      </x:c>
      <x:c r="B134" t="s">
        <x:v>74</x:v>
      </x:c>
      <x:c r="C134" t="s">
        <x:v>1137</x:v>
      </x:c>
      <x:c r="D134" t="s">
        <x:v>1166</x:v>
      </x:c>
      <x:c r="E134" s="44" t="n">
        <x:v>-539.014</x:v>
      </x:c>
      <x:c r="F134" s="44" t="n">
        <x:v>-1603.323</x:v>
      </x:c>
      <x:c r="G134" s="44" t="n">
        <x:f aca="0">F134-E134</x:f>
        <x:v>-1064.3090000000002</x:v>
      </x:c>
      <x:c r="H134" s="11" t="s">
        <x:v>1173</x:v>
      </x:c>
    </x:row>
    <x:row r="135" ht="15" hidden="0">
      <x:c r="A135" t="s">
        <x:v>46</x:v>
      </x:c>
      <x:c r="B135" t="s">
        <x:v>75</x:v>
      </x:c>
      <x:c r="C135" t="s">
        <x:v>1137</x:v>
      </x:c>
      <x:c r="D135" t="s">
        <x:v>1139</x:v>
      </x:c>
      <x:c r="E135" s="44" t="n">
        <x:v>12900.109</x:v>
      </x:c>
      <x:c r="F135" s="44" t="n">
        <x:v>12854.449</x:v>
      </x:c>
      <x:c r="G135" s="44" t="n">
        <x:f aca="0">F135-E135</x:f>
        <x:v>-45.659999999999854</x:v>
      </x:c>
      <x:c r="H135" s="11" t="s">
        <x:v>1174</x:v>
      </x:c>
    </x:row>
    <x:row r="136" ht="15" hidden="0">
      <x:c r="A136" t="s">
        <x:v>46</x:v>
      </x:c>
      <x:c r="B136" t="s">
        <x:v>75</x:v>
      </x:c>
      <x:c r="C136" t="s">
        <x:v>1137</x:v>
      </x:c>
      <x:c r="D136" t="s">
        <x:v>1140</x:v>
      </x:c>
      <x:c r="E136" s="44" t="n">
        <x:v>-5460.428</x:v>
      </x:c>
      <x:c r="F136" s="44" t="n">
        <x:v>-5414.768</x:v>
      </x:c>
      <x:c r="G136" s="44" t="n">
        <x:f aca="0">F136-E136</x:f>
        <x:v>45.659999999999854</x:v>
      </x:c>
      <x:c r="H136" s="11" t="s">
        <x:v>1174</x:v>
      </x:c>
    </x:row>
    <x:row r="137" ht="15" hidden="0">
      <x:c r="A137" t="s">
        <x:v>46</x:v>
      </x:c>
      <x:c r="B137" t="s">
        <x:v>75</x:v>
      </x:c>
      <x:c r="C137" t="s">
        <x:v>1141</x:v>
      </x:c>
      <x:c r="D137" t="s">
        <x:v>1157</x:v>
      </x:c>
      <x:c r="E137" s="44" t="n">
        <x:v>10817.936</x:v>
      </x:c>
      <x:c r="F137" s="44" t="n">
        <x:v>10897.767</x:v>
      </x:c>
      <x:c r="G137" s="44" t="n">
        <x:f aca="0">F137-E137</x:f>
        <x:v>79.83100000000013</x:v>
      </x:c>
      <x:c r="H137" s="11" t="s">
        <x:v>1174</x:v>
      </x:c>
    </x:row>
    <x:row r="138" ht="15" hidden="0">
      <x:c r="A138" t="s">
        <x:v>46</x:v>
      </x:c>
      <x:c r="B138" t="s">
        <x:v>75</x:v>
      </x:c>
      <x:c r="C138" t="s">
        <x:v>1141</x:v>
      </x:c>
      <x:c r="D138" t="s">
        <x:v>1143</x:v>
      </x:c>
      <x:c r="E138" s="44" t="n">
        <x:v>16200.329</x:v>
      </x:c>
      <x:c r="F138" s="44" t="n">
        <x:v>16030.998</x:v>
      </x:c>
      <x:c r="G138" s="44" t="n">
        <x:f aca="0">F138-E138</x:f>
        <x:v>-169.33100000000013</x:v>
      </x:c>
      <x:c r="H138" s="11" t="s">
        <x:v>1174</x:v>
      </x:c>
    </x:row>
    <x:row r="139" ht="15" hidden="0">
      <x:c r="A139" t="s">
        <x:v>46</x:v>
      </x:c>
      <x:c r="B139" t="s">
        <x:v>75</x:v>
      </x:c>
      <x:c r="C139" t="s">
        <x:v>1141</x:v>
      </x:c>
      <x:c r="D139" t="s">
        <x:v>1175</x:v>
      </x:c>
      <x:c r="E139" s="44" t="n">
        <x:v>-2562.932</x:v>
      </x:c>
      <x:c r="F139" s="44" t="n">
        <x:v>-2483.101</x:v>
      </x:c>
      <x:c r="G139" s="44" t="n">
        <x:f aca="0">F139-E139</x:f>
        <x:v>79.83099999999968</x:v>
      </x:c>
      <x:c r="H139" s="11" t="s">
        <x:v>1174</x:v>
      </x:c>
    </x:row>
    <x:row r="140" ht="15" hidden="0">
      <x:c r="A140" t="s">
        <x:v>46</x:v>
      </x:c>
      <x:c r="B140" t="s">
        <x:v>76</x:v>
      </x:c>
      <x:c r="C140" t="s">
        <x:v>1129</x:v>
      </x:c>
      <x:c r="D140" t="s">
        <x:v>1176</x:v>
      </x:c>
      <x:c r="E140" s="44" t="n">
        <x:v>5842.217</x:v>
      </x:c>
      <x:c r="F140" s="44" t="n">
        <x:v>5699.618</x:v>
      </x:c>
      <x:c r="G140" s="44" t="n">
        <x:f aca="0">F140-E140</x:f>
        <x:v>-142.59899999999925</x:v>
      </x:c>
      <x:c r="H140" s="11" t="s">
        <x:v>1177</x:v>
      </x:c>
    </x:row>
    <x:row r="141" ht="15" hidden="0">
      <x:c r="A141" t="s">
        <x:v>46</x:v>
      </x:c>
      <x:c r="B141" t="s">
        <x:v>76</x:v>
      </x:c>
      <x:c r="C141" t="s">
        <x:v>1129</x:v>
      </x:c>
      <x:c r="D141" t="s">
        <x:v>1134</x:v>
      </x:c>
      <x:c r="E141" s="44" t="n">
        <x:v>5966.191</x:v>
      </x:c>
      <x:c r="F141" s="44" t="n">
        <x:v>6108.79</x:v>
      </x:c>
      <x:c r="G141" s="44" t="n">
        <x:f aca="0">F141-E141</x:f>
        <x:v>142.59900000000016</x:v>
      </x:c>
      <x:c r="H141" s="11" t="s">
        <x:v>1177</x:v>
      </x:c>
    </x:row>
    <x:row r="142" ht="15" hidden="0">
      <x:c r="A142" t="s">
        <x:v>46</x:v>
      </x:c>
      <x:c r="B142" t="s">
        <x:v>76</x:v>
      </x:c>
      <x:c r="C142" t="s">
        <x:v>1141</x:v>
      </x:c>
      <x:c r="D142" t="s">
        <x:v>1142</x:v>
      </x:c>
      <x:c r="E142" s="44" t="n">
        <x:v>-8158.037</x:v>
      </x:c>
      <x:c r="F142" s="44" t="n">
        <x:v>-8158.036</x:v>
      </x:c>
      <x:c r="G142" s="44" t="n">
        <x:f aca="0">F142-E142</x:f>
        <x:v>0.0010000000002037268</x:v>
      </x:c>
      <x:c r="H142" s="11" t="s">
        <x:v>1177</x:v>
      </x:c>
    </x:row>
    <x:row r="143" ht="15" hidden="0">
      <x:c r="A143" t="s">
        <x:v>46</x:v>
      </x:c>
      <x:c r="B143" t="s">
        <x:v>76</x:v>
      </x:c>
      <x:c r="C143" t="s">
        <x:v>1141</x:v>
      </x:c>
      <x:c r="D143" t="s">
        <x:v>1143</x:v>
      </x:c>
      <x:c r="E143" s="44" t="n">
        <x:v>21684.607</x:v>
      </x:c>
      <x:c r="F143" s="44" t="n">
        <x:v>22284.607</x:v>
      </x:c>
      <x:c r="G143" s="44" t="n">
        <x:f aca="0">F143-E143</x:f>
        <x:v>600</x:v>
      </x:c>
      <x:c r="H143" s="11" t="s">
        <x:v>1177</x:v>
      </x:c>
    </x:row>
    <x:row r="144" ht="15" hidden="0">
      <x:c r="A144" t="s">
        <x:v>46</x:v>
      </x:c>
      <x:c r="B144" t="s">
        <x:v>76</x:v>
      </x:c>
      <x:c r="C144" t="s">
        <x:v>1141</x:v>
      </x:c>
      <x:c r="D144" t="s">
        <x:v>1175</x:v>
      </x:c>
      <x:c r="E144" s="44" t="n">
        <x:v>-6993.06</x:v>
      </x:c>
      <x:c r="F144" s="44" t="n">
        <x:v>0</x:v>
      </x:c>
      <x:c r="G144" s="44" t="n">
        <x:f aca="0">F144-E144</x:f>
        <x:v>6993.06</x:v>
      </x:c>
      <x:c r="H144" s="11" t="s">
        <x:v>1177</x:v>
      </x:c>
    </x:row>
    <x:row r="146" ht="15" hidden="0">
      <x:c r="A146" s="5" t="s">
        <x:v>1178</x:v>
      </x:c>
      <x:c r="B146" s="20"/>
      <x:c r="C146" s="20"/>
      <x:c r="D146" s="20"/>
      <x:c r="E146" s="20"/>
      <x:c r="F146" s="20"/>
      <x:c r="G146" s="20"/>
      <x:c r="H146" s="20"/>
      <x:c r="I146" s="20"/>
      <x:c r="J146" s="20"/>
      <x:c r="K146" s="20"/>
      <x:c r="L146" s="20"/>
      <x:c r="M146" s="20"/>
      <x:c r="N146" s="20"/>
      <x:c r="O146" s="20"/>
      <x:c r="P146" s="20"/>
      <x:c r="Q146" s="20"/>
      <x:c r="R146" s="20"/>
      <x:c r="S146" s="20"/>
    </x:row>
    <x:row r="147" ht="30" hidden="0" customHeight="1">
      <x:c r="A147" s="69" t="s">
        <x:v>1179</x:v>
      </x:c>
      <x:c r="B147" s="69" t="s">
        <x:v>19</x:v>
      </x:c>
      <x:c r="C147" s="69" t="s">
        <x:v>189</x:v>
      </x:c>
      <x:c r="D147" s="69" t="s">
        <x:v>1180</x:v>
      </x:c>
      <x:c r="E147" s="69" t="s">
        <x:v>1181</x:v>
      </x:c>
      <x:c r="F147" s="69" t="s">
        <x:v>1182</x:v>
      </x:c>
      <x:c r="G147" s="69" t="s">
        <x:v>1183</x:v>
      </x:c>
      <x:c r="H147" s="69" t="s">
        <x:v>1184</x:v>
      </x:c>
      <x:c r="I147" s="69" t="s">
        <x:v>1185</x:v>
      </x:c>
      <x:c r="J147" s="69" t="s">
        <x:v>1186</x:v>
      </x:c>
      <x:c r="K147" s="69" t="s">
        <x:v>1187</x:v>
      </x:c>
      <x:c r="L147" s="69" t="s">
        <x:v>1188</x:v>
      </x:c>
      <x:c r="M147" s="69" t="s">
        <x:v>23</x:v>
      </x:c>
      <x:c r="N147" s="69" t="s">
        <x:v>1189</x:v>
      </x:c>
      <x:c r="O147" s="69" t="s">
        <x:v>1190</x:v>
      </x:c>
      <x:c r="P147" s="69" t="s">
        <x:v>1191</x:v>
      </x:c>
      <x:c r="Q147" s="69" t="s">
        <x:v>1192</x:v>
      </x:c>
      <x:c r="R147" s="69" t="s">
        <x:v>1193</x:v>
      </x:c>
      <x:c r="S147" s="69" t="s">
        <x:v>1194</x:v>
      </x:c>
    </x:row>
    <x:row r="148" ht="15" hidden="0">
      <x:c r="A148" s="70" t="s">
        <x:v>1195</x:v>
      </x:c>
      <x:c r="B148" s="70" t="s">
        <x:v>25</x:v>
      </x:c>
      <x:c r="C148" s="70" t="s">
        <x:v>1076</x:v>
      </x:c>
      <x:c r="D148" s="70" t="s">
        <x:v>296</x:v>
      </x:c>
      <x:c r="E148" s="70" t="s">
        <x:v>1129</x:v>
      </x:c>
      <x:c r="F148" s="70" t="s">
        <x:v>1196</x:v>
      </x:c>
      <x:c r="G148" s="70" t="s">
        <x:v>1197</x:v>
      </x:c>
      <x:c r="H148" s="70" t="s">
        <x:v>1198</x:v>
      </x:c>
      <x:c r="I148" s="70" t="s">
        <x:v>1199</x:v>
      </x:c>
      <x:c r="J148" s="70" t="n">
        <x:v>45</x:v>
      </x:c>
      <x:c r="K148" s="70" t="s">
        <x:v>1200</x:v>
      </x:c>
      <x:c r="L148" s="70" t="s">
        <x:v>1201</x:v>
      </x:c>
      <x:c r="M148" s="70" t="s">
        <x:v>29</x:v>
      </x:c>
      <x:c r="N148" s="71" t="n">
        <x:v>22777666271</x:v>
      </x:c>
      <x:c r="O148" s="72" t="n">
        <x:f aca="0">N148/1000000</x:f>
        <x:v>22777.666271</x:v>
      </x:c>
      <x:c r="P148" s="73" t="n">
        <x:f aca="0">KOHC!C20</x:f>
        <x:v>22777.666271</x:v>
      </x:c>
      <x:c r="Q148" s="70" t="str">
        <x:f aca="0">IF(ABS(O148-P148)&lt;0.000001,"PASS","FAIL")</x:f>
        <x:v>PASS</x:v>
      </x:c>
      <x:c r="R148" s="70" t="s">
        <x:v>28</x:v>
      </x:c>
      <x:c r="S148" s="70"/>
    </x:row>
    <x:row r="149" ht="15" hidden="0">
      <x:c r="A149" s="70" t="s">
        <x:v>1202</x:v>
      </x:c>
      <x:c r="B149" s="70" t="s">
        <x:v>25</x:v>
      </x:c>
      <x:c r="C149" s="70" t="s">
        <x:v>73</x:v>
      </x:c>
      <x:c r="D149" s="70" t="s">
        <x:v>296</x:v>
      </x:c>
      <x:c r="E149" s="70" t="s">
        <x:v>1129</x:v>
      </x:c>
      <x:c r="F149" s="70" t="s">
        <x:v>1196</x:v>
      </x:c>
      <x:c r="G149" s="70" t="s">
        <x:v>1203</x:v>
      </x:c>
      <x:c r="H149" s="70" t="s">
        <x:v>1204</x:v>
      </x:c>
      <x:c r="I149" s="70" t="s">
        <x:v>1199</x:v>
      </x:c>
      <x:c r="J149" s="70" t="n">
        <x:v>53</x:v>
      </x:c>
      <x:c r="K149" s="70" t="s">
        <x:v>1200</x:v>
      </x:c>
      <x:c r="L149" s="70" t="s">
        <x:v>1201</x:v>
      </x:c>
      <x:c r="M149" s="70" t="s">
        <x:v>29</x:v>
      </x:c>
      <x:c r="N149" s="71" t="n">
        <x:v>22027544913</x:v>
      </x:c>
      <x:c r="O149" s="72" t="n">
        <x:f aca="0">N149/1000000</x:f>
        <x:v>22027.544913</x:v>
      </x:c>
      <x:c r="P149" s="73" t="n">
        <x:f aca="0">KOHC!D20</x:f>
        <x:v>22027.544913</x:v>
      </x:c>
      <x:c r="Q149" s="70" t="str">
        <x:f aca="0">IF(ABS(O149-P149)&lt;0.000001,"PASS","FAIL")</x:f>
        <x:v>PASS</x:v>
      </x:c>
      <x:c r="R149" s="70" t="s">
        <x:v>28</x:v>
      </x:c>
      <x:c r="S149" s="70" t="s">
        <x:v>1205</x:v>
      </x:c>
    </x:row>
    <x:row r="150" ht="15" hidden="0">
      <x:c r="A150" s="70" t="s">
        <x:v>1206</x:v>
      </x:c>
      <x:c r="B150" s="70" t="s">
        <x:v>25</x:v>
      </x:c>
      <x:c r="C150" s="70" t="s">
        <x:v>74</x:v>
      </x:c>
      <x:c r="D150" s="70" t="s">
        <x:v>296</x:v>
      </x:c>
      <x:c r="E150" s="70" t="s">
        <x:v>1129</x:v>
      </x:c>
      <x:c r="F150" s="70" t="s">
        <x:v>1196</x:v>
      </x:c>
      <x:c r="G150" s="70" t="s">
        <x:v>1207</x:v>
      </x:c>
      <x:c r="H150" s="70" t="s">
        <x:v>1208</x:v>
      </x:c>
      <x:c r="I150" s="70" t="s">
        <x:v>1199</x:v>
      </x:c>
      <x:c r="J150" s="70" t="n">
        <x:v>53</x:v>
      </x:c>
      <x:c r="K150" s="70" t="s">
        <x:v>1200</x:v>
      </x:c>
      <x:c r="L150" s="70" t="s">
        <x:v>1201</x:v>
      </x:c>
      <x:c r="M150" s="70" t="s">
        <x:v>29</x:v>
      </x:c>
      <x:c r="N150" s="71" t="n">
        <x:v>21331296362</x:v>
      </x:c>
      <x:c r="O150" s="72" t="n">
        <x:f aca="0">N150/1000000</x:f>
        <x:v>21331.296362</x:v>
      </x:c>
      <x:c r="P150" s="73" t="n">
        <x:f aca="0">KOHC!E20</x:f>
        <x:v>21331.296362</x:v>
      </x:c>
      <x:c r="Q150" s="70" t="str">
        <x:f aca="0">IF(ABS(O150-P150)&lt;0.000001,"PASS","FAIL")</x:f>
        <x:v>PASS</x:v>
      </x:c>
      <x:c r="R150" s="70" t="s">
        <x:v>28</x:v>
      </x:c>
      <x:c r="S150" s="70"/>
    </x:row>
    <x:row r="151" ht="15" hidden="0">
      <x:c r="A151" s="70" t="s">
        <x:v>1209</x:v>
      </x:c>
      <x:c r="B151" s="70" t="s">
        <x:v>25</x:v>
      </x:c>
      <x:c r="C151" s="70" t="s">
        <x:v>75</x:v>
      </x:c>
      <x:c r="D151" s="70" t="s">
        <x:v>296</x:v>
      </x:c>
      <x:c r="E151" s="70" t="s">
        <x:v>1129</x:v>
      </x:c>
      <x:c r="F151" s="70" t="s">
        <x:v>1196</x:v>
      </x:c>
      <x:c r="G151" s="70" t="s">
        <x:v>1210</x:v>
      </x:c>
      <x:c r="H151" s="70" t="s">
        <x:v>1211</x:v>
      </x:c>
      <x:c r="I151" s="70" t="s">
        <x:v>1199</x:v>
      </x:c>
      <x:c r="J151" s="70" t="n">
        <x:v>59</x:v>
      </x:c>
      <x:c r="K151" s="70" t="s">
        <x:v>1200</x:v>
      </x:c>
      <x:c r="L151" s="70" t="s">
        <x:v>1212</x:v>
      </x:c>
      <x:c r="M151" s="70" t="s">
        <x:v>29</x:v>
      </x:c>
      <x:c r="N151" s="71" t="n">
        <x:v>22229434463</x:v>
      </x:c>
      <x:c r="O151" s="72" t="n">
        <x:f aca="0">N151/1000000</x:f>
        <x:v>22229.434463</x:v>
      </x:c>
      <x:c r="P151" s="73" t="n">
        <x:f aca="0">KOHC!F20</x:f>
        <x:v>22229.434463</x:v>
      </x:c>
      <x:c r="Q151" s="70" t="str">
        <x:f aca="0">IF(ABS(O151-P151)&lt;0.000001,"PASS","FAIL")</x:f>
        <x:v>PASS</x:v>
      </x:c>
      <x:c r="R151" s="70" t="s">
        <x:v>28</x:v>
      </x:c>
      <x:c r="S151" s="70"/>
    </x:row>
    <x:row r="152" ht="15" hidden="0">
      <x:c r="A152" s="70" t="s">
        <x:v>1213</x:v>
      </x:c>
      <x:c r="B152" s="70" t="s">
        <x:v>25</x:v>
      </x:c>
      <x:c r="C152" s="70" t="s">
        <x:v>76</x:v>
      </x:c>
      <x:c r="D152" s="70" t="s">
        <x:v>296</x:v>
      </x:c>
      <x:c r="E152" s="70" t="s">
        <x:v>1129</x:v>
      </x:c>
      <x:c r="F152" s="70" t="s">
        <x:v>1196</x:v>
      </x:c>
      <x:c r="G152" s="70" t="s">
        <x:v>1214</x:v>
      </x:c>
      <x:c r="H152" s="70" t="s">
        <x:v>1215</x:v>
      </x:c>
      <x:c r="I152" s="70" t="s">
        <x:v>1199</x:v>
      </x:c>
      <x:c r="J152" s="70" t="n">
        <x:v>69</x:v>
      </x:c>
      <x:c r="K152" s="70" t="s">
        <x:v>1200</x:v>
      </x:c>
      <x:c r="L152" s="70" t="s">
        <x:v>1216</x:v>
      </x:c>
      <x:c r="M152" s="70" t="s">
        <x:v>29</x:v>
      </x:c>
      <x:c r="N152" s="71" t="n">
        <x:v>22156640533</x:v>
      </x:c>
      <x:c r="O152" s="72" t="n">
        <x:f aca="0">N152/1000000</x:f>
        <x:v>22156.640533</x:v>
      </x:c>
      <x:c r="P152" s="73" t="n">
        <x:f aca="0">KOHC!G20</x:f>
        <x:v>22156.640533</x:v>
      </x:c>
      <x:c r="Q152" s="70" t="str">
        <x:f aca="0">IF(ABS(O152-P152)&lt;0.000001,"PASS","FAIL")</x:f>
        <x:v>PASS</x:v>
      </x:c>
      <x:c r="R152" s="70" t="s">
        <x:v>28</x:v>
      </x:c>
      <x:c r="S152" s="70" t="s">
        <x:v>1205</x:v>
      </x:c>
    </x:row>
    <x:row r="153" ht="15" hidden="0">
      <x:c r="A153" s="70" t="s">
        <x:v>1217</x:v>
      </x:c>
      <x:c r="B153" s="70" t="s">
        <x:v>25</x:v>
      </x:c>
      <x:c r="C153" s="70" t="s">
        <x:v>77</x:v>
      </x:c>
      <x:c r="D153" s="70" t="s">
        <x:v>296</x:v>
      </x:c>
      <x:c r="E153" s="70" t="s">
        <x:v>1129</x:v>
      </x:c>
      <x:c r="F153" s="70" t="s">
        <x:v>1196</x:v>
      </x:c>
      <x:c r="G153" s="70" t="s">
        <x:v>1214</x:v>
      </x:c>
      <x:c r="H153" s="70" t="s">
        <x:v>1215</x:v>
      </x:c>
      <x:c r="I153" s="70" t="s">
        <x:v>1218</x:v>
      </x:c>
      <x:c r="J153" s="70" t="n">
        <x:v>69</x:v>
      </x:c>
      <x:c r="K153" s="70" t="s">
        <x:v>1200</x:v>
      </x:c>
      <x:c r="L153" s="70" t="s">
        <x:v>1216</x:v>
      </x:c>
      <x:c r="M153" s="70" t="s">
        <x:v>29</x:v>
      </x:c>
      <x:c r="N153" s="71" t="n">
        <x:v>23359980509</x:v>
      </x:c>
      <x:c r="O153" s="72" t="n">
        <x:f aca="0">N153/1000000</x:f>
        <x:v>23359.980509</x:v>
      </x:c>
      <x:c r="P153" s="73" t="n">
        <x:f aca="0">KOHC!H20</x:f>
        <x:v>23359.980509</x:v>
      </x:c>
      <x:c r="Q153" s="70" t="str">
        <x:f aca="0">IF(ABS(O153-P153)&lt;0.000001,"PASS","FAIL")</x:f>
        <x:v>PASS</x:v>
      </x:c>
      <x:c r="R153" s="70" t="s">
        <x:v>28</x:v>
      </x:c>
      <x:c r="S153" s="70"/>
    </x:row>
    <x:row r="154" ht="15" hidden="0">
      <x:c r="A154" s="70" t="s">
        <x:v>1219</x:v>
      </x:c>
      <x:c r="B154" s="70" t="s">
        <x:v>25</x:v>
      </x:c>
      <x:c r="C154" s="70" t="s">
        <x:v>1076</x:v>
      </x:c>
      <x:c r="D154" s="70" t="s">
        <x:v>1220</x:v>
      </x:c>
      <x:c r="E154" s="70" t="s">
        <x:v>1221</x:v>
      </x:c>
      <x:c r="F154" s="70" t="s">
        <x:v>1222</x:v>
      </x:c>
      <x:c r="G154" s="70" t="s">
        <x:v>1197</x:v>
      </x:c>
      <x:c r="H154" s="70" t="s">
        <x:v>1198</x:v>
      </x:c>
      <x:c r="I154" s="70" t="s">
        <x:v>1199</x:v>
      </x:c>
      <x:c r="J154" s="70" t="n">
        <x:v>74</x:v>
      </x:c>
      <x:c r="K154" s="70" t="s">
        <x:v>1223</x:v>
      </x:c>
      <x:c r="L154" s="70"/>
      <x:c r="M154" s="70" t="s">
        <x:v>29</x:v>
      </x:c>
      <x:c r="N154" s="71" t="n">
        <x:v>164578022</x:v>
      </x:c>
      <x:c r="O154" s="72" t="n">
        <x:f aca="0">N154/1000000</x:f>
        <x:v>164.578022</x:v>
      </x:c>
      <x:c r="P154" s="73" t="n">
        <x:f aca="0">KOHC!C21</x:f>
        <x:v>164.578022</x:v>
      </x:c>
      <x:c r="Q154" s="70" t="str">
        <x:f aca="0">IF(ABS(O154-P154)&lt;0.000001,"PASS","FAIL")</x:f>
        <x:v>PASS</x:v>
      </x:c>
      <x:c r="R154" s="70" t="s">
        <x:v>28</x:v>
      </x:c>
      <x:c r="S154" s="70"/>
    </x:row>
    <x:row r="155" ht="15" hidden="0">
      <x:c r="A155" s="70" t="s">
        <x:v>1224</x:v>
      </x:c>
      <x:c r="B155" s="70" t="s">
        <x:v>25</x:v>
      </x:c>
      <x:c r="C155" s="70" t="s">
        <x:v>73</x:v>
      </x:c>
      <x:c r="D155" s="70" t="s">
        <x:v>1220</x:v>
      </x:c>
      <x:c r="E155" s="70" t="s">
        <x:v>1221</x:v>
      </x:c>
      <x:c r="F155" s="70" t="s">
        <x:v>1222</x:v>
      </x:c>
      <x:c r="G155" s="70" t="s">
        <x:v>1203</x:v>
      </x:c>
      <x:c r="H155" s="70" t="s">
        <x:v>1204</x:v>
      </x:c>
      <x:c r="I155" s="70" t="s">
        <x:v>1199</x:v>
      </x:c>
      <x:c r="J155" s="70" t="n">
        <x:v>83</x:v>
      </x:c>
      <x:c r="K155" s="70" t="s">
        <x:v>1200</x:v>
      </x:c>
      <x:c r="L155" s="70"/>
      <x:c r="M155" s="70" t="s">
        <x:v>29</x:v>
      </x:c>
      <x:c r="N155" s="71" t="n">
        <x:v>273939559</x:v>
      </x:c>
      <x:c r="O155" s="72" t="n">
        <x:f aca="0">N155/1000000</x:f>
        <x:v>273.939559</x:v>
      </x:c>
      <x:c r="P155" s="73" t="n">
        <x:f aca="0">KOHC!D21</x:f>
        <x:v>273.939559</x:v>
      </x:c>
      <x:c r="Q155" s="70" t="str">
        <x:f aca="0">IF(ABS(O155-P155)&lt;0.000001,"PASS","FAIL")</x:f>
        <x:v>PASS</x:v>
      </x:c>
      <x:c r="R155" s="70" t="s">
        <x:v>28</x:v>
      </x:c>
      <x:c r="S155" s="70"/>
    </x:row>
    <x:row r="156" ht="15" hidden="0">
      <x:c r="A156" s="70" t="s">
        <x:v>1225</x:v>
      </x:c>
      <x:c r="B156" s="70" t="s">
        <x:v>25</x:v>
      </x:c>
      <x:c r="C156" s="70" t="s">
        <x:v>74</x:v>
      </x:c>
      <x:c r="D156" s="70" t="s">
        <x:v>1220</x:v>
      </x:c>
      <x:c r="E156" s="70" t="s">
        <x:v>1221</x:v>
      </x:c>
      <x:c r="F156" s="70" t="s">
        <x:v>1222</x:v>
      </x:c>
      <x:c r="G156" s="70" t="s">
        <x:v>1207</x:v>
      </x:c>
      <x:c r="H156" s="70" t="s">
        <x:v>1208</x:v>
      </x:c>
      <x:c r="I156" s="70" t="s">
        <x:v>1199</x:v>
      </x:c>
      <x:c r="J156" s="70" t="n">
        <x:v>81</x:v>
      </x:c>
      <x:c r="K156" s="70" t="s">
        <x:v>1200</x:v>
      </x:c>
      <x:c r="L156" s="70"/>
      <x:c r="M156" s="70" t="s">
        <x:v>29</x:v>
      </x:c>
      <x:c r="N156" s="71" t="n">
        <x:v>130897947</x:v>
      </x:c>
      <x:c r="O156" s="72" t="n">
        <x:f aca="0">N156/1000000</x:f>
        <x:v>130.897947</x:v>
      </x:c>
      <x:c r="P156" s="73" t="n">
        <x:f aca="0">KOHC!E21</x:f>
        <x:v>130.897947</x:v>
      </x:c>
      <x:c r="Q156" s="70" t="str">
        <x:f aca="0">IF(ABS(O156-P156)&lt;0.000001,"PASS","FAIL")</x:f>
        <x:v>PASS</x:v>
      </x:c>
      <x:c r="R156" s="70" t="s">
        <x:v>28</x:v>
      </x:c>
      <x:c r="S156" s="70"/>
    </x:row>
    <x:row r="157" ht="15" hidden="0">
      <x:c r="A157" s="70" t="s">
        <x:v>1226</x:v>
      </x:c>
      <x:c r="B157" s="70" t="s">
        <x:v>25</x:v>
      </x:c>
      <x:c r="C157" s="70" t="s">
        <x:v>75</x:v>
      </x:c>
      <x:c r="D157" s="70" t="s">
        <x:v>1220</x:v>
      </x:c>
      <x:c r="E157" s="70" t="s">
        <x:v>1221</x:v>
      </x:c>
      <x:c r="F157" s="70" t="s">
        <x:v>1222</x:v>
      </x:c>
      <x:c r="G157" s="70" t="s">
        <x:v>1210</x:v>
      </x:c>
      <x:c r="H157" s="70" t="s">
        <x:v>1211</x:v>
      </x:c>
      <x:c r="I157" s="70" t="s">
        <x:v>1199</x:v>
      </x:c>
      <x:c r="J157" s="70" t="n">
        <x:v>89</x:v>
      </x:c>
      <x:c r="K157" s="70" t="s">
        <x:v>1200</x:v>
      </x:c>
      <x:c r="L157" s="70"/>
      <x:c r="M157" s="70" t="s">
        <x:v>29</x:v>
      </x:c>
      <x:c r="N157" s="71" t="n">
        <x:v>1943019581</x:v>
      </x:c>
      <x:c r="O157" s="72" t="n">
        <x:f aca="0">N157/1000000</x:f>
        <x:v>1943.019581</x:v>
      </x:c>
      <x:c r="P157" s="73" t="n">
        <x:f aca="0">KOHC!F21</x:f>
        <x:v>1943.019581</x:v>
      </x:c>
      <x:c r="Q157" s="70" t="str">
        <x:f aca="0">IF(ABS(O157-P157)&lt;0.000001,"PASS","FAIL")</x:f>
        <x:v>PASS</x:v>
      </x:c>
      <x:c r="R157" s="70" t="s">
        <x:v>28</x:v>
      </x:c>
      <x:c r="S157" s="70"/>
    </x:row>
    <x:row r="158" ht="15" hidden="0">
      <x:c r="A158" s="70" t="s">
        <x:v>1227</x:v>
      </x:c>
      <x:c r="B158" s="70" t="s">
        <x:v>25</x:v>
      </x:c>
      <x:c r="C158" s="70" t="s">
        <x:v>76</x:v>
      </x:c>
      <x:c r="D158" s="70" t="s">
        <x:v>1220</x:v>
      </x:c>
      <x:c r="E158" s="70" t="s">
        <x:v>1221</x:v>
      </x:c>
      <x:c r="F158" s="70" t="s">
        <x:v>1222</x:v>
      </x:c>
      <x:c r="G158" s="70" t="s">
        <x:v>1214</x:v>
      </x:c>
      <x:c r="H158" s="70" t="s">
        <x:v>1215</x:v>
      </x:c>
      <x:c r="I158" s="70" t="s">
        <x:v>1199</x:v>
      </x:c>
      <x:c r="J158" s="70" t="n">
        <x:v>97</x:v>
      </x:c>
      <x:c r="K158" s="70" t="s">
        <x:v>1200</x:v>
      </x:c>
      <x:c r="L158" s="70"/>
      <x:c r="M158" s="70" t="s">
        <x:v>29</x:v>
      </x:c>
      <x:c r="N158" s="71" t="n">
        <x:v>999326605</x:v>
      </x:c>
      <x:c r="O158" s="72" t="n">
        <x:f aca="0">N158/1000000</x:f>
        <x:v>999.326605</x:v>
      </x:c>
      <x:c r="P158" s="73" t="n">
        <x:f aca="0">KOHC!G21</x:f>
        <x:v>999.326605</x:v>
      </x:c>
      <x:c r="Q158" s="70" t="str">
        <x:f aca="0">IF(ABS(O158-P158)&lt;0.000001,"PASS","FAIL")</x:f>
        <x:v>PASS</x:v>
      </x:c>
      <x:c r="R158" s="70" t="s">
        <x:v>28</x:v>
      </x:c>
      <x:c r="S158" s="70"/>
    </x:row>
    <x:row r="159" ht="15" hidden="0">
      <x:c r="A159" s="70" t="s">
        <x:v>1228</x:v>
      </x:c>
      <x:c r="B159" s="70" t="s">
        <x:v>25</x:v>
      </x:c>
      <x:c r="C159" s="70" t="s">
        <x:v>77</x:v>
      </x:c>
      <x:c r="D159" s="70" t="s">
        <x:v>1220</x:v>
      </x:c>
      <x:c r="E159" s="70" t="s">
        <x:v>1221</x:v>
      </x:c>
      <x:c r="F159" s="70" t="s">
        <x:v>1222</x:v>
      </x:c>
      <x:c r="G159" s="70" t="s">
        <x:v>1214</x:v>
      </x:c>
      <x:c r="H159" s="70" t="s">
        <x:v>1215</x:v>
      </x:c>
      <x:c r="I159" s="70" t="s">
        <x:v>1218</x:v>
      </x:c>
      <x:c r="J159" s="70" t="n">
        <x:v>97</x:v>
      </x:c>
      <x:c r="K159" s="70" t="s">
        <x:v>1200</x:v>
      </x:c>
      <x:c r="L159" s="70"/>
      <x:c r="M159" s="70" t="s">
        <x:v>29</x:v>
      </x:c>
      <x:c r="N159" s="71" t="n">
        <x:v>2486634755</x:v>
      </x:c>
      <x:c r="O159" s="72" t="n">
        <x:f aca="0">N159/1000000</x:f>
        <x:v>2486.634755</x:v>
      </x:c>
      <x:c r="P159" s="73" t="n">
        <x:f aca="0">KOHC!H21</x:f>
        <x:v>2486.634755</x:v>
      </x:c>
      <x:c r="Q159" s="70" t="str">
        <x:f aca="0">IF(ABS(O159-P159)&lt;0.000001,"PASS","FAIL")</x:f>
        <x:v>PASS</x:v>
      </x:c>
      <x:c r="R159" s="70" t="s">
        <x:v>28</x:v>
      </x:c>
      <x:c r="S159" s="70"/>
    </x:row>
    <x:row r="160" ht="15" hidden="0">
      <x:c r="A160" s="70" t="s">
        <x:v>1229</x:v>
      </x:c>
      <x:c r="B160" s="70" t="s">
        <x:v>25</x:v>
      </x:c>
      <x:c r="C160" s="70" t="s">
        <x:v>1076</x:v>
      </x:c>
      <x:c r="D160" s="70" t="s">
        <x:v>302</x:v>
      </x:c>
      <x:c r="E160" s="70" t="s">
        <x:v>1129</x:v>
      </x:c>
      <x:c r="F160" s="70"/>
      <x:c r="G160" s="70" t="s">
        <x:v>1197</x:v>
      </x:c>
      <x:c r="H160" s="70" t="s">
        <x:v>1198</x:v>
      </x:c>
      <x:c r="I160" s="70" t="s">
        <x:v>1199</x:v>
      </x:c>
      <x:c r="J160" s="70" t="n">
        <x:v>44</x:v>
      </x:c>
      <x:c r="K160" s="70" t="s">
        <x:v>1230</x:v>
      </x:c>
      <x:c r="L160" s="70"/>
      <x:c r="M160" s="70" t="s">
        <x:v>29</x:v>
      </x:c>
      <x:c r="N160" s="71" t="n">
        <x:v>0</x:v>
      </x:c>
      <x:c r="O160" s="72" t="n">
        <x:f aca="0">N160/1000000</x:f>
        <x:v>0</x:v>
      </x:c>
      <x:c r="P160" s="73" t="n">
        <x:f aca="0">KOHC!C23</x:f>
        <x:v>0</x:v>
      </x:c>
      <x:c r="Q160" s="70" t="str">
        <x:f aca="0">IF(ABS(O160-P160)&lt;0.000001,"PASS","FAIL")</x:f>
        <x:v>PASS</x:v>
      </x:c>
      <x:c r="R160" s="70" t="s">
        <x:v>28</x:v>
      </x:c>
      <x:c r="S160" s="70"/>
    </x:row>
    <x:row r="161" ht="15" hidden="0">
      <x:c r="A161" s="70" t="s">
        <x:v>1231</x:v>
      </x:c>
      <x:c r="B161" s="70" t="s">
        <x:v>25</x:v>
      </x:c>
      <x:c r="C161" s="70" t="s">
        <x:v>73</x:v>
      </x:c>
      <x:c r="D161" s="70" t="s">
        <x:v>302</x:v>
      </x:c>
      <x:c r="E161" s="70" t="s">
        <x:v>1129</x:v>
      </x:c>
      <x:c r="F161" s="70"/>
      <x:c r="G161" s="70" t="s">
        <x:v>1203</x:v>
      </x:c>
      <x:c r="H161" s="70" t="s">
        <x:v>1204</x:v>
      </x:c>
      <x:c r="I161" s="70" t="s">
        <x:v>1199</x:v>
      </x:c>
      <x:c r="J161" s="70" t="n">
        <x:v>52</x:v>
      </x:c>
      <x:c r="K161" s="70" t="s">
        <x:v>1230</x:v>
      </x:c>
      <x:c r="L161" s="70"/>
      <x:c r="M161" s="70" t="s">
        <x:v>29</x:v>
      </x:c>
      <x:c r="N161" s="71" t="n">
        <x:v>0</x:v>
      </x:c>
      <x:c r="O161" s="72" t="n">
        <x:f aca="0">N161/1000000</x:f>
        <x:v>0</x:v>
      </x:c>
      <x:c r="P161" s="73" t="n">
        <x:f aca="0">KOHC!D23</x:f>
        <x:v>0</x:v>
      </x:c>
      <x:c r="Q161" s="70" t="str">
        <x:f aca="0">IF(ABS(O161-P161)&lt;0.000001,"PASS","FAIL")</x:f>
        <x:v>PASS</x:v>
      </x:c>
      <x:c r="R161" s="70" t="s">
        <x:v>28</x:v>
      </x:c>
      <x:c r="S161" s="70"/>
    </x:row>
    <x:row r="162" ht="15" hidden="0">
      <x:c r="A162" s="70" t="s">
        <x:v>1232</x:v>
      </x:c>
      <x:c r="B162" s="70" t="s">
        <x:v>25</x:v>
      </x:c>
      <x:c r="C162" s="70" t="s">
        <x:v>74</x:v>
      </x:c>
      <x:c r="D162" s="70" t="s">
        <x:v>302</x:v>
      </x:c>
      <x:c r="E162" s="70" t="s">
        <x:v>1129</x:v>
      </x:c>
      <x:c r="F162" s="70"/>
      <x:c r="G162" s="70" t="s">
        <x:v>1207</x:v>
      </x:c>
      <x:c r="H162" s="70" t="s">
        <x:v>1208</x:v>
      </x:c>
      <x:c r="I162" s="70" t="s">
        <x:v>1199</x:v>
      </x:c>
      <x:c r="J162" s="70" t="n">
        <x:v>52</x:v>
      </x:c>
      <x:c r="K162" s="70" t="s">
        <x:v>1230</x:v>
      </x:c>
      <x:c r="L162" s="70"/>
      <x:c r="M162" s="70" t="s">
        <x:v>29</x:v>
      </x:c>
      <x:c r="N162" s="71" t="n">
        <x:v>0</x:v>
      </x:c>
      <x:c r="O162" s="72" t="n">
        <x:f aca="0">N162/1000000</x:f>
        <x:v>0</x:v>
      </x:c>
      <x:c r="P162" s="73" t="n">
        <x:f aca="0">KOHC!E23</x:f>
        <x:v>0</x:v>
      </x:c>
      <x:c r="Q162" s="70" t="str">
        <x:f aca="0">IF(ABS(O162-P162)&lt;0.000001,"PASS","FAIL")</x:f>
        <x:v>PASS</x:v>
      </x:c>
      <x:c r="R162" s="70" t="s">
        <x:v>28</x:v>
      </x:c>
      <x:c r="S162" s="70"/>
    </x:row>
    <x:row r="163" ht="15" hidden="0">
      <x:c r="A163" s="70" t="s">
        <x:v>1233</x:v>
      </x:c>
      <x:c r="B163" s="70" t="s">
        <x:v>25</x:v>
      </x:c>
      <x:c r="C163" s="70" t="s">
        <x:v>75</x:v>
      </x:c>
      <x:c r="D163" s="70" t="s">
        <x:v>302</x:v>
      </x:c>
      <x:c r="E163" s="70" t="s">
        <x:v>1129</x:v>
      </x:c>
      <x:c r="F163" s="70"/>
      <x:c r="G163" s="70" t="s">
        <x:v>1210</x:v>
      </x:c>
      <x:c r="H163" s="70" t="s">
        <x:v>1211</x:v>
      </x:c>
      <x:c r="I163" s="70" t="s">
        <x:v>1199</x:v>
      </x:c>
      <x:c r="J163" s="70" t="n">
        <x:v>58</x:v>
      </x:c>
      <x:c r="K163" s="70" t="s">
        <x:v>1230</x:v>
      </x:c>
      <x:c r="L163" s="70"/>
      <x:c r="M163" s="70" t="s">
        <x:v>29</x:v>
      </x:c>
      <x:c r="N163" s="71" t="n">
        <x:v>0</x:v>
      </x:c>
      <x:c r="O163" s="72" t="n">
        <x:f aca="0">N163/1000000</x:f>
        <x:v>0</x:v>
      </x:c>
      <x:c r="P163" s="73" t="n">
        <x:f aca="0">KOHC!F23</x:f>
        <x:v>0</x:v>
      </x:c>
      <x:c r="Q163" s="70" t="str">
        <x:f aca="0">IF(ABS(O163-P163)&lt;0.000001,"PASS","FAIL")</x:f>
        <x:v>PASS</x:v>
      </x:c>
      <x:c r="R163" s="70" t="s">
        <x:v>28</x:v>
      </x:c>
      <x:c r="S163" s="70"/>
    </x:row>
    <x:row r="164" ht="15" hidden="0">
      <x:c r="A164" s="70" t="s">
        <x:v>1234</x:v>
      </x:c>
      <x:c r="B164" s="70" t="s">
        <x:v>25</x:v>
      </x:c>
      <x:c r="C164" s="70" t="s">
        <x:v>76</x:v>
      </x:c>
      <x:c r="D164" s="70" t="s">
        <x:v>302</x:v>
      </x:c>
      <x:c r="E164" s="70" t="s">
        <x:v>1129</x:v>
      </x:c>
      <x:c r="F164" s="70"/>
      <x:c r="G164" s="70" t="s">
        <x:v>1214</x:v>
      </x:c>
      <x:c r="H164" s="70" t="s">
        <x:v>1215</x:v>
      </x:c>
      <x:c r="I164" s="70" t="s">
        <x:v>1199</x:v>
      </x:c>
      <x:c r="J164" s="70" t="n">
        <x:v>68</x:v>
      </x:c>
      <x:c r="K164" s="70" t="s">
        <x:v>1235</x:v>
      </x:c>
      <x:c r="L164" s="70"/>
      <x:c r="M164" s="70" t="s">
        <x:v>29</x:v>
      </x:c>
      <x:c r="N164" s="71" t="n">
        <x:v>0</x:v>
      </x:c>
      <x:c r="O164" s="72" t="n">
        <x:f aca="0">N164/1000000</x:f>
        <x:v>0</x:v>
      </x:c>
      <x:c r="P164" s="73" t="n">
        <x:f aca="0">KOHC!G23</x:f>
        <x:v>0</x:v>
      </x:c>
      <x:c r="Q164" s="70" t="str">
        <x:f aca="0">IF(ABS(O164-P164)&lt;0.000001,"PASS","FAIL")</x:f>
        <x:v>PASS</x:v>
      </x:c>
      <x:c r="R164" s="70" t="s">
        <x:v>28</x:v>
      </x:c>
      <x:c r="S164" s="70"/>
    </x:row>
    <x:row r="165" ht="15" hidden="0">
      <x:c r="A165" s="70" t="s">
        <x:v>1236</x:v>
      </x:c>
      <x:c r="B165" s="70" t="s">
        <x:v>25</x:v>
      </x:c>
      <x:c r="C165" s="70" t="s">
        <x:v>77</x:v>
      </x:c>
      <x:c r="D165" s="70" t="s">
        <x:v>302</x:v>
      </x:c>
      <x:c r="E165" s="70" t="s">
        <x:v>1129</x:v>
      </x:c>
      <x:c r="F165" s="70"/>
      <x:c r="G165" s="70" t="s">
        <x:v>1214</x:v>
      </x:c>
      <x:c r="H165" s="70" t="s">
        <x:v>1215</x:v>
      </x:c>
      <x:c r="I165" s="70" t="s">
        <x:v>1218</x:v>
      </x:c>
      <x:c r="J165" s="70" t="n">
        <x:v>68</x:v>
      </x:c>
      <x:c r="K165" s="70" t="s">
        <x:v>1235</x:v>
      </x:c>
      <x:c r="L165" s="70"/>
      <x:c r="M165" s="70" t="s">
        <x:v>29</x:v>
      </x:c>
      <x:c r="N165" s="71" t="n">
        <x:v>0</x:v>
      </x:c>
      <x:c r="O165" s="72" t="n">
        <x:f aca="0">N165/1000000</x:f>
        <x:v>0</x:v>
      </x:c>
      <x:c r="P165" s="73" t="n">
        <x:f aca="0">KOHC!H23</x:f>
        <x:v>0</x:v>
      </x:c>
      <x:c r="Q165" s="70" t="str">
        <x:f aca="0">IF(ABS(O165-P165)&lt;0.000001,"PASS","FAIL")</x:f>
        <x:v>PASS</x:v>
      </x:c>
      <x:c r="R165" s="70" t="s">
        <x:v>28</x:v>
      </x:c>
      <x:c r="S165" s="70"/>
    </x:row>
    <x:row r="166" ht="15" hidden="0">
      <x:c r="A166" s="70" t="s">
        <x:v>1237</x:v>
      </x:c>
      <x:c r="B166" s="70" t="s">
        <x:v>25</x:v>
      </x:c>
      <x:c r="C166" s="70" t="s">
        <x:v>1076</x:v>
      </x:c>
      <x:c r="D166" s="70" t="s">
        <x:v>304</x:v>
      </x:c>
      <x:c r="E166" s="70" t="s">
        <x:v>1129</x:v>
      </x:c>
      <x:c r="F166" s="70" t="s">
        <x:v>1238</x:v>
      </x:c>
      <x:c r="G166" s="70" t="s">
        <x:v>1197</x:v>
      </x:c>
      <x:c r="H166" s="70" t="s">
        <x:v>1198</x:v>
      </x:c>
      <x:c r="I166" s="70" t="s">
        <x:v>1199</x:v>
      </x:c>
      <x:c r="J166" s="70" t="n">
        <x:v>45</x:v>
      </x:c>
      <x:c r="K166" s="70" t="s">
        <x:v>1200</x:v>
      </x:c>
      <x:c r="L166" s="70" t="s">
        <x:v>1239</x:v>
      </x:c>
      <x:c r="M166" s="70" t="s">
        <x:v>29</x:v>
      </x:c>
      <x:c r="N166" s="71" t="n">
        <x:v>11210982</x:v>
      </x:c>
      <x:c r="O166" s="72" t="n">
        <x:f aca="0">N166/1000000</x:f>
        <x:v>11.210982</x:v>
      </x:c>
      <x:c r="P166" s="73" t="n">
        <x:f aca="0">KOHC!C24</x:f>
        <x:v>11.210982</x:v>
      </x:c>
      <x:c r="Q166" s="70" t="str">
        <x:f aca="0">IF(ABS(O166-P166)&lt;0.000001,"PASS","FAIL")</x:f>
        <x:v>PASS</x:v>
      </x:c>
      <x:c r="R166" s="70" t="s">
        <x:v>28</x:v>
      </x:c>
      <x:c r="S166" s="70"/>
    </x:row>
    <x:row r="167" ht="15" hidden="0">
      <x:c r="A167" s="70" t="s">
        <x:v>1240</x:v>
      </x:c>
      <x:c r="B167" s="70" t="s">
        <x:v>25</x:v>
      </x:c>
      <x:c r="C167" s="70" t="s">
        <x:v>73</x:v>
      </x:c>
      <x:c r="D167" s="70" t="s">
        <x:v>304</x:v>
      </x:c>
      <x:c r="E167" s="70" t="s">
        <x:v>1129</x:v>
      </x:c>
      <x:c r="F167" s="70" t="s">
        <x:v>1238</x:v>
      </x:c>
      <x:c r="G167" s="70" t="s">
        <x:v>1203</x:v>
      </x:c>
      <x:c r="H167" s="70" t="s">
        <x:v>1204</x:v>
      </x:c>
      <x:c r="I167" s="70" t="s">
        <x:v>1199</x:v>
      </x:c>
      <x:c r="J167" s="70" t="n">
        <x:v>53</x:v>
      </x:c>
      <x:c r="K167" s="70" t="s">
        <x:v>1200</x:v>
      </x:c>
      <x:c r="L167" s="70" t="s">
        <x:v>1239</x:v>
      </x:c>
      <x:c r="M167" s="70" t="s">
        <x:v>29</x:v>
      </x:c>
      <x:c r="N167" s="71" t="n">
        <x:v>6725911</x:v>
      </x:c>
      <x:c r="O167" s="72" t="n">
        <x:f aca="0">N167/1000000</x:f>
        <x:v>6.725911</x:v>
      </x:c>
      <x:c r="P167" s="73" t="n">
        <x:f aca="0">KOHC!D24</x:f>
        <x:v>6.725911</x:v>
      </x:c>
      <x:c r="Q167" s="70" t="str">
        <x:f aca="0">IF(ABS(O167-P167)&lt;0.000001,"PASS","FAIL")</x:f>
        <x:v>PASS</x:v>
      </x:c>
      <x:c r="R167" s="70" t="s">
        <x:v>28</x:v>
      </x:c>
      <x:c r="S167" s="70"/>
    </x:row>
    <x:row r="168" ht="15" hidden="0">
      <x:c r="A168" s="70" t="s">
        <x:v>1241</x:v>
      </x:c>
      <x:c r="B168" s="70" t="s">
        <x:v>25</x:v>
      </x:c>
      <x:c r="C168" s="70" t="s">
        <x:v>74</x:v>
      </x:c>
      <x:c r="D168" s="70" t="s">
        <x:v>304</x:v>
      </x:c>
      <x:c r="E168" s="70" t="s">
        <x:v>1129</x:v>
      </x:c>
      <x:c r="F168" s="70" t="s">
        <x:v>1238</x:v>
      </x:c>
      <x:c r="G168" s="70" t="s">
        <x:v>1207</x:v>
      </x:c>
      <x:c r="H168" s="70" t="s">
        <x:v>1208</x:v>
      </x:c>
      <x:c r="I168" s="70" t="s">
        <x:v>1199</x:v>
      </x:c>
      <x:c r="J168" s="70" t="n">
        <x:v>53</x:v>
      </x:c>
      <x:c r="K168" s="70" t="s">
        <x:v>1200</x:v>
      </x:c>
      <x:c r="L168" s="70" t="s">
        <x:v>1239</x:v>
      </x:c>
      <x:c r="M168" s="70" t="s">
        <x:v>29</x:v>
      </x:c>
      <x:c r="N168" s="71" t="n">
        <x:v>2701357</x:v>
      </x:c>
      <x:c r="O168" s="72" t="n">
        <x:f aca="0">N168/1000000</x:f>
        <x:v>2.701357</x:v>
      </x:c>
      <x:c r="P168" s="73" t="n">
        <x:f aca="0">KOHC!E24</x:f>
        <x:v>2.701357</x:v>
      </x:c>
      <x:c r="Q168" s="70" t="str">
        <x:f aca="0">IF(ABS(O168-P168)&lt;0.000001,"PASS","FAIL")</x:f>
        <x:v>PASS</x:v>
      </x:c>
      <x:c r="R168" s="70" t="s">
        <x:v>28</x:v>
      </x:c>
      <x:c r="S168" s="70"/>
    </x:row>
    <x:row r="169" ht="15" hidden="0">
      <x:c r="A169" s="70" t="s">
        <x:v>1242</x:v>
      </x:c>
      <x:c r="B169" s="70" t="s">
        <x:v>25</x:v>
      </x:c>
      <x:c r="C169" s="70" t="s">
        <x:v>75</x:v>
      </x:c>
      <x:c r="D169" s="70" t="s">
        <x:v>304</x:v>
      </x:c>
      <x:c r="E169" s="70" t="s">
        <x:v>1129</x:v>
      </x:c>
      <x:c r="F169" s="70" t="s">
        <x:v>1238</x:v>
      </x:c>
      <x:c r="G169" s="70" t="s">
        <x:v>1210</x:v>
      </x:c>
      <x:c r="H169" s="70" t="s">
        <x:v>1211</x:v>
      </x:c>
      <x:c r="I169" s="70" t="s">
        <x:v>1199</x:v>
      </x:c>
      <x:c r="J169" s="70" t="n">
        <x:v>59</x:v>
      </x:c>
      <x:c r="K169" s="70" t="s">
        <x:v>1200</x:v>
      </x:c>
      <x:c r="L169" s="70" t="s">
        <x:v>1201</x:v>
      </x:c>
      <x:c r="M169" s="70" t="s">
        <x:v>29</x:v>
      </x:c>
      <x:c r="N169" s="71" t="n">
        <x:v>1567709</x:v>
      </x:c>
      <x:c r="O169" s="72" t="n">
        <x:f aca="0">N169/1000000</x:f>
        <x:v>1.567709</x:v>
      </x:c>
      <x:c r="P169" s="73" t="n">
        <x:f aca="0">KOHC!F24</x:f>
        <x:v>1.567709</x:v>
      </x:c>
      <x:c r="Q169" s="70" t="str">
        <x:f aca="0">IF(ABS(O169-P169)&lt;0.000001,"PASS","FAIL")</x:f>
        <x:v>PASS</x:v>
      </x:c>
      <x:c r="R169" s="70" t="s">
        <x:v>28</x:v>
      </x:c>
      <x:c r="S169" s="70"/>
    </x:row>
    <x:row r="170" ht="15" hidden="0">
      <x:c r="A170" s="70" t="s">
        <x:v>1243</x:v>
      </x:c>
      <x:c r="B170" s="70" t="s">
        <x:v>25</x:v>
      </x:c>
      <x:c r="C170" s="70" t="s">
        <x:v>76</x:v>
      </x:c>
      <x:c r="D170" s="70" t="s">
        <x:v>304</x:v>
      </x:c>
      <x:c r="E170" s="70" t="s">
        <x:v>1129</x:v>
      </x:c>
      <x:c r="F170" s="70" t="s">
        <x:v>1238</x:v>
      </x:c>
      <x:c r="G170" s="70" t="s">
        <x:v>1214</x:v>
      </x:c>
      <x:c r="H170" s="70" t="s">
        <x:v>1215</x:v>
      </x:c>
      <x:c r="I170" s="70" t="s">
        <x:v>1199</x:v>
      </x:c>
      <x:c r="J170" s="70" t="n">
        <x:v>69</x:v>
      </x:c>
      <x:c r="K170" s="70" t="s">
        <x:v>1200</x:v>
      </x:c>
      <x:c r="L170" s="70" t="s">
        <x:v>1212</x:v>
      </x:c>
      <x:c r="M170" s="70" t="s">
        <x:v>29</x:v>
      </x:c>
      <x:c r="N170" s="71" t="n">
        <x:v>508226</x:v>
      </x:c>
      <x:c r="O170" s="72" t="n">
        <x:f aca="0">N170/1000000</x:f>
        <x:v>0.508226</x:v>
      </x:c>
      <x:c r="P170" s="73" t="n">
        <x:f aca="0">KOHC!G24</x:f>
        <x:v>0.508226</x:v>
      </x:c>
      <x:c r="Q170" s="70" t="str">
        <x:f aca="0">IF(ABS(O170-P170)&lt;0.000001,"PASS","FAIL")</x:f>
        <x:v>PASS</x:v>
      </x:c>
      <x:c r="R170" s="70" t="s">
        <x:v>28</x:v>
      </x:c>
      <x:c r="S170" s="70"/>
    </x:row>
    <x:row r="171" ht="15" hidden="0">
      <x:c r="A171" s="70" t="s">
        <x:v>1244</x:v>
      </x:c>
      <x:c r="B171" s="70" t="s">
        <x:v>25</x:v>
      </x:c>
      <x:c r="C171" s="70" t="s">
        <x:v>77</x:v>
      </x:c>
      <x:c r="D171" s="70" t="s">
        <x:v>304</x:v>
      </x:c>
      <x:c r="E171" s="70" t="s">
        <x:v>1129</x:v>
      </x:c>
      <x:c r="F171" s="70" t="s">
        <x:v>1238</x:v>
      </x:c>
      <x:c r="G171" s="70" t="s">
        <x:v>1214</x:v>
      </x:c>
      <x:c r="H171" s="70" t="s">
        <x:v>1215</x:v>
      </x:c>
      <x:c r="I171" s="70" t="s">
        <x:v>1218</x:v>
      </x:c>
      <x:c r="J171" s="70" t="n">
        <x:v>69</x:v>
      </x:c>
      <x:c r="K171" s="70" t="s">
        <x:v>1200</x:v>
      </x:c>
      <x:c r="L171" s="70" t="s">
        <x:v>1212</x:v>
      </x:c>
      <x:c r="M171" s="70" t="s">
        <x:v>29</x:v>
      </x:c>
      <x:c r="N171" s="71" t="n">
        <x:v>259742</x:v>
      </x:c>
      <x:c r="O171" s="72" t="n">
        <x:f aca="0">N171/1000000</x:f>
        <x:v>0.259742</x:v>
      </x:c>
      <x:c r="P171" s="73" t="n">
        <x:f aca="0">KOHC!H24</x:f>
        <x:v>0.259742</x:v>
      </x:c>
      <x:c r="Q171" s="70" t="str">
        <x:f aca="0">IF(ABS(O171-P171)&lt;0.000001,"PASS","FAIL")</x:f>
        <x:v>PASS</x:v>
      </x:c>
      <x:c r="R171" s="70" t="s">
        <x:v>28</x:v>
      </x:c>
      <x:c r="S171" s="70"/>
    </x:row>
    <x:row r="172" ht="15" hidden="0">
      <x:c r="A172" s="70" t="s">
        <x:v>1245</x:v>
      </x:c>
      <x:c r="B172" s="70" t="s">
        <x:v>25</x:v>
      </x:c>
      <x:c r="C172" s="70" t="s">
        <x:v>1076</x:v>
      </x:c>
      <x:c r="D172" s="70" t="s">
        <x:v>306</x:v>
      </x:c>
      <x:c r="E172" s="70" t="s">
        <x:v>1129</x:v>
      </x:c>
      <x:c r="F172" s="70" t="s">
        <x:v>306</x:v>
      </x:c>
      <x:c r="G172" s="70" t="s">
        <x:v>1197</x:v>
      </x:c>
      <x:c r="H172" s="70" t="s">
        <x:v>1198</x:v>
      </x:c>
      <x:c r="I172" s="70" t="s">
        <x:v>1199</x:v>
      </x:c>
      <x:c r="J172" s="70" t="n">
        <x:v>45</x:v>
      </x:c>
      <x:c r="K172" s="70" t="s">
        <x:v>1200</x:v>
      </x:c>
      <x:c r="L172" s="70" t="s">
        <x:v>1246</x:v>
      </x:c>
      <x:c r="M172" s="70" t="s">
        <x:v>29</x:v>
      </x:c>
      <x:c r="N172" s="71" t="n">
        <x:v>3691839635</x:v>
      </x:c>
      <x:c r="O172" s="72" t="n">
        <x:f aca="0">N172/1000000</x:f>
        <x:v>3691.839635</x:v>
      </x:c>
      <x:c r="P172" s="73" t="n">
        <x:f aca="0">KOHC!C25</x:f>
        <x:v>3691.839635</x:v>
      </x:c>
      <x:c r="Q172" s="70" t="str">
        <x:f aca="0">IF(ABS(O172-P172)&lt;0.000001,"PASS","FAIL")</x:f>
        <x:v>PASS</x:v>
      </x:c>
      <x:c r="R172" s="70" t="s">
        <x:v>28</x:v>
      </x:c>
      <x:c r="S172" s="70"/>
    </x:row>
    <x:row r="173" ht="15" hidden="0">
      <x:c r="A173" s="70" t="s">
        <x:v>1247</x:v>
      </x:c>
      <x:c r="B173" s="70" t="s">
        <x:v>25</x:v>
      </x:c>
      <x:c r="C173" s="70" t="s">
        <x:v>73</x:v>
      </x:c>
      <x:c r="D173" s="70" t="s">
        <x:v>306</x:v>
      </x:c>
      <x:c r="E173" s="70" t="s">
        <x:v>1129</x:v>
      </x:c>
      <x:c r="F173" s="70" t="s">
        <x:v>306</x:v>
      </x:c>
      <x:c r="G173" s="70" t="s">
        <x:v>1203</x:v>
      </x:c>
      <x:c r="H173" s="70" t="s">
        <x:v>1204</x:v>
      </x:c>
      <x:c r="I173" s="70" t="s">
        <x:v>1199</x:v>
      </x:c>
      <x:c r="J173" s="70" t="n">
        <x:v>53</x:v>
      </x:c>
      <x:c r="K173" s="70" t="s">
        <x:v>1200</x:v>
      </x:c>
      <x:c r="L173" s="70" t="s">
        <x:v>1248</x:v>
      </x:c>
      <x:c r="M173" s="70" t="s">
        <x:v>29</x:v>
      </x:c>
      <x:c r="N173" s="71" t="n">
        <x:v>4134086159</x:v>
      </x:c>
      <x:c r="O173" s="72" t="n">
        <x:f aca="0">N173/1000000</x:f>
        <x:v>4134.086159</x:v>
      </x:c>
      <x:c r="P173" s="73" t="n">
        <x:f aca="0">KOHC!D25</x:f>
        <x:v>4134.086159</x:v>
      </x:c>
      <x:c r="Q173" s="70" t="str">
        <x:f aca="0">IF(ABS(O173-P173)&lt;0.000001,"PASS","FAIL")</x:f>
        <x:v>PASS</x:v>
      </x:c>
      <x:c r="R173" s="70" t="s">
        <x:v>28</x:v>
      </x:c>
      <x:c r="S173" s="70" t="s">
        <x:v>1205</x:v>
      </x:c>
    </x:row>
    <x:row r="174" ht="15" hidden="0">
      <x:c r="A174" s="70" t="s">
        <x:v>1249</x:v>
      </x:c>
      <x:c r="B174" s="70" t="s">
        <x:v>25</x:v>
      </x:c>
      <x:c r="C174" s="70" t="s">
        <x:v>74</x:v>
      </x:c>
      <x:c r="D174" s="70" t="s">
        <x:v>306</x:v>
      </x:c>
      <x:c r="E174" s="70" t="s">
        <x:v>1129</x:v>
      </x:c>
      <x:c r="F174" s="70" t="s">
        <x:v>306</x:v>
      </x:c>
      <x:c r="G174" s="70" t="s">
        <x:v>1207</x:v>
      </x:c>
      <x:c r="H174" s="70" t="s">
        <x:v>1208</x:v>
      </x:c>
      <x:c r="I174" s="70" t="s">
        <x:v>1199</x:v>
      </x:c>
      <x:c r="J174" s="70" t="n">
        <x:v>53</x:v>
      </x:c>
      <x:c r="K174" s="70" t="s">
        <x:v>1200</x:v>
      </x:c>
      <x:c r="L174" s="70" t="s">
        <x:v>1248</x:v>
      </x:c>
      <x:c r="M174" s="70" t="s">
        <x:v>29</x:v>
      </x:c>
      <x:c r="N174" s="71" t="n">
        <x:v>4134255209</x:v>
      </x:c>
      <x:c r="O174" s="72" t="n">
        <x:f aca="0">N174/1000000</x:f>
        <x:v>4134.255209</x:v>
      </x:c>
      <x:c r="P174" s="73" t="n">
        <x:f aca="0">KOHC!E25</x:f>
        <x:v>4134.255209</x:v>
      </x:c>
      <x:c r="Q174" s="70" t="str">
        <x:f aca="0">IF(ABS(O174-P174)&lt;0.000001,"PASS","FAIL")</x:f>
        <x:v>PASS</x:v>
      </x:c>
      <x:c r="R174" s="70" t="s">
        <x:v>28</x:v>
      </x:c>
      <x:c r="S174" s="70"/>
    </x:row>
    <x:row r="175" ht="15" hidden="0">
      <x:c r="A175" s="70" t="s">
        <x:v>1250</x:v>
      </x:c>
      <x:c r="B175" s="70" t="s">
        <x:v>25</x:v>
      </x:c>
      <x:c r="C175" s="70" t="s">
        <x:v>75</x:v>
      </x:c>
      <x:c r="D175" s="70" t="s">
        <x:v>306</x:v>
      </x:c>
      <x:c r="E175" s="70" t="s">
        <x:v>1129</x:v>
      </x:c>
      <x:c r="F175" s="70" t="s">
        <x:v>306</x:v>
      </x:c>
      <x:c r="G175" s="70" t="s">
        <x:v>1210</x:v>
      </x:c>
      <x:c r="H175" s="70" t="s">
        <x:v>1211</x:v>
      </x:c>
      <x:c r="I175" s="70" t="s">
        <x:v>1199</x:v>
      </x:c>
      <x:c r="J175" s="70" t="n">
        <x:v>59</x:v>
      </x:c>
      <x:c r="K175" s="70" t="s">
        <x:v>1200</x:v>
      </x:c>
      <x:c r="L175" s="70" t="s">
        <x:v>1246</x:v>
      </x:c>
      <x:c r="M175" s="70" t="s">
        <x:v>29</x:v>
      </x:c>
      <x:c r="N175" s="71" t="n">
        <x:v>4324910743</x:v>
      </x:c>
      <x:c r="O175" s="72" t="n">
        <x:f aca="0">N175/1000000</x:f>
        <x:v>4324.910743</x:v>
      </x:c>
      <x:c r="P175" s="73" t="n">
        <x:f aca="0">KOHC!F25</x:f>
        <x:v>4324.910743</x:v>
      </x:c>
      <x:c r="Q175" s="70" t="str">
        <x:f aca="0">IF(ABS(O175-P175)&lt;0.000001,"PASS","FAIL")</x:f>
        <x:v>PASS</x:v>
      </x:c>
      <x:c r="R175" s="70" t="s">
        <x:v>28</x:v>
      </x:c>
      <x:c r="S175" s="70"/>
    </x:row>
    <x:row r="176" ht="15" hidden="0">
      <x:c r="A176" s="70" t="s">
        <x:v>1251</x:v>
      </x:c>
      <x:c r="B176" s="70" t="s">
        <x:v>25</x:v>
      </x:c>
      <x:c r="C176" s="70" t="s">
        <x:v>76</x:v>
      </x:c>
      <x:c r="D176" s="70" t="s">
        <x:v>306</x:v>
      </x:c>
      <x:c r="E176" s="70" t="s">
        <x:v>1129</x:v>
      </x:c>
      <x:c r="F176" s="70" t="s">
        <x:v>306</x:v>
      </x:c>
      <x:c r="G176" s="70" t="s">
        <x:v>1214</x:v>
      </x:c>
      <x:c r="H176" s="70" t="s">
        <x:v>1215</x:v>
      </x:c>
      <x:c r="I176" s="70" t="s">
        <x:v>1199</x:v>
      </x:c>
      <x:c r="J176" s="70" t="n">
        <x:v>69</x:v>
      </x:c>
      <x:c r="K176" s="70" t="s">
        <x:v>1200</x:v>
      </x:c>
      <x:c r="L176" s="70" t="s">
        <x:v>1252</x:v>
      </x:c>
      <x:c r="M176" s="70" t="s">
        <x:v>29</x:v>
      </x:c>
      <x:c r="N176" s="71" t="n">
        <x:v>4326361559</x:v>
      </x:c>
      <x:c r="O176" s="72" t="n">
        <x:f aca="0">N176/1000000</x:f>
        <x:v>4326.361559</x:v>
      </x:c>
      <x:c r="P176" s="73" t="n">
        <x:f aca="0">KOHC!G25</x:f>
        <x:v>4326.361559</x:v>
      </x:c>
      <x:c r="Q176" s="70" t="str">
        <x:f aca="0">IF(ABS(O176-P176)&lt;0.000001,"PASS","FAIL")</x:f>
        <x:v>PASS</x:v>
      </x:c>
      <x:c r="R176" s="70" t="s">
        <x:v>28</x:v>
      </x:c>
      <x:c r="S176" s="70"/>
    </x:row>
    <x:row r="177" ht="15" hidden="0">
      <x:c r="A177" s="70" t="s">
        <x:v>1253</x:v>
      </x:c>
      <x:c r="B177" s="70" t="s">
        <x:v>25</x:v>
      </x:c>
      <x:c r="C177" s="70" t="s">
        <x:v>77</x:v>
      </x:c>
      <x:c r="D177" s="70" t="s">
        <x:v>306</x:v>
      </x:c>
      <x:c r="E177" s="70" t="s">
        <x:v>1129</x:v>
      </x:c>
      <x:c r="F177" s="70" t="s">
        <x:v>306</x:v>
      </x:c>
      <x:c r="G177" s="70" t="s">
        <x:v>1214</x:v>
      </x:c>
      <x:c r="H177" s="70" t="s">
        <x:v>1215</x:v>
      </x:c>
      <x:c r="I177" s="70" t="s">
        <x:v>1218</x:v>
      </x:c>
      <x:c r="J177" s="70" t="n">
        <x:v>69</x:v>
      </x:c>
      <x:c r="K177" s="70" t="s">
        <x:v>1200</x:v>
      </x:c>
      <x:c r="L177" s="70" t="s">
        <x:v>1252</x:v>
      </x:c>
      <x:c r="M177" s="70" t="s">
        <x:v>29</x:v>
      </x:c>
      <x:c r="N177" s="71" t="n">
        <x:v>4326361559</x:v>
      </x:c>
      <x:c r="O177" s="72" t="n">
        <x:f aca="0">N177/1000000</x:f>
        <x:v>4326.361559</x:v>
      </x:c>
      <x:c r="P177" s="73" t="n">
        <x:f aca="0">KOHC!H25</x:f>
        <x:v>4326.361559</x:v>
      </x:c>
      <x:c r="Q177" s="70" t="str">
        <x:f aca="0">IF(ABS(O177-P177)&lt;0.000001,"PASS","FAIL")</x:f>
        <x:v>PASS</x:v>
      </x:c>
      <x:c r="R177" s="70" t="s">
        <x:v>28</x:v>
      </x:c>
      <x:c r="S177" s="70"/>
    </x:row>
    <x:row r="178" ht="15" hidden="0">
      <x:c r="A178" s="70" t="s">
        <x:v>1254</x:v>
      </x:c>
      <x:c r="B178" s="70" t="s">
        <x:v>25</x:v>
      </x:c>
      <x:c r="C178" s="70" t="s">
        <x:v>1076</x:v>
      </x:c>
      <x:c r="D178" s="70" t="s">
        <x:v>308</x:v>
      </x:c>
      <x:c r="E178" s="70" t="s">
        <x:v>1129</x:v>
      </x:c>
      <x:c r="F178" s="70"/>
      <x:c r="G178" s="70" t="s">
        <x:v>1197</x:v>
      </x:c>
      <x:c r="H178" s="70" t="s">
        <x:v>1198</x:v>
      </x:c>
      <x:c r="I178" s="70" t="s">
        <x:v>1199</x:v>
      </x:c>
      <x:c r="J178" s="70" t="n">
        <x:v>44</x:v>
      </x:c>
      <x:c r="K178" s="70" t="s">
        <x:v>1230</x:v>
      </x:c>
      <x:c r="L178" s="70"/>
      <x:c r="M178" s="70" t="s">
        <x:v>29</x:v>
      </x:c>
      <x:c r="N178" s="71" t="n">
        <x:v>0</x:v>
      </x:c>
      <x:c r="O178" s="72" t="n">
        <x:f aca="0">N178/1000000</x:f>
        <x:v>0</x:v>
      </x:c>
      <x:c r="P178" s="73" t="n">
        <x:f aca="0">KOHC!C26</x:f>
        <x:v>0</x:v>
      </x:c>
      <x:c r="Q178" s="70" t="str">
        <x:f aca="0">IF(ABS(O178-P178)&lt;0.000001,"PASS","FAIL")</x:f>
        <x:v>PASS</x:v>
      </x:c>
      <x:c r="R178" s="70" t="s">
        <x:v>28</x:v>
      </x:c>
      <x:c r="S178" s="70"/>
    </x:row>
    <x:row r="179" ht="15" hidden="0">
      <x:c r="A179" s="70" t="s">
        <x:v>1255</x:v>
      </x:c>
      <x:c r="B179" s="70" t="s">
        <x:v>25</x:v>
      </x:c>
      <x:c r="C179" s="70" t="s">
        <x:v>73</x:v>
      </x:c>
      <x:c r="D179" s="70" t="s">
        <x:v>308</x:v>
      </x:c>
      <x:c r="E179" s="70" t="s">
        <x:v>1129</x:v>
      </x:c>
      <x:c r="F179" s="70"/>
      <x:c r="G179" s="70" t="s">
        <x:v>1203</x:v>
      </x:c>
      <x:c r="H179" s="70" t="s">
        <x:v>1204</x:v>
      </x:c>
      <x:c r="I179" s="70" t="s">
        <x:v>1199</x:v>
      </x:c>
      <x:c r="J179" s="70" t="n">
        <x:v>52</x:v>
      </x:c>
      <x:c r="K179" s="70" t="s">
        <x:v>1230</x:v>
      </x:c>
      <x:c r="L179" s="70"/>
      <x:c r="M179" s="70" t="s">
        <x:v>29</x:v>
      </x:c>
      <x:c r="N179" s="71" t="n">
        <x:v>0</x:v>
      </x:c>
      <x:c r="O179" s="72" t="n">
        <x:f aca="0">N179/1000000</x:f>
        <x:v>0</x:v>
      </x:c>
      <x:c r="P179" s="73" t="n">
        <x:f aca="0">KOHC!D26</x:f>
        <x:v>0</x:v>
      </x:c>
      <x:c r="Q179" s="70" t="str">
        <x:f aca="0">IF(ABS(O179-P179)&lt;0.000001,"PASS","FAIL")</x:f>
        <x:v>PASS</x:v>
      </x:c>
      <x:c r="R179" s="70" t="s">
        <x:v>28</x:v>
      </x:c>
      <x:c r="S179" s="70"/>
    </x:row>
    <x:row r="180" ht="15" hidden="0">
      <x:c r="A180" s="70" t="s">
        <x:v>1256</x:v>
      </x:c>
      <x:c r="B180" s="70" t="s">
        <x:v>25</x:v>
      </x:c>
      <x:c r="C180" s="70" t="s">
        <x:v>74</x:v>
      </x:c>
      <x:c r="D180" s="70" t="s">
        <x:v>308</x:v>
      </x:c>
      <x:c r="E180" s="70" t="s">
        <x:v>1129</x:v>
      </x:c>
      <x:c r="F180" s="70"/>
      <x:c r="G180" s="70" t="s">
        <x:v>1207</x:v>
      </x:c>
      <x:c r="H180" s="70" t="s">
        <x:v>1208</x:v>
      </x:c>
      <x:c r="I180" s="70" t="s">
        <x:v>1199</x:v>
      </x:c>
      <x:c r="J180" s="70" t="n">
        <x:v>52</x:v>
      </x:c>
      <x:c r="K180" s="70" t="s">
        <x:v>1230</x:v>
      </x:c>
      <x:c r="L180" s="70"/>
      <x:c r="M180" s="70" t="s">
        <x:v>29</x:v>
      </x:c>
      <x:c r="N180" s="71" t="n">
        <x:v>0</x:v>
      </x:c>
      <x:c r="O180" s="72" t="n">
        <x:f aca="0">N180/1000000</x:f>
        <x:v>0</x:v>
      </x:c>
      <x:c r="P180" s="73" t="n">
        <x:f aca="0">KOHC!E26</x:f>
        <x:v>0</x:v>
      </x:c>
      <x:c r="Q180" s="70" t="str">
        <x:f aca="0">IF(ABS(O180-P180)&lt;0.000001,"PASS","FAIL")</x:f>
        <x:v>PASS</x:v>
      </x:c>
      <x:c r="R180" s="70" t="s">
        <x:v>28</x:v>
      </x:c>
      <x:c r="S180" s="70"/>
    </x:row>
    <x:row r="181" ht="15" hidden="0">
      <x:c r="A181" s="70" t="s">
        <x:v>1257</x:v>
      </x:c>
      <x:c r="B181" s="70" t="s">
        <x:v>25</x:v>
      </x:c>
      <x:c r="C181" s="70" t="s">
        <x:v>75</x:v>
      </x:c>
      <x:c r="D181" s="70" t="s">
        <x:v>308</x:v>
      </x:c>
      <x:c r="E181" s="70" t="s">
        <x:v>1129</x:v>
      </x:c>
      <x:c r="F181" s="70"/>
      <x:c r="G181" s="70" t="s">
        <x:v>1210</x:v>
      </x:c>
      <x:c r="H181" s="70" t="s">
        <x:v>1211</x:v>
      </x:c>
      <x:c r="I181" s="70" t="s">
        <x:v>1199</x:v>
      </x:c>
      <x:c r="J181" s="70" t="n">
        <x:v>58</x:v>
      </x:c>
      <x:c r="K181" s="70" t="s">
        <x:v>1230</x:v>
      </x:c>
      <x:c r="L181" s="70"/>
      <x:c r="M181" s="70" t="s">
        <x:v>29</x:v>
      </x:c>
      <x:c r="N181" s="71" t="n">
        <x:v>0</x:v>
      </x:c>
      <x:c r="O181" s="72" t="n">
        <x:f aca="0">N181/1000000</x:f>
        <x:v>0</x:v>
      </x:c>
      <x:c r="P181" s="73" t="n">
        <x:f aca="0">KOHC!F26</x:f>
        <x:v>0</x:v>
      </x:c>
      <x:c r="Q181" s="70" t="str">
        <x:f aca="0">IF(ABS(O181-P181)&lt;0.000001,"PASS","FAIL")</x:f>
        <x:v>PASS</x:v>
      </x:c>
      <x:c r="R181" s="70" t="s">
        <x:v>28</x:v>
      </x:c>
      <x:c r="S181" s="70"/>
    </x:row>
    <x:row r="182" ht="15" hidden="0">
      <x:c r="A182" s="70" t="s">
        <x:v>1258</x:v>
      </x:c>
      <x:c r="B182" s="70" t="s">
        <x:v>25</x:v>
      </x:c>
      <x:c r="C182" s="70" t="s">
        <x:v>76</x:v>
      </x:c>
      <x:c r="D182" s="70" t="s">
        <x:v>308</x:v>
      </x:c>
      <x:c r="E182" s="70" t="s">
        <x:v>1129</x:v>
      </x:c>
      <x:c r="F182" s="70"/>
      <x:c r="G182" s="70" t="s">
        <x:v>1214</x:v>
      </x:c>
      <x:c r="H182" s="70" t="s">
        <x:v>1215</x:v>
      </x:c>
      <x:c r="I182" s="70" t="s">
        <x:v>1199</x:v>
      </x:c>
      <x:c r="J182" s="70" t="n">
        <x:v>68</x:v>
      </x:c>
      <x:c r="K182" s="70" t="s">
        <x:v>1235</x:v>
      </x:c>
      <x:c r="L182" s="70"/>
      <x:c r="M182" s="70" t="s">
        <x:v>29</x:v>
      </x:c>
      <x:c r="N182" s="71" t="n">
        <x:v>0</x:v>
      </x:c>
      <x:c r="O182" s="72" t="n">
        <x:f aca="0">N182/1000000</x:f>
        <x:v>0</x:v>
      </x:c>
      <x:c r="P182" s="73" t="n">
        <x:f aca="0">KOHC!G26</x:f>
        <x:v>0</x:v>
      </x:c>
      <x:c r="Q182" s="70" t="str">
        <x:f aca="0">IF(ABS(O182-P182)&lt;0.000001,"PASS","FAIL")</x:f>
        <x:v>PASS</x:v>
      </x:c>
      <x:c r="R182" s="70" t="s">
        <x:v>28</x:v>
      </x:c>
      <x:c r="S182" s="70"/>
    </x:row>
    <x:row r="183" ht="15" hidden="0">
      <x:c r="A183" s="70" t="s">
        <x:v>1259</x:v>
      </x:c>
      <x:c r="B183" s="70" t="s">
        <x:v>25</x:v>
      </x:c>
      <x:c r="C183" s="70" t="s">
        <x:v>77</x:v>
      </x:c>
      <x:c r="D183" s="70" t="s">
        <x:v>308</x:v>
      </x:c>
      <x:c r="E183" s="70" t="s">
        <x:v>1129</x:v>
      </x:c>
      <x:c r="F183" s="70"/>
      <x:c r="G183" s="70" t="s">
        <x:v>1214</x:v>
      </x:c>
      <x:c r="H183" s="70" t="s">
        <x:v>1215</x:v>
      </x:c>
      <x:c r="I183" s="70" t="s">
        <x:v>1218</x:v>
      </x:c>
      <x:c r="J183" s="70" t="n">
        <x:v>68</x:v>
      </x:c>
      <x:c r="K183" s="70" t="s">
        <x:v>1235</x:v>
      </x:c>
      <x:c r="L183" s="70"/>
      <x:c r="M183" s="70" t="s">
        <x:v>29</x:v>
      </x:c>
      <x:c r="N183" s="71" t="n">
        <x:v>0</x:v>
      </x:c>
      <x:c r="O183" s="72" t="n">
        <x:f aca="0">N183/1000000</x:f>
        <x:v>0</x:v>
      </x:c>
      <x:c r="P183" s="73" t="n">
        <x:f aca="0">KOHC!H26</x:f>
        <x:v>0</x:v>
      </x:c>
      <x:c r="Q183" s="70" t="str">
        <x:f aca="0">IF(ABS(O183-P183)&lt;0.000001,"PASS","FAIL")</x:f>
        <x:v>PASS</x:v>
      </x:c>
      <x:c r="R183" s="70" t="s">
        <x:v>28</x:v>
      </x:c>
      <x:c r="S183" s="70"/>
    </x:row>
    <x:row r="184" ht="15" hidden="0">
      <x:c r="A184" s="70" t="s">
        <x:v>1260</x:v>
      </x:c>
      <x:c r="B184" s="70" t="s">
        <x:v>25</x:v>
      </x:c>
      <x:c r="C184" s="70" t="s">
        <x:v>1076</x:v>
      </x:c>
      <x:c r="D184" s="70" t="s">
        <x:v>310</x:v>
      </x:c>
      <x:c r="E184" s="70" t="s">
        <x:v>1129</x:v>
      </x:c>
      <x:c r="F184" s="70" t="s">
        <x:v>1261</x:v>
      </x:c>
      <x:c r="G184" s="70" t="s">
        <x:v>1197</x:v>
      </x:c>
      <x:c r="H184" s="70" t="s">
        <x:v>1198</x:v>
      </x:c>
      <x:c r="I184" s="70" t="s">
        <x:v>1199</x:v>
      </x:c>
      <x:c r="J184" s="70" t="n">
        <x:v>45</x:v>
      </x:c>
      <x:c r="K184" s="70" t="s">
        <x:v>1200</x:v>
      </x:c>
      <x:c r="L184" s="70" t="s">
        <x:v>1252</x:v>
      </x:c>
      <x:c r="M184" s="70" t="s">
        <x:v>29</x:v>
      </x:c>
      <x:c r="N184" s="71" t="n">
        <x:v>38326640</x:v>
      </x:c>
      <x:c r="O184" s="72" t="n">
        <x:f aca="0">N184/1000000</x:f>
        <x:v>38.32664</x:v>
      </x:c>
      <x:c r="P184" s="73" t="n">
        <x:f aca="0">KOHC!C27</x:f>
        <x:v>38.32664</x:v>
      </x:c>
      <x:c r="Q184" s="70" t="str">
        <x:f aca="0">IF(ABS(O184-P184)&lt;0.000001,"PASS","FAIL")</x:f>
        <x:v>PASS</x:v>
      </x:c>
      <x:c r="R184" s="70" t="s">
        <x:v>28</x:v>
      </x:c>
      <x:c r="S184" s="70"/>
    </x:row>
    <x:row r="185" ht="15" hidden="0">
      <x:c r="A185" s="70" t="s">
        <x:v>1262</x:v>
      </x:c>
      <x:c r="B185" s="70" t="s">
        <x:v>25</x:v>
      </x:c>
      <x:c r="C185" s="70" t="s">
        <x:v>73</x:v>
      </x:c>
      <x:c r="D185" s="70" t="s">
        <x:v>310</x:v>
      </x:c>
      <x:c r="E185" s="70" t="s">
        <x:v>1129</x:v>
      </x:c>
      <x:c r="F185" s="70" t="s">
        <x:v>1263</x:v>
      </x:c>
      <x:c r="G185" s="70" t="s">
        <x:v>1203</x:v>
      </x:c>
      <x:c r="H185" s="70" t="s">
        <x:v>1204</x:v>
      </x:c>
      <x:c r="I185" s="70" t="s">
        <x:v>1199</x:v>
      </x:c>
      <x:c r="J185" s="70" t="n">
        <x:v>53</x:v>
      </x:c>
      <x:c r="K185" s="70" t="s">
        <x:v>1200</x:v>
      </x:c>
      <x:c r="L185" s="70" t="s">
        <x:v>1246</x:v>
      </x:c>
      <x:c r="M185" s="70" t="s">
        <x:v>29</x:v>
      </x:c>
      <x:c r="N185" s="71" t="n">
        <x:v>69765740</x:v>
      </x:c>
      <x:c r="O185" s="72" t="n">
        <x:f aca="0">N185/1000000</x:f>
        <x:v>69.76574</x:v>
      </x:c>
      <x:c r="P185" s="73" t="n">
        <x:f aca="0">KOHC!D27</x:f>
        <x:v>69.76574</x:v>
      </x:c>
      <x:c r="Q185" s="70" t="str">
        <x:f aca="0">IF(ABS(O185-P185)&lt;0.000001,"PASS","FAIL")</x:f>
        <x:v>PASS</x:v>
      </x:c>
      <x:c r="R185" s="70" t="s">
        <x:v>28</x:v>
      </x:c>
      <x:c r="S185" s="70" t="s">
        <x:v>1205</x:v>
      </x:c>
    </x:row>
    <x:row r="186" ht="15" hidden="0">
      <x:c r="A186" s="70" t="s">
        <x:v>1264</x:v>
      </x:c>
      <x:c r="B186" s="70" t="s">
        <x:v>25</x:v>
      </x:c>
      <x:c r="C186" s="70" t="s">
        <x:v>74</x:v>
      </x:c>
      <x:c r="D186" s="70" t="s">
        <x:v>310</x:v>
      </x:c>
      <x:c r="E186" s="70" t="s">
        <x:v>1129</x:v>
      </x:c>
      <x:c r="F186" s="70" t="s">
        <x:v>1263</x:v>
      </x:c>
      <x:c r="G186" s="70" t="s">
        <x:v>1207</x:v>
      </x:c>
      <x:c r="H186" s="70" t="s">
        <x:v>1208</x:v>
      </x:c>
      <x:c r="I186" s="70" t="s">
        <x:v>1199</x:v>
      </x:c>
      <x:c r="J186" s="70" t="n">
        <x:v>53</x:v>
      </x:c>
      <x:c r="K186" s="70" t="s">
        <x:v>1200</x:v>
      </x:c>
      <x:c r="L186" s="70" t="s">
        <x:v>1246</x:v>
      </x:c>
      <x:c r="M186" s="70" t="s">
        <x:v>29</x:v>
      </x:c>
      <x:c r="N186" s="71" t="n">
        <x:v>106583469</x:v>
      </x:c>
      <x:c r="O186" s="72" t="n">
        <x:f aca="0">N186/1000000</x:f>
        <x:v>106.583469</x:v>
      </x:c>
      <x:c r="P186" s="73" t="n">
        <x:f aca="0">KOHC!E27</x:f>
        <x:v>106.583469</x:v>
      </x:c>
      <x:c r="Q186" s="70" t="str">
        <x:f aca="0">IF(ABS(O186-P186)&lt;0.000001,"PASS","FAIL")</x:f>
        <x:v>PASS</x:v>
      </x:c>
      <x:c r="R186" s="70" t="s">
        <x:v>28</x:v>
      </x:c>
      <x:c r="S186" s="70"/>
    </x:row>
    <x:row r="187" ht="15" hidden="0">
      <x:c r="A187" s="70" t="s">
        <x:v>1265</x:v>
      </x:c>
      <x:c r="B187" s="70" t="s">
        <x:v>25</x:v>
      </x:c>
      <x:c r="C187" s="70" t="s">
        <x:v>75</x:v>
      </x:c>
      <x:c r="D187" s="70" t="s">
        <x:v>310</x:v>
      </x:c>
      <x:c r="E187" s="70" t="s">
        <x:v>1129</x:v>
      </x:c>
      <x:c r="F187" s="70" t="s">
        <x:v>1263</x:v>
      </x:c>
      <x:c r="G187" s="70" t="s">
        <x:v>1210</x:v>
      </x:c>
      <x:c r="H187" s="70" t="s">
        <x:v>1211</x:v>
      </x:c>
      <x:c r="I187" s="70" t="s">
        <x:v>1199</x:v>
      </x:c>
      <x:c r="J187" s="70" t="n">
        <x:v>59</x:v>
      </x:c>
      <x:c r="K187" s="70" t="s">
        <x:v>1200</x:v>
      </x:c>
      <x:c r="L187" s="70" t="s">
        <x:v>1252</x:v>
      </x:c>
      <x:c r="M187" s="70" t="s">
        <x:v>29</x:v>
      </x:c>
      <x:c r="N187" s="71" t="n">
        <x:v>60785981</x:v>
      </x:c>
      <x:c r="O187" s="72" t="n">
        <x:f aca="0">N187/1000000</x:f>
        <x:v>60.785981</x:v>
      </x:c>
      <x:c r="P187" s="73" t="n">
        <x:f aca="0">KOHC!F27</x:f>
        <x:v>60.785981</x:v>
      </x:c>
      <x:c r="Q187" s="70" t="str">
        <x:f aca="0">IF(ABS(O187-P187)&lt;0.000001,"PASS","FAIL")</x:f>
        <x:v>PASS</x:v>
      </x:c>
      <x:c r="R187" s="70" t="s">
        <x:v>28</x:v>
      </x:c>
      <x:c r="S187" s="70"/>
    </x:row>
    <x:row r="188" ht="15" hidden="0">
      <x:c r="A188" s="70" t="s">
        <x:v>1266</x:v>
      </x:c>
      <x:c r="B188" s="70" t="s">
        <x:v>25</x:v>
      </x:c>
      <x:c r="C188" s="70" t="s">
        <x:v>76</x:v>
      </x:c>
      <x:c r="D188" s="70" t="s">
        <x:v>310</x:v>
      </x:c>
      <x:c r="E188" s="70" t="s">
        <x:v>1129</x:v>
      </x:c>
      <x:c r="F188" s="70" t="s">
        <x:v>1263</x:v>
      </x:c>
      <x:c r="G188" s="70" t="s">
        <x:v>1214</x:v>
      </x:c>
      <x:c r="H188" s="70" t="s">
        <x:v>1215</x:v>
      </x:c>
      <x:c r="I188" s="70" t="s">
        <x:v>1199</x:v>
      </x:c>
      <x:c r="J188" s="70" t="n">
        <x:v>69</x:v>
      </x:c>
      <x:c r="K188" s="70" t="s">
        <x:v>1200</x:v>
      </x:c>
      <x:c r="L188" s="70" t="s">
        <x:v>1239</x:v>
      </x:c>
      <x:c r="M188" s="70" t="s">
        <x:v>29</x:v>
      </x:c>
      <x:c r="N188" s="71" t="n">
        <x:v>147388106</x:v>
      </x:c>
      <x:c r="O188" s="72" t="n">
        <x:f aca="0">N188/1000000</x:f>
        <x:v>147.388106</x:v>
      </x:c>
      <x:c r="P188" s="73" t="n">
        <x:f aca="0">KOHC!G27</x:f>
        <x:v>147.388106</x:v>
      </x:c>
      <x:c r="Q188" s="70" t="str">
        <x:f aca="0">IF(ABS(O188-P188)&lt;0.000001,"PASS","FAIL")</x:f>
        <x:v>PASS</x:v>
      </x:c>
      <x:c r="R188" s="70" t="s">
        <x:v>28</x:v>
      </x:c>
      <x:c r="S188" s="70" t="s">
        <x:v>1205</x:v>
      </x:c>
    </x:row>
    <x:row r="189" ht="15" hidden="0">
      <x:c r="A189" s="70" t="s">
        <x:v>1267</x:v>
      </x:c>
      <x:c r="B189" s="70" t="s">
        <x:v>25</x:v>
      </x:c>
      <x:c r="C189" s="70" t="s">
        <x:v>77</x:v>
      </x:c>
      <x:c r="D189" s="70" t="s">
        <x:v>310</x:v>
      </x:c>
      <x:c r="E189" s="70" t="s">
        <x:v>1129</x:v>
      </x:c>
      <x:c r="F189" s="70" t="s">
        <x:v>1263</x:v>
      </x:c>
      <x:c r="G189" s="70" t="s">
        <x:v>1214</x:v>
      </x:c>
      <x:c r="H189" s="70" t="s">
        <x:v>1215</x:v>
      </x:c>
      <x:c r="I189" s="70" t="s">
        <x:v>1218</x:v>
      </x:c>
      <x:c r="J189" s="70" t="n">
        <x:v>69</x:v>
      </x:c>
      <x:c r="K189" s="70" t="s">
        <x:v>1200</x:v>
      </x:c>
      <x:c r="L189" s="70" t="s">
        <x:v>1239</x:v>
      </x:c>
      <x:c r="M189" s="70" t="s">
        <x:v>29</x:v>
      </x:c>
      <x:c r="N189" s="71" t="n">
        <x:v>492917464</x:v>
      </x:c>
      <x:c r="O189" s="72" t="n">
        <x:f aca="0">N189/1000000</x:f>
        <x:v>492.917464</x:v>
      </x:c>
      <x:c r="P189" s="73" t="n">
        <x:f aca="0">KOHC!H27</x:f>
        <x:v>492.917464</x:v>
      </x:c>
      <x:c r="Q189" s="70" t="str">
        <x:f aca="0">IF(ABS(O189-P189)&lt;0.000001,"PASS","FAIL")</x:f>
        <x:v>PASS</x:v>
      </x:c>
      <x:c r="R189" s="70" t="s">
        <x:v>28</x:v>
      </x:c>
      <x:c r="S189" s="70"/>
    </x:row>
    <x:row r="190" ht="15" hidden="0">
      <x:c r="A190" s="70" t="s">
        <x:v>1268</x:v>
      </x:c>
      <x:c r="B190" s="70" t="s">
        <x:v>25</x:v>
      </x:c>
      <x:c r="C190" s="70" t="s">
        <x:v>1076</x:v>
      </x:c>
      <x:c r="D190" s="70" t="s">
        <x:v>315</x:v>
      </x:c>
      <x:c r="E190" s="70" t="s">
        <x:v>1129</x:v>
      </x:c>
      <x:c r="F190" s="70" t="s">
        <x:v>315</x:v>
      </x:c>
      <x:c r="G190" s="70" t="s">
        <x:v>1197</x:v>
      </x:c>
      <x:c r="H190" s="70" t="s">
        <x:v>1198</x:v>
      </x:c>
      <x:c r="I190" s="70" t="s">
        <x:v>1199</x:v>
      </x:c>
      <x:c r="J190" s="70" t="n">
        <x:v>45</x:v>
      </x:c>
      <x:c r="K190" s="70" t="s">
        <x:v>1200</x:v>
      </x:c>
      <x:c r="L190" s="70" t="s">
        <x:v>1248</x:v>
      </x:c>
      <x:c r="M190" s="70" t="s">
        <x:v>29</x:v>
      </x:c>
      <x:c r="N190" s="71" t="n">
        <x:v>2250156437</x:v>
      </x:c>
      <x:c r="O190" s="72" t="n">
        <x:f aca="0">N190/1000000</x:f>
        <x:v>2250.156437</x:v>
      </x:c>
      <x:c r="P190" s="73" t="n">
        <x:f aca="0">KOHC!C30</x:f>
        <x:v>2250.156437</x:v>
      </x:c>
      <x:c r="Q190" s="70" t="str">
        <x:f aca="0">IF(ABS(O190-P190)&lt;0.000001,"PASS","FAIL")</x:f>
        <x:v>PASS</x:v>
      </x:c>
      <x:c r="R190" s="70" t="s">
        <x:v>28</x:v>
      </x:c>
      <x:c r="S190" s="70"/>
    </x:row>
    <x:row r="191" ht="15" hidden="0">
      <x:c r="A191" s="70" t="s">
        <x:v>1269</x:v>
      </x:c>
      <x:c r="B191" s="70" t="s">
        <x:v>25</x:v>
      </x:c>
      <x:c r="C191" s="70" t="s">
        <x:v>73</x:v>
      </x:c>
      <x:c r="D191" s="70" t="s">
        <x:v>315</x:v>
      </x:c>
      <x:c r="E191" s="70" t="s">
        <x:v>1129</x:v>
      </x:c>
      <x:c r="F191" s="70" t="s">
        <x:v>315</x:v>
      </x:c>
      <x:c r="G191" s="70" t="s">
        <x:v>1203</x:v>
      </x:c>
      <x:c r="H191" s="70" t="s">
        <x:v>1204</x:v>
      </x:c>
      <x:c r="I191" s="70" t="s">
        <x:v>1199</x:v>
      </x:c>
      <x:c r="J191" s="70" t="n">
        <x:v>53</x:v>
      </x:c>
      <x:c r="K191" s="70" t="s">
        <x:v>1200</x:v>
      </x:c>
      <x:c r="L191" s="70" t="s">
        <x:v>1270</x:v>
      </x:c>
      <x:c r="M191" s="70" t="s">
        <x:v>29</x:v>
      </x:c>
      <x:c r="N191" s="71" t="n">
        <x:v>3070769101</x:v>
      </x:c>
      <x:c r="O191" s="72" t="n">
        <x:f aca="0">N191/1000000</x:f>
        <x:v>3070.769101</x:v>
      </x:c>
      <x:c r="P191" s="73" t="n">
        <x:f aca="0">KOHC!D30</x:f>
        <x:v>3070.769101</x:v>
      </x:c>
      <x:c r="Q191" s="70" t="str">
        <x:f aca="0">IF(ABS(O191-P191)&lt;0.000001,"PASS","FAIL")</x:f>
        <x:v>PASS</x:v>
      </x:c>
      <x:c r="R191" s="70" t="s">
        <x:v>28</x:v>
      </x:c>
      <x:c r="S191" s="70"/>
    </x:row>
    <x:row r="192" ht="15" hidden="0">
      <x:c r="A192" s="70" t="s">
        <x:v>1271</x:v>
      </x:c>
      <x:c r="B192" s="70" t="s">
        <x:v>25</x:v>
      </x:c>
      <x:c r="C192" s="70" t="s">
        <x:v>74</x:v>
      </x:c>
      <x:c r="D192" s="70" t="s">
        <x:v>315</x:v>
      </x:c>
      <x:c r="E192" s="70" t="s">
        <x:v>1129</x:v>
      </x:c>
      <x:c r="F192" s="70" t="s">
        <x:v>315</x:v>
      </x:c>
      <x:c r="G192" s="70" t="s">
        <x:v>1207</x:v>
      </x:c>
      <x:c r="H192" s="70" t="s">
        <x:v>1208</x:v>
      </x:c>
      <x:c r="I192" s="70" t="s">
        <x:v>1199</x:v>
      </x:c>
      <x:c r="J192" s="70" t="n">
        <x:v>53</x:v>
      </x:c>
      <x:c r="K192" s="70" t="s">
        <x:v>1200</x:v>
      </x:c>
      <x:c r="L192" s="70" t="s">
        <x:v>1270</x:v>
      </x:c>
      <x:c r="M192" s="70" t="s">
        <x:v>29</x:v>
      </x:c>
      <x:c r="N192" s="71" t="n">
        <x:v>4214829636</x:v>
      </x:c>
      <x:c r="O192" s="72" t="n">
        <x:f aca="0">N192/1000000</x:f>
        <x:v>4214.829636</x:v>
      </x:c>
      <x:c r="P192" s="73" t="n">
        <x:f aca="0">KOHC!E30</x:f>
        <x:v>4214.829636</x:v>
      </x:c>
      <x:c r="Q192" s="70" t="str">
        <x:f aca="0">IF(ABS(O192-P192)&lt;0.000001,"PASS","FAIL")</x:f>
        <x:v>PASS</x:v>
      </x:c>
      <x:c r="R192" s="70" t="s">
        <x:v>28</x:v>
      </x:c>
      <x:c r="S192" s="70"/>
    </x:row>
    <x:row r="193" ht="15" hidden="0">
      <x:c r="A193" s="70" t="s">
        <x:v>1272</x:v>
      </x:c>
      <x:c r="B193" s="70" t="s">
        <x:v>25</x:v>
      </x:c>
      <x:c r="C193" s="70" t="s">
        <x:v>75</x:v>
      </x:c>
      <x:c r="D193" s="70" t="s">
        <x:v>315</x:v>
      </x:c>
      <x:c r="E193" s="70" t="s">
        <x:v>1129</x:v>
      </x:c>
      <x:c r="F193" s="70" t="s">
        <x:v>315</x:v>
      </x:c>
      <x:c r="G193" s="70" t="s">
        <x:v>1210</x:v>
      </x:c>
      <x:c r="H193" s="70" t="s">
        <x:v>1211</x:v>
      </x:c>
      <x:c r="I193" s="70" t="s">
        <x:v>1199</x:v>
      </x:c>
      <x:c r="J193" s="70" t="n">
        <x:v>59</x:v>
      </x:c>
      <x:c r="K193" s="70" t="s">
        <x:v>1200</x:v>
      </x:c>
      <x:c r="L193" s="70" t="s">
        <x:v>1248</x:v>
      </x:c>
      <x:c r="M193" s="70" t="s">
        <x:v>29</x:v>
      </x:c>
      <x:c r="N193" s="71" t="n">
        <x:v>4713129764</x:v>
      </x:c>
      <x:c r="O193" s="72" t="n">
        <x:f aca="0">N193/1000000</x:f>
        <x:v>4713.129764</x:v>
      </x:c>
      <x:c r="P193" s="73" t="n">
        <x:f aca="0">KOHC!F30</x:f>
        <x:v>4713.129764</x:v>
      </x:c>
      <x:c r="Q193" s="70" t="str">
        <x:f aca="0">IF(ABS(O193-P193)&lt;0.000001,"PASS","FAIL")</x:f>
        <x:v>PASS</x:v>
      </x:c>
      <x:c r="R193" s="70" t="s">
        <x:v>28</x:v>
      </x:c>
      <x:c r="S193" s="70"/>
    </x:row>
    <x:row r="194" ht="15" hidden="0">
      <x:c r="A194" s="70" t="s">
        <x:v>1273</x:v>
      </x:c>
      <x:c r="B194" s="70" t="s">
        <x:v>25</x:v>
      </x:c>
      <x:c r="C194" s="70" t="s">
        <x:v>76</x:v>
      </x:c>
      <x:c r="D194" s="70" t="s">
        <x:v>315</x:v>
      </x:c>
      <x:c r="E194" s="70" t="s">
        <x:v>1129</x:v>
      </x:c>
      <x:c r="F194" s="70" t="s">
        <x:v>315</x:v>
      </x:c>
      <x:c r="G194" s="70" t="s">
        <x:v>1214</x:v>
      </x:c>
      <x:c r="H194" s="70" t="s">
        <x:v>1215</x:v>
      </x:c>
      <x:c r="I194" s="70" t="s">
        <x:v>1199</x:v>
      </x:c>
      <x:c r="J194" s="70" t="n">
        <x:v>69</x:v>
      </x:c>
      <x:c r="K194" s="70" t="s">
        <x:v>1200</x:v>
      </x:c>
      <x:c r="L194" s="70" t="s">
        <x:v>1246</x:v>
      </x:c>
      <x:c r="M194" s="70" t="s">
        <x:v>29</x:v>
      </x:c>
      <x:c r="N194" s="71" t="n">
        <x:v>5785683486</x:v>
      </x:c>
      <x:c r="O194" s="72" t="n">
        <x:f aca="0">N194/1000000</x:f>
        <x:v>5785.683486</x:v>
      </x:c>
      <x:c r="P194" s="73" t="n">
        <x:f aca="0">KOHC!G30</x:f>
        <x:v>5785.683486</x:v>
      </x:c>
      <x:c r="Q194" s="70" t="str">
        <x:f aca="0">IF(ABS(O194-P194)&lt;0.000001,"PASS","FAIL")</x:f>
        <x:v>PASS</x:v>
      </x:c>
      <x:c r="R194" s="70" t="s">
        <x:v>28</x:v>
      </x:c>
      <x:c r="S194" s="70"/>
    </x:row>
    <x:row r="195" ht="15" hidden="0">
      <x:c r="A195" s="70" t="s">
        <x:v>1274</x:v>
      </x:c>
      <x:c r="B195" s="70" t="s">
        <x:v>25</x:v>
      </x:c>
      <x:c r="C195" s="70" t="s">
        <x:v>77</x:v>
      </x:c>
      <x:c r="D195" s="70" t="s">
        <x:v>315</x:v>
      </x:c>
      <x:c r="E195" s="70" t="s">
        <x:v>1129</x:v>
      </x:c>
      <x:c r="F195" s="70" t="s">
        <x:v>315</x:v>
      </x:c>
      <x:c r="G195" s="70" t="s">
        <x:v>1214</x:v>
      </x:c>
      <x:c r="H195" s="70" t="s">
        <x:v>1215</x:v>
      </x:c>
      <x:c r="I195" s="70" t="s">
        <x:v>1218</x:v>
      </x:c>
      <x:c r="J195" s="70" t="n">
        <x:v>69</x:v>
      </x:c>
      <x:c r="K195" s="70" t="s">
        <x:v>1200</x:v>
      </x:c>
      <x:c r="L195" s="70" t="s">
        <x:v>1246</x:v>
      </x:c>
      <x:c r="M195" s="70" t="s">
        <x:v>29</x:v>
      </x:c>
      <x:c r="N195" s="71" t="n">
        <x:v>4991311475</x:v>
      </x:c>
      <x:c r="O195" s="72" t="n">
        <x:f aca="0">N195/1000000</x:f>
        <x:v>4991.311475</x:v>
      </x:c>
      <x:c r="P195" s="73" t="n">
        <x:f aca="0">KOHC!H30</x:f>
        <x:v>4991.311475</x:v>
      </x:c>
      <x:c r="Q195" s="70" t="str">
        <x:f aca="0">IF(ABS(O195-P195)&lt;0.000001,"PASS","FAIL")</x:f>
        <x:v>PASS</x:v>
      </x:c>
      <x:c r="R195" s="70" t="s">
        <x:v>28</x:v>
      </x:c>
      <x:c r="S195" s="70"/>
    </x:row>
    <x:row r="196" ht="15" hidden="0">
      <x:c r="A196" s="70" t="s">
        <x:v>1275</x:v>
      </x:c>
      <x:c r="B196" s="70" t="s">
        <x:v>25</x:v>
      </x:c>
      <x:c r="C196" s="70" t="s">
        <x:v>1076</x:v>
      </x:c>
      <x:c r="D196" s="70" t="s">
        <x:v>317</x:v>
      </x:c>
      <x:c r="E196" s="70" t="s">
        <x:v>1129</x:v>
      </x:c>
      <x:c r="F196" s="70" t="s">
        <x:v>317</x:v>
      </x:c>
      <x:c r="G196" s="70" t="s">
        <x:v>1197</x:v>
      </x:c>
      <x:c r="H196" s="70" t="s">
        <x:v>1198</x:v>
      </x:c>
      <x:c r="I196" s="70" t="s">
        <x:v>1199</x:v>
      </x:c>
      <x:c r="J196" s="70" t="n">
        <x:v>45</x:v>
      </x:c>
      <x:c r="K196" s="70" t="s">
        <x:v>1200</x:v>
      </x:c>
      <x:c r="L196" s="70" t="s">
        <x:v>1270</x:v>
      </x:c>
      <x:c r="M196" s="70" t="s">
        <x:v>29</x:v>
      </x:c>
      <x:c r="N196" s="71" t="n">
        <x:v>1016024223</x:v>
      </x:c>
      <x:c r="O196" s="72" t="n">
        <x:f aca="0">N196/1000000</x:f>
        <x:v>1016.024223</x:v>
      </x:c>
      <x:c r="P196" s="73" t="n">
        <x:f aca="0">KOHC!C31</x:f>
        <x:v>1016.024223</x:v>
      </x:c>
      <x:c r="Q196" s="70" t="str">
        <x:f aca="0">IF(ABS(O196-P196)&lt;0.000001,"PASS","FAIL")</x:f>
        <x:v>PASS</x:v>
      </x:c>
      <x:c r="R196" s="70" t="s">
        <x:v>28</x:v>
      </x:c>
      <x:c r="S196" s="70"/>
    </x:row>
    <x:row r="197" ht="15" hidden="0">
      <x:c r="A197" s="70" t="s">
        <x:v>1276</x:v>
      </x:c>
      <x:c r="B197" s="70" t="s">
        <x:v>25</x:v>
      </x:c>
      <x:c r="C197" s="70" t="s">
        <x:v>73</x:v>
      </x:c>
      <x:c r="D197" s="70" t="s">
        <x:v>317</x:v>
      </x:c>
      <x:c r="E197" s="70" t="s">
        <x:v>1129</x:v>
      </x:c>
      <x:c r="F197" s="70" t="s">
        <x:v>317</x:v>
      </x:c>
      <x:c r="G197" s="70" t="s">
        <x:v>1203</x:v>
      </x:c>
      <x:c r="H197" s="70" t="s">
        <x:v>1204</x:v>
      </x:c>
      <x:c r="I197" s="70" t="s">
        <x:v>1199</x:v>
      </x:c>
      <x:c r="J197" s="70" t="n">
        <x:v>53</x:v>
      </x:c>
      <x:c r="K197" s="70" t="s">
        <x:v>1200</x:v>
      </x:c>
      <x:c r="L197" s="70" t="s">
        <x:v>1277</x:v>
      </x:c>
      <x:c r="M197" s="70" t="s">
        <x:v>29</x:v>
      </x:c>
      <x:c r="N197" s="71" t="n">
        <x:v>1112776266</x:v>
      </x:c>
      <x:c r="O197" s="72" t="n">
        <x:f aca="0">N197/1000000</x:f>
        <x:v>1112.776266</x:v>
      </x:c>
      <x:c r="P197" s="73" t="n">
        <x:f aca="0">KOHC!D31</x:f>
        <x:v>1112.776266</x:v>
      </x:c>
      <x:c r="Q197" s="70" t="str">
        <x:f aca="0">IF(ABS(O197-P197)&lt;0.000001,"PASS","FAIL")</x:f>
        <x:v>PASS</x:v>
      </x:c>
      <x:c r="R197" s="70" t="s">
        <x:v>28</x:v>
      </x:c>
      <x:c r="S197" s="70"/>
    </x:row>
    <x:row r="198" ht="15" hidden="0">
      <x:c r="A198" s="70" t="s">
        <x:v>1278</x:v>
      </x:c>
      <x:c r="B198" s="70" t="s">
        <x:v>25</x:v>
      </x:c>
      <x:c r="C198" s="70" t="s">
        <x:v>74</x:v>
      </x:c>
      <x:c r="D198" s="70" t="s">
        <x:v>317</x:v>
      </x:c>
      <x:c r="E198" s="70" t="s">
        <x:v>1129</x:v>
      </x:c>
      <x:c r="F198" s="70" t="s">
        <x:v>317</x:v>
      </x:c>
      <x:c r="G198" s="70" t="s">
        <x:v>1207</x:v>
      </x:c>
      <x:c r="H198" s="70" t="s">
        <x:v>1208</x:v>
      </x:c>
      <x:c r="I198" s="70" t="s">
        <x:v>1199</x:v>
      </x:c>
      <x:c r="J198" s="70" t="n">
        <x:v>53</x:v>
      </x:c>
      <x:c r="K198" s="70" t="s">
        <x:v>1200</x:v>
      </x:c>
      <x:c r="L198" s="70" t="s">
        <x:v>1277</x:v>
      </x:c>
      <x:c r="M198" s="70" t="s">
        <x:v>29</x:v>
      </x:c>
      <x:c r="N198" s="71" t="n">
        <x:v>1456156782</x:v>
      </x:c>
      <x:c r="O198" s="72" t="n">
        <x:f aca="0">N198/1000000</x:f>
        <x:v>1456.156782</x:v>
      </x:c>
      <x:c r="P198" s="73" t="n">
        <x:f aca="0">KOHC!E31</x:f>
        <x:v>1456.156782</x:v>
      </x:c>
      <x:c r="Q198" s="70" t="str">
        <x:f aca="0">IF(ABS(O198-P198)&lt;0.000001,"PASS","FAIL")</x:f>
        <x:v>PASS</x:v>
      </x:c>
      <x:c r="R198" s="70" t="s">
        <x:v>28</x:v>
      </x:c>
      <x:c r="S198" s="70"/>
    </x:row>
    <x:row r="199" ht="15" hidden="0">
      <x:c r="A199" s="70" t="s">
        <x:v>1279</x:v>
      </x:c>
      <x:c r="B199" s="70" t="s">
        <x:v>25</x:v>
      </x:c>
      <x:c r="C199" s="70" t="s">
        <x:v>75</x:v>
      </x:c>
      <x:c r="D199" s="70" t="s">
        <x:v>317</x:v>
      </x:c>
      <x:c r="E199" s="70" t="s">
        <x:v>1129</x:v>
      </x:c>
      <x:c r="F199" s="70" t="s">
        <x:v>317</x:v>
      </x:c>
      <x:c r="G199" s="70" t="s">
        <x:v>1210</x:v>
      </x:c>
      <x:c r="H199" s="70" t="s">
        <x:v>1211</x:v>
      </x:c>
      <x:c r="I199" s="70" t="s">
        <x:v>1199</x:v>
      </x:c>
      <x:c r="J199" s="70" t="n">
        <x:v>59</x:v>
      </x:c>
      <x:c r="K199" s="70" t="s">
        <x:v>1200</x:v>
      </x:c>
      <x:c r="L199" s="70" t="s">
        <x:v>1270</x:v>
      </x:c>
      <x:c r="M199" s="70" t="s">
        <x:v>29</x:v>
      </x:c>
      <x:c r="N199" s="71" t="n">
        <x:v>2942861554</x:v>
      </x:c>
      <x:c r="O199" s="72" t="n">
        <x:f aca="0">N199/1000000</x:f>
        <x:v>2942.861554</x:v>
      </x:c>
      <x:c r="P199" s="73" t="n">
        <x:f aca="0">KOHC!F31</x:f>
        <x:v>2942.861554</x:v>
      </x:c>
      <x:c r="Q199" s="70" t="str">
        <x:f aca="0">IF(ABS(O199-P199)&lt;0.000001,"PASS","FAIL")</x:f>
        <x:v>PASS</x:v>
      </x:c>
      <x:c r="R199" s="70" t="s">
        <x:v>28</x:v>
      </x:c>
      <x:c r="S199" s="70"/>
    </x:row>
    <x:row r="200" ht="15" hidden="0">
      <x:c r="A200" s="70" t="s">
        <x:v>1280</x:v>
      </x:c>
      <x:c r="B200" s="70" t="s">
        <x:v>25</x:v>
      </x:c>
      <x:c r="C200" s="70" t="s">
        <x:v>76</x:v>
      </x:c>
      <x:c r="D200" s="70" t="s">
        <x:v>317</x:v>
      </x:c>
      <x:c r="E200" s="70" t="s">
        <x:v>1129</x:v>
      </x:c>
      <x:c r="F200" s="70" t="s">
        <x:v>317</x:v>
      </x:c>
      <x:c r="G200" s="70" t="s">
        <x:v>1214</x:v>
      </x:c>
      <x:c r="H200" s="70" t="s">
        <x:v>1215</x:v>
      </x:c>
      <x:c r="I200" s="70" t="s">
        <x:v>1199</x:v>
      </x:c>
      <x:c r="J200" s="70" t="n">
        <x:v>69</x:v>
      </x:c>
      <x:c r="K200" s="70" t="s">
        <x:v>1200</x:v>
      </x:c>
      <x:c r="L200" s="70" t="s">
        <x:v>1248</x:v>
      </x:c>
      <x:c r="M200" s="70" t="s">
        <x:v>29</x:v>
      </x:c>
      <x:c r="N200" s="71" t="n">
        <x:v>1793742440</x:v>
      </x:c>
      <x:c r="O200" s="72" t="n">
        <x:f aca="0">N200/1000000</x:f>
        <x:v>1793.74244</x:v>
      </x:c>
      <x:c r="P200" s="73" t="n">
        <x:f aca="0">KOHC!G31</x:f>
        <x:v>1793.74244</x:v>
      </x:c>
      <x:c r="Q200" s="70" t="str">
        <x:f aca="0">IF(ABS(O200-P200)&lt;0.000001,"PASS","FAIL")</x:f>
        <x:v>PASS</x:v>
      </x:c>
      <x:c r="R200" s="70" t="s">
        <x:v>28</x:v>
      </x:c>
      <x:c r="S200" s="70"/>
    </x:row>
    <x:row r="201" ht="15" hidden="0">
      <x:c r="A201" s="70" t="s">
        <x:v>1281</x:v>
      </x:c>
      <x:c r="B201" s="70" t="s">
        <x:v>25</x:v>
      </x:c>
      <x:c r="C201" s="70" t="s">
        <x:v>77</x:v>
      </x:c>
      <x:c r="D201" s="70" t="s">
        <x:v>317</x:v>
      </x:c>
      <x:c r="E201" s="70" t="s">
        <x:v>1129</x:v>
      </x:c>
      <x:c r="F201" s="70" t="s">
        <x:v>317</x:v>
      </x:c>
      <x:c r="G201" s="70" t="s">
        <x:v>1214</x:v>
      </x:c>
      <x:c r="H201" s="70" t="s">
        <x:v>1215</x:v>
      </x:c>
      <x:c r="I201" s="70" t="s">
        <x:v>1218</x:v>
      </x:c>
      <x:c r="J201" s="70" t="n">
        <x:v>69</x:v>
      </x:c>
      <x:c r="K201" s="70" t="s">
        <x:v>1200</x:v>
      </x:c>
      <x:c r="L201" s="70" t="s">
        <x:v>1248</x:v>
      </x:c>
      <x:c r="M201" s="70" t="s">
        <x:v>29</x:v>
      </x:c>
      <x:c r="N201" s="71" t="n">
        <x:v>2513556552</x:v>
      </x:c>
      <x:c r="O201" s="72" t="n">
        <x:f aca="0">N201/1000000</x:f>
        <x:v>2513.556552</x:v>
      </x:c>
      <x:c r="P201" s="73" t="n">
        <x:f aca="0">KOHC!H31</x:f>
        <x:v>2513.556552</x:v>
      </x:c>
      <x:c r="Q201" s="70" t="str">
        <x:f aca="0">IF(ABS(O201-P201)&lt;0.000001,"PASS","FAIL")</x:f>
        <x:v>PASS</x:v>
      </x:c>
      <x:c r="R201" s="70" t="s">
        <x:v>28</x:v>
      </x:c>
      <x:c r="S201" s="70"/>
    </x:row>
    <x:row r="202" ht="15" hidden="0">
      <x:c r="A202" s="70" t="s">
        <x:v>1282</x:v>
      </x:c>
      <x:c r="B202" s="70" t="s">
        <x:v>25</x:v>
      </x:c>
      <x:c r="C202" s="70" t="s">
        <x:v>1076</x:v>
      </x:c>
      <x:c r="D202" s="70" t="s">
        <x:v>319</x:v>
      </x:c>
      <x:c r="E202" s="70" t="s">
        <x:v>1129</x:v>
      </x:c>
      <x:c r="F202" s="70" t="s">
        <x:v>1283</x:v>
      </x:c>
      <x:c r="G202" s="70" t="s">
        <x:v>1197</x:v>
      </x:c>
      <x:c r="H202" s="70" t="s">
        <x:v>1198</x:v>
      </x:c>
      <x:c r="I202" s="70" t="s">
        <x:v>1199</x:v>
      </x:c>
      <x:c r="J202" s="70" t="n">
        <x:v>45</x:v>
      </x:c>
      <x:c r="K202" s="70" t="s">
        <x:v>1200</x:v>
      </x:c>
      <x:c r="L202" s="70" t="s">
        <x:v>1277</x:v>
      </x:c>
      <x:c r="M202" s="70" t="s">
        <x:v>29</x:v>
      </x:c>
      <x:c r="N202" s="71" t="n">
        <x:v>494315206</x:v>
      </x:c>
      <x:c r="O202" s="72" t="n">
        <x:f aca="0">N202/1000000</x:f>
        <x:v>494.315206</x:v>
      </x:c>
      <x:c r="P202" s="73" t="n">
        <x:f aca="0">KOHC!C32</x:f>
        <x:v>494.315206</x:v>
      </x:c>
      <x:c r="Q202" s="70" t="str">
        <x:f aca="0">IF(ABS(O202-P202)&lt;0.000001,"PASS","FAIL")</x:f>
        <x:v>PASS</x:v>
      </x:c>
      <x:c r="R202" s="70" t="s">
        <x:v>28</x:v>
      </x:c>
      <x:c r="S202" s="70"/>
    </x:row>
    <x:row r="203" ht="15" hidden="0">
      <x:c r="A203" s="70" t="s">
        <x:v>1284</x:v>
      </x:c>
      <x:c r="B203" s="70" t="s">
        <x:v>25</x:v>
      </x:c>
      <x:c r="C203" s="70" t="s">
        <x:v>73</x:v>
      </x:c>
      <x:c r="D203" s="70" t="s">
        <x:v>319</x:v>
      </x:c>
      <x:c r="E203" s="70" t="s">
        <x:v>1129</x:v>
      </x:c>
      <x:c r="F203" s="70" t="s">
        <x:v>1283</x:v>
      </x:c>
      <x:c r="G203" s="70" t="s">
        <x:v>1203</x:v>
      </x:c>
      <x:c r="H203" s="70" t="s">
        <x:v>1204</x:v>
      </x:c>
      <x:c r="I203" s="70" t="s">
        <x:v>1199</x:v>
      </x:c>
      <x:c r="J203" s="70" t="n">
        <x:v>53</x:v>
      </x:c>
      <x:c r="K203" s="70" t="s">
        <x:v>1200</x:v>
      </x:c>
      <x:c r="L203" s="70" t="s">
        <x:v>1285</x:v>
      </x:c>
      <x:c r="M203" s="70" t="s">
        <x:v>29</x:v>
      </x:c>
      <x:c r="N203" s="71" t="n">
        <x:v>983568223</x:v>
      </x:c>
      <x:c r="O203" s="72" t="n">
        <x:f aca="0">N203/1000000</x:f>
        <x:v>983.568223</x:v>
      </x:c>
      <x:c r="P203" s="73" t="n">
        <x:f aca="0">KOHC!D32</x:f>
        <x:v>983.568223</x:v>
      </x:c>
      <x:c r="Q203" s="70" t="str">
        <x:f aca="0">IF(ABS(O203-P203)&lt;0.000001,"PASS","FAIL")</x:f>
        <x:v>PASS</x:v>
      </x:c>
      <x:c r="R203" s="70" t="s">
        <x:v>28</x:v>
      </x:c>
      <x:c r="S203" s="70"/>
    </x:row>
    <x:row r="204" ht="15" hidden="0">
      <x:c r="A204" s="70" t="s">
        <x:v>1286</x:v>
      </x:c>
      <x:c r="B204" s="70" t="s">
        <x:v>25</x:v>
      </x:c>
      <x:c r="C204" s="70" t="s">
        <x:v>74</x:v>
      </x:c>
      <x:c r="D204" s="70" t="s">
        <x:v>319</x:v>
      </x:c>
      <x:c r="E204" s="70" t="s">
        <x:v>1129</x:v>
      </x:c>
      <x:c r="F204" s="70" t="s">
        <x:v>1283</x:v>
      </x:c>
      <x:c r="G204" s="70" t="s">
        <x:v>1207</x:v>
      </x:c>
      <x:c r="H204" s="70" t="s">
        <x:v>1208</x:v>
      </x:c>
      <x:c r="I204" s="70" t="s">
        <x:v>1199</x:v>
      </x:c>
      <x:c r="J204" s="70" t="n">
        <x:v>53</x:v>
      </x:c>
      <x:c r="K204" s="70" t="s">
        <x:v>1200</x:v>
      </x:c>
      <x:c r="L204" s="70" t="s">
        <x:v>1285</x:v>
      </x:c>
      <x:c r="M204" s="70" t="s">
        <x:v>29</x:v>
      </x:c>
      <x:c r="N204" s="71" t="n">
        <x:v>916039469</x:v>
      </x:c>
      <x:c r="O204" s="72" t="n">
        <x:f aca="0">N204/1000000</x:f>
        <x:v>916.039469</x:v>
      </x:c>
      <x:c r="P204" s="73" t="n">
        <x:f aca="0">KOHC!E32</x:f>
        <x:v>916.039469</x:v>
      </x:c>
      <x:c r="Q204" s="70" t="str">
        <x:f aca="0">IF(ABS(O204-P204)&lt;0.000001,"PASS","FAIL")</x:f>
        <x:v>PASS</x:v>
      </x:c>
      <x:c r="R204" s="70" t="s">
        <x:v>28</x:v>
      </x:c>
      <x:c r="S204" s="70"/>
    </x:row>
    <x:row r="205" ht="15" hidden="0">
      <x:c r="A205" s="70" t="s">
        <x:v>1287</x:v>
      </x:c>
      <x:c r="B205" s="70" t="s">
        <x:v>25</x:v>
      </x:c>
      <x:c r="C205" s="70" t="s">
        <x:v>75</x:v>
      </x:c>
      <x:c r="D205" s="70" t="s">
        <x:v>319</x:v>
      </x:c>
      <x:c r="E205" s="70" t="s">
        <x:v>1129</x:v>
      </x:c>
      <x:c r="F205" s="70" t="s">
        <x:v>1283</x:v>
      </x:c>
      <x:c r="G205" s="70" t="s">
        <x:v>1210</x:v>
      </x:c>
      <x:c r="H205" s="70" t="s">
        <x:v>1211</x:v>
      </x:c>
      <x:c r="I205" s="70" t="s">
        <x:v>1199</x:v>
      </x:c>
      <x:c r="J205" s="70" t="n">
        <x:v>59</x:v>
      </x:c>
      <x:c r="K205" s="70" t="s">
        <x:v>1200</x:v>
      </x:c>
      <x:c r="L205" s="70" t="s">
        <x:v>1277</x:v>
      </x:c>
      <x:c r="M205" s="70" t="s">
        <x:v>29</x:v>
      </x:c>
      <x:c r="N205" s="71" t="n">
        <x:v>1205553375</x:v>
      </x:c>
      <x:c r="O205" s="72" t="n">
        <x:f aca="0">N205/1000000</x:f>
        <x:v>1205.553375</x:v>
      </x:c>
      <x:c r="P205" s="73" t="n">
        <x:f aca="0">KOHC!F32</x:f>
        <x:v>1205.553375</x:v>
      </x:c>
      <x:c r="Q205" s="70" t="str">
        <x:f aca="0">IF(ABS(O205-P205)&lt;0.000001,"PASS","FAIL")</x:f>
        <x:v>PASS</x:v>
      </x:c>
      <x:c r="R205" s="70" t="s">
        <x:v>28</x:v>
      </x:c>
      <x:c r="S205" s="70"/>
    </x:row>
    <x:row r="206" ht="15" hidden="0">
      <x:c r="A206" s="70" t="s">
        <x:v>1288</x:v>
      </x:c>
      <x:c r="B206" s="70" t="s">
        <x:v>25</x:v>
      </x:c>
      <x:c r="C206" s="70" t="s">
        <x:v>76</x:v>
      </x:c>
      <x:c r="D206" s="70" t="s">
        <x:v>319</x:v>
      </x:c>
      <x:c r="E206" s="70" t="s">
        <x:v>1129</x:v>
      </x:c>
      <x:c r="F206" s="70" t="s">
        <x:v>1283</x:v>
      </x:c>
      <x:c r="G206" s="70" t="s">
        <x:v>1214</x:v>
      </x:c>
      <x:c r="H206" s="70" t="s">
        <x:v>1215</x:v>
      </x:c>
      <x:c r="I206" s="70" t="s">
        <x:v>1199</x:v>
      </x:c>
      <x:c r="J206" s="70" t="n">
        <x:v>69</x:v>
      </x:c>
      <x:c r="K206" s="70" t="s">
        <x:v>1200</x:v>
      </x:c>
      <x:c r="L206" s="70" t="s">
        <x:v>1270</x:v>
      </x:c>
      <x:c r="M206" s="70" t="s">
        <x:v>29</x:v>
      </x:c>
      <x:c r="N206" s="71" t="n">
        <x:v>2110247902</x:v>
      </x:c>
      <x:c r="O206" s="72" t="n">
        <x:f aca="0">N206/1000000</x:f>
        <x:v>2110.247902</x:v>
      </x:c>
      <x:c r="P206" s="73" t="n">
        <x:f aca="0">KOHC!G32</x:f>
        <x:v>2110.247902</x:v>
      </x:c>
      <x:c r="Q206" s="70" t="str">
        <x:f aca="0">IF(ABS(O206-P206)&lt;0.000001,"PASS","FAIL")</x:f>
        <x:v>PASS</x:v>
      </x:c>
      <x:c r="R206" s="70" t="s">
        <x:v>28</x:v>
      </x:c>
      <x:c r="S206" s="70"/>
    </x:row>
    <x:row r="207" ht="15" hidden="0">
      <x:c r="A207" s="70" t="s">
        <x:v>1289</x:v>
      </x:c>
      <x:c r="B207" s="70" t="s">
        <x:v>25</x:v>
      </x:c>
      <x:c r="C207" s="70" t="s">
        <x:v>77</x:v>
      </x:c>
      <x:c r="D207" s="70" t="s">
        <x:v>319</x:v>
      </x:c>
      <x:c r="E207" s="70" t="s">
        <x:v>1129</x:v>
      </x:c>
      <x:c r="F207" s="70" t="s">
        <x:v>1283</x:v>
      </x:c>
      <x:c r="G207" s="70" t="s">
        <x:v>1214</x:v>
      </x:c>
      <x:c r="H207" s="70" t="s">
        <x:v>1215</x:v>
      </x:c>
      <x:c r="I207" s="70" t="s">
        <x:v>1218</x:v>
      </x:c>
      <x:c r="J207" s="70" t="n">
        <x:v>69</x:v>
      </x:c>
      <x:c r="K207" s="70" t="s">
        <x:v>1200</x:v>
      </x:c>
      <x:c r="L207" s="70" t="s">
        <x:v>1270</x:v>
      </x:c>
      <x:c r="M207" s="70" t="s">
        <x:v>29</x:v>
      </x:c>
      <x:c r="N207" s="71" t="n">
        <x:v>1692217832</x:v>
      </x:c>
      <x:c r="O207" s="72" t="n">
        <x:f aca="0">N207/1000000</x:f>
        <x:v>1692.217832</x:v>
      </x:c>
      <x:c r="P207" s="73" t="n">
        <x:f aca="0">KOHC!H32</x:f>
        <x:v>1692.217832</x:v>
      </x:c>
      <x:c r="Q207" s="70" t="str">
        <x:f aca="0">IF(ABS(O207-P207)&lt;0.000001,"PASS","FAIL")</x:f>
        <x:v>PASS</x:v>
      </x:c>
      <x:c r="R207" s="70" t="s">
        <x:v>28</x:v>
      </x:c>
      <x:c r="S207" s="70"/>
    </x:row>
    <x:row r="208" ht="15" hidden="0">
      <x:c r="A208" s="70" t="s">
        <x:v>1290</x:v>
      </x:c>
      <x:c r="B208" s="70" t="s">
        <x:v>25</x:v>
      </x:c>
      <x:c r="C208" s="70" t="s">
        <x:v>1076</x:v>
      </x:c>
      <x:c r="D208" s="70" t="s">
        <x:v>321</x:v>
      </x:c>
      <x:c r="E208" s="70" t="s">
        <x:v>1129</x:v>
      </x:c>
      <x:c r="F208" s="70" t="s">
        <x:v>1291</x:v>
      </x:c>
      <x:c r="G208" s="70" t="s">
        <x:v>1197</x:v>
      </x:c>
      <x:c r="H208" s="70" t="s">
        <x:v>1198</x:v>
      </x:c>
      <x:c r="I208" s="70" t="s">
        <x:v>1199</x:v>
      </x:c>
      <x:c r="J208" s="70" t="n">
        <x:v>45</x:v>
      </x:c>
      <x:c r="K208" s="70" t="s">
        <x:v>1200</x:v>
      </x:c>
      <x:c r="L208" s="70" t="s">
        <x:v>1285</x:v>
      </x:c>
      <x:c r="M208" s="70" t="s">
        <x:v>29</x:v>
      </x:c>
      <x:c r="N208" s="71" t="n">
        <x:v>160130600</x:v>
      </x:c>
      <x:c r="O208" s="72" t="n">
        <x:f aca="0">N208/1000000</x:f>
        <x:v>160.1306</x:v>
      </x:c>
      <x:c r="P208" s="73" t="n">
        <x:f aca="0">KOHC!C33</x:f>
        <x:v>160.1306</x:v>
      </x:c>
      <x:c r="Q208" s="70" t="str">
        <x:f aca="0">IF(ABS(O208-P208)&lt;0.000001,"PASS","FAIL")</x:f>
        <x:v>PASS</x:v>
      </x:c>
      <x:c r="R208" s="70" t="s">
        <x:v>28</x:v>
      </x:c>
      <x:c r="S208" s="70"/>
    </x:row>
    <x:row r="209" ht="15" hidden="0">
      <x:c r="A209" s="70" t="s">
        <x:v>1292</x:v>
      </x:c>
      <x:c r="B209" s="70" t="s">
        <x:v>25</x:v>
      </x:c>
      <x:c r="C209" s="70" t="s">
        <x:v>73</x:v>
      </x:c>
      <x:c r="D209" s="70" t="s">
        <x:v>321</x:v>
      </x:c>
      <x:c r="E209" s="70" t="s">
        <x:v>1129</x:v>
      </x:c>
      <x:c r="F209" s="70" t="s">
        <x:v>1291</x:v>
      </x:c>
      <x:c r="G209" s="70" t="s">
        <x:v>1203</x:v>
      </x:c>
      <x:c r="H209" s="70" t="s">
        <x:v>1204</x:v>
      </x:c>
      <x:c r="I209" s="70" t="s">
        <x:v>1199</x:v>
      </x:c>
      <x:c r="J209" s="70" t="n">
        <x:v>53</x:v>
      </x:c>
      <x:c r="K209" s="70" t="s">
        <x:v>1200</x:v>
      </x:c>
      <x:c r="L209" s="70" t="s">
        <x:v>1293</x:v>
      </x:c>
      <x:c r="M209" s="70" t="s">
        <x:v>29</x:v>
      </x:c>
      <x:c r="N209" s="71" t="n">
        <x:v>2999496423</x:v>
      </x:c>
      <x:c r="O209" s="72" t="n">
        <x:f aca="0">N209/1000000</x:f>
        <x:v>2999.496423</x:v>
      </x:c>
      <x:c r="P209" s="73" t="n">
        <x:f aca="0">KOHC!D33</x:f>
        <x:v>2999.496423</x:v>
      </x:c>
      <x:c r="Q209" s="70" t="str">
        <x:f aca="0">IF(ABS(O209-P209)&lt;0.000001,"PASS","FAIL")</x:f>
        <x:v>PASS</x:v>
      </x:c>
      <x:c r="R209" s="70" t="s">
        <x:v>28</x:v>
      </x:c>
      <x:c r="S209" s="70"/>
    </x:row>
    <x:row r="210" ht="15" hidden="0">
      <x:c r="A210" s="70" t="s">
        <x:v>1294</x:v>
      </x:c>
      <x:c r="B210" s="70" t="s">
        <x:v>25</x:v>
      </x:c>
      <x:c r="C210" s="70" t="s">
        <x:v>74</x:v>
      </x:c>
      <x:c r="D210" s="70" t="s">
        <x:v>321</x:v>
      </x:c>
      <x:c r="E210" s="70" t="s">
        <x:v>1129</x:v>
      </x:c>
      <x:c r="F210" s="70" t="s">
        <x:v>1291</x:v>
      </x:c>
      <x:c r="G210" s="70" t="s">
        <x:v>1207</x:v>
      </x:c>
      <x:c r="H210" s="70" t="s">
        <x:v>1208</x:v>
      </x:c>
      <x:c r="I210" s="70" t="s">
        <x:v>1199</x:v>
      </x:c>
      <x:c r="J210" s="70" t="n">
        <x:v>53</x:v>
      </x:c>
      <x:c r="K210" s="70" t="s">
        <x:v>1200</x:v>
      </x:c>
      <x:c r="L210" s="70" t="s">
        <x:v>1293</x:v>
      </x:c>
      <x:c r="M210" s="70" t="s">
        <x:v>29</x:v>
      </x:c>
      <x:c r="N210" s="71" t="n">
        <x:v>10124095693</x:v>
      </x:c>
      <x:c r="O210" s="72" t="n">
        <x:f aca="0">N210/1000000</x:f>
        <x:v>10124.095693</x:v>
      </x:c>
      <x:c r="P210" s="73" t="n">
        <x:f aca="0">KOHC!E33</x:f>
        <x:v>10124.095693</x:v>
      </x:c>
      <x:c r="Q210" s="70" t="str">
        <x:f aca="0">IF(ABS(O210-P210)&lt;0.000001,"PASS","FAIL")</x:f>
        <x:v>PASS</x:v>
      </x:c>
      <x:c r="R210" s="70" t="s">
        <x:v>28</x:v>
      </x:c>
      <x:c r="S210" s="70"/>
    </x:row>
    <x:row r="211" ht="15" hidden="0">
      <x:c r="A211" s="70" t="s">
        <x:v>1295</x:v>
      </x:c>
      <x:c r="B211" s="70" t="s">
        <x:v>25</x:v>
      </x:c>
      <x:c r="C211" s="70" t="s">
        <x:v>75</x:v>
      </x:c>
      <x:c r="D211" s="70" t="s">
        <x:v>321</x:v>
      </x:c>
      <x:c r="E211" s="70" t="s">
        <x:v>1129</x:v>
      </x:c>
      <x:c r="F211" s="70" t="s">
        <x:v>1291</x:v>
      </x:c>
      <x:c r="G211" s="70" t="s">
        <x:v>1210</x:v>
      </x:c>
      <x:c r="H211" s="70" t="s">
        <x:v>1211</x:v>
      </x:c>
      <x:c r="I211" s="70" t="s">
        <x:v>1199</x:v>
      </x:c>
      <x:c r="J211" s="70" t="n">
        <x:v>59</x:v>
      </x:c>
      <x:c r="K211" s="70" t="s">
        <x:v>1200</x:v>
      </x:c>
      <x:c r="L211" s="70" t="s">
        <x:v>1285</x:v>
      </x:c>
      <x:c r="M211" s="70" t="s">
        <x:v>29</x:v>
      </x:c>
      <x:c r="N211" s="71" t="n">
        <x:v>12335073816</x:v>
      </x:c>
      <x:c r="O211" s="72" t="n">
        <x:f aca="0">N211/1000000</x:f>
        <x:v>12335.073816</x:v>
      </x:c>
      <x:c r="P211" s="73" t="n">
        <x:f aca="0">KOHC!F33</x:f>
        <x:v>12335.073816</x:v>
      </x:c>
      <x:c r="Q211" s="70" t="str">
        <x:f aca="0">IF(ABS(O211-P211)&lt;0.000001,"PASS","FAIL")</x:f>
        <x:v>PASS</x:v>
      </x:c>
      <x:c r="R211" s="70" t="s">
        <x:v>28</x:v>
      </x:c>
      <x:c r="S211" s="70"/>
    </x:row>
    <x:row r="212" ht="15" hidden="0">
      <x:c r="A212" s="70" t="s">
        <x:v>1296</x:v>
      </x:c>
      <x:c r="B212" s="70" t="s">
        <x:v>25</x:v>
      </x:c>
      <x:c r="C212" s="70" t="s">
        <x:v>76</x:v>
      </x:c>
      <x:c r="D212" s="70" t="s">
        <x:v>321</x:v>
      </x:c>
      <x:c r="E212" s="70" t="s">
        <x:v>1129</x:v>
      </x:c>
      <x:c r="F212" s="70" t="s">
        <x:v>1291</x:v>
      </x:c>
      <x:c r="G212" s="70" t="s">
        <x:v>1214</x:v>
      </x:c>
      <x:c r="H212" s="70" t="s">
        <x:v>1215</x:v>
      </x:c>
      <x:c r="I212" s="70" t="s">
        <x:v>1199</x:v>
      </x:c>
      <x:c r="J212" s="70" t="n">
        <x:v>69</x:v>
      </x:c>
      <x:c r="K212" s="70" t="s">
        <x:v>1200</x:v>
      </x:c>
      <x:c r="L212" s="70" t="s">
        <x:v>1277</x:v>
      </x:c>
      <x:c r="M212" s="70" t="s">
        <x:v>29</x:v>
      </x:c>
      <x:c r="N212" s="71" t="n">
        <x:v>20279745954</x:v>
      </x:c>
      <x:c r="O212" s="72" t="n">
        <x:f aca="0">N212/1000000</x:f>
        <x:v>20279.745954</x:v>
      </x:c>
      <x:c r="P212" s="73" t="n">
        <x:f aca="0">KOHC!G33</x:f>
        <x:v>20279.745954</x:v>
      </x:c>
      <x:c r="Q212" s="70" t="str">
        <x:f aca="0">IF(ABS(O212-P212)&lt;0.000001,"PASS","FAIL")</x:f>
        <x:v>PASS</x:v>
      </x:c>
      <x:c r="R212" s="70" t="s">
        <x:v>28</x:v>
      </x:c>
      <x:c r="S212" s="70"/>
    </x:row>
    <x:row r="213" ht="15" hidden="0">
      <x:c r="A213" s="70" t="s">
        <x:v>1297</x:v>
      </x:c>
      <x:c r="B213" s="70" t="s">
        <x:v>25</x:v>
      </x:c>
      <x:c r="C213" s="70" t="s">
        <x:v>77</x:v>
      </x:c>
      <x:c r="D213" s="70" t="s">
        <x:v>321</x:v>
      </x:c>
      <x:c r="E213" s="70" t="s">
        <x:v>1129</x:v>
      </x:c>
      <x:c r="F213" s="70" t="s">
        <x:v>1291</x:v>
      </x:c>
      <x:c r="G213" s="70" t="s">
        <x:v>1214</x:v>
      </x:c>
      <x:c r="H213" s="70" t="s">
        <x:v>1215</x:v>
      </x:c>
      <x:c r="I213" s="70" t="s">
        <x:v>1218</x:v>
      </x:c>
      <x:c r="J213" s="70" t="n">
        <x:v>69</x:v>
      </x:c>
      <x:c r="K213" s="70" t="s">
        <x:v>1200</x:v>
      </x:c>
      <x:c r="L213" s="70" t="s">
        <x:v>1277</x:v>
      </x:c>
      <x:c r="M213" s="70" t="s">
        <x:v>29</x:v>
      </x:c>
      <x:c r="N213" s="71" t="n">
        <x:v>26941632205</x:v>
      </x:c>
      <x:c r="O213" s="72" t="n">
        <x:f aca="0">N213/1000000</x:f>
        <x:v>26941.632205</x:v>
      </x:c>
      <x:c r="P213" s="73" t="n">
        <x:f aca="0">KOHC!H33</x:f>
        <x:v>26941.632205</x:v>
      </x:c>
      <x:c r="Q213" s="70" t="str">
        <x:f aca="0">IF(ABS(O213-P213)&lt;0.000001,"PASS","FAIL")</x:f>
        <x:v>PASS</x:v>
      </x:c>
      <x:c r="R213" s="70" t="s">
        <x:v>28</x:v>
      </x:c>
      <x:c r="S213" s="70"/>
    </x:row>
    <x:row r="214" ht="15" hidden="0">
      <x:c r="A214" s="70" t="s">
        <x:v>1298</x:v>
      </x:c>
      <x:c r="B214" s="70" t="s">
        <x:v>25</x:v>
      </x:c>
      <x:c r="C214" s="70" t="s">
        <x:v>1076</x:v>
      </x:c>
      <x:c r="D214" s="70" t="s">
        <x:v>323</x:v>
      </x:c>
      <x:c r="E214" s="70" t="s">
        <x:v>1129</x:v>
      </x:c>
      <x:c r="F214" s="70" t="s">
        <x:v>323</x:v>
      </x:c>
      <x:c r="G214" s="70" t="s">
        <x:v>1197</x:v>
      </x:c>
      <x:c r="H214" s="70" t="s">
        <x:v>1198</x:v>
      </x:c>
      <x:c r="I214" s="70" t="s">
        <x:v>1199</x:v>
      </x:c>
      <x:c r="J214" s="70" t="n">
        <x:v>45</x:v>
      </x:c>
      <x:c r="K214" s="70" t="s">
        <x:v>1200</x:v>
      </x:c>
      <x:c r="L214" s="70" t="s">
        <x:v>1299</x:v>
      </x:c>
      <x:c r="M214" s="70" t="s">
        <x:v>29</x:v>
      </x:c>
      <x:c r="N214" s="71" t="n">
        <x:v>891606087</x:v>
      </x:c>
      <x:c r="O214" s="72" t="n">
        <x:f aca="0">N214/1000000</x:f>
        <x:v>891.606087</x:v>
      </x:c>
      <x:c r="P214" s="73" t="n">
        <x:f aca="0">KOHC!C34</x:f>
        <x:v>891.606087</x:v>
      </x:c>
      <x:c r="Q214" s="70" t="str">
        <x:f aca="0">IF(ABS(O214-P214)&lt;0.000001,"PASS","FAIL")</x:f>
        <x:v>PASS</x:v>
      </x:c>
      <x:c r="R214" s="70" t="s">
        <x:v>28</x:v>
      </x:c>
      <x:c r="S214" s="70"/>
    </x:row>
    <x:row r="215" ht="15" hidden="0">
      <x:c r="A215" s="70" t="s">
        <x:v>1300</x:v>
      </x:c>
      <x:c r="B215" s="70" t="s">
        <x:v>25</x:v>
      </x:c>
      <x:c r="C215" s="70" t="s">
        <x:v>73</x:v>
      </x:c>
      <x:c r="D215" s="70" t="s">
        <x:v>323</x:v>
      </x:c>
      <x:c r="E215" s="70" t="s">
        <x:v>1129</x:v>
      </x:c>
      <x:c r="F215" s="70" t="s">
        <x:v>323</x:v>
      </x:c>
      <x:c r="G215" s="70" t="s">
        <x:v>1203</x:v>
      </x:c>
      <x:c r="H215" s="70" t="s">
        <x:v>1204</x:v>
      </x:c>
      <x:c r="I215" s="70" t="s">
        <x:v>1199</x:v>
      </x:c>
      <x:c r="J215" s="70" t="n">
        <x:v>53</x:v>
      </x:c>
      <x:c r="K215" s="70" t="s">
        <x:v>1200</x:v>
      </x:c>
      <x:c r="L215" s="70" t="s">
        <x:v>1301</x:v>
      </x:c>
      <x:c r="M215" s="70" t="s">
        <x:v>29</x:v>
      </x:c>
      <x:c r="N215" s="71" t="n">
        <x:v>1197729351</x:v>
      </x:c>
      <x:c r="O215" s="72" t="n">
        <x:f aca="0">N215/1000000</x:f>
        <x:v>1197.729351</x:v>
      </x:c>
      <x:c r="P215" s="73" t="n">
        <x:f aca="0">KOHC!D34</x:f>
        <x:v>1197.729351</x:v>
      </x:c>
      <x:c r="Q215" s="70" t="str">
        <x:f aca="0">IF(ABS(O215-P215)&lt;0.000001,"PASS","FAIL")</x:f>
        <x:v>PASS</x:v>
      </x:c>
      <x:c r="R215" s="70" t="s">
        <x:v>28</x:v>
      </x:c>
      <x:c r="S215" s="70"/>
    </x:row>
    <x:row r="216" ht="15" hidden="0">
      <x:c r="A216" s="70" t="s">
        <x:v>1302</x:v>
      </x:c>
      <x:c r="B216" s="70" t="s">
        <x:v>25</x:v>
      </x:c>
      <x:c r="C216" s="70" t="s">
        <x:v>74</x:v>
      </x:c>
      <x:c r="D216" s="70" t="s">
        <x:v>323</x:v>
      </x:c>
      <x:c r="E216" s="70" t="s">
        <x:v>1129</x:v>
      </x:c>
      <x:c r="F216" s="70" t="s">
        <x:v>323</x:v>
      </x:c>
      <x:c r="G216" s="70" t="s">
        <x:v>1207</x:v>
      </x:c>
      <x:c r="H216" s="70" t="s">
        <x:v>1208</x:v>
      </x:c>
      <x:c r="I216" s="70" t="s">
        <x:v>1199</x:v>
      </x:c>
      <x:c r="J216" s="70" t="n">
        <x:v>53</x:v>
      </x:c>
      <x:c r="K216" s="70" t="s">
        <x:v>1200</x:v>
      </x:c>
      <x:c r="L216" s="70" t="s">
        <x:v>1301</x:v>
      </x:c>
      <x:c r="M216" s="70" t="s">
        <x:v>29</x:v>
      </x:c>
      <x:c r="N216" s="71" t="n">
        <x:v>480765632</x:v>
      </x:c>
      <x:c r="O216" s="72" t="n">
        <x:f aca="0">N216/1000000</x:f>
        <x:v>480.765632</x:v>
      </x:c>
      <x:c r="P216" s="73" t="n">
        <x:f aca="0">KOHC!E34</x:f>
        <x:v>480.765632</x:v>
      </x:c>
      <x:c r="Q216" s="70" t="str">
        <x:f aca="0">IF(ABS(O216-P216)&lt;0.000001,"PASS","FAIL")</x:f>
        <x:v>PASS</x:v>
      </x:c>
      <x:c r="R216" s="70" t="s">
        <x:v>28</x:v>
      </x:c>
      <x:c r="S216" s="70"/>
    </x:row>
    <x:row r="217" ht="15" hidden="0">
      <x:c r="A217" s="70" t="s">
        <x:v>1303</x:v>
      </x:c>
      <x:c r="B217" s="70" t="s">
        <x:v>25</x:v>
      </x:c>
      <x:c r="C217" s="70" t="s">
        <x:v>75</x:v>
      </x:c>
      <x:c r="D217" s="70" t="s">
        <x:v>323</x:v>
      </x:c>
      <x:c r="E217" s="70" t="s">
        <x:v>1129</x:v>
      </x:c>
      <x:c r="F217" s="70" t="s">
        <x:v>323</x:v>
      </x:c>
      <x:c r="G217" s="70" t="s">
        <x:v>1210</x:v>
      </x:c>
      <x:c r="H217" s="70" t="s">
        <x:v>1211</x:v>
      </x:c>
      <x:c r="I217" s="70" t="s">
        <x:v>1199</x:v>
      </x:c>
      <x:c r="J217" s="70" t="n">
        <x:v>59</x:v>
      </x:c>
      <x:c r="K217" s="70" t="s">
        <x:v>1200</x:v>
      </x:c>
      <x:c r="L217" s="70" t="s">
        <x:v>1299</x:v>
      </x:c>
      <x:c r="M217" s="70" t="s">
        <x:v>29</x:v>
      </x:c>
      <x:c r="N217" s="71" t="n">
        <x:v>933537193</x:v>
      </x:c>
      <x:c r="O217" s="72" t="n">
        <x:f aca="0">N217/1000000</x:f>
        <x:v>933.537193</x:v>
      </x:c>
      <x:c r="P217" s="73" t="n">
        <x:f aca="0">KOHC!F34</x:f>
        <x:v>933.537193</x:v>
      </x:c>
      <x:c r="Q217" s="70" t="str">
        <x:f aca="0">IF(ABS(O217-P217)&lt;0.000001,"PASS","FAIL")</x:f>
        <x:v>PASS</x:v>
      </x:c>
      <x:c r="R217" s="70" t="s">
        <x:v>28</x:v>
      </x:c>
      <x:c r="S217" s="70"/>
    </x:row>
    <x:row r="218" ht="15" hidden="0">
      <x:c r="A218" s="70" t="s">
        <x:v>1304</x:v>
      </x:c>
      <x:c r="B218" s="70" t="s">
        <x:v>25</x:v>
      </x:c>
      <x:c r="C218" s="70" t="s">
        <x:v>76</x:v>
      </x:c>
      <x:c r="D218" s="70" t="s">
        <x:v>323</x:v>
      </x:c>
      <x:c r="E218" s="70" t="s">
        <x:v>1129</x:v>
      </x:c>
      <x:c r="F218" s="70" t="s">
        <x:v>323</x:v>
      </x:c>
      <x:c r="G218" s="70" t="s">
        <x:v>1214</x:v>
      </x:c>
      <x:c r="H218" s="70" t="s">
        <x:v>1215</x:v>
      </x:c>
      <x:c r="I218" s="70" t="s">
        <x:v>1199</x:v>
      </x:c>
      <x:c r="J218" s="70" t="n">
        <x:v>69</x:v>
      </x:c>
      <x:c r="K218" s="70" t="s">
        <x:v>1200</x:v>
      </x:c>
      <x:c r="L218" s="70" t="s">
        <x:v>1293</x:v>
      </x:c>
      <x:c r="M218" s="70" t="s">
        <x:v>29</x:v>
      </x:c>
      <x:c r="N218" s="71" t="n">
        <x:v>1102649172</x:v>
      </x:c>
      <x:c r="O218" s="72" t="n">
        <x:f aca="0">N218/1000000</x:f>
        <x:v>1102.649172</x:v>
      </x:c>
      <x:c r="P218" s="73" t="n">
        <x:f aca="0">KOHC!G34</x:f>
        <x:v>1102.649172</x:v>
      </x:c>
      <x:c r="Q218" s="70" t="str">
        <x:f aca="0">IF(ABS(O218-P218)&lt;0.000001,"PASS","FAIL")</x:f>
        <x:v>PASS</x:v>
      </x:c>
      <x:c r="R218" s="70" t="s">
        <x:v>28</x:v>
      </x:c>
      <x:c r="S218" s="70"/>
    </x:row>
    <x:row r="219" ht="15" hidden="0">
      <x:c r="A219" s="70" t="s">
        <x:v>1305</x:v>
      </x:c>
      <x:c r="B219" s="70" t="s">
        <x:v>25</x:v>
      </x:c>
      <x:c r="C219" s="70" t="s">
        <x:v>77</x:v>
      </x:c>
      <x:c r="D219" s="70" t="s">
        <x:v>323</x:v>
      </x:c>
      <x:c r="E219" s="70" t="s">
        <x:v>1129</x:v>
      </x:c>
      <x:c r="F219" s="70" t="s">
        <x:v>323</x:v>
      </x:c>
      <x:c r="G219" s="70" t="s">
        <x:v>1214</x:v>
      </x:c>
      <x:c r="H219" s="70" t="s">
        <x:v>1215</x:v>
      </x:c>
      <x:c r="I219" s="70" t="s">
        <x:v>1218</x:v>
      </x:c>
      <x:c r="J219" s="70" t="n">
        <x:v>69</x:v>
      </x:c>
      <x:c r="K219" s="70" t="s">
        <x:v>1200</x:v>
      </x:c>
      <x:c r="L219" s="70" t="s">
        <x:v>1293</x:v>
      </x:c>
      <x:c r="M219" s="70" t="s">
        <x:v>29</x:v>
      </x:c>
      <x:c r="N219" s="71" t="n">
        <x:v>1450702723</x:v>
      </x:c>
      <x:c r="O219" s="72" t="n">
        <x:f aca="0">N219/1000000</x:f>
        <x:v>1450.702723</x:v>
      </x:c>
      <x:c r="P219" s="73" t="n">
        <x:f aca="0">KOHC!H34</x:f>
        <x:v>1450.702723</x:v>
      </x:c>
      <x:c r="Q219" s="70" t="str">
        <x:f aca="0">IF(ABS(O219-P219)&lt;0.000001,"PASS","FAIL")</x:f>
        <x:v>PASS</x:v>
      </x:c>
      <x:c r="R219" s="70" t="s">
        <x:v>28</x:v>
      </x:c>
      <x:c r="S219" s="70"/>
    </x:row>
    <x:row r="220" ht="15" hidden="0">
      <x:c r="A220" s="70" t="s">
        <x:v>1306</x:v>
      </x:c>
      <x:c r="B220" s="70" t="s">
        <x:v>25</x:v>
      </x:c>
      <x:c r="C220" s="70" t="s">
        <x:v>1076</x:v>
      </x:c>
      <x:c r="D220" s="70" t="s">
        <x:v>325</x:v>
      </x:c>
      <x:c r="E220" s="70" t="s">
        <x:v>1129</x:v>
      </x:c>
      <x:c r="F220" s="70" t="s">
        <x:v>1307</x:v>
      </x:c>
      <x:c r="G220" s="70" t="s">
        <x:v>1197</x:v>
      </x:c>
      <x:c r="H220" s="70" t="s">
        <x:v>1198</x:v>
      </x:c>
      <x:c r="I220" s="70" t="s">
        <x:v>1199</x:v>
      </x:c>
      <x:c r="J220" s="70" t="n">
        <x:v>45</x:v>
      </x:c>
      <x:c r="K220" s="70" t="s">
        <x:v>1200</x:v>
      </x:c>
      <x:c r="L220" s="70" t="s">
        <x:v>1293</x:v>
      </x:c>
      <x:c r="M220" s="70" t="s">
        <x:v>29</x:v>
      </x:c>
      <x:c r="N220" s="71" t="n">
        <x:v>425391226</x:v>
      </x:c>
      <x:c r="O220" s="72" t="n">
        <x:f aca="0">N220/1000000</x:f>
        <x:v>425.391226</x:v>
      </x:c>
      <x:c r="P220" s="73" t="n">
        <x:f aca="0">KOHC!C35</x:f>
        <x:v>425.391226</x:v>
      </x:c>
      <x:c r="Q220" s="70" t="str">
        <x:f aca="0">IF(ABS(O220-P220)&lt;0.000001,"PASS","FAIL")</x:f>
        <x:v>PASS</x:v>
      </x:c>
      <x:c r="R220" s="70" t="s">
        <x:v>28</x:v>
      </x:c>
      <x:c r="S220" s="70"/>
    </x:row>
    <x:row r="221" ht="15" hidden="0">
      <x:c r="A221" s="70" t="s">
        <x:v>1308</x:v>
      </x:c>
      <x:c r="B221" s="70" t="s">
        <x:v>25</x:v>
      </x:c>
      <x:c r="C221" s="70" t="s">
        <x:v>73</x:v>
      </x:c>
      <x:c r="D221" s="70" t="s">
        <x:v>325</x:v>
      </x:c>
      <x:c r="E221" s="70" t="s">
        <x:v>1129</x:v>
      </x:c>
      <x:c r="F221" s="70" t="s">
        <x:v>1307</x:v>
      </x:c>
      <x:c r="G221" s="70" t="s">
        <x:v>1203</x:v>
      </x:c>
      <x:c r="H221" s="70" t="s">
        <x:v>1204</x:v>
      </x:c>
      <x:c r="I221" s="70" t="s">
        <x:v>1199</x:v>
      </x:c>
      <x:c r="J221" s="70" t="n">
        <x:v>53</x:v>
      </x:c>
      <x:c r="K221" s="70" t="s">
        <x:v>1200</x:v>
      </x:c>
      <x:c r="L221" s="70" t="s">
        <x:v>1299</x:v>
      </x:c>
      <x:c r="M221" s="70" t="s">
        <x:v>29</x:v>
      </x:c>
      <x:c r="N221" s="71" t="n">
        <x:v>484459350</x:v>
      </x:c>
      <x:c r="O221" s="72" t="n">
        <x:f aca="0">N221/1000000</x:f>
        <x:v>484.45935</x:v>
      </x:c>
      <x:c r="P221" s="73" t="n">
        <x:f aca="0">KOHC!D35</x:f>
        <x:v>484.45935</x:v>
      </x:c>
      <x:c r="Q221" s="70" t="str">
        <x:f aca="0">IF(ABS(O221-P221)&lt;0.000001,"PASS","FAIL")</x:f>
        <x:v>PASS</x:v>
      </x:c>
      <x:c r="R221" s="70" t="s">
        <x:v>28</x:v>
      </x:c>
      <x:c r="S221" s="70"/>
    </x:row>
    <x:row r="222" ht="15" hidden="0">
      <x:c r="A222" s="70" t="s">
        <x:v>1309</x:v>
      </x:c>
      <x:c r="B222" s="70" t="s">
        <x:v>25</x:v>
      </x:c>
      <x:c r="C222" s="70" t="s">
        <x:v>74</x:v>
      </x:c>
      <x:c r="D222" s="70" t="s">
        <x:v>325</x:v>
      </x:c>
      <x:c r="E222" s="70" t="s">
        <x:v>1129</x:v>
      </x:c>
      <x:c r="F222" s="70" t="s">
        <x:v>1310</x:v>
      </x:c>
      <x:c r="G222" s="70" t="s">
        <x:v>1207</x:v>
      </x:c>
      <x:c r="H222" s="70" t="s">
        <x:v>1208</x:v>
      </x:c>
      <x:c r="I222" s="70" t="s">
        <x:v>1199</x:v>
      </x:c>
      <x:c r="J222" s="70" t="n">
        <x:v>53</x:v>
      </x:c>
      <x:c r="K222" s="70" t="s">
        <x:v>1200</x:v>
      </x:c>
      <x:c r="L222" s="70" t="s">
        <x:v>1299</x:v>
      </x:c>
      <x:c r="M222" s="70" t="s">
        <x:v>29</x:v>
      </x:c>
      <x:c r="N222" s="71" t="n">
        <x:v>583944235</x:v>
      </x:c>
      <x:c r="O222" s="72" t="n">
        <x:f aca="0">N222/1000000</x:f>
        <x:v>583.944235</x:v>
      </x:c>
      <x:c r="P222" s="73" t="n">
        <x:f aca="0">KOHC!E35</x:f>
        <x:v>583.944235</x:v>
      </x:c>
      <x:c r="Q222" s="70" t="str">
        <x:f aca="0">IF(ABS(O222-P222)&lt;0.000001,"PASS","FAIL")</x:f>
        <x:v>PASS</x:v>
      </x:c>
      <x:c r="R222" s="70" t="s">
        <x:v>28</x:v>
      </x:c>
      <x:c r="S222" s="70"/>
    </x:row>
    <x:row r="223" ht="15" hidden="0">
      <x:c r="A223" s="70" t="s">
        <x:v>1311</x:v>
      </x:c>
      <x:c r="B223" s="70" t="s">
        <x:v>25</x:v>
      </x:c>
      <x:c r="C223" s="70" t="s">
        <x:v>75</x:v>
      </x:c>
      <x:c r="D223" s="70" t="s">
        <x:v>325</x:v>
      </x:c>
      <x:c r="E223" s="70" t="s">
        <x:v>1129</x:v>
      </x:c>
      <x:c r="F223" s="70" t="s">
        <x:v>1310</x:v>
      </x:c>
      <x:c r="G223" s="70" t="s">
        <x:v>1210</x:v>
      </x:c>
      <x:c r="H223" s="70" t="s">
        <x:v>1211</x:v>
      </x:c>
      <x:c r="I223" s="70" t="s">
        <x:v>1199</x:v>
      </x:c>
      <x:c r="J223" s="70" t="n">
        <x:v>59</x:v>
      </x:c>
      <x:c r="K223" s="70" t="s">
        <x:v>1200</x:v>
      </x:c>
      <x:c r="L223" s="70" t="s">
        <x:v>1293</x:v>
      </x:c>
      <x:c r="M223" s="70" t="s">
        <x:v>29</x:v>
      </x:c>
      <x:c r="N223" s="71" t="n">
        <x:v>783220947</x:v>
      </x:c>
      <x:c r="O223" s="72" t="n">
        <x:f aca="0">N223/1000000</x:f>
        <x:v>783.220947</x:v>
      </x:c>
      <x:c r="P223" s="73" t="n">
        <x:f aca="0">KOHC!F35</x:f>
        <x:v>783.220947</x:v>
      </x:c>
      <x:c r="Q223" s="70" t="str">
        <x:f aca="0">IF(ABS(O223-P223)&lt;0.000001,"PASS","FAIL")</x:f>
        <x:v>PASS</x:v>
      </x:c>
      <x:c r="R223" s="70" t="s">
        <x:v>28</x:v>
      </x:c>
      <x:c r="S223" s="70"/>
    </x:row>
    <x:row r="224" ht="15" hidden="0">
      <x:c r="A224" s="70" t="s">
        <x:v>1312</x:v>
      </x:c>
      <x:c r="B224" s="70" t="s">
        <x:v>25</x:v>
      </x:c>
      <x:c r="C224" s="70" t="s">
        <x:v>76</x:v>
      </x:c>
      <x:c r="D224" s="70" t="s">
        <x:v>325</x:v>
      </x:c>
      <x:c r="E224" s="70" t="s">
        <x:v>1129</x:v>
      </x:c>
      <x:c r="F224" s="70" t="s">
        <x:v>1313</x:v>
      </x:c>
      <x:c r="G224" s="70" t="s">
        <x:v>1214</x:v>
      </x:c>
      <x:c r="H224" s="70" t="s">
        <x:v>1215</x:v>
      </x:c>
      <x:c r="I224" s="70" t="s">
        <x:v>1199</x:v>
      </x:c>
      <x:c r="J224" s="70" t="n">
        <x:v>69</x:v>
      </x:c>
      <x:c r="K224" s="70" t="s">
        <x:v>1200</x:v>
      </x:c>
      <x:c r="L224" s="70" t="s">
        <x:v>1285</x:v>
      </x:c>
      <x:c r="M224" s="70" t="s">
        <x:v>29</x:v>
      </x:c>
      <x:c r="N224" s="71" t="n">
        <x:v>1140327819</x:v>
      </x:c>
      <x:c r="O224" s="72" t="n">
        <x:f aca="0">N224/1000000</x:f>
        <x:v>1140.327819</x:v>
      </x:c>
      <x:c r="P224" s="73" t="n">
        <x:f aca="0">KOHC!G35</x:f>
        <x:v>1140.327819</x:v>
      </x:c>
      <x:c r="Q224" s="70" t="str">
        <x:f aca="0">IF(ABS(O224-P224)&lt;0.000001,"PASS","FAIL")</x:f>
        <x:v>PASS</x:v>
      </x:c>
      <x:c r="R224" s="70" t="s">
        <x:v>28</x:v>
      </x:c>
      <x:c r="S224" s="70" t="s">
        <x:v>1205</x:v>
      </x:c>
    </x:row>
    <x:row r="225" ht="15" hidden="0">
      <x:c r="A225" s="70" t="s">
        <x:v>1314</x:v>
      </x:c>
      <x:c r="B225" s="70" t="s">
        <x:v>25</x:v>
      </x:c>
      <x:c r="C225" s="70" t="s">
        <x:v>77</x:v>
      </x:c>
      <x:c r="D225" s="70" t="s">
        <x:v>325</x:v>
      </x:c>
      <x:c r="E225" s="70" t="s">
        <x:v>1129</x:v>
      </x:c>
      <x:c r="F225" s="70" t="s">
        <x:v>1313</x:v>
      </x:c>
      <x:c r="G225" s="70" t="s">
        <x:v>1214</x:v>
      </x:c>
      <x:c r="H225" s="70" t="s">
        <x:v>1215</x:v>
      </x:c>
      <x:c r="I225" s="70" t="s">
        <x:v>1218</x:v>
      </x:c>
      <x:c r="J225" s="70" t="n">
        <x:v>69</x:v>
      </x:c>
      <x:c r="K225" s="70" t="s">
        <x:v>1200</x:v>
      </x:c>
      <x:c r="L225" s="70" t="s">
        <x:v>1285</x:v>
      </x:c>
      <x:c r="M225" s="70" t="s">
        <x:v>29</x:v>
      </x:c>
      <x:c r="N225" s="71" t="n">
        <x:v>1025371707</x:v>
      </x:c>
      <x:c r="O225" s="72" t="n">
        <x:f aca="0">N225/1000000</x:f>
        <x:v>1025.371707</x:v>
      </x:c>
      <x:c r="P225" s="73" t="n">
        <x:f aca="0">KOHC!H35</x:f>
        <x:v>1025.371707</x:v>
      </x:c>
      <x:c r="Q225" s="70" t="str">
        <x:f aca="0">IF(ABS(O225-P225)&lt;0.000001,"PASS","FAIL")</x:f>
        <x:v>PASS</x:v>
      </x:c>
      <x:c r="R225" s="70" t="s">
        <x:v>28</x:v>
      </x:c>
      <x:c r="S225" s="70"/>
    </x:row>
    <x:row r="226" ht="15" hidden="0">
      <x:c r="A226" s="70" t="s">
        <x:v>1315</x:v>
      </x:c>
      <x:c r="B226" s="70" t="s">
        <x:v>25</x:v>
      </x:c>
      <x:c r="C226" s="70" t="s">
        <x:v>1076</x:v>
      </x:c>
      <x:c r="D226" s="70" t="s">
        <x:v>332</x:v>
      </x:c>
      <x:c r="E226" s="70" t="s">
        <x:v>1129</x:v>
      </x:c>
      <x:c r="F226" s="70" t="s">
        <x:v>1316</x:v>
      </x:c>
      <x:c r="G226" s="70" t="s">
        <x:v>1197</x:v>
      </x:c>
      <x:c r="H226" s="70" t="s">
        <x:v>1198</x:v>
      </x:c>
      <x:c r="I226" s="70" t="s">
        <x:v>1199</x:v>
      </x:c>
      <x:c r="J226" s="70" t="n">
        <x:v>44</x:v>
      </x:c>
      <x:c r="K226" s="70" t="s">
        <x:v>1230</x:v>
      </x:c>
      <x:c r="L226" s="70" t="s">
        <x:v>1317</x:v>
      </x:c>
      <x:c r="M226" s="70" t="s">
        <x:v>29</x:v>
      </x:c>
      <x:c r="N226" s="71" t="n">
        <x:v>2008612970</x:v>
      </x:c>
      <x:c r="O226" s="72" t="n">
        <x:f aca="0">N226/1000000</x:f>
        <x:v>2008.61297</x:v>
      </x:c>
      <x:c r="P226" s="73" t="n">
        <x:f aca="0">KOHC!C39</x:f>
        <x:v>2008.61297</x:v>
      </x:c>
      <x:c r="Q226" s="70" t="str">
        <x:f aca="0">IF(ABS(O226-P226)&lt;0.000001,"PASS","FAIL")</x:f>
        <x:v>PASS</x:v>
      </x:c>
      <x:c r="R226" s="70" t="s">
        <x:v>28</x:v>
      </x:c>
      <x:c r="S226" s="70"/>
    </x:row>
    <x:row r="227" ht="15" hidden="0">
      <x:c r="A227" s="70" t="s">
        <x:v>1318</x:v>
      </x:c>
      <x:c r="B227" s="70" t="s">
        <x:v>25</x:v>
      </x:c>
      <x:c r="C227" s="70" t="s">
        <x:v>73</x:v>
      </x:c>
      <x:c r="D227" s="70" t="s">
        <x:v>332</x:v>
      </x:c>
      <x:c r="E227" s="70" t="s">
        <x:v>1129</x:v>
      </x:c>
      <x:c r="F227" s="70" t="s">
        <x:v>1316</x:v>
      </x:c>
      <x:c r="G227" s="70" t="s">
        <x:v>1203</x:v>
      </x:c>
      <x:c r="H227" s="70" t="s">
        <x:v>1204</x:v>
      </x:c>
      <x:c r="I227" s="70" t="s">
        <x:v>1199</x:v>
      </x:c>
      <x:c r="J227" s="70" t="n">
        <x:v>52</x:v>
      </x:c>
      <x:c r="K227" s="70" t="s">
        <x:v>1230</x:v>
      </x:c>
      <x:c r="L227" s="70" t="s">
        <x:v>1317</x:v>
      </x:c>
      <x:c r="M227" s="70" t="s">
        <x:v>29</x:v>
      </x:c>
      <x:c r="N227" s="71" t="n">
        <x:v>2008612970</x:v>
      </x:c>
      <x:c r="O227" s="72" t="n">
        <x:f aca="0">N227/1000000</x:f>
        <x:v>2008.61297</x:v>
      </x:c>
      <x:c r="P227" s="73" t="n">
        <x:f aca="0">KOHC!D39</x:f>
        <x:v>2008.61297</x:v>
      </x:c>
      <x:c r="Q227" s="70" t="str">
        <x:f aca="0">IF(ABS(O227-P227)&lt;0.000001,"PASS","FAIL")</x:f>
        <x:v>PASS</x:v>
      </x:c>
      <x:c r="R227" s="70" t="s">
        <x:v>28</x:v>
      </x:c>
      <x:c r="S227" s="70"/>
    </x:row>
    <x:row r="228" ht="15" hidden="0">
      <x:c r="A228" s="70" t="s">
        <x:v>1319</x:v>
      </x:c>
      <x:c r="B228" s="70" t="s">
        <x:v>25</x:v>
      </x:c>
      <x:c r="C228" s="70" t="s">
        <x:v>74</x:v>
      </x:c>
      <x:c r="D228" s="70" t="s">
        <x:v>332</x:v>
      </x:c>
      <x:c r="E228" s="70" t="s">
        <x:v>1129</x:v>
      </x:c>
      <x:c r="F228" s="70" t="s">
        <x:v>1316</x:v>
      </x:c>
      <x:c r="G228" s="70" t="s">
        <x:v>1207</x:v>
      </x:c>
      <x:c r="H228" s="70" t="s">
        <x:v>1208</x:v>
      </x:c>
      <x:c r="I228" s="70" t="s">
        <x:v>1199</x:v>
      </x:c>
      <x:c r="J228" s="70" t="n">
        <x:v>52</x:v>
      </x:c>
      <x:c r="K228" s="70" t="s">
        <x:v>1230</x:v>
      </x:c>
      <x:c r="L228" s="70" t="s">
        <x:v>1317</x:v>
      </x:c>
      <x:c r="M228" s="70" t="s">
        <x:v>29</x:v>
      </x:c>
      <x:c r="N228" s="71" t="n">
        <x:v>2008612970</x:v>
      </x:c>
      <x:c r="O228" s="72" t="n">
        <x:f aca="0">N228/1000000</x:f>
        <x:v>2008.61297</x:v>
      </x:c>
      <x:c r="P228" s="73" t="n">
        <x:f aca="0">KOHC!E39</x:f>
        <x:v>2008.61297</x:v>
      </x:c>
      <x:c r="Q228" s="70" t="str">
        <x:f aca="0">IF(ABS(O228-P228)&lt;0.000001,"PASS","FAIL")</x:f>
        <x:v>PASS</x:v>
      </x:c>
      <x:c r="R228" s="70" t="s">
        <x:v>28</x:v>
      </x:c>
      <x:c r="S228" s="70"/>
    </x:row>
    <x:row r="229" ht="15" hidden="0">
      <x:c r="A229" s="70" t="s">
        <x:v>1320</x:v>
      </x:c>
      <x:c r="B229" s="70" t="s">
        <x:v>25</x:v>
      </x:c>
      <x:c r="C229" s="70" t="s">
        <x:v>75</x:v>
      </x:c>
      <x:c r="D229" s="70" t="s">
        <x:v>332</x:v>
      </x:c>
      <x:c r="E229" s="70" t="s">
        <x:v>1129</x:v>
      </x:c>
      <x:c r="F229" s="70" t="s">
        <x:v>1316</x:v>
      </x:c>
      <x:c r="G229" s="70" t="s">
        <x:v>1210</x:v>
      </x:c>
      <x:c r="H229" s="70" t="s">
        <x:v>1211</x:v>
      </x:c>
      <x:c r="I229" s="70" t="s">
        <x:v>1199</x:v>
      </x:c>
      <x:c r="J229" s="70" t="n">
        <x:v>58</x:v>
      </x:c>
      <x:c r="K229" s="70" t="s">
        <x:v>1230</x:v>
      </x:c>
      <x:c r="L229" s="70" t="s">
        <x:v>1317</x:v>
      </x:c>
      <x:c r="M229" s="70" t="s">
        <x:v>29</x:v>
      </x:c>
      <x:c r="N229" s="71" t="n">
        <x:v>2008612970</x:v>
      </x:c>
      <x:c r="O229" s="72" t="n">
        <x:f aca="0">N229/1000000</x:f>
        <x:v>2008.61297</x:v>
      </x:c>
      <x:c r="P229" s="73" t="n">
        <x:f aca="0">KOHC!F39</x:f>
        <x:v>2008.61297</x:v>
      </x:c>
      <x:c r="Q229" s="70" t="str">
        <x:f aca="0">IF(ABS(O229-P229)&lt;0.000001,"PASS","FAIL")</x:f>
        <x:v>PASS</x:v>
      </x:c>
      <x:c r="R229" s="70" t="s">
        <x:v>28</x:v>
      </x:c>
      <x:c r="S229" s="70"/>
    </x:row>
    <x:row r="230" ht="15" hidden="0">
      <x:c r="A230" s="70" t="s">
        <x:v>1321</x:v>
      </x:c>
      <x:c r="B230" s="70" t="s">
        <x:v>25</x:v>
      </x:c>
      <x:c r="C230" s="70" t="s">
        <x:v>76</x:v>
      </x:c>
      <x:c r="D230" s="70" t="s">
        <x:v>332</x:v>
      </x:c>
      <x:c r="E230" s="70" t="s">
        <x:v>1129</x:v>
      </x:c>
      <x:c r="F230" s="70" t="s">
        <x:v>1316</x:v>
      </x:c>
      <x:c r="G230" s="70" t="s">
        <x:v>1214</x:v>
      </x:c>
      <x:c r="H230" s="70" t="s">
        <x:v>1215</x:v>
      </x:c>
      <x:c r="I230" s="70" t="s">
        <x:v>1199</x:v>
      </x:c>
      <x:c r="J230" s="70" t="n">
        <x:v>68</x:v>
      </x:c>
      <x:c r="K230" s="70" t="s">
        <x:v>1235</x:v>
      </x:c>
      <x:c r="L230" s="70" t="s">
        <x:v>1317</x:v>
      </x:c>
      <x:c r="M230" s="70" t="s">
        <x:v>29</x:v>
      </x:c>
      <x:c r="N230" s="71" t="n">
        <x:v>1958612970</x:v>
      </x:c>
      <x:c r="O230" s="72" t="n">
        <x:f aca="0">N230/1000000</x:f>
        <x:v>1958.61297</x:v>
      </x:c>
      <x:c r="P230" s="73" t="n">
        <x:f aca="0">KOHC!G39</x:f>
        <x:v>1958.61297</x:v>
      </x:c>
      <x:c r="Q230" s="70" t="str">
        <x:f aca="0">IF(ABS(O230-P230)&lt;0.000001,"PASS","FAIL")</x:f>
        <x:v>PASS</x:v>
      </x:c>
      <x:c r="R230" s="70" t="s">
        <x:v>28</x:v>
      </x:c>
      <x:c r="S230" s="70"/>
    </x:row>
    <x:row r="231" ht="15" hidden="0">
      <x:c r="A231" s="70" t="s">
        <x:v>1322</x:v>
      </x:c>
      <x:c r="B231" s="70" t="s">
        <x:v>25</x:v>
      </x:c>
      <x:c r="C231" s="70" t="s">
        <x:v>77</x:v>
      </x:c>
      <x:c r="D231" s="70" t="s">
        <x:v>332</x:v>
      </x:c>
      <x:c r="E231" s="70" t="s">
        <x:v>1129</x:v>
      </x:c>
      <x:c r="F231" s="70" t="s">
        <x:v>1316</x:v>
      </x:c>
      <x:c r="G231" s="70" t="s">
        <x:v>1214</x:v>
      </x:c>
      <x:c r="H231" s="70" t="s">
        <x:v>1215</x:v>
      </x:c>
      <x:c r="I231" s="70" t="s">
        <x:v>1218</x:v>
      </x:c>
      <x:c r="J231" s="70" t="n">
        <x:v>68</x:v>
      </x:c>
      <x:c r="K231" s="70" t="s">
        <x:v>1235</x:v>
      </x:c>
      <x:c r="L231" s="70" t="s">
        <x:v>1317</x:v>
      </x:c>
      <x:c r="M231" s="70" t="s">
        <x:v>29</x:v>
      </x:c>
      <x:c r="N231" s="71" t="n">
        <x:v>1838612970</x:v>
      </x:c>
      <x:c r="O231" s="72" t="n">
        <x:f aca="0">N231/1000000</x:f>
        <x:v>1838.61297</x:v>
      </x:c>
      <x:c r="P231" s="73" t="n">
        <x:f aca="0">KOHC!H39</x:f>
        <x:v>1838.61297</x:v>
      </x:c>
      <x:c r="Q231" s="70" t="str">
        <x:f aca="0">IF(ABS(O231-P231)&lt;0.000001,"PASS","FAIL")</x:f>
        <x:v>PASS</x:v>
      </x:c>
      <x:c r="R231" s="70" t="s">
        <x:v>28</x:v>
      </x:c>
      <x:c r="S231" s="70"/>
    </x:row>
    <x:row r="232" ht="15" hidden="0">
      <x:c r="A232" s="70" t="s">
        <x:v>1323</x:v>
      </x:c>
      <x:c r="B232" s="70" t="s">
        <x:v>25</x:v>
      </x:c>
      <x:c r="C232" s="70" t="s">
        <x:v>1076</x:v>
      </x:c>
      <x:c r="D232" s="70" t="s">
        <x:v>334</x:v>
      </x:c>
      <x:c r="E232" s="70" t="s">
        <x:v>1129</x:v>
      </x:c>
      <x:c r="F232" s="70" t="s">
        <x:v>1324</x:v>
      </x:c>
      <x:c r="G232" s="70" t="s">
        <x:v>1197</x:v>
      </x:c>
      <x:c r="H232" s="70" t="s">
        <x:v>1198</x:v>
      </x:c>
      <x:c r="I232" s="70" t="s">
        <x:v>1199</x:v>
      </x:c>
      <x:c r="J232" s="70" t="n">
        <x:v>44</x:v>
      </x:c>
      <x:c r="K232" s="70" t="s">
        <x:v>1230</x:v>
      </x:c>
      <x:c r="L232" s="70"/>
      <x:c r="M232" s="70" t="s">
        <x:v>29</x:v>
      </x:c>
      <x:c r="N232" s="71" t="n">
        <x:v>16718060354</x:v>
      </x:c>
      <x:c r="O232" s="72" t="n">
        <x:f aca="0">N232/1000000</x:f>
        <x:v>16718.060354</x:v>
      </x:c>
      <x:c r="P232" s="73" t="n">
        <x:f aca="0">KOHC!C40</x:f>
        <x:v>16718.060354</x:v>
      </x:c>
      <x:c r="Q232" s="70" t="str">
        <x:f aca="0">IF(ABS(O232-P232)&lt;0.000001,"PASS","FAIL")</x:f>
        <x:v>PASS</x:v>
      </x:c>
      <x:c r="R232" s="70" t="s">
        <x:v>28</x:v>
      </x:c>
      <x:c r="S232" s="70"/>
    </x:row>
    <x:row r="233" ht="15" hidden="0">
      <x:c r="A233" s="70" t="s">
        <x:v>1325</x:v>
      </x:c>
      <x:c r="B233" s="70" t="s">
        <x:v>25</x:v>
      </x:c>
      <x:c r="C233" s="70" t="s">
        <x:v>73</x:v>
      </x:c>
      <x:c r="D233" s="70" t="s">
        <x:v>334</x:v>
      </x:c>
      <x:c r="E233" s="70" t="s">
        <x:v>1129</x:v>
      </x:c>
      <x:c r="F233" s="70" t="s">
        <x:v>1324</x:v>
      </x:c>
      <x:c r="G233" s="70" t="s">
        <x:v>1203</x:v>
      </x:c>
      <x:c r="H233" s="70" t="s">
        <x:v>1204</x:v>
      </x:c>
      <x:c r="I233" s="70" t="s">
        <x:v>1199</x:v>
      </x:c>
      <x:c r="J233" s="70" t="n">
        <x:v>52</x:v>
      </x:c>
      <x:c r="K233" s="70" t="s">
        <x:v>1230</x:v>
      </x:c>
      <x:c r="L233" s="70"/>
      <x:c r="M233" s="70" t="s">
        <x:v>29</x:v>
      </x:c>
      <x:c r="N233" s="71" t="n">
        <x:v>20214926401</x:v>
      </x:c>
      <x:c r="O233" s="72" t="n">
        <x:f aca="0">N233/1000000</x:f>
        <x:v>20214.926401</x:v>
      </x:c>
      <x:c r="P233" s="73" t="n">
        <x:f aca="0">KOHC!D40</x:f>
        <x:v>20214.926401</x:v>
      </x:c>
      <x:c r="Q233" s="70" t="str">
        <x:f aca="0">IF(ABS(O233-P233)&lt;0.000001,"PASS","FAIL")</x:f>
        <x:v>PASS</x:v>
      </x:c>
      <x:c r="R233" s="70" t="s">
        <x:v>28</x:v>
      </x:c>
      <x:c r="S233" s="70"/>
    </x:row>
    <x:row r="234" ht="15" hidden="0">
      <x:c r="A234" s="70" t="s">
        <x:v>1326</x:v>
      </x:c>
      <x:c r="B234" s="70" t="s">
        <x:v>25</x:v>
      </x:c>
      <x:c r="C234" s="70" t="s">
        <x:v>74</x:v>
      </x:c>
      <x:c r="D234" s="70" t="s">
        <x:v>334</x:v>
      </x:c>
      <x:c r="E234" s="70" t="s">
        <x:v>1129</x:v>
      </x:c>
      <x:c r="F234" s="70" t="s">
        <x:v>1324</x:v>
      </x:c>
      <x:c r="G234" s="70" t="s">
        <x:v>1207</x:v>
      </x:c>
      <x:c r="H234" s="70" t="s">
        <x:v>1208</x:v>
      </x:c>
      <x:c r="I234" s="70" t="s">
        <x:v>1199</x:v>
      </x:c>
      <x:c r="J234" s="70" t="n">
        <x:v>52</x:v>
      </x:c>
      <x:c r="K234" s="70" t="s">
        <x:v>1230</x:v>
      </x:c>
      <x:c r="L234" s="70"/>
      <x:c r="M234" s="70" t="s">
        <x:v>29</x:v>
      </x:c>
      <x:c r="N234" s="71" t="n">
        <x:v>25237607261</x:v>
      </x:c>
      <x:c r="O234" s="72" t="n">
        <x:f aca="0">N234/1000000</x:f>
        <x:v>25237.607261</x:v>
      </x:c>
      <x:c r="P234" s="73" t="n">
        <x:f aca="0">KOHC!E40</x:f>
        <x:v>25237.607261</x:v>
      </x:c>
      <x:c r="Q234" s="70" t="str">
        <x:f aca="0">IF(ABS(O234-P234)&lt;0.000001,"PASS","FAIL")</x:f>
        <x:v>PASS</x:v>
      </x:c>
      <x:c r="R234" s="70" t="s">
        <x:v>28</x:v>
      </x:c>
      <x:c r="S234" s="70"/>
    </x:row>
    <x:row r="235" ht="15" hidden="0">
      <x:c r="A235" s="70" t="s">
        <x:v>1327</x:v>
      </x:c>
      <x:c r="B235" s="70" t="s">
        <x:v>25</x:v>
      </x:c>
      <x:c r="C235" s="70" t="s">
        <x:v>75</x:v>
      </x:c>
      <x:c r="D235" s="70" t="s">
        <x:v>334</x:v>
      </x:c>
      <x:c r="E235" s="70" t="s">
        <x:v>1129</x:v>
      </x:c>
      <x:c r="F235" s="70" t="s">
        <x:v>1324</x:v>
      </x:c>
      <x:c r="G235" s="70" t="s">
        <x:v>1210</x:v>
      </x:c>
      <x:c r="H235" s="70" t="s">
        <x:v>1211</x:v>
      </x:c>
      <x:c r="I235" s="70" t="s">
        <x:v>1199</x:v>
      </x:c>
      <x:c r="J235" s="70" t="n">
        <x:v>58</x:v>
      </x:c>
      <x:c r="K235" s="70" t="s">
        <x:v>1230</x:v>
      </x:c>
      <x:c r="L235" s="70"/>
      <x:c r="M235" s="70" t="s">
        <x:v>29</x:v>
      </x:c>
      <x:c r="N235" s="71" t="n">
        <x:v>30601432002</x:v>
      </x:c>
      <x:c r="O235" s="72" t="n">
        <x:f aca="0">N235/1000000</x:f>
        <x:v>30601.432002</x:v>
      </x:c>
      <x:c r="P235" s="73" t="n">
        <x:f aca="0">KOHC!F40</x:f>
        <x:v>30601.432002</x:v>
      </x:c>
      <x:c r="Q235" s="70" t="str">
        <x:f aca="0">IF(ABS(O235-P235)&lt;0.000001,"PASS","FAIL")</x:f>
        <x:v>PASS</x:v>
      </x:c>
      <x:c r="R235" s="70" t="s">
        <x:v>28</x:v>
      </x:c>
      <x:c r="S235" s="70"/>
    </x:row>
    <x:row r="236" ht="15" hidden="0">
      <x:c r="A236" s="70" t="s">
        <x:v>1328</x:v>
      </x:c>
      <x:c r="B236" s="70" t="s">
        <x:v>25</x:v>
      </x:c>
      <x:c r="C236" s="70" t="s">
        <x:v>76</x:v>
      </x:c>
      <x:c r="D236" s="70" t="s">
        <x:v>334</x:v>
      </x:c>
      <x:c r="E236" s="70" t="s">
        <x:v>1129</x:v>
      </x:c>
      <x:c r="F236" s="70" t="s">
        <x:v>1324</x:v>
      </x:c>
      <x:c r="G236" s="70" t="s">
        <x:v>1214</x:v>
      </x:c>
      <x:c r="H236" s="70" t="s">
        <x:v>1215</x:v>
      </x:c>
      <x:c r="I236" s="70" t="s">
        <x:v>1199</x:v>
      </x:c>
      <x:c r="J236" s="70" t="n">
        <x:v>68</x:v>
      </x:c>
      <x:c r="K236" s="70" t="s">
        <x:v>1235</x:v>
      </x:c>
      <x:c r="L236" s="70"/>
      <x:c r="M236" s="70" t="s">
        <x:v>29</x:v>
      </x:c>
      <x:c r="N236" s="71" t="n">
        <x:v>39131692321</x:v>
      </x:c>
      <x:c r="O236" s="72" t="n">
        <x:f aca="0">N236/1000000</x:f>
        <x:v>39131.692321</x:v>
      </x:c>
      <x:c r="P236" s="73" t="n">
        <x:f aca="0">KOHC!G40</x:f>
        <x:v>39131.692321</x:v>
      </x:c>
      <x:c r="Q236" s="70" t="str">
        <x:f aca="0">IF(ABS(O236-P236)&lt;0.000001,"PASS","FAIL")</x:f>
        <x:v>PASS</x:v>
      </x:c>
      <x:c r="R236" s="70" t="s">
        <x:v>28</x:v>
      </x:c>
      <x:c r="S236" s="70"/>
    </x:row>
    <x:row r="237" ht="15" hidden="0">
      <x:c r="A237" s="70" t="s">
        <x:v>1329</x:v>
      </x:c>
      <x:c r="B237" s="70" t="s">
        <x:v>25</x:v>
      </x:c>
      <x:c r="C237" s="70" t="s">
        <x:v>77</x:v>
      </x:c>
      <x:c r="D237" s="70" t="s">
        <x:v>334</x:v>
      </x:c>
      <x:c r="E237" s="70" t="s">
        <x:v>1129</x:v>
      </x:c>
      <x:c r="F237" s="70" t="s">
        <x:v>1324</x:v>
      </x:c>
      <x:c r="G237" s="70" t="s">
        <x:v>1214</x:v>
      </x:c>
      <x:c r="H237" s="70" t="s">
        <x:v>1215</x:v>
      </x:c>
      <x:c r="I237" s="70" t="s">
        <x:v>1218</x:v>
      </x:c>
      <x:c r="J237" s="70" t="n">
        <x:v>68</x:v>
      </x:c>
      <x:c r="K237" s="70" t="s">
        <x:v>1235</x:v>
      </x:c>
      <x:c r="L237" s="70"/>
      <x:c r="M237" s="70" t="s">
        <x:v>29</x:v>
      </x:c>
      <x:c r="N237" s="71" t="n">
        <x:v>46116581817</x:v>
      </x:c>
      <x:c r="O237" s="72" t="n">
        <x:f aca="0">N237/1000000</x:f>
        <x:v>46116.581817</x:v>
      </x:c>
      <x:c r="P237" s="73" t="n">
        <x:f aca="0">KOHC!H40</x:f>
        <x:v>46116.581817</x:v>
      </x:c>
      <x:c r="Q237" s="70" t="str">
        <x:f aca="0">IF(ABS(O237-P237)&lt;0.000001,"PASS","FAIL")</x:f>
        <x:v>PASS</x:v>
      </x:c>
      <x:c r="R237" s="70" t="s">
        <x:v>28</x:v>
      </x:c>
      <x:c r="S237" s="70"/>
    </x:row>
    <x:row r="238" ht="15" hidden="0">
      <x:c r="A238" s="70" t="s">
        <x:v>1330</x:v>
      </x:c>
      <x:c r="B238" s="70" t="s">
        <x:v>25</x:v>
      </x:c>
      <x:c r="C238" s="70" t="s">
        <x:v>1076</x:v>
      </x:c>
      <x:c r="D238" s="70" t="s">
        <x:v>339</x:v>
      </x:c>
      <x:c r="E238" s="70" t="s">
        <x:v>1129</x:v>
      </x:c>
      <x:c r="F238" s="70" t="s">
        <x:v>1331</x:v>
      </x:c>
      <x:c r="G238" s="70" t="s">
        <x:v>1197</x:v>
      </x:c>
      <x:c r="H238" s="70" t="s">
        <x:v>1198</x:v>
      </x:c>
      <x:c r="I238" s="70" t="s">
        <x:v>1199</x:v>
      </x:c>
      <x:c r="J238" s="70" t="n">
        <x:v>44</x:v>
      </x:c>
      <x:c r="K238" s="70" t="s">
        <x:v>1230</x:v>
      </x:c>
      <x:c r="L238" s="70" t="s">
        <x:v>1332</x:v>
      </x:c>
      <x:c r="M238" s="70" t="s">
        <x:v>29</x:v>
      </x:c>
      <x:c r="N238" s="71" t="n">
        <x:v>5439226142</x:v>
      </x:c>
      <x:c r="O238" s="72" t="n">
        <x:f aca="0">N238/1000000</x:f>
        <x:v>5439.226142</x:v>
      </x:c>
      <x:c r="P238" s="73" t="n">
        <x:f aca="0">KOHC!C43</x:f>
        <x:v>5439.226142</x:v>
      </x:c>
      <x:c r="Q238" s="70" t="str">
        <x:f aca="0">IF(ABS(O238-P238)&lt;0.000001,"PASS","FAIL")</x:f>
        <x:v>PASS</x:v>
      </x:c>
      <x:c r="R238" s="70" t="s">
        <x:v>28</x:v>
      </x:c>
      <x:c r="S238" s="70"/>
    </x:row>
    <x:row r="239" ht="15" hidden="0">
      <x:c r="A239" s="70" t="s">
        <x:v>1333</x:v>
      </x:c>
      <x:c r="B239" s="70" t="s">
        <x:v>25</x:v>
      </x:c>
      <x:c r="C239" s="70" t="s">
        <x:v>73</x:v>
      </x:c>
      <x:c r="D239" s="70" t="s">
        <x:v>339</x:v>
      </x:c>
      <x:c r="E239" s="70" t="s">
        <x:v>1129</x:v>
      </x:c>
      <x:c r="F239" s="70" t="s">
        <x:v>1331</x:v>
      </x:c>
      <x:c r="G239" s="70" t="s">
        <x:v>1203</x:v>
      </x:c>
      <x:c r="H239" s="70" t="s">
        <x:v>1204</x:v>
      </x:c>
      <x:c r="I239" s="70" t="s">
        <x:v>1199</x:v>
      </x:c>
      <x:c r="J239" s="70" t="n">
        <x:v>52</x:v>
      </x:c>
      <x:c r="K239" s="70" t="s">
        <x:v>1230</x:v>
      </x:c>
      <x:c r="L239" s="70" t="s">
        <x:v>1332</x:v>
      </x:c>
      <x:c r="M239" s="70" t="s">
        <x:v>29</x:v>
      </x:c>
      <x:c r="N239" s="71" t="n">
        <x:v>4405765306</x:v>
      </x:c>
      <x:c r="O239" s="72" t="n">
        <x:f aca="0">N239/1000000</x:f>
        <x:v>4405.765306</x:v>
      </x:c>
      <x:c r="P239" s="73" t="n">
        <x:f aca="0">KOHC!D43</x:f>
        <x:v>4405.765306</x:v>
      </x:c>
      <x:c r="Q239" s="70" t="str">
        <x:f aca="0">IF(ABS(O239-P239)&lt;0.000001,"PASS","FAIL")</x:f>
        <x:v>PASS</x:v>
      </x:c>
      <x:c r="R239" s="70" t="s">
        <x:v>28</x:v>
      </x:c>
      <x:c r="S239" s="70"/>
    </x:row>
    <x:row r="240" ht="15" hidden="0">
      <x:c r="A240" s="70" t="s">
        <x:v>1334</x:v>
      </x:c>
      <x:c r="B240" s="70" t="s">
        <x:v>25</x:v>
      </x:c>
      <x:c r="C240" s="70" t="s">
        <x:v>74</x:v>
      </x:c>
      <x:c r="D240" s="70" t="s">
        <x:v>339</x:v>
      </x:c>
      <x:c r="E240" s="70" t="s">
        <x:v>1129</x:v>
      </x:c>
      <x:c r="F240" s="70" t="s">
        <x:v>1331</x:v>
      </x:c>
      <x:c r="G240" s="70" t="s">
        <x:v>1207</x:v>
      </x:c>
      <x:c r="H240" s="70" t="s">
        <x:v>1208</x:v>
      </x:c>
      <x:c r="I240" s="70" t="s">
        <x:v>1199</x:v>
      </x:c>
      <x:c r="J240" s="70" t="n">
        <x:v>52</x:v>
      </x:c>
      <x:c r="K240" s="70" t="s">
        <x:v>1230</x:v>
      </x:c>
      <x:c r="L240" s="70" t="s">
        <x:v>1332</x:v>
      </x:c>
      <x:c r="M240" s="70" t="s">
        <x:v>29</x:v>
      </x:c>
      <x:c r="N240" s="71" t="n">
        <x:v>3179400118</x:v>
      </x:c>
      <x:c r="O240" s="72" t="n">
        <x:f aca="0">N240/1000000</x:f>
        <x:v>3179.400118</x:v>
      </x:c>
      <x:c r="P240" s="73" t="n">
        <x:f aca="0">KOHC!E43</x:f>
        <x:v>3179.400118</x:v>
      </x:c>
      <x:c r="Q240" s="70" t="str">
        <x:f aca="0">IF(ABS(O240-P240)&lt;0.000001,"PASS","FAIL")</x:f>
        <x:v>PASS</x:v>
      </x:c>
      <x:c r="R240" s="70" t="s">
        <x:v>28</x:v>
      </x:c>
      <x:c r="S240" s="70"/>
    </x:row>
    <x:row r="241" ht="15" hidden="0">
      <x:c r="A241" s="70" t="s">
        <x:v>1335</x:v>
      </x:c>
      <x:c r="B241" s="70" t="s">
        <x:v>25</x:v>
      </x:c>
      <x:c r="C241" s="70" t="s">
        <x:v>75</x:v>
      </x:c>
      <x:c r="D241" s="70" t="s">
        <x:v>339</x:v>
      </x:c>
      <x:c r="E241" s="70" t="s">
        <x:v>1129</x:v>
      </x:c>
      <x:c r="F241" s="70" t="s">
        <x:v>1331</x:v>
      </x:c>
      <x:c r="G241" s="70" t="s">
        <x:v>1210</x:v>
      </x:c>
      <x:c r="H241" s="70" t="s">
        <x:v>1211</x:v>
      </x:c>
      <x:c r="I241" s="70" t="s">
        <x:v>1199</x:v>
      </x:c>
      <x:c r="J241" s="70" t="n">
        <x:v>58</x:v>
      </x:c>
      <x:c r="K241" s="70" t="s">
        <x:v>1230</x:v>
      </x:c>
      <x:c r="L241" s="70" t="s">
        <x:v>1332</x:v>
      </x:c>
      <x:c r="M241" s="70" t="s">
        <x:v>29</x:v>
      </x:c>
      <x:c r="N241" s="71" t="n">
        <x:v>2149017375</x:v>
      </x:c>
      <x:c r="O241" s="72" t="n">
        <x:f aca="0">N241/1000000</x:f>
        <x:v>2149.017375</x:v>
      </x:c>
      <x:c r="P241" s="73" t="n">
        <x:f aca="0">KOHC!F43</x:f>
        <x:v>2149.017375</x:v>
      </x:c>
      <x:c r="Q241" s="70" t="str">
        <x:f aca="0">IF(ABS(O241-P241)&lt;0.000001,"PASS","FAIL")</x:f>
        <x:v>PASS</x:v>
      </x:c>
      <x:c r="R241" s="70" t="s">
        <x:v>28</x:v>
      </x:c>
      <x:c r="S241" s="70"/>
    </x:row>
    <x:row r="242" ht="15" hidden="0">
      <x:c r="A242" s="70" t="s">
        <x:v>1336</x:v>
      </x:c>
      <x:c r="B242" s="70" t="s">
        <x:v>25</x:v>
      </x:c>
      <x:c r="C242" s="70" t="s">
        <x:v>76</x:v>
      </x:c>
      <x:c r="D242" s="70" t="s">
        <x:v>339</x:v>
      </x:c>
      <x:c r="E242" s="70" t="s">
        <x:v>1129</x:v>
      </x:c>
      <x:c r="F242" s="70" t="s">
        <x:v>1331</x:v>
      </x:c>
      <x:c r="G242" s="70" t="s">
        <x:v>1214</x:v>
      </x:c>
      <x:c r="H242" s="70" t="s">
        <x:v>1215</x:v>
      </x:c>
      <x:c r="I242" s="70" t="s">
        <x:v>1199</x:v>
      </x:c>
      <x:c r="J242" s="70" t="n">
        <x:v>68</x:v>
      </x:c>
      <x:c r="K242" s="70" t="s">
        <x:v>1235</x:v>
      </x:c>
      <x:c r="L242" s="70" t="s">
        <x:v>1332</x:v>
      </x:c>
      <x:c r="M242" s="70" t="s">
        <x:v>29</x:v>
      </x:c>
      <x:c r="N242" s="71" t="n">
        <x:v>1118642478</x:v>
      </x:c>
      <x:c r="O242" s="72" t="n">
        <x:f aca="0">N242/1000000</x:f>
        <x:v>1118.642478</x:v>
      </x:c>
      <x:c r="P242" s="73" t="n">
        <x:f aca="0">KOHC!G43</x:f>
        <x:v>1118.642478</x:v>
      </x:c>
      <x:c r="Q242" s="70" t="str">
        <x:f aca="0">IF(ABS(O242-P242)&lt;0.000001,"PASS","FAIL")</x:f>
        <x:v>PASS</x:v>
      </x:c>
      <x:c r="R242" s="70" t="s">
        <x:v>28</x:v>
      </x:c>
      <x:c r="S242" s="70"/>
    </x:row>
    <x:row r="243" ht="15" hidden="0">
      <x:c r="A243" s="70" t="s">
        <x:v>1337</x:v>
      </x:c>
      <x:c r="B243" s="70" t="s">
        <x:v>25</x:v>
      </x:c>
      <x:c r="C243" s="70" t="s">
        <x:v>77</x:v>
      </x:c>
      <x:c r="D243" s="70" t="s">
        <x:v>339</x:v>
      </x:c>
      <x:c r="E243" s="70" t="s">
        <x:v>1129</x:v>
      </x:c>
      <x:c r="F243" s="70" t="s">
        <x:v>1331</x:v>
      </x:c>
      <x:c r="G243" s="70" t="s">
        <x:v>1214</x:v>
      </x:c>
      <x:c r="H243" s="70" t="s">
        <x:v>1215</x:v>
      </x:c>
      <x:c r="I243" s="70" t="s">
        <x:v>1218</x:v>
      </x:c>
      <x:c r="J243" s="70" t="n">
        <x:v>68</x:v>
      </x:c>
      <x:c r="K243" s="70" t="s">
        <x:v>1235</x:v>
      </x:c>
      <x:c r="L243" s="70" t="s">
        <x:v>1332</x:v>
      </x:c>
      <x:c r="M243" s="70" t="s">
        <x:v>29</x:v>
      </x:c>
      <x:c r="N243" s="71" t="n">
        <x:v>1448977799</x:v>
      </x:c>
      <x:c r="O243" s="72" t="n">
        <x:f aca="0">N243/1000000</x:f>
        <x:v>1448.977799</x:v>
      </x:c>
      <x:c r="P243" s="73" t="n">
        <x:f aca="0">KOHC!H43</x:f>
        <x:v>1448.977799</x:v>
      </x:c>
      <x:c r="Q243" s="70" t="str">
        <x:f aca="0">IF(ABS(O243-P243)&lt;0.000001,"PASS","FAIL")</x:f>
        <x:v>PASS</x:v>
      </x:c>
      <x:c r="R243" s="70" t="s">
        <x:v>28</x:v>
      </x:c>
      <x:c r="S243" s="70"/>
    </x:row>
    <x:row r="244" ht="15" hidden="0">
      <x:c r="A244" s="70" t="s">
        <x:v>1338</x:v>
      </x:c>
      <x:c r="B244" s="70" t="s">
        <x:v>25</x:v>
      </x:c>
      <x:c r="C244" s="70" t="s">
        <x:v>1076</x:v>
      </x:c>
      <x:c r="D244" s="70" t="s">
        <x:v>341</x:v>
      </x:c>
      <x:c r="E244" s="70" t="s">
        <x:v>1129</x:v>
      </x:c>
      <x:c r="F244" s="70"/>
      <x:c r="G244" s="70" t="s">
        <x:v>1197</x:v>
      </x:c>
      <x:c r="H244" s="70" t="s">
        <x:v>1198</x:v>
      </x:c>
      <x:c r="I244" s="70" t="s">
        <x:v>1199</x:v>
      </x:c>
      <x:c r="J244" s="70" t="n">
        <x:v>44</x:v>
      </x:c>
      <x:c r="K244" s="70" t="s">
        <x:v>1230</x:v>
      </x:c>
      <x:c r="L244" s="70"/>
      <x:c r="M244" s="70" t="s">
        <x:v>29</x:v>
      </x:c>
      <x:c r="N244" s="71" t="n">
        <x:v>0</x:v>
      </x:c>
      <x:c r="O244" s="72" t="n">
        <x:f aca="0">N244/1000000</x:f>
        <x:v>0</x:v>
      </x:c>
      <x:c r="P244" s="73" t="n">
        <x:f aca="0">KOHC!C44</x:f>
        <x:v>0</x:v>
      </x:c>
      <x:c r="Q244" s="70" t="str">
        <x:f aca="0">IF(ABS(O244-P244)&lt;0.000001,"PASS","FAIL")</x:f>
        <x:v>PASS</x:v>
      </x:c>
      <x:c r="R244" s="70" t="s">
        <x:v>28</x:v>
      </x:c>
      <x:c r="S244" s="70"/>
    </x:row>
    <x:row r="245" ht="15" hidden="0">
      <x:c r="A245" s="70" t="s">
        <x:v>1339</x:v>
      </x:c>
      <x:c r="B245" s="70" t="s">
        <x:v>25</x:v>
      </x:c>
      <x:c r="C245" s="70" t="s">
        <x:v>73</x:v>
      </x:c>
      <x:c r="D245" s="70" t="s">
        <x:v>341</x:v>
      </x:c>
      <x:c r="E245" s="70" t="s">
        <x:v>1129</x:v>
      </x:c>
      <x:c r="F245" s="70"/>
      <x:c r="G245" s="70" t="s">
        <x:v>1203</x:v>
      </x:c>
      <x:c r="H245" s="70" t="s">
        <x:v>1204</x:v>
      </x:c>
      <x:c r="I245" s="70" t="s">
        <x:v>1199</x:v>
      </x:c>
      <x:c r="J245" s="70" t="n">
        <x:v>52</x:v>
      </x:c>
      <x:c r="K245" s="70" t="s">
        <x:v>1230</x:v>
      </x:c>
      <x:c r="L245" s="70"/>
      <x:c r="M245" s="70" t="s">
        <x:v>29</x:v>
      </x:c>
      <x:c r="N245" s="71" t="n">
        <x:v>0</x:v>
      </x:c>
      <x:c r="O245" s="72" t="n">
        <x:f aca="0">N245/1000000</x:f>
        <x:v>0</x:v>
      </x:c>
      <x:c r="P245" s="73" t="n">
        <x:f aca="0">KOHC!D44</x:f>
        <x:v>0</x:v>
      </x:c>
      <x:c r="Q245" s="70" t="str">
        <x:f aca="0">IF(ABS(O245-P245)&lt;0.000001,"PASS","FAIL")</x:f>
        <x:v>PASS</x:v>
      </x:c>
      <x:c r="R245" s="70" t="s">
        <x:v>28</x:v>
      </x:c>
      <x:c r="S245" s="70"/>
    </x:row>
    <x:row r="246" ht="15" hidden="0">
      <x:c r="A246" s="70" t="s">
        <x:v>1340</x:v>
      </x:c>
      <x:c r="B246" s="70" t="s">
        <x:v>25</x:v>
      </x:c>
      <x:c r="C246" s="70" t="s">
        <x:v>74</x:v>
      </x:c>
      <x:c r="D246" s="70" t="s">
        <x:v>341</x:v>
      </x:c>
      <x:c r="E246" s="70" t="s">
        <x:v>1129</x:v>
      </x:c>
      <x:c r="F246" s="70"/>
      <x:c r="G246" s="70" t="s">
        <x:v>1207</x:v>
      </x:c>
      <x:c r="H246" s="70" t="s">
        <x:v>1208</x:v>
      </x:c>
      <x:c r="I246" s="70" t="s">
        <x:v>1199</x:v>
      </x:c>
      <x:c r="J246" s="70" t="n">
        <x:v>52</x:v>
      </x:c>
      <x:c r="K246" s="70" t="s">
        <x:v>1230</x:v>
      </x:c>
      <x:c r="L246" s="70"/>
      <x:c r="M246" s="70" t="s">
        <x:v>29</x:v>
      </x:c>
      <x:c r="N246" s="71" t="n">
        <x:v>0</x:v>
      </x:c>
      <x:c r="O246" s="72" t="n">
        <x:f aca="0">N246/1000000</x:f>
        <x:v>0</x:v>
      </x:c>
      <x:c r="P246" s="73" t="n">
        <x:f aca="0">KOHC!E44</x:f>
        <x:v>0</x:v>
      </x:c>
      <x:c r="Q246" s="70" t="str">
        <x:f aca="0">IF(ABS(O246-P246)&lt;0.000001,"PASS","FAIL")</x:f>
        <x:v>PASS</x:v>
      </x:c>
      <x:c r="R246" s="70" t="s">
        <x:v>28</x:v>
      </x:c>
      <x:c r="S246" s="70"/>
    </x:row>
    <x:row r="247" ht="15" hidden="0">
      <x:c r="A247" s="70" t="s">
        <x:v>1341</x:v>
      </x:c>
      <x:c r="B247" s="70" t="s">
        <x:v>25</x:v>
      </x:c>
      <x:c r="C247" s="70" t="s">
        <x:v>75</x:v>
      </x:c>
      <x:c r="D247" s="70" t="s">
        <x:v>341</x:v>
      </x:c>
      <x:c r="E247" s="70" t="s">
        <x:v>1129</x:v>
      </x:c>
      <x:c r="F247" s="70"/>
      <x:c r="G247" s="70" t="s">
        <x:v>1210</x:v>
      </x:c>
      <x:c r="H247" s="70" t="s">
        <x:v>1211</x:v>
      </x:c>
      <x:c r="I247" s="70" t="s">
        <x:v>1199</x:v>
      </x:c>
      <x:c r="J247" s="70" t="n">
        <x:v>58</x:v>
      </x:c>
      <x:c r="K247" s="70" t="s">
        <x:v>1230</x:v>
      </x:c>
      <x:c r="L247" s="70"/>
      <x:c r="M247" s="70" t="s">
        <x:v>29</x:v>
      </x:c>
      <x:c r="N247" s="71" t="n">
        <x:v>0</x:v>
      </x:c>
      <x:c r="O247" s="72" t="n">
        <x:f aca="0">N247/1000000</x:f>
        <x:v>0</x:v>
      </x:c>
      <x:c r="P247" s="73" t="n">
        <x:f aca="0">KOHC!F44</x:f>
        <x:v>0</x:v>
      </x:c>
      <x:c r="Q247" s="70" t="str">
        <x:f aca="0">IF(ABS(O247-P247)&lt;0.000001,"PASS","FAIL")</x:f>
        <x:v>PASS</x:v>
      </x:c>
      <x:c r="R247" s="70" t="s">
        <x:v>28</x:v>
      </x:c>
      <x:c r="S247" s="70"/>
    </x:row>
    <x:row r="248" ht="15" hidden="0">
      <x:c r="A248" s="70" t="s">
        <x:v>1342</x:v>
      </x:c>
      <x:c r="B248" s="70" t="s">
        <x:v>25</x:v>
      </x:c>
      <x:c r="C248" s="70" t="s">
        <x:v>76</x:v>
      </x:c>
      <x:c r="D248" s="70" t="s">
        <x:v>341</x:v>
      </x:c>
      <x:c r="E248" s="70" t="s">
        <x:v>1129</x:v>
      </x:c>
      <x:c r="F248" s="70"/>
      <x:c r="G248" s="70" t="s">
        <x:v>1214</x:v>
      </x:c>
      <x:c r="H248" s="70" t="s">
        <x:v>1215</x:v>
      </x:c>
      <x:c r="I248" s="70" t="s">
        <x:v>1199</x:v>
      </x:c>
      <x:c r="J248" s="70" t="n">
        <x:v>68</x:v>
      </x:c>
      <x:c r="K248" s="70" t="s">
        <x:v>1235</x:v>
      </x:c>
      <x:c r="L248" s="70"/>
      <x:c r="M248" s="70" t="s">
        <x:v>29</x:v>
      </x:c>
      <x:c r="N248" s="71" t="n">
        <x:v>0</x:v>
      </x:c>
      <x:c r="O248" s="72" t="n">
        <x:f aca="0">N248/1000000</x:f>
        <x:v>0</x:v>
      </x:c>
      <x:c r="P248" s="73" t="n">
        <x:f aca="0">KOHC!G44</x:f>
        <x:v>0</x:v>
      </x:c>
      <x:c r="Q248" s="70" t="str">
        <x:f aca="0">IF(ABS(O248-P248)&lt;0.000001,"PASS","FAIL")</x:f>
        <x:v>PASS</x:v>
      </x:c>
      <x:c r="R248" s="70" t="s">
        <x:v>28</x:v>
      </x:c>
      <x:c r="S248" s="70"/>
    </x:row>
    <x:row r="249" ht="15" hidden="0">
      <x:c r="A249" s="70" t="s">
        <x:v>1343</x:v>
      </x:c>
      <x:c r="B249" s="70" t="s">
        <x:v>25</x:v>
      </x:c>
      <x:c r="C249" s="70" t="s">
        <x:v>77</x:v>
      </x:c>
      <x:c r="D249" s="70" t="s">
        <x:v>341</x:v>
      </x:c>
      <x:c r="E249" s="70" t="s">
        <x:v>1129</x:v>
      </x:c>
      <x:c r="F249" s="70"/>
      <x:c r="G249" s="70" t="s">
        <x:v>1214</x:v>
      </x:c>
      <x:c r="H249" s="70" t="s">
        <x:v>1215</x:v>
      </x:c>
      <x:c r="I249" s="70" t="s">
        <x:v>1218</x:v>
      </x:c>
      <x:c r="J249" s="70" t="n">
        <x:v>68</x:v>
      </x:c>
      <x:c r="K249" s="70" t="s">
        <x:v>1235</x:v>
      </x:c>
      <x:c r="L249" s="70"/>
      <x:c r="M249" s="70" t="s">
        <x:v>29</x:v>
      </x:c>
      <x:c r="N249" s="71" t="n">
        <x:v>0</x:v>
      </x:c>
      <x:c r="O249" s="72" t="n">
        <x:f aca="0">N249/1000000</x:f>
        <x:v>0</x:v>
      </x:c>
      <x:c r="P249" s="73" t="n">
        <x:f aca="0">KOHC!H44</x:f>
        <x:v>0</x:v>
      </x:c>
      <x:c r="Q249" s="70" t="str">
        <x:f aca="0">IF(ABS(O249-P249)&lt;0.000001,"PASS","FAIL")</x:f>
        <x:v>PASS</x:v>
      </x:c>
      <x:c r="R249" s="70" t="s">
        <x:v>28</x:v>
      </x:c>
      <x:c r="S249" s="70"/>
    </x:row>
    <x:row r="250" ht="15" hidden="0">
      <x:c r="A250" s="70" t="s">
        <x:v>1344</x:v>
      </x:c>
      <x:c r="B250" s="70" t="s">
        <x:v>25</x:v>
      </x:c>
      <x:c r="C250" s="70" t="s">
        <x:v>1076</x:v>
      </x:c>
      <x:c r="D250" s="70" t="s">
        <x:v>343</x:v>
      </x:c>
      <x:c r="E250" s="70" t="s">
        <x:v>1129</x:v>
      </x:c>
      <x:c r="F250" s="70" t="s">
        <x:v>1345</x:v>
      </x:c>
      <x:c r="G250" s="70" t="s">
        <x:v>1197</x:v>
      </x:c>
      <x:c r="H250" s="70" t="s">
        <x:v>1198</x:v>
      </x:c>
      <x:c r="I250" s="70" t="s">
        <x:v>1199</x:v>
      </x:c>
      <x:c r="J250" s="70" t="n">
        <x:v>44</x:v>
      </x:c>
      <x:c r="K250" s="70" t="s">
        <x:v>1230</x:v>
      </x:c>
      <x:c r="L250" s="70" t="s">
        <x:v>1346</x:v>
      </x:c>
      <x:c r="M250" s="70" t="s">
        <x:v>29</x:v>
      </x:c>
      <x:c r="N250" s="71" t="n">
        <x:v>0</x:v>
      </x:c>
      <x:c r="O250" s="72" t="n">
        <x:f aca="0">N250/1000000</x:f>
        <x:v>0</x:v>
      </x:c>
      <x:c r="P250" s="73" t="n">
        <x:f aca="0">KOHC!C45</x:f>
        <x:v>0</x:v>
      </x:c>
      <x:c r="Q250" s="70" t="str">
        <x:f aca="0">IF(ABS(O250-P250)&lt;0.000001,"PASS","FAIL")</x:f>
        <x:v>PASS</x:v>
      </x:c>
      <x:c r="R250" s="70" t="s">
        <x:v>28</x:v>
      </x:c>
      <x:c r="S250" s="70"/>
    </x:row>
    <x:row r="251" ht="15" hidden="0">
      <x:c r="A251" s="70" t="s">
        <x:v>1347</x:v>
      </x:c>
      <x:c r="B251" s="70" t="s">
        <x:v>25</x:v>
      </x:c>
      <x:c r="C251" s="70" t="s">
        <x:v>73</x:v>
      </x:c>
      <x:c r="D251" s="70" t="s">
        <x:v>343</x:v>
      </x:c>
      <x:c r="E251" s="70" t="s">
        <x:v>1129</x:v>
      </x:c>
      <x:c r="F251" s="70" t="s">
        <x:v>1345</x:v>
      </x:c>
      <x:c r="G251" s="70" t="s">
        <x:v>1203</x:v>
      </x:c>
      <x:c r="H251" s="70" t="s">
        <x:v>1204</x:v>
      </x:c>
      <x:c r="I251" s="70" t="s">
        <x:v>1199</x:v>
      </x:c>
      <x:c r="J251" s="70" t="n">
        <x:v>52</x:v>
      </x:c>
      <x:c r="K251" s="70" t="s">
        <x:v>1230</x:v>
      </x:c>
      <x:c r="L251" s="70" t="s">
        <x:v>1346</x:v>
      </x:c>
      <x:c r="M251" s="70" t="s">
        <x:v>29</x:v>
      </x:c>
      <x:c r="N251" s="71" t="n">
        <x:v>1328937</x:v>
      </x:c>
      <x:c r="O251" s="72" t="n">
        <x:f aca="0">N251/1000000</x:f>
        <x:v>1.328937</x:v>
      </x:c>
      <x:c r="P251" s="73" t="n">
        <x:f aca="0">KOHC!D45</x:f>
        <x:v>1.328937</x:v>
      </x:c>
      <x:c r="Q251" s="70" t="str">
        <x:f aca="0">IF(ABS(O251-P251)&lt;0.000001,"PASS","FAIL")</x:f>
        <x:v>PASS</x:v>
      </x:c>
      <x:c r="R251" s="70" t="s">
        <x:v>28</x:v>
      </x:c>
      <x:c r="S251" s="70"/>
    </x:row>
    <x:row r="252" ht="15" hidden="0">
      <x:c r="A252" s="70" t="s">
        <x:v>1348</x:v>
      </x:c>
      <x:c r="B252" s="70" t="s">
        <x:v>25</x:v>
      </x:c>
      <x:c r="C252" s="70" t="s">
        <x:v>74</x:v>
      </x:c>
      <x:c r="D252" s="70" t="s">
        <x:v>343</x:v>
      </x:c>
      <x:c r="E252" s="70" t="s">
        <x:v>1129</x:v>
      </x:c>
      <x:c r="F252" s="70"/>
      <x:c r="G252" s="70" t="s">
        <x:v>1207</x:v>
      </x:c>
      <x:c r="H252" s="70" t="s">
        <x:v>1208</x:v>
      </x:c>
      <x:c r="I252" s="70" t="s">
        <x:v>1199</x:v>
      </x:c>
      <x:c r="J252" s="70" t="n">
        <x:v>52</x:v>
      </x:c>
      <x:c r="K252" s="70" t="s">
        <x:v>1230</x:v>
      </x:c>
      <x:c r="L252" s="70"/>
      <x:c r="M252" s="70" t="s">
        <x:v>29</x:v>
      </x:c>
      <x:c r="N252" s="71" t="n">
        <x:v>0</x:v>
      </x:c>
      <x:c r="O252" s="72" t="n">
        <x:f aca="0">N252/1000000</x:f>
        <x:v>0</x:v>
      </x:c>
      <x:c r="P252" s="73" t="n">
        <x:f aca="0">KOHC!E45</x:f>
        <x:v>0</x:v>
      </x:c>
      <x:c r="Q252" s="70" t="str">
        <x:f aca="0">IF(ABS(O252-P252)&lt;0.000001,"PASS","FAIL")</x:f>
        <x:v>PASS</x:v>
      </x:c>
      <x:c r="R252" s="70" t="s">
        <x:v>28</x:v>
      </x:c>
      <x:c r="S252" s="70"/>
    </x:row>
    <x:row r="253" ht="15" hidden="0">
      <x:c r="A253" s="70" t="s">
        <x:v>1349</x:v>
      </x:c>
      <x:c r="B253" s="70" t="s">
        <x:v>25</x:v>
      </x:c>
      <x:c r="C253" s="70" t="s">
        <x:v>75</x:v>
      </x:c>
      <x:c r="D253" s="70" t="s">
        <x:v>343</x:v>
      </x:c>
      <x:c r="E253" s="70" t="s">
        <x:v>1129</x:v>
      </x:c>
      <x:c r="F253" s="70"/>
      <x:c r="G253" s="70" t="s">
        <x:v>1210</x:v>
      </x:c>
      <x:c r="H253" s="70" t="s">
        <x:v>1211</x:v>
      </x:c>
      <x:c r="I253" s="70" t="s">
        <x:v>1199</x:v>
      </x:c>
      <x:c r="J253" s="70" t="n">
        <x:v>58</x:v>
      </x:c>
      <x:c r="K253" s="70" t="s">
        <x:v>1230</x:v>
      </x:c>
      <x:c r="L253" s="70"/>
      <x:c r="M253" s="70" t="s">
        <x:v>29</x:v>
      </x:c>
      <x:c r="N253" s="71" t="n">
        <x:v>0</x:v>
      </x:c>
      <x:c r="O253" s="72" t="n">
        <x:f aca="0">N253/1000000</x:f>
        <x:v>0</x:v>
      </x:c>
      <x:c r="P253" s="73" t="n">
        <x:f aca="0">KOHC!F45</x:f>
        <x:v>0</x:v>
      </x:c>
      <x:c r="Q253" s="70" t="str">
        <x:f aca="0">IF(ABS(O253-P253)&lt;0.000001,"PASS","FAIL")</x:f>
        <x:v>PASS</x:v>
      </x:c>
      <x:c r="R253" s="70" t="s">
        <x:v>28</x:v>
      </x:c>
      <x:c r="S253" s="70"/>
    </x:row>
    <x:row r="254" ht="15" hidden="0">
      <x:c r="A254" s="70" t="s">
        <x:v>1350</x:v>
      </x:c>
      <x:c r="B254" s="70" t="s">
        <x:v>25</x:v>
      </x:c>
      <x:c r="C254" s="70" t="s">
        <x:v>76</x:v>
      </x:c>
      <x:c r="D254" s="70" t="s">
        <x:v>343</x:v>
      </x:c>
      <x:c r="E254" s="70" t="s">
        <x:v>1129</x:v>
      </x:c>
      <x:c r="F254" s="70"/>
      <x:c r="G254" s="70" t="s">
        <x:v>1214</x:v>
      </x:c>
      <x:c r="H254" s="70" t="s">
        <x:v>1215</x:v>
      </x:c>
      <x:c r="I254" s="70" t="s">
        <x:v>1199</x:v>
      </x:c>
      <x:c r="J254" s="70" t="n">
        <x:v>68</x:v>
      </x:c>
      <x:c r="K254" s="70" t="s">
        <x:v>1235</x:v>
      </x:c>
      <x:c r="L254" s="70"/>
      <x:c r="M254" s="70" t="s">
        <x:v>29</x:v>
      </x:c>
      <x:c r="N254" s="71" t="n">
        <x:v>0</x:v>
      </x:c>
      <x:c r="O254" s="72" t="n">
        <x:f aca="0">N254/1000000</x:f>
        <x:v>0</x:v>
      </x:c>
      <x:c r="P254" s="73" t="n">
        <x:f aca="0">KOHC!G45</x:f>
        <x:v>0</x:v>
      </x:c>
      <x:c r="Q254" s="70" t="str">
        <x:f aca="0">IF(ABS(O254-P254)&lt;0.000001,"PASS","FAIL")</x:f>
        <x:v>PASS</x:v>
      </x:c>
      <x:c r="R254" s="70" t="s">
        <x:v>28</x:v>
      </x:c>
      <x:c r="S254" s="70"/>
    </x:row>
    <x:row r="255" ht="15" hidden="0">
      <x:c r="A255" s="70" t="s">
        <x:v>1351</x:v>
      </x:c>
      <x:c r="B255" s="70" t="s">
        <x:v>25</x:v>
      </x:c>
      <x:c r="C255" s="70" t="s">
        <x:v>77</x:v>
      </x:c>
      <x:c r="D255" s="70" t="s">
        <x:v>343</x:v>
      </x:c>
      <x:c r="E255" s="70" t="s">
        <x:v>1129</x:v>
      </x:c>
      <x:c r="F255" s="70"/>
      <x:c r="G255" s="70" t="s">
        <x:v>1214</x:v>
      </x:c>
      <x:c r="H255" s="70" t="s">
        <x:v>1215</x:v>
      </x:c>
      <x:c r="I255" s="70" t="s">
        <x:v>1218</x:v>
      </x:c>
      <x:c r="J255" s="70" t="n">
        <x:v>68</x:v>
      </x:c>
      <x:c r="K255" s="70" t="s">
        <x:v>1235</x:v>
      </x:c>
      <x:c r="L255" s="70"/>
      <x:c r="M255" s="70" t="s">
        <x:v>29</x:v>
      </x:c>
      <x:c r="N255" s="71" t="n">
        <x:v>0</x:v>
      </x:c>
      <x:c r="O255" s="72" t="n">
        <x:f aca="0">N255/1000000</x:f>
        <x:v>0</x:v>
      </x:c>
      <x:c r="P255" s="73" t="n">
        <x:f aca="0">KOHC!H45</x:f>
        <x:v>0</x:v>
      </x:c>
      <x:c r="Q255" s="70" t="str">
        <x:f aca="0">IF(ABS(O255-P255)&lt;0.000001,"PASS","FAIL")</x:f>
        <x:v>PASS</x:v>
      </x:c>
      <x:c r="R255" s="70" t="s">
        <x:v>28</x:v>
      </x:c>
      <x:c r="S255" s="70"/>
    </x:row>
    <x:row r="256" ht="15" hidden="0">
      <x:c r="A256" s="70" t="s">
        <x:v>1352</x:v>
      </x:c>
      <x:c r="B256" s="70" t="s">
        <x:v>25</x:v>
      </x:c>
      <x:c r="C256" s="70" t="s">
        <x:v>1076</x:v>
      </x:c>
      <x:c r="D256" s="70" t="s">
        <x:v>345</x:v>
      </x:c>
      <x:c r="E256" s="70" t="s">
        <x:v>1129</x:v>
      </x:c>
      <x:c r="F256" s="70" t="s">
        <x:v>1353</x:v>
      </x:c>
      <x:c r="G256" s="70" t="s">
        <x:v>1197</x:v>
      </x:c>
      <x:c r="H256" s="70" t="s">
        <x:v>1198</x:v>
      </x:c>
      <x:c r="I256" s="70" t="s">
        <x:v>1199</x:v>
      </x:c>
      <x:c r="J256" s="70" t="n">
        <x:v>44</x:v>
      </x:c>
      <x:c r="K256" s="70" t="s">
        <x:v>1230</x:v>
      </x:c>
      <x:c r="L256" s="70"/>
      <x:c r="M256" s="70" t="s">
        <x:v>29</x:v>
      </x:c>
      <x:c r="N256" s="71" t="n">
        <x:v>1287942113</x:v>
      </x:c>
      <x:c r="O256" s="72" t="n">
        <x:f aca="0">N256/1000000</x:f>
        <x:v>1287.942113</x:v>
      </x:c>
      <x:c r="P256" s="73" t="n">
        <x:f aca="0">KOHC!C46</x:f>
        <x:v>1287.942113</x:v>
      </x:c>
      <x:c r="Q256" s="70" t="str">
        <x:f aca="0">IF(ABS(O256-P256)&lt;0.000001,"PASS","FAIL")</x:f>
        <x:v>PASS</x:v>
      </x:c>
      <x:c r="R256" s="70" t="s">
        <x:v>28</x:v>
      </x:c>
      <x:c r="S256" s="70"/>
    </x:row>
    <x:row r="257" ht="15" hidden="0">
      <x:c r="A257" s="70" t="s">
        <x:v>1354</x:v>
      </x:c>
      <x:c r="B257" s="70" t="s">
        <x:v>25</x:v>
      </x:c>
      <x:c r="C257" s="70" t="s">
        <x:v>73</x:v>
      </x:c>
      <x:c r="D257" s="70" t="s">
        <x:v>345</x:v>
      </x:c>
      <x:c r="E257" s="70" t="s">
        <x:v>1129</x:v>
      </x:c>
      <x:c r="F257" s="70" t="s">
        <x:v>1353</x:v>
      </x:c>
      <x:c r="G257" s="70" t="s">
        <x:v>1203</x:v>
      </x:c>
      <x:c r="H257" s="70" t="s">
        <x:v>1204</x:v>
      </x:c>
      <x:c r="I257" s="70" t="s">
        <x:v>1199</x:v>
      </x:c>
      <x:c r="J257" s="70" t="n">
        <x:v>52</x:v>
      </x:c>
      <x:c r="K257" s="70" t="s">
        <x:v>1230</x:v>
      </x:c>
      <x:c r="L257" s="70"/>
      <x:c r="M257" s="70" t="s">
        <x:v>29</x:v>
      </x:c>
      <x:c r="N257" s="71" t="n">
        <x:v>1857649347</x:v>
      </x:c>
      <x:c r="O257" s="72" t="n">
        <x:f aca="0">N257/1000000</x:f>
        <x:v>1857.649347</x:v>
      </x:c>
      <x:c r="P257" s="73" t="n">
        <x:f aca="0">KOHC!D46</x:f>
        <x:v>1857.649347</x:v>
      </x:c>
      <x:c r="Q257" s="70" t="str">
        <x:f aca="0">IF(ABS(O257-P257)&lt;0.000001,"PASS","FAIL")</x:f>
        <x:v>PASS</x:v>
      </x:c>
      <x:c r="R257" s="70" t="s">
        <x:v>28</x:v>
      </x:c>
      <x:c r="S257" s="70"/>
    </x:row>
    <x:row r="258" ht="15" hidden="0">
      <x:c r="A258" s="70" t="s">
        <x:v>1355</x:v>
      </x:c>
      <x:c r="B258" s="70" t="s">
        <x:v>25</x:v>
      </x:c>
      <x:c r="C258" s="70" t="s">
        <x:v>74</x:v>
      </x:c>
      <x:c r="D258" s="70" t="s">
        <x:v>345</x:v>
      </x:c>
      <x:c r="E258" s="70" t="s">
        <x:v>1129</x:v>
      </x:c>
      <x:c r="F258" s="70" t="s">
        <x:v>1353</x:v>
      </x:c>
      <x:c r="G258" s="70" t="s">
        <x:v>1207</x:v>
      </x:c>
      <x:c r="H258" s="70" t="s">
        <x:v>1208</x:v>
      </x:c>
      <x:c r="I258" s="70" t="s">
        <x:v>1199</x:v>
      </x:c>
      <x:c r="J258" s="70" t="n">
        <x:v>52</x:v>
      </x:c>
      <x:c r="K258" s="70" t="s">
        <x:v>1230</x:v>
      </x:c>
      <x:c r="L258" s="70"/>
      <x:c r="M258" s="70" t="s">
        <x:v>29</x:v>
      </x:c>
      <x:c r="N258" s="71" t="n">
        <x:v>3407373618</x:v>
      </x:c>
      <x:c r="O258" s="72" t="n">
        <x:f aca="0">N258/1000000</x:f>
        <x:v>3407.373618</x:v>
      </x:c>
      <x:c r="P258" s="73" t="n">
        <x:f aca="0">KOHC!E46</x:f>
        <x:v>3407.373618</x:v>
      </x:c>
      <x:c r="Q258" s="70" t="str">
        <x:f aca="0">IF(ABS(O258-P258)&lt;0.000001,"PASS","FAIL")</x:f>
        <x:v>PASS</x:v>
      </x:c>
      <x:c r="R258" s="70" t="s">
        <x:v>28</x:v>
      </x:c>
      <x:c r="S258" s="70"/>
    </x:row>
    <x:row r="259" ht="15" hidden="0">
      <x:c r="A259" s="70" t="s">
        <x:v>1356</x:v>
      </x:c>
      <x:c r="B259" s="70" t="s">
        <x:v>25</x:v>
      </x:c>
      <x:c r="C259" s="70" t="s">
        <x:v>75</x:v>
      </x:c>
      <x:c r="D259" s="70" t="s">
        <x:v>345</x:v>
      </x:c>
      <x:c r="E259" s="70" t="s">
        <x:v>1129</x:v>
      </x:c>
      <x:c r="F259" s="70" t="s">
        <x:v>1353</x:v>
      </x:c>
      <x:c r="G259" s="70" t="s">
        <x:v>1210</x:v>
      </x:c>
      <x:c r="H259" s="70" t="s">
        <x:v>1211</x:v>
      </x:c>
      <x:c r="I259" s="70" t="s">
        <x:v>1199</x:v>
      </x:c>
      <x:c r="J259" s="70" t="n">
        <x:v>58</x:v>
      </x:c>
      <x:c r="K259" s="70" t="s">
        <x:v>1230</x:v>
      </x:c>
      <x:c r="L259" s="70"/>
      <x:c r="M259" s="70" t="s">
        <x:v>29</x:v>
      </x:c>
      <x:c r="N259" s="71" t="n">
        <x:v>4823158446</x:v>
      </x:c>
      <x:c r="O259" s="72" t="n">
        <x:f aca="0">N259/1000000</x:f>
        <x:v>4823.158446</x:v>
      </x:c>
      <x:c r="P259" s="73" t="n">
        <x:f aca="0">KOHC!F46</x:f>
        <x:v>4823.158446</x:v>
      </x:c>
      <x:c r="Q259" s="70" t="str">
        <x:f aca="0">IF(ABS(O259-P259)&lt;0.000001,"PASS","FAIL")</x:f>
        <x:v>PASS</x:v>
      </x:c>
      <x:c r="R259" s="70" t="s">
        <x:v>28</x:v>
      </x:c>
      <x:c r="S259" s="70"/>
    </x:row>
    <x:row r="260" ht="15" hidden="0">
      <x:c r="A260" s="70" t="s">
        <x:v>1357</x:v>
      </x:c>
      <x:c r="B260" s="70" t="s">
        <x:v>25</x:v>
      </x:c>
      <x:c r="C260" s="70" t="s">
        <x:v>76</x:v>
      </x:c>
      <x:c r="D260" s="70" t="s">
        <x:v>345</x:v>
      </x:c>
      <x:c r="E260" s="70" t="s">
        <x:v>1129</x:v>
      </x:c>
      <x:c r="F260" s="70" t="s">
        <x:v>1353</x:v>
      </x:c>
      <x:c r="G260" s="70" t="s">
        <x:v>1214</x:v>
      </x:c>
      <x:c r="H260" s="70" t="s">
        <x:v>1215</x:v>
      </x:c>
      <x:c r="I260" s="70" t="s">
        <x:v>1199</x:v>
      </x:c>
      <x:c r="J260" s="70" t="n">
        <x:v>68</x:v>
      </x:c>
      <x:c r="K260" s="70" t="s">
        <x:v>1235</x:v>
      </x:c>
      <x:c r="L260" s="70"/>
      <x:c r="M260" s="70" t="s">
        <x:v>29</x:v>
      </x:c>
      <x:c r="N260" s="71" t="n">
        <x:v>5505823994</x:v>
      </x:c>
      <x:c r="O260" s="72" t="n">
        <x:f aca="0">N260/1000000</x:f>
        <x:v>5505.823994</x:v>
      </x:c>
      <x:c r="P260" s="73" t="n">
        <x:f aca="0">KOHC!G46</x:f>
        <x:v>5505.823994</x:v>
      </x:c>
      <x:c r="Q260" s="70" t="str">
        <x:f aca="0">IF(ABS(O260-P260)&lt;0.000001,"PASS","FAIL")</x:f>
        <x:v>PASS</x:v>
      </x:c>
      <x:c r="R260" s="70" t="s">
        <x:v>28</x:v>
      </x:c>
      <x:c r="S260" s="70"/>
    </x:row>
    <x:row r="261" ht="15" hidden="0">
      <x:c r="A261" s="70" t="s">
        <x:v>1358</x:v>
      </x:c>
      <x:c r="B261" s="70" t="s">
        <x:v>25</x:v>
      </x:c>
      <x:c r="C261" s="70" t="s">
        <x:v>77</x:v>
      </x:c>
      <x:c r="D261" s="70" t="s">
        <x:v>345</x:v>
      </x:c>
      <x:c r="E261" s="70" t="s">
        <x:v>1129</x:v>
      </x:c>
      <x:c r="F261" s="70" t="s">
        <x:v>1353</x:v>
      </x:c>
      <x:c r="G261" s="70" t="s">
        <x:v>1214</x:v>
      </x:c>
      <x:c r="H261" s="70" t="s">
        <x:v>1215</x:v>
      </x:c>
      <x:c r="I261" s="70" t="s">
        <x:v>1218</x:v>
      </x:c>
      <x:c r="J261" s="70" t="n">
        <x:v>68</x:v>
      </x:c>
      <x:c r="K261" s="70" t="s">
        <x:v>1235</x:v>
      </x:c>
      <x:c r="L261" s="70"/>
      <x:c r="M261" s="70" t="s">
        <x:v>29</x:v>
      </x:c>
      <x:c r="N261" s="71" t="n">
        <x:v>5688116040</x:v>
      </x:c>
      <x:c r="O261" s="72" t="n">
        <x:f aca="0">N261/1000000</x:f>
        <x:v>5688.11604</x:v>
      </x:c>
      <x:c r="P261" s="73" t="n">
        <x:f aca="0">KOHC!H46</x:f>
        <x:v>5688.11604</x:v>
      </x:c>
      <x:c r="Q261" s="70" t="str">
        <x:f aca="0">IF(ABS(O261-P261)&lt;0.000001,"PASS","FAIL")</x:f>
        <x:v>PASS</x:v>
      </x:c>
      <x:c r="R261" s="70" t="s">
        <x:v>28</x:v>
      </x:c>
      <x:c r="S261" s="70"/>
    </x:row>
    <x:row r="262" ht="15" hidden="0">
      <x:c r="A262" s="70" t="s">
        <x:v>1359</x:v>
      </x:c>
      <x:c r="B262" s="70" t="s">
        <x:v>25</x:v>
      </x:c>
      <x:c r="C262" s="70" t="s">
        <x:v>1076</x:v>
      </x:c>
      <x:c r="D262" s="70" t="s">
        <x:v>347</x:v>
      </x:c>
      <x:c r="E262" s="70" t="s">
        <x:v>1129</x:v>
      </x:c>
      <x:c r="F262" s="70" t="s">
        <x:v>1360</x:v>
      </x:c>
      <x:c r="G262" s="70" t="s">
        <x:v>1197</x:v>
      </x:c>
      <x:c r="H262" s="70" t="s">
        <x:v>1198</x:v>
      </x:c>
      <x:c r="I262" s="70" t="s">
        <x:v>1199</x:v>
      </x:c>
      <x:c r="J262" s="70" t="n">
        <x:v>44</x:v>
      </x:c>
      <x:c r="K262" s="70" t="s">
        <x:v>1230</x:v>
      </x:c>
      <x:c r="L262" s="70" t="s">
        <x:v>1361</x:v>
      </x:c>
      <x:c r="M262" s="70" t="s">
        <x:v>29</x:v>
      </x:c>
      <x:c r="N262" s="71" t="n">
        <x:v>23277456</x:v>
      </x:c>
      <x:c r="O262" s="72" t="n">
        <x:f aca="0">N262/1000000</x:f>
        <x:v>23.277456</x:v>
      </x:c>
      <x:c r="P262" s="73" t="n">
        <x:f aca="0">KOHC!C47</x:f>
        <x:v>23.277456</x:v>
      </x:c>
      <x:c r="Q262" s="70" t="str">
        <x:f aca="0">IF(ABS(O262-P262)&lt;0.000001,"PASS","FAIL")</x:f>
        <x:v>PASS</x:v>
      </x:c>
      <x:c r="R262" s="70" t="s">
        <x:v>28</x:v>
      </x:c>
      <x:c r="S262" s="70"/>
    </x:row>
    <x:row r="263" ht="15" hidden="0">
      <x:c r="A263" s="70" t="s">
        <x:v>1362</x:v>
      </x:c>
      <x:c r="B263" s="70" t="s">
        <x:v>25</x:v>
      </x:c>
      <x:c r="C263" s="70" t="s">
        <x:v>73</x:v>
      </x:c>
      <x:c r="D263" s="70" t="s">
        <x:v>347</x:v>
      </x:c>
      <x:c r="E263" s="70" t="s">
        <x:v>1129</x:v>
      </x:c>
      <x:c r="F263" s="70" t="s">
        <x:v>1360</x:v>
      </x:c>
      <x:c r="G263" s="70" t="s">
        <x:v>1203</x:v>
      </x:c>
      <x:c r="H263" s="70" t="s">
        <x:v>1204</x:v>
      </x:c>
      <x:c r="I263" s="70" t="s">
        <x:v>1199</x:v>
      </x:c>
      <x:c r="J263" s="70" t="n">
        <x:v>52</x:v>
      </x:c>
      <x:c r="K263" s="70" t="s">
        <x:v>1230</x:v>
      </x:c>
      <x:c r="L263" s="70" t="s">
        <x:v>1361</x:v>
      </x:c>
      <x:c r="M263" s="70" t="s">
        <x:v>29</x:v>
      </x:c>
      <x:c r="N263" s="71" t="n">
        <x:v>26394536</x:v>
      </x:c>
      <x:c r="O263" s="72" t="n">
        <x:f aca="0">N263/1000000</x:f>
        <x:v>26.394536</x:v>
      </x:c>
      <x:c r="P263" s="73" t="n">
        <x:f aca="0">KOHC!D47</x:f>
        <x:v>26.394536</x:v>
      </x:c>
      <x:c r="Q263" s="70" t="str">
        <x:f aca="0">IF(ABS(O263-P263)&lt;0.000001,"PASS","FAIL")</x:f>
        <x:v>PASS</x:v>
      </x:c>
      <x:c r="R263" s="70" t="s">
        <x:v>28</x:v>
      </x:c>
      <x:c r="S263" s="70"/>
    </x:row>
    <x:row r="264" ht="15" hidden="0">
      <x:c r="A264" s="70" t="s">
        <x:v>1363</x:v>
      </x:c>
      <x:c r="B264" s="70" t="s">
        <x:v>25</x:v>
      </x:c>
      <x:c r="C264" s="70" t="s">
        <x:v>74</x:v>
      </x:c>
      <x:c r="D264" s="70" t="s">
        <x:v>347</x:v>
      </x:c>
      <x:c r="E264" s="70" t="s">
        <x:v>1129</x:v>
      </x:c>
      <x:c r="F264" s="70" t="s">
        <x:v>1360</x:v>
      </x:c>
      <x:c r="G264" s="70" t="s">
        <x:v>1207</x:v>
      </x:c>
      <x:c r="H264" s="70" t="s">
        <x:v>1208</x:v>
      </x:c>
      <x:c r="I264" s="70" t="s">
        <x:v>1199</x:v>
      </x:c>
      <x:c r="J264" s="70" t="n">
        <x:v>52</x:v>
      </x:c>
      <x:c r="K264" s="70" t="s">
        <x:v>1230</x:v>
      </x:c>
      <x:c r="L264" s="70" t="s">
        <x:v>1361</x:v>
      </x:c>
      <x:c r="M264" s="70" t="s">
        <x:v>29</x:v>
      </x:c>
      <x:c r="N264" s="71" t="n">
        <x:v>29683198</x:v>
      </x:c>
      <x:c r="O264" s="72" t="n">
        <x:f aca="0">N264/1000000</x:f>
        <x:v>29.683198</x:v>
      </x:c>
      <x:c r="P264" s="73" t="n">
        <x:f aca="0">KOHC!E47</x:f>
        <x:v>29.683198</x:v>
      </x:c>
      <x:c r="Q264" s="70" t="str">
        <x:f aca="0">IF(ABS(O264-P264)&lt;0.000001,"PASS","FAIL")</x:f>
        <x:v>PASS</x:v>
      </x:c>
      <x:c r="R264" s="70" t="s">
        <x:v>28</x:v>
      </x:c>
      <x:c r="S264" s="70"/>
    </x:row>
    <x:row r="265" ht="15" hidden="0">
      <x:c r="A265" s="70" t="s">
        <x:v>1364</x:v>
      </x:c>
      <x:c r="B265" s="70" t="s">
        <x:v>25</x:v>
      </x:c>
      <x:c r="C265" s="70" t="s">
        <x:v>75</x:v>
      </x:c>
      <x:c r="D265" s="70" t="s">
        <x:v>347</x:v>
      </x:c>
      <x:c r="E265" s="70" t="s">
        <x:v>1129</x:v>
      </x:c>
      <x:c r="F265" s="70" t="s">
        <x:v>1360</x:v>
      </x:c>
      <x:c r="G265" s="70" t="s">
        <x:v>1210</x:v>
      </x:c>
      <x:c r="H265" s="70" t="s">
        <x:v>1211</x:v>
      </x:c>
      <x:c r="I265" s="70" t="s">
        <x:v>1199</x:v>
      </x:c>
      <x:c r="J265" s="70" t="n">
        <x:v>58</x:v>
      </x:c>
      <x:c r="K265" s="70" t="s">
        <x:v>1230</x:v>
      </x:c>
      <x:c r="L265" s="70" t="s">
        <x:v>1361</x:v>
      </x:c>
      <x:c r="M265" s="70" t="s">
        <x:v>29</x:v>
      </x:c>
      <x:c r="N265" s="71" t="n">
        <x:v>35383341</x:v>
      </x:c>
      <x:c r="O265" s="72" t="n">
        <x:f aca="0">N265/1000000</x:f>
        <x:v>35.383341</x:v>
      </x:c>
      <x:c r="P265" s="73" t="n">
        <x:f aca="0">KOHC!F47</x:f>
        <x:v>35.383341</x:v>
      </x:c>
      <x:c r="Q265" s="70" t="str">
        <x:f aca="0">IF(ABS(O265-P265)&lt;0.000001,"PASS","FAIL")</x:f>
        <x:v>PASS</x:v>
      </x:c>
      <x:c r="R265" s="70" t="s">
        <x:v>28</x:v>
      </x:c>
      <x:c r="S265" s="70"/>
    </x:row>
    <x:row r="266" ht="15" hidden="0">
      <x:c r="A266" s="70" t="s">
        <x:v>1365</x:v>
      </x:c>
      <x:c r="B266" s="70" t="s">
        <x:v>25</x:v>
      </x:c>
      <x:c r="C266" s="70" t="s">
        <x:v>76</x:v>
      </x:c>
      <x:c r="D266" s="70" t="s">
        <x:v>347</x:v>
      </x:c>
      <x:c r="E266" s="70" t="s">
        <x:v>1129</x:v>
      </x:c>
      <x:c r="F266" s="70" t="s">
        <x:v>1360</x:v>
      </x:c>
      <x:c r="G266" s="70" t="s">
        <x:v>1214</x:v>
      </x:c>
      <x:c r="H266" s="70" t="s">
        <x:v>1215</x:v>
      </x:c>
      <x:c r="I266" s="70" t="s">
        <x:v>1199</x:v>
      </x:c>
      <x:c r="J266" s="70" t="n">
        <x:v>68</x:v>
      </x:c>
      <x:c r="K266" s="70" t="s">
        <x:v>1235</x:v>
      </x:c>
      <x:c r="L266" s="70" t="s">
        <x:v>1361</x:v>
      </x:c>
      <x:c r="M266" s="70" t="s">
        <x:v>29</x:v>
      </x:c>
      <x:c r="N266" s="71" t="n">
        <x:v>32887203</x:v>
      </x:c>
      <x:c r="O266" s="72" t="n">
        <x:f aca="0">N266/1000000</x:f>
        <x:v>32.887203</x:v>
      </x:c>
      <x:c r="P266" s="73" t="n">
        <x:f aca="0">KOHC!G47</x:f>
        <x:v>32.887203</x:v>
      </x:c>
      <x:c r="Q266" s="70" t="str">
        <x:f aca="0">IF(ABS(O266-P266)&lt;0.000001,"PASS","FAIL")</x:f>
        <x:v>PASS</x:v>
      </x:c>
      <x:c r="R266" s="70" t="s">
        <x:v>28</x:v>
      </x:c>
      <x:c r="S266" s="70"/>
    </x:row>
    <x:row r="267" ht="15" hidden="0">
      <x:c r="A267" s="70" t="s">
        <x:v>1366</x:v>
      </x:c>
      <x:c r="B267" s="70" t="s">
        <x:v>25</x:v>
      </x:c>
      <x:c r="C267" s="70" t="s">
        <x:v>77</x:v>
      </x:c>
      <x:c r="D267" s="70" t="s">
        <x:v>347</x:v>
      </x:c>
      <x:c r="E267" s="70" t="s">
        <x:v>1129</x:v>
      </x:c>
      <x:c r="F267" s="70" t="s">
        <x:v>1360</x:v>
      </x:c>
      <x:c r="G267" s="70" t="s">
        <x:v>1214</x:v>
      </x:c>
      <x:c r="H267" s="70" t="s">
        <x:v>1215</x:v>
      </x:c>
      <x:c r="I267" s="70" t="s">
        <x:v>1218</x:v>
      </x:c>
      <x:c r="J267" s="70" t="n">
        <x:v>68</x:v>
      </x:c>
      <x:c r="K267" s="70" t="s">
        <x:v>1235</x:v>
      </x:c>
      <x:c r="L267" s="70" t="s">
        <x:v>1361</x:v>
      </x:c>
      <x:c r="M267" s="70" t="s">
        <x:v>29</x:v>
      </x:c>
      <x:c r="N267" s="71" t="n">
        <x:v>40322031</x:v>
      </x:c>
      <x:c r="O267" s="72" t="n">
        <x:f aca="0">N267/1000000</x:f>
        <x:v>40.322031</x:v>
      </x:c>
      <x:c r="P267" s="73" t="n">
        <x:f aca="0">KOHC!H47</x:f>
        <x:v>40.322031</x:v>
      </x:c>
      <x:c r="Q267" s="70" t="str">
        <x:f aca="0">IF(ABS(O267-P267)&lt;0.000001,"PASS","FAIL")</x:f>
        <x:v>PASS</x:v>
      </x:c>
      <x:c r="R267" s="70" t="s">
        <x:v>28</x:v>
      </x:c>
      <x:c r="S267" s="70"/>
    </x:row>
    <x:row r="268" ht="15" hidden="0">
      <x:c r="A268" s="70" t="s">
        <x:v>1367</x:v>
      </x:c>
      <x:c r="B268" s="70" t="s">
        <x:v>25</x:v>
      </x:c>
      <x:c r="C268" s="70" t="s">
        <x:v>1076</x:v>
      </x:c>
      <x:c r="D268" s="70" t="s">
        <x:v>352</x:v>
      </x:c>
      <x:c r="E268" s="70" t="s">
        <x:v>1129</x:v>
      </x:c>
      <x:c r="F268" s="70" t="s">
        <x:v>352</x:v>
      </x:c>
      <x:c r="G268" s="70" t="s">
        <x:v>1197</x:v>
      </x:c>
      <x:c r="H268" s="70" t="s">
        <x:v>1198</x:v>
      </x:c>
      <x:c r="I268" s="70" t="s">
        <x:v>1199</x:v>
      </x:c>
      <x:c r="J268" s="70" t="n">
        <x:v>44</x:v>
      </x:c>
      <x:c r="K268" s="70" t="s">
        <x:v>1230</x:v>
      </x:c>
      <x:c r="L268" s="70" t="s">
        <x:v>1368</x:v>
      </x:c>
      <x:c r="M268" s="70" t="s">
        <x:v>29</x:v>
      </x:c>
      <x:c r="N268" s="71" t="n">
        <x:v>4293205395</x:v>
      </x:c>
      <x:c r="O268" s="72" t="n">
        <x:f aca="0">N268/1000000</x:f>
        <x:v>4293.205395</x:v>
      </x:c>
      <x:c r="P268" s="73" t="n">
        <x:f aca="0">KOHC!C50</x:f>
        <x:v>4293.205395</x:v>
      </x:c>
      <x:c r="Q268" s="70" t="str">
        <x:f aca="0">IF(ABS(O268-P268)&lt;0.000001,"PASS","FAIL")</x:f>
        <x:v>PASS</x:v>
      </x:c>
      <x:c r="R268" s="70" t="s">
        <x:v>28</x:v>
      </x:c>
      <x:c r="S268" s="70"/>
    </x:row>
    <x:row r="269" ht="15" hidden="0">
      <x:c r="A269" s="70" t="s">
        <x:v>1369</x:v>
      </x:c>
      <x:c r="B269" s="70" t="s">
        <x:v>25</x:v>
      </x:c>
      <x:c r="C269" s="70" t="s">
        <x:v>73</x:v>
      </x:c>
      <x:c r="D269" s="70" t="s">
        <x:v>352</x:v>
      </x:c>
      <x:c r="E269" s="70" t="s">
        <x:v>1129</x:v>
      </x:c>
      <x:c r="F269" s="70" t="s">
        <x:v>352</x:v>
      </x:c>
      <x:c r="G269" s="70" t="s">
        <x:v>1203</x:v>
      </x:c>
      <x:c r="H269" s="70" t="s">
        <x:v>1204</x:v>
      </x:c>
      <x:c r="I269" s="70" t="s">
        <x:v>1199</x:v>
      </x:c>
      <x:c r="J269" s="70" t="n">
        <x:v>52</x:v>
      </x:c>
      <x:c r="K269" s="70" t="s">
        <x:v>1230</x:v>
      </x:c>
      <x:c r="L269" s="70" t="s">
        <x:v>1368</x:v>
      </x:c>
      <x:c r="M269" s="70" t="s">
        <x:v>29</x:v>
      </x:c>
      <x:c r="N269" s="71" t="n">
        <x:v>4985385529</x:v>
      </x:c>
      <x:c r="O269" s="72" t="n">
        <x:f aca="0">N269/1000000</x:f>
        <x:v>4985.385529</x:v>
      </x:c>
      <x:c r="P269" s="73" t="n">
        <x:f aca="0">KOHC!D50</x:f>
        <x:v>4985.385529</x:v>
      </x:c>
      <x:c r="Q269" s="70" t="str">
        <x:f aca="0">IF(ABS(O269-P269)&lt;0.000001,"PASS","FAIL")</x:f>
        <x:v>PASS</x:v>
      </x:c>
      <x:c r="R269" s="70" t="s">
        <x:v>28</x:v>
      </x:c>
      <x:c r="S269" s="70"/>
    </x:row>
    <x:row r="270" ht="15" hidden="0">
      <x:c r="A270" s="70" t="s">
        <x:v>1370</x:v>
      </x:c>
      <x:c r="B270" s="70" t="s">
        <x:v>25</x:v>
      </x:c>
      <x:c r="C270" s="70" t="s">
        <x:v>74</x:v>
      </x:c>
      <x:c r="D270" s="70" t="s">
        <x:v>352</x:v>
      </x:c>
      <x:c r="E270" s="70" t="s">
        <x:v>1129</x:v>
      </x:c>
      <x:c r="F270" s="70" t="s">
        <x:v>352</x:v>
      </x:c>
      <x:c r="G270" s="70" t="s">
        <x:v>1207</x:v>
      </x:c>
      <x:c r="H270" s="70" t="s">
        <x:v>1208</x:v>
      </x:c>
      <x:c r="I270" s="70" t="s">
        <x:v>1199</x:v>
      </x:c>
      <x:c r="J270" s="70" t="n">
        <x:v>52</x:v>
      </x:c>
      <x:c r="K270" s="70" t="s">
        <x:v>1230</x:v>
      </x:c>
      <x:c r="L270" s="70" t="s">
        <x:v>1368</x:v>
      </x:c>
      <x:c r="M270" s="70" t="s">
        <x:v>29</x:v>
      </x:c>
      <x:c r="N270" s="71" t="n">
        <x:v>5525221208</x:v>
      </x:c>
      <x:c r="O270" s="72" t="n">
        <x:f aca="0">N270/1000000</x:f>
        <x:v>5525.221208</x:v>
      </x:c>
      <x:c r="P270" s="73" t="n">
        <x:f aca="0">KOHC!E50</x:f>
        <x:v>5525.221208</x:v>
      </x:c>
      <x:c r="Q270" s="70" t="str">
        <x:f aca="0">IF(ABS(O270-P270)&lt;0.000001,"PASS","FAIL")</x:f>
        <x:v>PASS</x:v>
      </x:c>
      <x:c r="R270" s="70" t="s">
        <x:v>28</x:v>
      </x:c>
      <x:c r="S270" s="70"/>
    </x:row>
    <x:row r="271" ht="15" hidden="0">
      <x:c r="A271" s="70" t="s">
        <x:v>1371</x:v>
      </x:c>
      <x:c r="B271" s="70" t="s">
        <x:v>25</x:v>
      </x:c>
      <x:c r="C271" s="70" t="s">
        <x:v>75</x:v>
      </x:c>
      <x:c r="D271" s="70" t="s">
        <x:v>352</x:v>
      </x:c>
      <x:c r="E271" s="70" t="s">
        <x:v>1129</x:v>
      </x:c>
      <x:c r="F271" s="70" t="s">
        <x:v>352</x:v>
      </x:c>
      <x:c r="G271" s="70" t="s">
        <x:v>1210</x:v>
      </x:c>
      <x:c r="H271" s="70" t="s">
        <x:v>1211</x:v>
      </x:c>
      <x:c r="I271" s="70" t="s">
        <x:v>1199</x:v>
      </x:c>
      <x:c r="J271" s="70" t="n">
        <x:v>58</x:v>
      </x:c>
      <x:c r="K271" s="70" t="s">
        <x:v>1230</x:v>
      </x:c>
      <x:c r="L271" s="70" t="s">
        <x:v>1368</x:v>
      </x:c>
      <x:c r="M271" s="70" t="s">
        <x:v>29</x:v>
      </x:c>
      <x:c r="N271" s="71" t="n">
        <x:v>5307075353</x:v>
      </x:c>
      <x:c r="O271" s="72" t="n">
        <x:f aca="0">N271/1000000</x:f>
        <x:v>5307.075353</x:v>
      </x:c>
      <x:c r="P271" s="73" t="n">
        <x:f aca="0">KOHC!F50</x:f>
        <x:v>5307.075353</x:v>
      </x:c>
      <x:c r="Q271" s="70" t="str">
        <x:f aca="0">IF(ABS(O271-P271)&lt;0.000001,"PASS","FAIL")</x:f>
        <x:v>PASS</x:v>
      </x:c>
      <x:c r="R271" s="70" t="s">
        <x:v>28</x:v>
      </x:c>
      <x:c r="S271" s="70" t="s">
        <x:v>1205</x:v>
      </x:c>
    </x:row>
    <x:row r="272" ht="15" hidden="0">
      <x:c r="A272" s="70" t="s">
        <x:v>1372</x:v>
      </x:c>
      <x:c r="B272" s="70" t="s">
        <x:v>25</x:v>
      </x:c>
      <x:c r="C272" s="70" t="s">
        <x:v>76</x:v>
      </x:c>
      <x:c r="D272" s="70" t="s">
        <x:v>352</x:v>
      </x:c>
      <x:c r="E272" s="70" t="s">
        <x:v>1129</x:v>
      </x:c>
      <x:c r="F272" s="70" t="s">
        <x:v>352</x:v>
      </x:c>
      <x:c r="G272" s="70" t="s">
        <x:v>1214</x:v>
      </x:c>
      <x:c r="H272" s="70" t="s">
        <x:v>1215</x:v>
      </x:c>
      <x:c r="I272" s="70" t="s">
        <x:v>1199</x:v>
      </x:c>
      <x:c r="J272" s="70" t="n">
        <x:v>68</x:v>
      </x:c>
      <x:c r="K272" s="70" t="s">
        <x:v>1235</x:v>
      </x:c>
      <x:c r="L272" s="70" t="s">
        <x:v>1368</x:v>
      </x:c>
      <x:c r="M272" s="70" t="s">
        <x:v>29</x:v>
      </x:c>
      <x:c r="N272" s="71" t="n">
        <x:v>6223153321</x:v>
      </x:c>
      <x:c r="O272" s="72" t="n">
        <x:f aca="0">N272/1000000</x:f>
        <x:v>6223.153321</x:v>
      </x:c>
      <x:c r="P272" s="73" t="n">
        <x:f aca="0">KOHC!G50</x:f>
        <x:v>6223.153321</x:v>
      </x:c>
      <x:c r="Q272" s="70" t="str">
        <x:f aca="0">IF(ABS(O272-P272)&lt;0.000001,"PASS","FAIL")</x:f>
        <x:v>PASS</x:v>
      </x:c>
      <x:c r="R272" s="70" t="s">
        <x:v>28</x:v>
      </x:c>
      <x:c r="S272" s="70"/>
    </x:row>
    <x:row r="273" ht="15" hidden="0">
      <x:c r="A273" s="70" t="s">
        <x:v>1373</x:v>
      </x:c>
      <x:c r="B273" s="70" t="s">
        <x:v>25</x:v>
      </x:c>
      <x:c r="C273" s="70" t="s">
        <x:v>77</x:v>
      </x:c>
      <x:c r="D273" s="70" t="s">
        <x:v>352</x:v>
      </x:c>
      <x:c r="E273" s="70" t="s">
        <x:v>1129</x:v>
      </x:c>
      <x:c r="F273" s="70" t="s">
        <x:v>352</x:v>
      </x:c>
      <x:c r="G273" s="70" t="s">
        <x:v>1214</x:v>
      </x:c>
      <x:c r="H273" s="70" t="s">
        <x:v>1215</x:v>
      </x:c>
      <x:c r="I273" s="70" t="s">
        <x:v>1218</x:v>
      </x:c>
      <x:c r="J273" s="70" t="n">
        <x:v>68</x:v>
      </x:c>
      <x:c r="K273" s="70" t="s">
        <x:v>1235</x:v>
      </x:c>
      <x:c r="L273" s="70" t="s">
        <x:v>1368</x:v>
      </x:c>
      <x:c r="M273" s="70" t="s">
        <x:v>29</x:v>
      </x:c>
      <x:c r="N273" s="71" t="n">
        <x:v>7710012398</x:v>
      </x:c>
      <x:c r="O273" s="72" t="n">
        <x:f aca="0">N273/1000000</x:f>
        <x:v>7710.012398</x:v>
      </x:c>
      <x:c r="P273" s="73" t="n">
        <x:f aca="0">KOHC!H50</x:f>
        <x:v>7710.012398</x:v>
      </x:c>
      <x:c r="Q273" s="70" t="str">
        <x:f aca="0">IF(ABS(O273-P273)&lt;0.000001,"PASS","FAIL")</x:f>
        <x:v>PASS</x:v>
      </x:c>
      <x:c r="R273" s="70" t="s">
        <x:v>28</x:v>
      </x:c>
      <x:c r="S273" s="70"/>
    </x:row>
    <x:row r="274" ht="15" hidden="0">
      <x:c r="A274" s="70" t="s">
        <x:v>1374</x:v>
      </x:c>
      <x:c r="B274" s="70" t="s">
        <x:v>25</x:v>
      </x:c>
      <x:c r="C274" s="70" t="s">
        <x:v>1076</x:v>
      </x:c>
      <x:c r="D274" s="70" t="s">
        <x:v>1375</x:v>
      </x:c>
      <x:c r="E274" s="70" t="s">
        <x:v>1221</x:v>
      </x:c>
      <x:c r="F274" s="70" t="s">
        <x:v>1376</x:v>
      </x:c>
      <x:c r="G274" s="70" t="s">
        <x:v>1197</x:v>
      </x:c>
      <x:c r="H274" s="70" t="s">
        <x:v>1198</x:v>
      </x:c>
      <x:c r="I274" s="70" t="s">
        <x:v>1199</x:v>
      </x:c>
      <x:c r="J274" s="70" t="n">
        <x:v>67</x:v>
      </x:c>
      <x:c r="K274" s="70" t="s">
        <x:v>1230</x:v>
      </x:c>
      <x:c r="L274" s="70"/>
      <x:c r="M274" s="70" t="s">
        <x:v>29</x:v>
      </x:c>
      <x:c r="N274" s="71" t="n">
        <x:v>1091300971</x:v>
      </x:c>
      <x:c r="O274" s="72" t="n">
        <x:f aca="0">N274/1000000</x:f>
        <x:v>1091.300971</x:v>
      </x:c>
      <x:c r="P274" s="73" t="n">
        <x:f aca="0">KOHC!C51</x:f>
        <x:v>1091.300971</x:v>
      </x:c>
      <x:c r="Q274" s="70" t="str">
        <x:f aca="0">IF(ABS(O274-P274)&lt;0.000001,"PASS","FAIL")</x:f>
        <x:v>PASS</x:v>
      </x:c>
      <x:c r="R274" s="70" t="s">
        <x:v>28</x:v>
      </x:c>
      <x:c r="S274" s="70"/>
    </x:row>
    <x:row r="275" ht="15" hidden="0">
      <x:c r="A275" s="70" t="s">
        <x:v>1377</x:v>
      </x:c>
      <x:c r="B275" s="70" t="s">
        <x:v>25</x:v>
      </x:c>
      <x:c r="C275" s="70" t="s">
        <x:v>73</x:v>
      </x:c>
      <x:c r="D275" s="70" t="s">
        <x:v>1375</x:v>
      </x:c>
      <x:c r="E275" s="70" t="s">
        <x:v>1221</x:v>
      </x:c>
      <x:c r="F275" s="70" t="s">
        <x:v>1376</x:v>
      </x:c>
      <x:c r="G275" s="70" t="s">
        <x:v>1203</x:v>
      </x:c>
      <x:c r="H275" s="70" t="s">
        <x:v>1204</x:v>
      </x:c>
      <x:c r="I275" s="70" t="s">
        <x:v>1199</x:v>
      </x:c>
      <x:c r="J275" s="70" t="n">
        <x:v>75</x:v>
      </x:c>
      <x:c r="K275" s="70" t="s">
        <x:v>1200</x:v>
      </x:c>
      <x:c r="L275" s="70"/>
      <x:c r="M275" s="70" t="s">
        <x:v>29</x:v>
      </x:c>
      <x:c r="N275" s="71" t="n">
        <x:v>1555157545</x:v>
      </x:c>
      <x:c r="O275" s="72" t="n">
        <x:f aca="0">N275/1000000</x:f>
        <x:v>1555.157545</x:v>
      </x:c>
      <x:c r="P275" s="73" t="n">
        <x:f aca="0">KOHC!D51</x:f>
        <x:v>1555.157545</x:v>
      </x:c>
      <x:c r="Q275" s="70" t="str">
        <x:f aca="0">IF(ABS(O275-P275)&lt;0.000001,"PASS","FAIL")</x:f>
        <x:v>PASS</x:v>
      </x:c>
      <x:c r="R275" s="70" t="s">
        <x:v>28</x:v>
      </x:c>
      <x:c r="S275" s="70"/>
    </x:row>
    <x:row r="276" ht="15" hidden="0">
      <x:c r="A276" s="70" t="s">
        <x:v>1378</x:v>
      </x:c>
      <x:c r="B276" s="70" t="s">
        <x:v>25</x:v>
      </x:c>
      <x:c r="C276" s="70" t="s">
        <x:v>74</x:v>
      </x:c>
      <x:c r="D276" s="70" t="s">
        <x:v>1375</x:v>
      </x:c>
      <x:c r="E276" s="70" t="s">
        <x:v>1221</x:v>
      </x:c>
      <x:c r="F276" s="70" t="s">
        <x:v>1376</x:v>
      </x:c>
      <x:c r="G276" s="70" t="s">
        <x:v>1207</x:v>
      </x:c>
      <x:c r="H276" s="70" t="s">
        <x:v>1208</x:v>
      </x:c>
      <x:c r="I276" s="70" t="s">
        <x:v>1199</x:v>
      </x:c>
      <x:c r="J276" s="70" t="n">
        <x:v>75</x:v>
      </x:c>
      <x:c r="K276" s="70" t="s">
        <x:v>1200</x:v>
      </x:c>
      <x:c r="L276" s="70"/>
      <x:c r="M276" s="70" t="s">
        <x:v>29</x:v>
      </x:c>
      <x:c r="N276" s="71" t="n">
        <x:v>1281559797</x:v>
      </x:c>
      <x:c r="O276" s="72" t="n">
        <x:f aca="0">N276/1000000</x:f>
        <x:v>1281.559797</x:v>
      </x:c>
      <x:c r="P276" s="73" t="n">
        <x:f aca="0">KOHC!E51</x:f>
        <x:v>1281.559797</x:v>
      </x:c>
      <x:c r="Q276" s="70" t="str">
        <x:f aca="0">IF(ABS(O276-P276)&lt;0.000001,"PASS","FAIL")</x:f>
        <x:v>PASS</x:v>
      </x:c>
      <x:c r="R276" s="70" t="s">
        <x:v>28</x:v>
      </x:c>
      <x:c r="S276" s="70"/>
    </x:row>
    <x:row r="277" ht="15" hidden="0">
      <x:c r="A277" s="70" t="s">
        <x:v>1379</x:v>
      </x:c>
      <x:c r="B277" s="70" t="s">
        <x:v>25</x:v>
      </x:c>
      <x:c r="C277" s="70" t="s">
        <x:v>75</x:v>
      </x:c>
      <x:c r="D277" s="70" t="s">
        <x:v>1375</x:v>
      </x:c>
      <x:c r="E277" s="70" t="s">
        <x:v>1221</x:v>
      </x:c>
      <x:c r="F277" s="70" t="s">
        <x:v>1376</x:v>
      </x:c>
      <x:c r="G277" s="70" t="s">
        <x:v>1210</x:v>
      </x:c>
      <x:c r="H277" s="70" t="s">
        <x:v>1211</x:v>
      </x:c>
      <x:c r="I277" s="70" t="s">
        <x:v>1199</x:v>
      </x:c>
      <x:c r="J277" s="70" t="n">
        <x:v>83</x:v>
      </x:c>
      <x:c r="K277" s="70" t="s">
        <x:v>1200</x:v>
      </x:c>
      <x:c r="L277" s="70"/>
      <x:c r="M277" s="70" t="s">
        <x:v>29</x:v>
      </x:c>
      <x:c r="N277" s="71" t="n">
        <x:v>674674284</x:v>
      </x:c>
      <x:c r="O277" s="72" t="n">
        <x:f aca="0">N277/1000000</x:f>
        <x:v>674.674284</x:v>
      </x:c>
      <x:c r="P277" s="73" t="n">
        <x:f aca="0">KOHC!F51</x:f>
        <x:v>674.674284</x:v>
      </x:c>
      <x:c r="Q277" s="70" t="str">
        <x:f aca="0">IF(ABS(O277-P277)&lt;0.000001,"PASS","FAIL")</x:f>
        <x:v>PASS</x:v>
      </x:c>
      <x:c r="R277" s="70" t="s">
        <x:v>28</x:v>
      </x:c>
      <x:c r="S277" s="70"/>
    </x:row>
    <x:row r="278" ht="15" hidden="0">
      <x:c r="A278" s="70" t="s">
        <x:v>1380</x:v>
      </x:c>
      <x:c r="B278" s="70" t="s">
        <x:v>25</x:v>
      </x:c>
      <x:c r="C278" s="70" t="s">
        <x:v>76</x:v>
      </x:c>
      <x:c r="D278" s="70" t="s">
        <x:v>1375</x:v>
      </x:c>
      <x:c r="E278" s="70" t="s">
        <x:v>1221</x:v>
      </x:c>
      <x:c r="F278" s="70" t="s">
        <x:v>1381</x:v>
      </x:c>
      <x:c r="G278" s="70" t="s">
        <x:v>1214</x:v>
      </x:c>
      <x:c r="H278" s="70" t="s">
        <x:v>1215</x:v>
      </x:c>
      <x:c r="I278" s="70" t="s">
        <x:v>1199</x:v>
      </x:c>
      <x:c r="J278" s="70" t="n">
        <x:v>91</x:v>
      </x:c>
      <x:c r="K278" s="70" t="s">
        <x:v>1200</x:v>
      </x:c>
      <x:c r="L278" s="70"/>
      <x:c r="M278" s="70" t="s">
        <x:v>29</x:v>
      </x:c>
      <x:c r="N278" s="71" t="n">
        <x:v>1781446871</x:v>
      </x:c>
      <x:c r="O278" s="72" t="n">
        <x:f aca="0">N278/1000000</x:f>
        <x:v>1781.446871</x:v>
      </x:c>
      <x:c r="P278" s="73" t="n">
        <x:f aca="0">KOHC!G51</x:f>
        <x:v>1781.446871</x:v>
      </x:c>
      <x:c r="Q278" s="70" t="str">
        <x:f aca="0">IF(ABS(O278-P278)&lt;0.000001,"PASS","FAIL")</x:f>
        <x:v>PASS</x:v>
      </x:c>
      <x:c r="R278" s="70" t="s">
        <x:v>28</x:v>
      </x:c>
      <x:c r="S278" s="70"/>
    </x:row>
    <x:row r="279" ht="15" hidden="0">
      <x:c r="A279" s="70" t="s">
        <x:v>1382</x:v>
      </x:c>
      <x:c r="B279" s="70" t="s">
        <x:v>25</x:v>
      </x:c>
      <x:c r="C279" s="70" t="s">
        <x:v>77</x:v>
      </x:c>
      <x:c r="D279" s="70" t="s">
        <x:v>1375</x:v>
      </x:c>
      <x:c r="E279" s="70" t="s">
        <x:v>1221</x:v>
      </x:c>
      <x:c r="F279" s="70" t="s">
        <x:v>1381</x:v>
      </x:c>
      <x:c r="G279" s="70" t="s">
        <x:v>1214</x:v>
      </x:c>
      <x:c r="H279" s="70" t="s">
        <x:v>1215</x:v>
      </x:c>
      <x:c r="I279" s="70" t="s">
        <x:v>1218</x:v>
      </x:c>
      <x:c r="J279" s="70" t="n">
        <x:v>91</x:v>
      </x:c>
      <x:c r="K279" s="70" t="s">
        <x:v>1200</x:v>
      </x:c>
      <x:c r="L279" s="70"/>
      <x:c r="M279" s="70" t="s">
        <x:v>29</x:v>
      </x:c>
      <x:c r="N279" s="71" t="n">
        <x:v>2107135975</x:v>
      </x:c>
      <x:c r="O279" s="72" t="n">
        <x:f aca="0">N279/1000000</x:f>
        <x:v>2107.135975</x:v>
      </x:c>
      <x:c r="P279" s="73" t="n">
        <x:f aca="0">KOHC!H51</x:f>
        <x:v>2107.135975</x:v>
      </x:c>
      <x:c r="Q279" s="70" t="str">
        <x:f aca="0">IF(ABS(O279-P279)&lt;0.000001,"PASS","FAIL")</x:f>
        <x:v>PASS</x:v>
      </x:c>
      <x:c r="R279" s="70" t="s">
        <x:v>28</x:v>
      </x:c>
      <x:c r="S279" s="70"/>
    </x:row>
    <x:row r="280" ht="15" hidden="0">
      <x:c r="A280" s="70" t="s">
        <x:v>1383</x:v>
      </x:c>
      <x:c r="B280" s="70" t="s">
        <x:v>25</x:v>
      </x:c>
      <x:c r="C280" s="70" t="s">
        <x:v>1076</x:v>
      </x:c>
      <x:c r="D280" s="70" t="s">
        <x:v>356</x:v>
      </x:c>
      <x:c r="E280" s="70" t="s">
        <x:v>1129</x:v>
      </x:c>
      <x:c r="F280" s="70" t="s">
        <x:v>1384</x:v>
      </x:c>
      <x:c r="G280" s="70" t="s">
        <x:v>1197</x:v>
      </x:c>
      <x:c r="H280" s="70" t="s">
        <x:v>1198</x:v>
      </x:c>
      <x:c r="I280" s="70" t="s">
        <x:v>1199</x:v>
      </x:c>
      <x:c r="J280" s="70" t="n">
        <x:v>44</x:v>
      </x:c>
      <x:c r="K280" s="70" t="s">
        <x:v>1230</x:v>
      </x:c>
      <x:c r="L280" s="70" t="s">
        <x:v>1385</x:v>
      </x:c>
      <x:c r="M280" s="70" t="s">
        <x:v>29</x:v>
      </x:c>
      <x:c r="N280" s="71" t="n">
        <x:v>126582689</x:v>
      </x:c>
      <x:c r="O280" s="72" t="n">
        <x:f aca="0">N280/1000000</x:f>
        <x:v>126.582689</x:v>
      </x:c>
      <x:c r="P280" s="73" t="n">
        <x:f aca="0">KOHC!C52</x:f>
        <x:v>126.582689</x:v>
      </x:c>
      <x:c r="Q280" s="70" t="str">
        <x:f aca="0">IF(ABS(O280-P280)&lt;0.000001,"PASS","FAIL")</x:f>
        <x:v>PASS</x:v>
      </x:c>
      <x:c r="R280" s="70" t="s">
        <x:v>28</x:v>
      </x:c>
      <x:c r="S280" s="70"/>
    </x:row>
    <x:row r="281" ht="15" hidden="0">
      <x:c r="A281" s="70" t="s">
        <x:v>1386</x:v>
      </x:c>
      <x:c r="B281" s="70" t="s">
        <x:v>25</x:v>
      </x:c>
      <x:c r="C281" s="70" t="s">
        <x:v>73</x:v>
      </x:c>
      <x:c r="D281" s="70" t="s">
        <x:v>356</x:v>
      </x:c>
      <x:c r="E281" s="70" t="s">
        <x:v>1129</x:v>
      </x:c>
      <x:c r="F281" s="70" t="s">
        <x:v>1384</x:v>
      </x:c>
      <x:c r="G281" s="70" t="s">
        <x:v>1203</x:v>
      </x:c>
      <x:c r="H281" s="70" t="s">
        <x:v>1204</x:v>
      </x:c>
      <x:c r="I281" s="70" t="s">
        <x:v>1199</x:v>
      </x:c>
      <x:c r="J281" s="70" t="n">
        <x:v>52</x:v>
      </x:c>
      <x:c r="K281" s="70" t="s">
        <x:v>1230</x:v>
      </x:c>
      <x:c r="L281" s="70" t="s">
        <x:v>1385</x:v>
      </x:c>
      <x:c r="M281" s="70" t="s">
        <x:v>29</x:v>
      </x:c>
      <x:c r="N281" s="71" t="n">
        <x:v>137091500</x:v>
      </x:c>
      <x:c r="O281" s="72" t="n">
        <x:f aca="0">N281/1000000</x:f>
        <x:v>137.0915</x:v>
      </x:c>
      <x:c r="P281" s="73" t="n">
        <x:f aca="0">KOHC!D52</x:f>
        <x:v>137.0915</x:v>
      </x:c>
      <x:c r="Q281" s="70" t="str">
        <x:f aca="0">IF(ABS(O281-P281)&lt;0.000001,"PASS","FAIL")</x:f>
        <x:v>PASS</x:v>
      </x:c>
      <x:c r="R281" s="70" t="s">
        <x:v>28</x:v>
      </x:c>
      <x:c r="S281" s="70"/>
    </x:row>
    <x:row r="282" ht="15" hidden="0">
      <x:c r="A282" s="70" t="s">
        <x:v>1387</x:v>
      </x:c>
      <x:c r="B282" s="70" t="s">
        <x:v>25</x:v>
      </x:c>
      <x:c r="C282" s="70" t="s">
        <x:v>74</x:v>
      </x:c>
      <x:c r="D282" s="70" t="s">
        <x:v>356</x:v>
      </x:c>
      <x:c r="E282" s="70" t="s">
        <x:v>1129</x:v>
      </x:c>
      <x:c r="F282" s="70" t="s">
        <x:v>1384</x:v>
      </x:c>
      <x:c r="G282" s="70" t="s">
        <x:v>1207</x:v>
      </x:c>
      <x:c r="H282" s="70" t="s">
        <x:v>1208</x:v>
      </x:c>
      <x:c r="I282" s="70" t="s">
        <x:v>1199</x:v>
      </x:c>
      <x:c r="J282" s="70" t="n">
        <x:v>52</x:v>
      </x:c>
      <x:c r="K282" s="70" t="s">
        <x:v>1230</x:v>
      </x:c>
      <x:c r="L282" s="70" t="s">
        <x:v>1385</x:v>
      </x:c>
      <x:c r="M282" s="70" t="s">
        <x:v>29</x:v>
      </x:c>
      <x:c r="N282" s="71" t="n">
        <x:v>264984408</x:v>
      </x:c>
      <x:c r="O282" s="72" t="n">
        <x:f aca="0">N282/1000000</x:f>
        <x:v>264.984408</x:v>
      </x:c>
      <x:c r="P282" s="73" t="n">
        <x:f aca="0">KOHC!E52</x:f>
        <x:v>264.984408</x:v>
      </x:c>
      <x:c r="Q282" s="70" t="str">
        <x:f aca="0">IF(ABS(O282-P282)&lt;0.000001,"PASS","FAIL")</x:f>
        <x:v>PASS</x:v>
      </x:c>
      <x:c r="R282" s="70" t="s">
        <x:v>28</x:v>
      </x:c>
      <x:c r="S282" s="70"/>
    </x:row>
    <x:row r="283" ht="15" hidden="0">
      <x:c r="A283" s="70" t="s">
        <x:v>1388</x:v>
      </x:c>
      <x:c r="B283" s="70" t="s">
        <x:v>25</x:v>
      </x:c>
      <x:c r="C283" s="70" t="s">
        <x:v>75</x:v>
      </x:c>
      <x:c r="D283" s="70" t="s">
        <x:v>356</x:v>
      </x:c>
      <x:c r="E283" s="70" t="s">
        <x:v>1129</x:v>
      </x:c>
      <x:c r="F283" s="70" t="s">
        <x:v>1384</x:v>
      </x:c>
      <x:c r="G283" s="70" t="s">
        <x:v>1210</x:v>
      </x:c>
      <x:c r="H283" s="70" t="s">
        <x:v>1211</x:v>
      </x:c>
      <x:c r="I283" s="70" t="s">
        <x:v>1199</x:v>
      </x:c>
      <x:c r="J283" s="70" t="n">
        <x:v>58</x:v>
      </x:c>
      <x:c r="K283" s="70" t="s">
        <x:v>1230</x:v>
      </x:c>
      <x:c r="L283" s="70"/>
      <x:c r="M283" s="70" t="s">
        <x:v>29</x:v>
      </x:c>
      <x:c r="N283" s="71" t="n">
        <x:v>253135945</x:v>
      </x:c>
      <x:c r="O283" s="72" t="n">
        <x:f aca="0">N283/1000000</x:f>
        <x:v>253.135945</x:v>
      </x:c>
      <x:c r="P283" s="73" t="n">
        <x:f aca="0">KOHC!F52</x:f>
        <x:v>253.135945</x:v>
      </x:c>
      <x:c r="Q283" s="70" t="str">
        <x:f aca="0">IF(ABS(O283-P283)&lt;0.000001,"PASS","FAIL")</x:f>
        <x:v>PASS</x:v>
      </x:c>
      <x:c r="R283" s="70" t="s">
        <x:v>28</x:v>
      </x:c>
      <x:c r="S283" s="70"/>
    </x:row>
    <x:row r="284" ht="15" hidden="0">
      <x:c r="A284" s="70" t="s">
        <x:v>1389</x:v>
      </x:c>
      <x:c r="B284" s="70" t="s">
        <x:v>25</x:v>
      </x:c>
      <x:c r="C284" s="70" t="s">
        <x:v>76</x:v>
      </x:c>
      <x:c r="D284" s="70" t="s">
        <x:v>356</x:v>
      </x:c>
      <x:c r="E284" s="70" t="s">
        <x:v>1129</x:v>
      </x:c>
      <x:c r="F284" s="70" t="s">
        <x:v>1384</x:v>
      </x:c>
      <x:c r="G284" s="70" t="s">
        <x:v>1214</x:v>
      </x:c>
      <x:c r="H284" s="70" t="s">
        <x:v>1215</x:v>
      </x:c>
      <x:c r="I284" s="70" t="s">
        <x:v>1199</x:v>
      </x:c>
      <x:c r="J284" s="70" t="n">
        <x:v>68</x:v>
      </x:c>
      <x:c r="K284" s="70" t="s">
        <x:v>1235</x:v>
      </x:c>
      <x:c r="L284" s="70" t="s">
        <x:v>1390</x:v>
      </x:c>
      <x:c r="M284" s="70" t="s">
        <x:v>29</x:v>
      </x:c>
      <x:c r="N284" s="71" t="n">
        <x:v>113418606</x:v>
      </x:c>
      <x:c r="O284" s="72" t="n">
        <x:f aca="0">N284/1000000</x:f>
        <x:v>113.418606</x:v>
      </x:c>
      <x:c r="P284" s="73" t="n">
        <x:f aca="0">KOHC!G52</x:f>
        <x:v>113.418606</x:v>
      </x:c>
      <x:c r="Q284" s="70" t="str">
        <x:f aca="0">IF(ABS(O284-P284)&lt;0.000001,"PASS","FAIL")</x:f>
        <x:v>PASS</x:v>
      </x:c>
      <x:c r="R284" s="70" t="s">
        <x:v>28</x:v>
      </x:c>
      <x:c r="S284" s="70"/>
    </x:row>
    <x:row r="285" ht="15" hidden="0">
      <x:c r="A285" s="70" t="s">
        <x:v>1391</x:v>
      </x:c>
      <x:c r="B285" s="70" t="s">
        <x:v>25</x:v>
      </x:c>
      <x:c r="C285" s="70" t="s">
        <x:v>77</x:v>
      </x:c>
      <x:c r="D285" s="70" t="s">
        <x:v>356</x:v>
      </x:c>
      <x:c r="E285" s="70" t="s">
        <x:v>1129</x:v>
      </x:c>
      <x:c r="F285" s="70" t="s">
        <x:v>1384</x:v>
      </x:c>
      <x:c r="G285" s="70" t="s">
        <x:v>1214</x:v>
      </x:c>
      <x:c r="H285" s="70" t="s">
        <x:v>1215</x:v>
      </x:c>
      <x:c r="I285" s="70" t="s">
        <x:v>1218</x:v>
      </x:c>
      <x:c r="J285" s="70" t="n">
        <x:v>68</x:v>
      </x:c>
      <x:c r="K285" s="70" t="s">
        <x:v>1235</x:v>
      </x:c>
      <x:c r="L285" s="70" t="s">
        <x:v>1390</x:v>
      </x:c>
      <x:c r="M285" s="70" t="s">
        <x:v>29</x:v>
      </x:c>
      <x:c r="N285" s="71" t="n">
        <x:v>144300907</x:v>
      </x:c>
      <x:c r="O285" s="72" t="n">
        <x:f aca="0">N285/1000000</x:f>
        <x:v>144.300907</x:v>
      </x:c>
      <x:c r="P285" s="73" t="n">
        <x:f aca="0">KOHC!H52</x:f>
        <x:v>144.300907</x:v>
      </x:c>
      <x:c r="Q285" s="70" t="str">
        <x:f aca="0">IF(ABS(O285-P285)&lt;0.000001,"PASS","FAIL")</x:f>
        <x:v>PASS</x:v>
      </x:c>
      <x:c r="R285" s="70" t="s">
        <x:v>28</x:v>
      </x:c>
      <x:c r="S285" s="70"/>
    </x:row>
    <x:row r="286" ht="15" hidden="0">
      <x:c r="A286" s="70" t="s">
        <x:v>1392</x:v>
      </x:c>
      <x:c r="B286" s="70" t="s">
        <x:v>25</x:v>
      </x:c>
      <x:c r="C286" s="70" t="s">
        <x:v>1076</x:v>
      </x:c>
      <x:c r="D286" s="70" t="s">
        <x:v>358</x:v>
      </x:c>
      <x:c r="E286" s="70" t="s">
        <x:v>1129</x:v>
      </x:c>
      <x:c r="F286" s="70" t="s">
        <x:v>1393</x:v>
      </x:c>
      <x:c r="G286" s="70" t="s">
        <x:v>1197</x:v>
      </x:c>
      <x:c r="H286" s="70" t="s">
        <x:v>1198</x:v>
      </x:c>
      <x:c r="I286" s="70" t="s">
        <x:v>1199</x:v>
      </x:c>
      <x:c r="J286" s="70" t="n">
        <x:v>44</x:v>
      </x:c>
      <x:c r="K286" s="70" t="s">
        <x:v>1230</x:v>
      </x:c>
      <x:c r="L286" s="70" t="s">
        <x:v>1216</x:v>
      </x:c>
      <x:c r="M286" s="70" t="s">
        <x:v>29</x:v>
      </x:c>
      <x:c r="N286" s="71" t="n">
        <x:v>208766756</x:v>
      </x:c>
      <x:c r="O286" s="72" t="n">
        <x:f aca="0">N286/1000000</x:f>
        <x:v>208.766756</x:v>
      </x:c>
      <x:c r="P286" s="73" t="n">
        <x:f aca="0">KOHC!C53</x:f>
        <x:v>208.766756</x:v>
      </x:c>
      <x:c r="Q286" s="70" t="str">
        <x:f aca="0">IF(ABS(O286-P286)&lt;0.000001,"PASS","FAIL")</x:f>
        <x:v>PASS</x:v>
      </x:c>
      <x:c r="R286" s="70" t="s">
        <x:v>28</x:v>
      </x:c>
      <x:c r="S286" s="70"/>
    </x:row>
    <x:row r="287" ht="15" hidden="0">
      <x:c r="A287" s="70" t="s">
        <x:v>1394</x:v>
      </x:c>
      <x:c r="B287" s="70" t="s">
        <x:v>25</x:v>
      </x:c>
      <x:c r="C287" s="70" t="s">
        <x:v>73</x:v>
      </x:c>
      <x:c r="D287" s="70" t="s">
        <x:v>358</x:v>
      </x:c>
      <x:c r="E287" s="70" t="s">
        <x:v>1129</x:v>
      </x:c>
      <x:c r="F287" s="70" t="s">
        <x:v>1393</x:v>
      </x:c>
      <x:c r="G287" s="70" t="s">
        <x:v>1203</x:v>
      </x:c>
      <x:c r="H287" s="70" t="s">
        <x:v>1204</x:v>
      </x:c>
      <x:c r="I287" s="70" t="s">
        <x:v>1199</x:v>
      </x:c>
      <x:c r="J287" s="70" t="n">
        <x:v>52</x:v>
      </x:c>
      <x:c r="K287" s="70" t="s">
        <x:v>1230</x:v>
      </x:c>
      <x:c r="L287" s="70" t="s">
        <x:v>1216</x:v>
      </x:c>
      <x:c r="M287" s="70" t="s">
        <x:v>29</x:v>
      </x:c>
      <x:c r="N287" s="71" t="n">
        <x:v>122613973</x:v>
      </x:c>
      <x:c r="O287" s="72" t="n">
        <x:f aca="0">N287/1000000</x:f>
        <x:v>122.613973</x:v>
      </x:c>
      <x:c r="P287" s="73" t="n">
        <x:f aca="0">KOHC!D53</x:f>
        <x:v>122.613973</x:v>
      </x:c>
      <x:c r="Q287" s="70" t="str">
        <x:f aca="0">IF(ABS(O287-P287)&lt;0.000001,"PASS","FAIL")</x:f>
        <x:v>PASS</x:v>
      </x:c>
      <x:c r="R287" s="70" t="s">
        <x:v>28</x:v>
      </x:c>
      <x:c r="S287" s="70"/>
    </x:row>
    <x:row r="288" ht="15" hidden="0">
      <x:c r="A288" s="70" t="s">
        <x:v>1395</x:v>
      </x:c>
      <x:c r="B288" s="70" t="s">
        <x:v>25</x:v>
      </x:c>
      <x:c r="C288" s="70" t="s">
        <x:v>74</x:v>
      </x:c>
      <x:c r="D288" s="70" t="s">
        <x:v>358</x:v>
      </x:c>
      <x:c r="E288" s="70" t="s">
        <x:v>1129</x:v>
      </x:c>
      <x:c r="F288" s="70" t="s">
        <x:v>1393</x:v>
      </x:c>
      <x:c r="G288" s="70" t="s">
        <x:v>1207</x:v>
      </x:c>
      <x:c r="H288" s="70" t="s">
        <x:v>1208</x:v>
      </x:c>
      <x:c r="I288" s="70" t="s">
        <x:v>1199</x:v>
      </x:c>
      <x:c r="J288" s="70" t="n">
        <x:v>52</x:v>
      </x:c>
      <x:c r="K288" s="70" t="s">
        <x:v>1230</x:v>
      </x:c>
      <x:c r="L288" s="70" t="s">
        <x:v>1216</x:v>
      </x:c>
      <x:c r="M288" s="70" t="s">
        <x:v>29</x:v>
      </x:c>
      <x:c r="N288" s="71" t="n">
        <x:v>142171993</x:v>
      </x:c>
      <x:c r="O288" s="72" t="n">
        <x:f aca="0">N288/1000000</x:f>
        <x:v>142.171993</x:v>
      </x:c>
      <x:c r="P288" s="73" t="n">
        <x:f aca="0">KOHC!E53</x:f>
        <x:v>142.171993</x:v>
      </x:c>
      <x:c r="Q288" s="70" t="str">
        <x:f aca="0">IF(ABS(O288-P288)&lt;0.000001,"PASS","FAIL")</x:f>
        <x:v>PASS</x:v>
      </x:c>
      <x:c r="R288" s="70" t="s">
        <x:v>28</x:v>
      </x:c>
      <x:c r="S288" s="70"/>
    </x:row>
    <x:row r="289" ht="15" hidden="0">
      <x:c r="A289" s="70" t="s">
        <x:v>1396</x:v>
      </x:c>
      <x:c r="B289" s="70" t="s">
        <x:v>25</x:v>
      </x:c>
      <x:c r="C289" s="70" t="s">
        <x:v>75</x:v>
      </x:c>
      <x:c r="D289" s="70" t="s">
        <x:v>358</x:v>
      </x:c>
      <x:c r="E289" s="70" t="s">
        <x:v>1129</x:v>
      </x:c>
      <x:c r="F289" s="70" t="s">
        <x:v>1393</x:v>
      </x:c>
      <x:c r="G289" s="70" t="s">
        <x:v>1210</x:v>
      </x:c>
      <x:c r="H289" s="70" t="s">
        <x:v>1211</x:v>
      </x:c>
      <x:c r="I289" s="70" t="s">
        <x:v>1199</x:v>
      </x:c>
      <x:c r="J289" s="70" t="n">
        <x:v>58</x:v>
      </x:c>
      <x:c r="K289" s="70" t="s">
        <x:v>1230</x:v>
      </x:c>
      <x:c r="L289" s="70" t="s">
        <x:v>1397</x:v>
      </x:c>
      <x:c r="M289" s="70" t="s">
        <x:v>29</x:v>
      </x:c>
      <x:c r="N289" s="71" t="n">
        <x:v>192674790</x:v>
      </x:c>
      <x:c r="O289" s="72" t="n">
        <x:f aca="0">N289/1000000</x:f>
        <x:v>192.67479</x:v>
      </x:c>
      <x:c r="P289" s="73" t="n">
        <x:f aca="0">KOHC!F53</x:f>
        <x:v>192.67479</x:v>
      </x:c>
      <x:c r="Q289" s="70" t="str">
        <x:f aca="0">IF(ABS(O289-P289)&lt;0.000001,"PASS","FAIL")</x:f>
        <x:v>PASS</x:v>
      </x:c>
      <x:c r="R289" s="70" t="s">
        <x:v>28</x:v>
      </x:c>
      <x:c r="S289" s="70"/>
    </x:row>
    <x:row r="290" ht="15" hidden="0">
      <x:c r="A290" s="70" t="s">
        <x:v>1398</x:v>
      </x:c>
      <x:c r="B290" s="70" t="s">
        <x:v>25</x:v>
      </x:c>
      <x:c r="C290" s="70" t="s">
        <x:v>76</x:v>
      </x:c>
      <x:c r="D290" s="70" t="s">
        <x:v>358</x:v>
      </x:c>
      <x:c r="E290" s="70" t="s">
        <x:v>1129</x:v>
      </x:c>
      <x:c r="F290" s="70"/>
      <x:c r="G290" s="70" t="s">
        <x:v>1214</x:v>
      </x:c>
      <x:c r="H290" s="70" t="s">
        <x:v>1215</x:v>
      </x:c>
      <x:c r="I290" s="70" t="s">
        <x:v>1199</x:v>
      </x:c>
      <x:c r="J290" s="70" t="n">
        <x:v>68</x:v>
      </x:c>
      <x:c r="K290" s="70" t="s">
        <x:v>1235</x:v>
      </x:c>
      <x:c r="L290" s="70"/>
      <x:c r="M290" s="70" t="s">
        <x:v>29</x:v>
      </x:c>
      <x:c r="N290" s="71" t="n">
        <x:v>0</x:v>
      </x:c>
      <x:c r="O290" s="72" t="n">
        <x:f aca="0">N290/1000000</x:f>
        <x:v>0</x:v>
      </x:c>
      <x:c r="P290" s="73" t="n">
        <x:f aca="0">KOHC!G53</x:f>
        <x:v>0</x:v>
      </x:c>
      <x:c r="Q290" s="70" t="str">
        <x:f aca="0">IF(ABS(O290-P290)&lt;0.000001,"PASS","FAIL")</x:f>
        <x:v>PASS</x:v>
      </x:c>
      <x:c r="R290" s="70" t="s">
        <x:v>28</x:v>
      </x:c>
      <x:c r="S290" s="70" t="s">
        <x:v>1205</x:v>
      </x:c>
    </x:row>
    <x:row r="291" ht="15" hidden="0">
      <x:c r="A291" s="70" t="s">
        <x:v>1399</x:v>
      </x:c>
      <x:c r="B291" s="70" t="s">
        <x:v>25</x:v>
      </x:c>
      <x:c r="C291" s="70" t="s">
        <x:v>77</x:v>
      </x:c>
      <x:c r="D291" s="70" t="s">
        <x:v>358</x:v>
      </x:c>
      <x:c r="E291" s="70" t="s">
        <x:v>1129</x:v>
      </x:c>
      <x:c r="F291" s="70"/>
      <x:c r="G291" s="70" t="s">
        <x:v>1214</x:v>
      </x:c>
      <x:c r="H291" s="70" t="s">
        <x:v>1215</x:v>
      </x:c>
      <x:c r="I291" s="70" t="s">
        <x:v>1218</x:v>
      </x:c>
      <x:c r="J291" s="70" t="n">
        <x:v>68</x:v>
      </x:c>
      <x:c r="K291" s="70" t="s">
        <x:v>1235</x:v>
      </x:c>
      <x:c r="L291" s="70"/>
      <x:c r="M291" s="70" t="s">
        <x:v>29</x:v>
      </x:c>
      <x:c r="N291" s="71" t="n">
        <x:v>0</x:v>
      </x:c>
      <x:c r="O291" s="72" t="n">
        <x:f aca="0">N291/1000000</x:f>
        <x:v>0</x:v>
      </x:c>
      <x:c r="P291" s="73" t="n">
        <x:f aca="0">KOHC!H53</x:f>
        <x:v>0</x:v>
      </x:c>
      <x:c r="Q291" s="70" t="str">
        <x:f aca="0">IF(ABS(O291-P291)&lt;0.000001,"PASS","FAIL")</x:f>
        <x:v>PASS</x:v>
      </x:c>
      <x:c r="R291" s="70" t="s">
        <x:v>28</x:v>
      </x:c>
      <x:c r="S291" s="70"/>
    </x:row>
    <x:row r="292" ht="15" hidden="0">
      <x:c r="A292" s="70" t="s">
        <x:v>1400</x:v>
      </x:c>
      <x:c r="B292" s="70" t="s">
        <x:v>25</x:v>
      </x:c>
      <x:c r="C292" s="70" t="s">
        <x:v>1076</x:v>
      </x:c>
      <x:c r="D292" s="70" t="s">
        <x:v>360</x:v>
      </x:c>
      <x:c r="E292" s="70" t="s">
        <x:v>1129</x:v>
      </x:c>
      <x:c r="F292" s="70" t="s">
        <x:v>1401</x:v>
      </x:c>
      <x:c r="G292" s="70" t="s">
        <x:v>1197</x:v>
      </x:c>
      <x:c r="H292" s="70" t="s">
        <x:v>1198</x:v>
      </x:c>
      <x:c r="I292" s="70" t="s">
        <x:v>1199</x:v>
      </x:c>
      <x:c r="J292" s="70" t="n">
        <x:v>44</x:v>
      </x:c>
      <x:c r="K292" s="70" t="s">
        <x:v>1230</x:v>
      </x:c>
      <x:c r="L292" s="70" t="s">
        <x:v>1397</x:v>
      </x:c>
      <x:c r="M292" s="70" t="s">
        <x:v>29</x:v>
      </x:c>
      <x:c r="N292" s="71" t="n">
        <x:v>1301609100</x:v>
      </x:c>
      <x:c r="O292" s="72" t="n">
        <x:f aca="0">N292/1000000</x:f>
        <x:v>1301.6091</x:v>
      </x:c>
      <x:c r="P292" s="73" t="n">
        <x:f aca="0">KOHC!C54</x:f>
        <x:v>1301.6091</x:v>
      </x:c>
      <x:c r="Q292" s="70" t="str">
        <x:f aca="0">IF(ABS(O292-P292)&lt;0.000001,"PASS","FAIL")</x:f>
        <x:v>PASS</x:v>
      </x:c>
      <x:c r="R292" s="70" t="s">
        <x:v>28</x:v>
      </x:c>
      <x:c r="S292" s="70"/>
    </x:row>
    <x:row r="293" ht="15" hidden="0">
      <x:c r="A293" s="70" t="s">
        <x:v>1402</x:v>
      </x:c>
      <x:c r="B293" s="70" t="s">
        <x:v>25</x:v>
      </x:c>
      <x:c r="C293" s="70" t="s">
        <x:v>73</x:v>
      </x:c>
      <x:c r="D293" s="70" t="s">
        <x:v>360</x:v>
      </x:c>
      <x:c r="E293" s="70" t="s">
        <x:v>1129</x:v>
      </x:c>
      <x:c r="F293" s="70" t="s">
        <x:v>1401</x:v>
      </x:c>
      <x:c r="G293" s="70" t="s">
        <x:v>1203</x:v>
      </x:c>
      <x:c r="H293" s="70" t="s">
        <x:v>1204</x:v>
      </x:c>
      <x:c r="I293" s="70" t="s">
        <x:v>1199</x:v>
      </x:c>
      <x:c r="J293" s="70" t="n">
        <x:v>52</x:v>
      </x:c>
      <x:c r="K293" s="70" t="s">
        <x:v>1230</x:v>
      </x:c>
      <x:c r="L293" s="70" t="s">
        <x:v>1397</x:v>
      </x:c>
      <x:c r="M293" s="70" t="s">
        <x:v>29</x:v>
      </x:c>
      <x:c r="N293" s="71" t="n">
        <x:v>498000000</x:v>
      </x:c>
      <x:c r="O293" s="72" t="n">
        <x:f aca="0">N293/1000000</x:f>
        <x:v>498</x:v>
      </x:c>
      <x:c r="P293" s="73" t="n">
        <x:f aca="0">KOHC!D54</x:f>
        <x:v>498</x:v>
      </x:c>
      <x:c r="Q293" s="70" t="str">
        <x:f aca="0">IF(ABS(O293-P293)&lt;0.000001,"PASS","FAIL")</x:f>
        <x:v>PASS</x:v>
      </x:c>
      <x:c r="R293" s="70" t="s">
        <x:v>28</x:v>
      </x:c>
      <x:c r="S293" s="70"/>
    </x:row>
    <x:row r="294" ht="15" hidden="0">
      <x:c r="A294" s="70" t="s">
        <x:v>1403</x:v>
      </x:c>
      <x:c r="B294" s="70" t="s">
        <x:v>25</x:v>
      </x:c>
      <x:c r="C294" s="70" t="s">
        <x:v>74</x:v>
      </x:c>
      <x:c r="D294" s="70" t="s">
        <x:v>360</x:v>
      </x:c>
      <x:c r="E294" s="70" t="s">
        <x:v>1129</x:v>
      </x:c>
      <x:c r="F294" s="70"/>
      <x:c r="G294" s="70" t="s">
        <x:v>1207</x:v>
      </x:c>
      <x:c r="H294" s="70" t="s">
        <x:v>1208</x:v>
      </x:c>
      <x:c r="I294" s="70" t="s">
        <x:v>1199</x:v>
      </x:c>
      <x:c r="J294" s="70" t="n">
        <x:v>52</x:v>
      </x:c>
      <x:c r="K294" s="70" t="s">
        <x:v>1230</x:v>
      </x:c>
      <x:c r="L294" s="70"/>
      <x:c r="M294" s="70" t="s">
        <x:v>29</x:v>
      </x:c>
      <x:c r="N294" s="71" t="n">
        <x:v>0</x:v>
      </x:c>
      <x:c r="O294" s="72" t="n">
        <x:f aca="0">N294/1000000</x:f>
        <x:v>0</x:v>
      </x:c>
      <x:c r="P294" s="73" t="n">
        <x:f aca="0">KOHC!E54</x:f>
        <x:v>0</x:v>
      </x:c>
      <x:c r="Q294" s="70" t="str">
        <x:f aca="0">IF(ABS(O294-P294)&lt;0.000001,"PASS","FAIL")</x:f>
        <x:v>PASS</x:v>
      </x:c>
      <x:c r="R294" s="70" t="s">
        <x:v>28</x:v>
      </x:c>
      <x:c r="S294" s="70"/>
    </x:row>
    <x:row r="295" ht="15" hidden="0">
      <x:c r="A295" s="70" t="s">
        <x:v>1404</x:v>
      </x:c>
      <x:c r="B295" s="70" t="s">
        <x:v>25</x:v>
      </x:c>
      <x:c r="C295" s="70" t="s">
        <x:v>75</x:v>
      </x:c>
      <x:c r="D295" s="70" t="s">
        <x:v>360</x:v>
      </x:c>
      <x:c r="E295" s="70" t="s">
        <x:v>1129</x:v>
      </x:c>
      <x:c r="F295" s="70"/>
      <x:c r="G295" s="70" t="s">
        <x:v>1210</x:v>
      </x:c>
      <x:c r="H295" s="70" t="s">
        <x:v>1211</x:v>
      </x:c>
      <x:c r="I295" s="70" t="s">
        <x:v>1199</x:v>
      </x:c>
      <x:c r="J295" s="70" t="n">
        <x:v>58</x:v>
      </x:c>
      <x:c r="K295" s="70" t="s">
        <x:v>1230</x:v>
      </x:c>
      <x:c r="L295" s="70"/>
      <x:c r="M295" s="70" t="s">
        <x:v>29</x:v>
      </x:c>
      <x:c r="N295" s="71" t="n">
        <x:v>0</x:v>
      </x:c>
      <x:c r="O295" s="72" t="n">
        <x:f aca="0">N295/1000000</x:f>
        <x:v>0</x:v>
      </x:c>
      <x:c r="P295" s="73" t="n">
        <x:f aca="0">KOHC!F54</x:f>
        <x:v>0</x:v>
      </x:c>
      <x:c r="Q295" s="70" t="str">
        <x:f aca="0">IF(ABS(O295-P295)&lt;0.000001,"PASS","FAIL")</x:f>
        <x:v>PASS</x:v>
      </x:c>
      <x:c r="R295" s="70" t="s">
        <x:v>28</x:v>
      </x:c>
      <x:c r="S295" s="70"/>
    </x:row>
    <x:row r="296" ht="15" hidden="0">
      <x:c r="A296" s="70" t="s">
        <x:v>1405</x:v>
      </x:c>
      <x:c r="B296" s="70" t="s">
        <x:v>25</x:v>
      </x:c>
      <x:c r="C296" s="70" t="s">
        <x:v>76</x:v>
      </x:c>
      <x:c r="D296" s="70" t="s">
        <x:v>360</x:v>
      </x:c>
      <x:c r="E296" s="70" t="s">
        <x:v>1129</x:v>
      </x:c>
      <x:c r="F296" s="70" t="s">
        <x:v>1401</x:v>
      </x:c>
      <x:c r="G296" s="70" t="s">
        <x:v>1214</x:v>
      </x:c>
      <x:c r="H296" s="70" t="s">
        <x:v>1215</x:v>
      </x:c>
      <x:c r="I296" s="70" t="s">
        <x:v>1199</x:v>
      </x:c>
      <x:c r="J296" s="70" t="n">
        <x:v>68</x:v>
      </x:c>
      <x:c r="K296" s="70" t="s">
        <x:v>1235</x:v>
      </x:c>
      <x:c r="L296" s="70" t="s">
        <x:v>1406</x:v>
      </x:c>
      <x:c r="M296" s="70" t="s">
        <x:v>29</x:v>
      </x:c>
      <x:c r="N296" s="71" t="n">
        <x:v>61253</x:v>
      </x:c>
      <x:c r="O296" s="72" t="n">
        <x:f aca="0">N296/1000000</x:f>
        <x:v>0.061253</x:v>
      </x:c>
      <x:c r="P296" s="73" t="n">
        <x:f aca="0">KOHC!G54</x:f>
        <x:v>0.061253</x:v>
      </x:c>
      <x:c r="Q296" s="70" t="str">
        <x:f aca="0">IF(ABS(O296-P296)&lt;0.000001,"PASS","FAIL")</x:f>
        <x:v>PASS</x:v>
      </x:c>
      <x:c r="R296" s="70" t="s">
        <x:v>28</x:v>
      </x:c>
      <x:c r="S296" s="70" t="s">
        <x:v>1205</x:v>
      </x:c>
    </x:row>
    <x:row r="297" ht="15" hidden="0">
      <x:c r="A297" s="70" t="s">
        <x:v>1407</x:v>
      </x:c>
      <x:c r="B297" s="70" t="s">
        <x:v>25</x:v>
      </x:c>
      <x:c r="C297" s="70" t="s">
        <x:v>77</x:v>
      </x:c>
      <x:c r="D297" s="70" t="s">
        <x:v>360</x:v>
      </x:c>
      <x:c r="E297" s="70" t="s">
        <x:v>1129</x:v>
      </x:c>
      <x:c r="F297" s="70" t="s">
        <x:v>1401</x:v>
      </x:c>
      <x:c r="G297" s="70" t="s">
        <x:v>1214</x:v>
      </x:c>
      <x:c r="H297" s="70" t="s">
        <x:v>1215</x:v>
      </x:c>
      <x:c r="I297" s="70" t="s">
        <x:v>1218</x:v>
      </x:c>
      <x:c r="J297" s="70" t="n">
        <x:v>68</x:v>
      </x:c>
      <x:c r="K297" s="70" t="s">
        <x:v>1235</x:v>
      </x:c>
      <x:c r="L297" s="70" t="s">
        <x:v>1406</x:v>
      </x:c>
      <x:c r="M297" s="70" t="s">
        <x:v>29</x:v>
      </x:c>
      <x:c r="N297" s="71" t="n">
        <x:v>3704884</x:v>
      </x:c>
      <x:c r="O297" s="72" t="n">
        <x:f aca="0">N297/1000000</x:f>
        <x:v>3.704884</x:v>
      </x:c>
      <x:c r="P297" s="73" t="n">
        <x:f aca="0">KOHC!H54</x:f>
        <x:v>3.704884</x:v>
      </x:c>
      <x:c r="Q297" s="70" t="str">
        <x:f aca="0">IF(ABS(O297-P297)&lt;0.000001,"PASS","FAIL")</x:f>
        <x:v>PASS</x:v>
      </x:c>
      <x:c r="R297" s="70" t="s">
        <x:v>28</x:v>
      </x:c>
      <x:c r="S297" s="70"/>
    </x:row>
    <x:row r="298" ht="15" hidden="0">
      <x:c r="A298" s="70" t="s">
        <x:v>1408</x:v>
      </x:c>
      <x:c r="B298" s="70" t="s">
        <x:v>25</x:v>
      </x:c>
      <x:c r="C298" s="70" t="s">
        <x:v>1076</x:v>
      </x:c>
      <x:c r="D298" s="70" t="s">
        <x:v>362</x:v>
      </x:c>
      <x:c r="E298" s="70" t="s">
        <x:v>1129</x:v>
      </x:c>
      <x:c r="F298" s="70" t="s">
        <x:v>1409</x:v>
      </x:c>
      <x:c r="G298" s="70" t="s">
        <x:v>1197</x:v>
      </x:c>
      <x:c r="H298" s="70" t="s">
        <x:v>1198</x:v>
      </x:c>
      <x:c r="I298" s="70" t="s">
        <x:v>1199</x:v>
      </x:c>
      <x:c r="J298" s="70" t="n">
        <x:v>44</x:v>
      </x:c>
      <x:c r="K298" s="70" t="s">
        <x:v>1230</x:v>
      </x:c>
      <x:c r="L298" s="70" t="s">
        <x:v>1332</x:v>
      </x:c>
      <x:c r="M298" s="70" t="s">
        <x:v>29</x:v>
      </x:c>
      <x:c r="N298" s="71" t="n">
        <x:v>248496322</x:v>
      </x:c>
      <x:c r="O298" s="72" t="n">
        <x:f aca="0">N298/1000000</x:f>
        <x:v>248.496322</x:v>
      </x:c>
      <x:c r="P298" s="73" t="n">
        <x:f aca="0">KOHC!C55</x:f>
        <x:v>248.496322</x:v>
      </x:c>
      <x:c r="Q298" s="70" t="str">
        <x:f aca="0">IF(ABS(O298-P298)&lt;0.000001,"PASS","FAIL")</x:f>
        <x:v>PASS</x:v>
      </x:c>
      <x:c r="R298" s="70" t="s">
        <x:v>28</x:v>
      </x:c>
      <x:c r="S298" s="70"/>
    </x:row>
    <x:row r="299" ht="15" hidden="0">
      <x:c r="A299" s="70" t="s">
        <x:v>1410</x:v>
      </x:c>
      <x:c r="B299" s="70" t="s">
        <x:v>25</x:v>
      </x:c>
      <x:c r="C299" s="70" t="s">
        <x:v>73</x:v>
      </x:c>
      <x:c r="D299" s="70" t="s">
        <x:v>362</x:v>
      </x:c>
      <x:c r="E299" s="70" t="s">
        <x:v>1129</x:v>
      </x:c>
      <x:c r="F299" s="70" t="s">
        <x:v>1409</x:v>
      </x:c>
      <x:c r="G299" s="70" t="s">
        <x:v>1203</x:v>
      </x:c>
      <x:c r="H299" s="70" t="s">
        <x:v>1204</x:v>
      </x:c>
      <x:c r="I299" s="70" t="s">
        <x:v>1199</x:v>
      </x:c>
      <x:c r="J299" s="70" t="n">
        <x:v>52</x:v>
      </x:c>
      <x:c r="K299" s="70" t="s">
        <x:v>1230</x:v>
      </x:c>
      <x:c r="L299" s="70" t="s">
        <x:v>1332</x:v>
      </x:c>
      <x:c r="M299" s="70" t="s">
        <x:v>29</x:v>
      </x:c>
      <x:c r="N299" s="71" t="n">
        <x:v>1147020843</x:v>
      </x:c>
      <x:c r="O299" s="72" t="n">
        <x:f aca="0">N299/1000000</x:f>
        <x:v>1147.020843</x:v>
      </x:c>
      <x:c r="P299" s="73" t="n">
        <x:f aca="0">KOHC!D55</x:f>
        <x:v>1147.020843</x:v>
      </x:c>
      <x:c r="Q299" s="70" t="str">
        <x:f aca="0">IF(ABS(O299-P299)&lt;0.000001,"PASS","FAIL")</x:f>
        <x:v>PASS</x:v>
      </x:c>
      <x:c r="R299" s="70" t="s">
        <x:v>28</x:v>
      </x:c>
      <x:c r="S299" s="70"/>
    </x:row>
    <x:row r="300" ht="15" hidden="0">
      <x:c r="A300" s="70" t="s">
        <x:v>1411</x:v>
      </x:c>
      <x:c r="B300" s="70" t="s">
        <x:v>25</x:v>
      </x:c>
      <x:c r="C300" s="70" t="s">
        <x:v>74</x:v>
      </x:c>
      <x:c r="D300" s="70" t="s">
        <x:v>362</x:v>
      </x:c>
      <x:c r="E300" s="70" t="s">
        <x:v>1129</x:v>
      </x:c>
      <x:c r="F300" s="70" t="s">
        <x:v>1409</x:v>
      </x:c>
      <x:c r="G300" s="70" t="s">
        <x:v>1207</x:v>
      </x:c>
      <x:c r="H300" s="70" t="s">
        <x:v>1208</x:v>
      </x:c>
      <x:c r="I300" s="70" t="s">
        <x:v>1199</x:v>
      </x:c>
      <x:c r="J300" s="70" t="n">
        <x:v>52</x:v>
      </x:c>
      <x:c r="K300" s="70" t="s">
        <x:v>1230</x:v>
      </x:c>
      <x:c r="L300" s="70" t="s">
        <x:v>1332</x:v>
      </x:c>
      <x:c r="M300" s="70" t="s">
        <x:v>29</x:v>
      </x:c>
      <x:c r="N300" s="71" t="n">
        <x:v>1071912356</x:v>
      </x:c>
      <x:c r="O300" s="72" t="n">
        <x:f aca="0">N300/1000000</x:f>
        <x:v>1071.912356</x:v>
      </x:c>
      <x:c r="P300" s="73" t="n">
        <x:f aca="0">KOHC!E55</x:f>
        <x:v>1071.912356</x:v>
      </x:c>
      <x:c r="Q300" s="70" t="str">
        <x:f aca="0">IF(ABS(O300-P300)&lt;0.000001,"PASS","FAIL")</x:f>
        <x:v>PASS</x:v>
      </x:c>
      <x:c r="R300" s="70" t="s">
        <x:v>28</x:v>
      </x:c>
      <x:c r="S300" s="70"/>
    </x:row>
    <x:row r="301" ht="15" hidden="0">
      <x:c r="A301" s="70" t="s">
        <x:v>1412</x:v>
      </x:c>
      <x:c r="B301" s="70" t="s">
        <x:v>25</x:v>
      </x:c>
      <x:c r="C301" s="70" t="s">
        <x:v>75</x:v>
      </x:c>
      <x:c r="D301" s="70" t="s">
        <x:v>362</x:v>
      </x:c>
      <x:c r="E301" s="70" t="s">
        <x:v>1129</x:v>
      </x:c>
      <x:c r="F301" s="70" t="s">
        <x:v>1409</x:v>
      </x:c>
      <x:c r="G301" s="70" t="s">
        <x:v>1210</x:v>
      </x:c>
      <x:c r="H301" s="70" t="s">
        <x:v>1211</x:v>
      </x:c>
      <x:c r="I301" s="70" t="s">
        <x:v>1199</x:v>
      </x:c>
      <x:c r="J301" s="70" t="n">
        <x:v>58</x:v>
      </x:c>
      <x:c r="K301" s="70" t="s">
        <x:v>1230</x:v>
      </x:c>
      <x:c r="L301" s="70" t="s">
        <x:v>1332</x:v>
      </x:c>
      <x:c r="M301" s="70" t="s">
        <x:v>29</x:v>
      </x:c>
      <x:c r="N301" s="71" t="n">
        <x:v>1034355873</x:v>
      </x:c>
      <x:c r="O301" s="72" t="n">
        <x:f aca="0">N301/1000000</x:f>
        <x:v>1034.355873</x:v>
      </x:c>
      <x:c r="P301" s="73" t="n">
        <x:f aca="0">KOHC!F55</x:f>
        <x:v>1034.355873</x:v>
      </x:c>
      <x:c r="Q301" s="70" t="str">
        <x:f aca="0">IF(ABS(O301-P301)&lt;0.000001,"PASS","FAIL")</x:f>
        <x:v>PASS</x:v>
      </x:c>
      <x:c r="R301" s="70" t="s">
        <x:v>28</x:v>
      </x:c>
      <x:c r="S301" s="70"/>
    </x:row>
    <x:row r="302" ht="15" hidden="0">
      <x:c r="A302" s="70" t="s">
        <x:v>1413</x:v>
      </x:c>
      <x:c r="B302" s="70" t="s">
        <x:v>25</x:v>
      </x:c>
      <x:c r="C302" s="70" t="s">
        <x:v>76</x:v>
      </x:c>
      <x:c r="D302" s="70" t="s">
        <x:v>362</x:v>
      </x:c>
      <x:c r="E302" s="70" t="s">
        <x:v>1129</x:v>
      </x:c>
      <x:c r="F302" s="70" t="s">
        <x:v>1409</x:v>
      </x:c>
      <x:c r="G302" s="70" t="s">
        <x:v>1214</x:v>
      </x:c>
      <x:c r="H302" s="70" t="s">
        <x:v>1215</x:v>
      </x:c>
      <x:c r="I302" s="70" t="s">
        <x:v>1199</x:v>
      </x:c>
      <x:c r="J302" s="70" t="n">
        <x:v>68</x:v>
      </x:c>
      <x:c r="K302" s="70" t="s">
        <x:v>1235</x:v>
      </x:c>
      <x:c r="L302" s="70" t="s">
        <x:v>1332</x:v>
      </x:c>
      <x:c r="M302" s="70" t="s">
        <x:v>29</x:v>
      </x:c>
      <x:c r="N302" s="71" t="n">
        <x:v>1169295643</x:v>
      </x:c>
      <x:c r="O302" s="72" t="n">
        <x:f aca="0">N302/1000000</x:f>
        <x:v>1169.295643</x:v>
      </x:c>
      <x:c r="P302" s="73" t="n">
        <x:f aca="0">KOHC!G55</x:f>
        <x:v>1169.295643</x:v>
      </x:c>
      <x:c r="Q302" s="70" t="str">
        <x:f aca="0">IF(ABS(O302-P302)&lt;0.000001,"PASS","FAIL")</x:f>
        <x:v>PASS</x:v>
      </x:c>
      <x:c r="R302" s="70" t="s">
        <x:v>28</x:v>
      </x:c>
      <x:c r="S302" s="70" t="s">
        <x:v>1205</x:v>
      </x:c>
    </x:row>
    <x:row r="303" ht="15" hidden="0">
      <x:c r="A303" s="70" t="s">
        <x:v>1414</x:v>
      </x:c>
      <x:c r="B303" s="70" t="s">
        <x:v>25</x:v>
      </x:c>
      <x:c r="C303" s="70" t="s">
        <x:v>77</x:v>
      </x:c>
      <x:c r="D303" s="70" t="s">
        <x:v>362</x:v>
      </x:c>
      <x:c r="E303" s="70" t="s">
        <x:v>1129</x:v>
      </x:c>
      <x:c r="F303" s="70" t="s">
        <x:v>1409</x:v>
      </x:c>
      <x:c r="G303" s="70" t="s">
        <x:v>1214</x:v>
      </x:c>
      <x:c r="H303" s="70" t="s">
        <x:v>1215</x:v>
      </x:c>
      <x:c r="I303" s="70" t="s">
        <x:v>1218</x:v>
      </x:c>
      <x:c r="J303" s="70" t="n">
        <x:v>68</x:v>
      </x:c>
      <x:c r="K303" s="70" t="s">
        <x:v>1235</x:v>
      </x:c>
      <x:c r="L303" s="70" t="s">
        <x:v>1332</x:v>
      </x:c>
      <x:c r="M303" s="70" t="s">
        <x:v>29</x:v>
      </x:c>
      <x:c r="N303" s="71" t="n">
        <x:v>837359258</x:v>
      </x:c>
      <x:c r="O303" s="72" t="n">
        <x:f aca="0">N303/1000000</x:f>
        <x:v>837.359258</x:v>
      </x:c>
      <x:c r="P303" s="73" t="n">
        <x:f aca="0">KOHC!H55</x:f>
        <x:v>837.359258</x:v>
      </x:c>
      <x:c r="Q303" s="70" t="str">
        <x:f aca="0">IF(ABS(O303-P303)&lt;0.000001,"PASS","FAIL")</x:f>
        <x:v>PASS</x:v>
      </x:c>
      <x:c r="R303" s="70" t="s">
        <x:v>28</x:v>
      </x:c>
      <x:c r="S303" s="70"/>
    </x:row>
    <x:row r="304" ht="15" hidden="0">
      <x:c r="A304" s="70" t="s">
        <x:v>1415</x:v>
      </x:c>
      <x:c r="B304" s="70" t="s">
        <x:v>25</x:v>
      </x:c>
      <x:c r="C304" s="70" t="s">
        <x:v>1076</x:v>
      </x:c>
      <x:c r="D304" s="70" t="s">
        <x:v>364</x:v>
      </x:c>
      <x:c r="E304" s="70" t="s">
        <x:v>1129</x:v>
      </x:c>
      <x:c r="F304" s="70"/>
      <x:c r="G304" s="70" t="s">
        <x:v>1197</x:v>
      </x:c>
      <x:c r="H304" s="70" t="s">
        <x:v>1198</x:v>
      </x:c>
      <x:c r="I304" s="70" t="s">
        <x:v>1199</x:v>
      </x:c>
      <x:c r="J304" s="70" t="n">
        <x:v>44</x:v>
      </x:c>
      <x:c r="K304" s="70" t="s">
        <x:v>1230</x:v>
      </x:c>
      <x:c r="L304" s="70"/>
      <x:c r="M304" s="70" t="s">
        <x:v>29</x:v>
      </x:c>
      <x:c r="N304" s="71" t="n">
        <x:v>0</x:v>
      </x:c>
      <x:c r="O304" s="72" t="n">
        <x:f aca="0">N304/1000000</x:f>
        <x:v>0</x:v>
      </x:c>
      <x:c r="P304" s="73" t="n">
        <x:f aca="0">KOHC!C56</x:f>
        <x:v>0</x:v>
      </x:c>
      <x:c r="Q304" s="70" t="str">
        <x:f aca="0">IF(ABS(O304-P304)&lt;0.000001,"PASS","FAIL")</x:f>
        <x:v>PASS</x:v>
      </x:c>
      <x:c r="R304" s="70" t="s">
        <x:v>28</x:v>
      </x:c>
      <x:c r="S304" s="70"/>
    </x:row>
    <x:row r="305" ht="15" hidden="0">
      <x:c r="A305" s="70" t="s">
        <x:v>1416</x:v>
      </x:c>
      <x:c r="B305" s="70" t="s">
        <x:v>25</x:v>
      </x:c>
      <x:c r="C305" s="70" t="s">
        <x:v>73</x:v>
      </x:c>
      <x:c r="D305" s="70" t="s">
        <x:v>364</x:v>
      </x:c>
      <x:c r="E305" s="70" t="s">
        <x:v>1129</x:v>
      </x:c>
      <x:c r="F305" s="70"/>
      <x:c r="G305" s="70" t="s">
        <x:v>1203</x:v>
      </x:c>
      <x:c r="H305" s="70" t="s">
        <x:v>1204</x:v>
      </x:c>
      <x:c r="I305" s="70" t="s">
        <x:v>1199</x:v>
      </x:c>
      <x:c r="J305" s="70" t="n">
        <x:v>52</x:v>
      </x:c>
      <x:c r="K305" s="70" t="s">
        <x:v>1230</x:v>
      </x:c>
      <x:c r="L305" s="70"/>
      <x:c r="M305" s="70" t="s">
        <x:v>29</x:v>
      </x:c>
      <x:c r="N305" s="71" t="n">
        <x:v>0</x:v>
      </x:c>
      <x:c r="O305" s="72" t="n">
        <x:f aca="0">N305/1000000</x:f>
        <x:v>0</x:v>
      </x:c>
      <x:c r="P305" s="73" t="n">
        <x:f aca="0">KOHC!D56</x:f>
        <x:v>0</x:v>
      </x:c>
      <x:c r="Q305" s="70" t="str">
        <x:f aca="0">IF(ABS(O305-P305)&lt;0.000001,"PASS","FAIL")</x:f>
        <x:v>PASS</x:v>
      </x:c>
      <x:c r="R305" s="70" t="s">
        <x:v>28</x:v>
      </x:c>
      <x:c r="S305" s="70"/>
    </x:row>
    <x:row r="306" ht="15" hidden="0">
      <x:c r="A306" s="70" t="s">
        <x:v>1417</x:v>
      </x:c>
      <x:c r="B306" s="70" t="s">
        <x:v>25</x:v>
      </x:c>
      <x:c r="C306" s="70" t="s">
        <x:v>74</x:v>
      </x:c>
      <x:c r="D306" s="70" t="s">
        <x:v>364</x:v>
      </x:c>
      <x:c r="E306" s="70" t="s">
        <x:v>1129</x:v>
      </x:c>
      <x:c r="F306" s="70"/>
      <x:c r="G306" s="70" t="s">
        <x:v>1207</x:v>
      </x:c>
      <x:c r="H306" s="70" t="s">
        <x:v>1208</x:v>
      </x:c>
      <x:c r="I306" s="70" t="s">
        <x:v>1199</x:v>
      </x:c>
      <x:c r="J306" s="70" t="n">
        <x:v>52</x:v>
      </x:c>
      <x:c r="K306" s="70" t="s">
        <x:v>1230</x:v>
      </x:c>
      <x:c r="L306" s="70"/>
      <x:c r="M306" s="70" t="s">
        <x:v>29</x:v>
      </x:c>
      <x:c r="N306" s="71" t="n">
        <x:v>0</x:v>
      </x:c>
      <x:c r="O306" s="72" t="n">
        <x:f aca="0">N306/1000000</x:f>
        <x:v>0</x:v>
      </x:c>
      <x:c r="P306" s="73" t="n">
        <x:f aca="0">KOHC!E56</x:f>
        <x:v>0</x:v>
      </x:c>
      <x:c r="Q306" s="70" t="str">
        <x:f aca="0">IF(ABS(O306-P306)&lt;0.000001,"PASS","FAIL")</x:f>
        <x:v>PASS</x:v>
      </x:c>
      <x:c r="R306" s="70" t="s">
        <x:v>28</x:v>
      </x:c>
      <x:c r="S306" s="70"/>
    </x:row>
    <x:row r="307" ht="15" hidden="0">
      <x:c r="A307" s="70" t="s">
        <x:v>1418</x:v>
      </x:c>
      <x:c r="B307" s="70" t="s">
        <x:v>25</x:v>
      </x:c>
      <x:c r="C307" s="70" t="s">
        <x:v>75</x:v>
      </x:c>
      <x:c r="D307" s="70" t="s">
        <x:v>364</x:v>
      </x:c>
      <x:c r="E307" s="70" t="s">
        <x:v>1129</x:v>
      </x:c>
      <x:c r="F307" s="70"/>
      <x:c r="G307" s="70" t="s">
        <x:v>1210</x:v>
      </x:c>
      <x:c r="H307" s="70" t="s">
        <x:v>1211</x:v>
      </x:c>
      <x:c r="I307" s="70" t="s">
        <x:v>1199</x:v>
      </x:c>
      <x:c r="J307" s="70" t="n">
        <x:v>58</x:v>
      </x:c>
      <x:c r="K307" s="70" t="s">
        <x:v>1230</x:v>
      </x:c>
      <x:c r="L307" s="70"/>
      <x:c r="M307" s="70" t="s">
        <x:v>29</x:v>
      </x:c>
      <x:c r="N307" s="71" t="n">
        <x:v>0</x:v>
      </x:c>
      <x:c r="O307" s="72" t="n">
        <x:f aca="0">N307/1000000</x:f>
        <x:v>0</x:v>
      </x:c>
      <x:c r="P307" s="73" t="n">
        <x:f aca="0">KOHC!F56</x:f>
        <x:v>0</x:v>
      </x:c>
      <x:c r="Q307" s="70" t="str">
        <x:f aca="0">IF(ABS(O307-P307)&lt;0.000001,"PASS","FAIL")</x:f>
        <x:v>PASS</x:v>
      </x:c>
      <x:c r="R307" s="70" t="s">
        <x:v>28</x:v>
      </x:c>
      <x:c r="S307" s="70"/>
    </x:row>
    <x:row r="308" ht="15" hidden="0">
      <x:c r="A308" s="70" t="s">
        <x:v>1419</x:v>
      </x:c>
      <x:c r="B308" s="70" t="s">
        <x:v>25</x:v>
      </x:c>
      <x:c r="C308" s="70" t="s">
        <x:v>76</x:v>
      </x:c>
      <x:c r="D308" s="70" t="s">
        <x:v>364</x:v>
      </x:c>
      <x:c r="E308" s="70" t="s">
        <x:v>1129</x:v>
      </x:c>
      <x:c r="F308" s="70"/>
      <x:c r="G308" s="70" t="s">
        <x:v>1214</x:v>
      </x:c>
      <x:c r="H308" s="70" t="s">
        <x:v>1215</x:v>
      </x:c>
      <x:c r="I308" s="70" t="s">
        <x:v>1199</x:v>
      </x:c>
      <x:c r="J308" s="70" t="n">
        <x:v>68</x:v>
      </x:c>
      <x:c r="K308" s="70" t="s">
        <x:v>1235</x:v>
      </x:c>
      <x:c r="L308" s="70"/>
      <x:c r="M308" s="70" t="s">
        <x:v>29</x:v>
      </x:c>
      <x:c r="N308" s="71" t="n">
        <x:v>0</x:v>
      </x:c>
      <x:c r="O308" s="72" t="n">
        <x:f aca="0">N308/1000000</x:f>
        <x:v>0</x:v>
      </x:c>
      <x:c r="P308" s="73" t="n">
        <x:f aca="0">KOHC!G56</x:f>
        <x:v>0</x:v>
      </x:c>
      <x:c r="Q308" s="70" t="str">
        <x:f aca="0">IF(ABS(O308-P308)&lt;0.000001,"PASS","FAIL")</x:f>
        <x:v>PASS</x:v>
      </x:c>
      <x:c r="R308" s="70" t="s">
        <x:v>28</x:v>
      </x:c>
      <x:c r="S308" s="70"/>
    </x:row>
    <x:row r="309" ht="15" hidden="0">
      <x:c r="A309" s="70" t="s">
        <x:v>1420</x:v>
      </x:c>
      <x:c r="B309" s="70" t="s">
        <x:v>25</x:v>
      </x:c>
      <x:c r="C309" s="70" t="s">
        <x:v>77</x:v>
      </x:c>
      <x:c r="D309" s="70" t="s">
        <x:v>364</x:v>
      </x:c>
      <x:c r="E309" s="70" t="s">
        <x:v>1129</x:v>
      </x:c>
      <x:c r="F309" s="70"/>
      <x:c r="G309" s="70" t="s">
        <x:v>1214</x:v>
      </x:c>
      <x:c r="H309" s="70" t="s">
        <x:v>1215</x:v>
      </x:c>
      <x:c r="I309" s="70" t="s">
        <x:v>1218</x:v>
      </x:c>
      <x:c r="J309" s="70" t="n">
        <x:v>68</x:v>
      </x:c>
      <x:c r="K309" s="70" t="s">
        <x:v>1235</x:v>
      </x:c>
      <x:c r="L309" s="70"/>
      <x:c r="M309" s="70" t="s">
        <x:v>29</x:v>
      </x:c>
      <x:c r="N309" s="71" t="n">
        <x:v>0</x:v>
      </x:c>
      <x:c r="O309" s="72" t="n">
        <x:f aca="0">N309/1000000</x:f>
        <x:v>0</x:v>
      </x:c>
      <x:c r="P309" s="73" t="n">
        <x:f aca="0">KOHC!H56</x:f>
        <x:v>0</x:v>
      </x:c>
      <x:c r="Q309" s="70" t="str">
        <x:f aca="0">IF(ABS(O309-P309)&lt;0.000001,"PASS","FAIL")</x:f>
        <x:v>PASS</x:v>
      </x:c>
      <x:c r="R309" s="70" t="s">
        <x:v>28</x:v>
      </x:c>
      <x:c r="S309" s="70"/>
    </x:row>
    <x:row r="310" ht="15" hidden="0">
      <x:c r="A310" s="70" t="s">
        <x:v>1421</x:v>
      </x:c>
      <x:c r="B310" s="70" t="s">
        <x:v>25</x:v>
      </x:c>
      <x:c r="C310" s="70" t="s">
        <x:v>1076</x:v>
      </x:c>
      <x:c r="D310" s="70" t="s">
        <x:v>366</x:v>
      </x:c>
      <x:c r="E310" s="70" t="s">
        <x:v>1129</x:v>
      </x:c>
      <x:c r="F310" s="70"/>
      <x:c r="G310" s="70" t="s">
        <x:v>1197</x:v>
      </x:c>
      <x:c r="H310" s="70" t="s">
        <x:v>1198</x:v>
      </x:c>
      <x:c r="I310" s="70" t="s">
        <x:v>1199</x:v>
      </x:c>
      <x:c r="J310" s="70" t="n">
        <x:v>44</x:v>
      </x:c>
      <x:c r="K310" s="70" t="s">
        <x:v>1230</x:v>
      </x:c>
      <x:c r="L310" s="70"/>
      <x:c r="M310" s="70" t="s">
        <x:v>29</x:v>
      </x:c>
      <x:c r="N310" s="71" t="n">
        <x:v>0</x:v>
      </x:c>
      <x:c r="O310" s="72" t="n">
        <x:f aca="0">N310/1000000</x:f>
        <x:v>0</x:v>
      </x:c>
      <x:c r="P310" s="73" t="n">
        <x:f aca="0">KOHC!C57</x:f>
        <x:v>0</x:v>
      </x:c>
      <x:c r="Q310" s="70" t="str">
        <x:f aca="0">IF(ABS(O310-P310)&lt;0.000001,"PASS","FAIL")</x:f>
        <x:v>PASS</x:v>
      </x:c>
      <x:c r="R310" s="70" t="s">
        <x:v>28</x:v>
      </x:c>
      <x:c r="S310" s="70"/>
    </x:row>
    <x:row r="311" ht="15" hidden="0">
      <x:c r="A311" s="70" t="s">
        <x:v>1422</x:v>
      </x:c>
      <x:c r="B311" s="70" t="s">
        <x:v>25</x:v>
      </x:c>
      <x:c r="C311" s="70" t="s">
        <x:v>73</x:v>
      </x:c>
      <x:c r="D311" s="70" t="s">
        <x:v>366</x:v>
      </x:c>
      <x:c r="E311" s="70" t="s">
        <x:v>1129</x:v>
      </x:c>
      <x:c r="F311" s="70"/>
      <x:c r="G311" s="70" t="s">
        <x:v>1203</x:v>
      </x:c>
      <x:c r="H311" s="70" t="s">
        <x:v>1204</x:v>
      </x:c>
      <x:c r="I311" s="70" t="s">
        <x:v>1199</x:v>
      </x:c>
      <x:c r="J311" s="70" t="n">
        <x:v>52</x:v>
      </x:c>
      <x:c r="K311" s="70" t="s">
        <x:v>1230</x:v>
      </x:c>
      <x:c r="L311" s="70"/>
      <x:c r="M311" s="70" t="s">
        <x:v>29</x:v>
      </x:c>
      <x:c r="N311" s="71" t="n">
        <x:v>0</x:v>
      </x:c>
      <x:c r="O311" s="72" t="n">
        <x:f aca="0">N311/1000000</x:f>
        <x:v>0</x:v>
      </x:c>
      <x:c r="P311" s="73" t="n">
        <x:f aca="0">KOHC!D57</x:f>
        <x:v>0</x:v>
      </x:c>
      <x:c r="Q311" s="70" t="str">
        <x:f aca="0">IF(ABS(O311-P311)&lt;0.000001,"PASS","FAIL")</x:f>
        <x:v>PASS</x:v>
      </x:c>
      <x:c r="R311" s="70" t="s">
        <x:v>28</x:v>
      </x:c>
      <x:c r="S311" s="70"/>
    </x:row>
    <x:row r="312" ht="15" hidden="0">
      <x:c r="A312" s="70" t="s">
        <x:v>1423</x:v>
      </x:c>
      <x:c r="B312" s="70" t="s">
        <x:v>25</x:v>
      </x:c>
      <x:c r="C312" s="70" t="s">
        <x:v>74</x:v>
      </x:c>
      <x:c r="D312" s="70" t="s">
        <x:v>366</x:v>
      </x:c>
      <x:c r="E312" s="70" t="s">
        <x:v>1129</x:v>
      </x:c>
      <x:c r="F312" s="70"/>
      <x:c r="G312" s="70" t="s">
        <x:v>1207</x:v>
      </x:c>
      <x:c r="H312" s="70" t="s">
        <x:v>1208</x:v>
      </x:c>
      <x:c r="I312" s="70" t="s">
        <x:v>1199</x:v>
      </x:c>
      <x:c r="J312" s="70" t="n">
        <x:v>52</x:v>
      </x:c>
      <x:c r="K312" s="70" t="s">
        <x:v>1230</x:v>
      </x:c>
      <x:c r="L312" s="70"/>
      <x:c r="M312" s="70" t="s">
        <x:v>29</x:v>
      </x:c>
      <x:c r="N312" s="71" t="n">
        <x:v>0</x:v>
      </x:c>
      <x:c r="O312" s="72" t="n">
        <x:f aca="0">N312/1000000</x:f>
        <x:v>0</x:v>
      </x:c>
      <x:c r="P312" s="73" t="n">
        <x:f aca="0">KOHC!E57</x:f>
        <x:v>0</x:v>
      </x:c>
      <x:c r="Q312" s="70" t="str">
        <x:f aca="0">IF(ABS(O312-P312)&lt;0.000001,"PASS","FAIL")</x:f>
        <x:v>PASS</x:v>
      </x:c>
      <x:c r="R312" s="70" t="s">
        <x:v>28</x:v>
      </x:c>
      <x:c r="S312" s="70"/>
    </x:row>
    <x:row r="313" ht="15" hidden="0">
      <x:c r="A313" s="70" t="s">
        <x:v>1424</x:v>
      </x:c>
      <x:c r="B313" s="70" t="s">
        <x:v>25</x:v>
      </x:c>
      <x:c r="C313" s="70" t="s">
        <x:v>75</x:v>
      </x:c>
      <x:c r="D313" s="70" t="s">
        <x:v>366</x:v>
      </x:c>
      <x:c r="E313" s="70" t="s">
        <x:v>1129</x:v>
      </x:c>
      <x:c r="F313" s="70"/>
      <x:c r="G313" s="70" t="s">
        <x:v>1210</x:v>
      </x:c>
      <x:c r="H313" s="70" t="s">
        <x:v>1211</x:v>
      </x:c>
      <x:c r="I313" s="70" t="s">
        <x:v>1199</x:v>
      </x:c>
      <x:c r="J313" s="70" t="n">
        <x:v>58</x:v>
      </x:c>
      <x:c r="K313" s="70" t="s">
        <x:v>1230</x:v>
      </x:c>
      <x:c r="L313" s="70"/>
      <x:c r="M313" s="70" t="s">
        <x:v>29</x:v>
      </x:c>
      <x:c r="N313" s="71" t="n">
        <x:v>0</x:v>
      </x:c>
      <x:c r="O313" s="72" t="n">
        <x:f aca="0">N313/1000000</x:f>
        <x:v>0</x:v>
      </x:c>
      <x:c r="P313" s="73" t="n">
        <x:f aca="0">KOHC!F57</x:f>
        <x:v>0</x:v>
      </x:c>
      <x:c r="Q313" s="70" t="str">
        <x:f aca="0">IF(ABS(O313-P313)&lt;0.000001,"PASS","FAIL")</x:f>
        <x:v>PASS</x:v>
      </x:c>
      <x:c r="R313" s="70" t="s">
        <x:v>28</x:v>
      </x:c>
      <x:c r="S313" s="70"/>
    </x:row>
    <x:row r="314" ht="15" hidden="0">
      <x:c r="A314" s="70" t="s">
        <x:v>1425</x:v>
      </x:c>
      <x:c r="B314" s="70" t="s">
        <x:v>25</x:v>
      </x:c>
      <x:c r="C314" s="70" t="s">
        <x:v>76</x:v>
      </x:c>
      <x:c r="D314" s="70" t="s">
        <x:v>366</x:v>
      </x:c>
      <x:c r="E314" s="70" t="s">
        <x:v>1129</x:v>
      </x:c>
      <x:c r="F314" s="70"/>
      <x:c r="G314" s="70" t="s">
        <x:v>1214</x:v>
      </x:c>
      <x:c r="H314" s="70" t="s">
        <x:v>1215</x:v>
      </x:c>
      <x:c r="I314" s="70" t="s">
        <x:v>1199</x:v>
      </x:c>
      <x:c r="J314" s="70" t="n">
        <x:v>68</x:v>
      </x:c>
      <x:c r="K314" s="70" t="s">
        <x:v>1235</x:v>
      </x:c>
      <x:c r="L314" s="70"/>
      <x:c r="M314" s="70" t="s">
        <x:v>29</x:v>
      </x:c>
      <x:c r="N314" s="71" t="n">
        <x:v>0</x:v>
      </x:c>
      <x:c r="O314" s="72" t="n">
        <x:f aca="0">N314/1000000</x:f>
        <x:v>0</x:v>
      </x:c>
      <x:c r="P314" s="73" t="n">
        <x:f aca="0">KOHC!G57</x:f>
        <x:v>0</x:v>
      </x:c>
      <x:c r="Q314" s="70" t="str">
        <x:f aca="0">IF(ABS(O314-P314)&lt;0.000001,"PASS","FAIL")</x:f>
        <x:v>PASS</x:v>
      </x:c>
      <x:c r="R314" s="70" t="s">
        <x:v>28</x:v>
      </x:c>
      <x:c r="S314" s="70"/>
    </x:row>
    <x:row r="315" ht="15" hidden="0">
      <x:c r="A315" s="70" t="s">
        <x:v>1426</x:v>
      </x:c>
      <x:c r="B315" s="70" t="s">
        <x:v>25</x:v>
      </x:c>
      <x:c r="C315" s="70" t="s">
        <x:v>77</x:v>
      </x:c>
      <x:c r="D315" s="70" t="s">
        <x:v>366</x:v>
      </x:c>
      <x:c r="E315" s="70" t="s">
        <x:v>1129</x:v>
      </x:c>
      <x:c r="F315" s="70"/>
      <x:c r="G315" s="70" t="s">
        <x:v>1214</x:v>
      </x:c>
      <x:c r="H315" s="70" t="s">
        <x:v>1215</x:v>
      </x:c>
      <x:c r="I315" s="70" t="s">
        <x:v>1218</x:v>
      </x:c>
      <x:c r="J315" s="70" t="n">
        <x:v>68</x:v>
      </x:c>
      <x:c r="K315" s="70" t="s">
        <x:v>1235</x:v>
      </x:c>
      <x:c r="L315" s="70"/>
      <x:c r="M315" s="70" t="s">
        <x:v>29</x:v>
      </x:c>
      <x:c r="N315" s="71" t="n">
        <x:v>0</x:v>
      </x:c>
      <x:c r="O315" s="72" t="n">
        <x:f aca="0">N315/1000000</x:f>
        <x:v>0</x:v>
      </x:c>
      <x:c r="P315" s="73" t="n">
        <x:f aca="0">KOHC!H57</x:f>
        <x:v>0</x:v>
      </x:c>
      <x:c r="Q315" s="70" t="str">
        <x:f aca="0">IF(ABS(O315-P315)&lt;0.000001,"PASS","FAIL")</x:f>
        <x:v>PASS</x:v>
      </x:c>
      <x:c r="R315" s="70" t="s">
        <x:v>28</x:v>
      </x:c>
      <x:c r="S315" s="70"/>
    </x:row>
    <x:row r="316" ht="15" hidden="0">
      <x:c r="A316" s="70" t="s">
        <x:v>1427</x:v>
      </x:c>
      <x:c r="B316" s="70" t="s">
        <x:v>25</x:v>
      </x:c>
      <x:c r="C316" s="70" t="s">
        <x:v>1076</x:v>
      </x:c>
      <x:c r="D316" s="70" t="s">
        <x:v>368</x:v>
      </x:c>
      <x:c r="E316" s="70" t="s">
        <x:v>1129</x:v>
      </x:c>
      <x:c r="F316" s="70" t="s">
        <x:v>1428</x:v>
      </x:c>
      <x:c r="G316" s="70" t="s">
        <x:v>1197</x:v>
      </x:c>
      <x:c r="H316" s="70" t="s">
        <x:v>1198</x:v>
      </x:c>
      <x:c r="I316" s="70" t="s">
        <x:v>1199</x:v>
      </x:c>
      <x:c r="J316" s="70" t="n">
        <x:v>44</x:v>
      </x:c>
      <x:c r="K316" s="70" t="s">
        <x:v>1230</x:v>
      </x:c>
      <x:c r="L316" s="70" t="s">
        <x:v>1406</x:v>
      </x:c>
      <x:c r="M316" s="70" t="s">
        <x:v>29</x:v>
      </x:c>
      <x:c r="N316" s="71" t="n">
        <x:v>48014348</x:v>
      </x:c>
      <x:c r="O316" s="72" t="n">
        <x:f aca="0">N316/1000000</x:f>
        <x:v>48.014348</x:v>
      </x:c>
      <x:c r="P316" s="73" t="n">
        <x:f aca="0">KOHC!C58</x:f>
        <x:v>48.014348</x:v>
      </x:c>
      <x:c r="Q316" s="70" t="str">
        <x:f aca="0">IF(ABS(O316-P316)&lt;0.000001,"PASS","FAIL")</x:f>
        <x:v>PASS</x:v>
      </x:c>
      <x:c r="R316" s="70" t="s">
        <x:v>28</x:v>
      </x:c>
      <x:c r="S316" s="70"/>
    </x:row>
    <x:row r="317" ht="15" hidden="0">
      <x:c r="A317" s="70" t="s">
        <x:v>1429</x:v>
      </x:c>
      <x:c r="B317" s="70" t="s">
        <x:v>25</x:v>
      </x:c>
      <x:c r="C317" s="70" t="s">
        <x:v>73</x:v>
      </x:c>
      <x:c r="D317" s="70" t="s">
        <x:v>368</x:v>
      </x:c>
      <x:c r="E317" s="70" t="s">
        <x:v>1129</x:v>
      </x:c>
      <x:c r="F317" s="70" t="s">
        <x:v>1428</x:v>
      </x:c>
      <x:c r="G317" s="70" t="s">
        <x:v>1203</x:v>
      </x:c>
      <x:c r="H317" s="70" t="s">
        <x:v>1204</x:v>
      </x:c>
      <x:c r="I317" s="70" t="s">
        <x:v>1199</x:v>
      </x:c>
      <x:c r="J317" s="70" t="n">
        <x:v>52</x:v>
      </x:c>
      <x:c r="K317" s="70" t="s">
        <x:v>1230</x:v>
      </x:c>
      <x:c r="L317" s="70" t="s">
        <x:v>1406</x:v>
      </x:c>
      <x:c r="M317" s="70" t="s">
        <x:v>29</x:v>
      </x:c>
      <x:c r="N317" s="71" t="n">
        <x:v>46197552</x:v>
      </x:c>
      <x:c r="O317" s="72" t="n">
        <x:f aca="0">N317/1000000</x:f>
        <x:v>46.197552</x:v>
      </x:c>
      <x:c r="P317" s="73" t="n">
        <x:f aca="0">KOHC!D58</x:f>
        <x:v>46.197552</x:v>
      </x:c>
      <x:c r="Q317" s="70" t="str">
        <x:f aca="0">IF(ABS(O317-P317)&lt;0.000001,"PASS","FAIL")</x:f>
        <x:v>PASS</x:v>
      </x:c>
      <x:c r="R317" s="70" t="s">
        <x:v>28</x:v>
      </x:c>
      <x:c r="S317" s="70"/>
    </x:row>
    <x:row r="318" ht="15" hidden="0">
      <x:c r="A318" s="70" t="s">
        <x:v>1430</x:v>
      </x:c>
      <x:c r="B318" s="70" t="s">
        <x:v>25</x:v>
      </x:c>
      <x:c r="C318" s="70" t="s">
        <x:v>74</x:v>
      </x:c>
      <x:c r="D318" s="70" t="s">
        <x:v>368</x:v>
      </x:c>
      <x:c r="E318" s="70" t="s">
        <x:v>1129</x:v>
      </x:c>
      <x:c r="F318" s="70" t="s">
        <x:v>1428</x:v>
      </x:c>
      <x:c r="G318" s="70" t="s">
        <x:v>1207</x:v>
      </x:c>
      <x:c r="H318" s="70" t="s">
        <x:v>1208</x:v>
      </x:c>
      <x:c r="I318" s="70" t="s">
        <x:v>1199</x:v>
      </x:c>
      <x:c r="J318" s="70" t="n">
        <x:v>52</x:v>
      </x:c>
      <x:c r="K318" s="70" t="s">
        <x:v>1230</x:v>
      </x:c>
      <x:c r="L318" s="70" t="s">
        <x:v>1406</x:v>
      </x:c>
      <x:c r="M318" s="70" t="s">
        <x:v>29</x:v>
      </x:c>
      <x:c r="N318" s="71" t="n">
        <x:v>45648049</x:v>
      </x:c>
      <x:c r="O318" s="72" t="n">
        <x:f aca="0">N318/1000000</x:f>
        <x:v>45.648049</x:v>
      </x:c>
      <x:c r="P318" s="73" t="n">
        <x:f aca="0">KOHC!E58</x:f>
        <x:v>45.648049</x:v>
      </x:c>
      <x:c r="Q318" s="70" t="str">
        <x:f aca="0">IF(ABS(O318-P318)&lt;0.000001,"PASS","FAIL")</x:f>
        <x:v>PASS</x:v>
      </x:c>
      <x:c r="R318" s="70" t="s">
        <x:v>28</x:v>
      </x:c>
      <x:c r="S318" s="70"/>
    </x:row>
    <x:row r="319" ht="15" hidden="0">
      <x:c r="A319" s="70" t="s">
        <x:v>1431</x:v>
      </x:c>
      <x:c r="B319" s="70" t="s">
        <x:v>25</x:v>
      </x:c>
      <x:c r="C319" s="70" t="s">
        <x:v>75</x:v>
      </x:c>
      <x:c r="D319" s="70" t="s">
        <x:v>368</x:v>
      </x:c>
      <x:c r="E319" s="70" t="s">
        <x:v>1129</x:v>
      </x:c>
      <x:c r="F319" s="70" t="s">
        <x:v>1428</x:v>
      </x:c>
      <x:c r="G319" s="70" t="s">
        <x:v>1210</x:v>
      </x:c>
      <x:c r="H319" s="70" t="s">
        <x:v>1211</x:v>
      </x:c>
      <x:c r="I319" s="70" t="s">
        <x:v>1199</x:v>
      </x:c>
      <x:c r="J319" s="70" t="n">
        <x:v>58</x:v>
      </x:c>
      <x:c r="K319" s="70" t="s">
        <x:v>1230</x:v>
      </x:c>
      <x:c r="L319" s="70" t="s">
        <x:v>1385</x:v>
      </x:c>
      <x:c r="M319" s="70" t="s">
        <x:v>29</x:v>
      </x:c>
      <x:c r="N319" s="71" t="n">
        <x:v>45475220</x:v>
      </x:c>
      <x:c r="O319" s="72" t="n">
        <x:f aca="0">N319/1000000</x:f>
        <x:v>45.47522</x:v>
      </x:c>
      <x:c r="P319" s="73" t="n">
        <x:f aca="0">KOHC!F58</x:f>
        <x:v>45.47522</x:v>
      </x:c>
      <x:c r="Q319" s="70" t="str">
        <x:f aca="0">IF(ABS(O319-P319)&lt;0.000001,"PASS","FAIL")</x:f>
        <x:v>PASS</x:v>
      </x:c>
      <x:c r="R319" s="70" t="s">
        <x:v>28</x:v>
      </x:c>
      <x:c r="S319" s="70"/>
    </x:row>
    <x:row r="320" ht="15" hidden="0">
      <x:c r="A320" s="70" t="s">
        <x:v>1432</x:v>
      </x:c>
      <x:c r="B320" s="70" t="s">
        <x:v>25</x:v>
      </x:c>
      <x:c r="C320" s="70" t="s">
        <x:v>76</x:v>
      </x:c>
      <x:c r="D320" s="70" t="s">
        <x:v>368</x:v>
      </x:c>
      <x:c r="E320" s="70" t="s">
        <x:v>1129</x:v>
      </x:c>
      <x:c r="F320" s="70" t="s">
        <x:v>1428</x:v>
      </x:c>
      <x:c r="G320" s="70" t="s">
        <x:v>1214</x:v>
      </x:c>
      <x:c r="H320" s="70" t="s">
        <x:v>1215</x:v>
      </x:c>
      <x:c r="I320" s="70" t="s">
        <x:v>1199</x:v>
      </x:c>
      <x:c r="J320" s="70" t="n">
        <x:v>68</x:v>
      </x:c>
      <x:c r="K320" s="70" t="s">
        <x:v>1235</x:v>
      </x:c>
      <x:c r="L320" s="70" t="s">
        <x:v>1385</x:v>
      </x:c>
      <x:c r="M320" s="70" t="s">
        <x:v>29</x:v>
      </x:c>
      <x:c r="N320" s="71" t="n">
        <x:v>45338931</x:v>
      </x:c>
      <x:c r="O320" s="72" t="n">
        <x:f aca="0">N320/1000000</x:f>
        <x:v>45.338931</x:v>
      </x:c>
      <x:c r="P320" s="73" t="n">
        <x:f aca="0">KOHC!G58</x:f>
        <x:v>45.338931</x:v>
      </x:c>
      <x:c r="Q320" s="70" t="str">
        <x:f aca="0">IF(ABS(O320-P320)&lt;0.000001,"PASS","FAIL")</x:f>
        <x:v>PASS</x:v>
      </x:c>
      <x:c r="R320" s="70" t="s">
        <x:v>28</x:v>
      </x:c>
      <x:c r="S320" s="70"/>
    </x:row>
    <x:row r="321" ht="15" hidden="0">
      <x:c r="A321" s="70" t="s">
        <x:v>1433</x:v>
      </x:c>
      <x:c r="B321" s="70" t="s">
        <x:v>25</x:v>
      </x:c>
      <x:c r="C321" s="70" t="s">
        <x:v>77</x:v>
      </x:c>
      <x:c r="D321" s="70" t="s">
        <x:v>368</x:v>
      </x:c>
      <x:c r="E321" s="70" t="s">
        <x:v>1129</x:v>
      </x:c>
      <x:c r="F321" s="70" t="s">
        <x:v>1428</x:v>
      </x:c>
      <x:c r="G321" s="70" t="s">
        <x:v>1214</x:v>
      </x:c>
      <x:c r="H321" s="70" t="s">
        <x:v>1215</x:v>
      </x:c>
      <x:c r="I321" s="70" t="s">
        <x:v>1218</x:v>
      </x:c>
      <x:c r="J321" s="70" t="n">
        <x:v>68</x:v>
      </x:c>
      <x:c r="K321" s="70" t="s">
        <x:v>1235</x:v>
      </x:c>
      <x:c r="L321" s="70" t="s">
        <x:v>1385</x:v>
      </x:c>
      <x:c r="M321" s="70" t="s">
        <x:v>29</x:v>
      </x:c>
      <x:c r="N321" s="71" t="n">
        <x:v>42181257</x:v>
      </x:c>
      <x:c r="O321" s="72" t="n">
        <x:f aca="0">N321/1000000</x:f>
        <x:v>42.181257</x:v>
      </x:c>
      <x:c r="P321" s="73" t="n">
        <x:f aca="0">KOHC!H58</x:f>
        <x:v>42.181257</x:v>
      </x:c>
      <x:c r="Q321" s="70" t="str">
        <x:f aca="0">IF(ABS(O321-P321)&lt;0.000001,"PASS","FAIL")</x:f>
        <x:v>PASS</x:v>
      </x:c>
      <x:c r="R321" s="70" t="s">
        <x:v>28</x:v>
      </x:c>
      <x:c r="S321" s="70"/>
    </x:row>
    <x:row r="322" ht="15" hidden="0">
      <x:c r="A322" s="70" t="s">
        <x:v>1434</x:v>
      </x:c>
      <x:c r="B322" s="70" t="s">
        <x:v>25</x:v>
      </x:c>
      <x:c r="C322" s="70" t="s">
        <x:v>1076</x:v>
      </x:c>
      <x:c r="D322" s="70" t="s">
        <x:v>370</x:v>
      </x:c>
      <x:c r="E322" s="70" t="s">
        <x:v>1129</x:v>
      </x:c>
      <x:c r="F322" s="70" t="s">
        <x:v>1435</x:v>
      </x:c>
      <x:c r="G322" s="70" t="s">
        <x:v>1197</x:v>
      </x:c>
      <x:c r="H322" s="70" t="s">
        <x:v>1198</x:v>
      </x:c>
      <x:c r="I322" s="70" t="s">
        <x:v>1199</x:v>
      </x:c>
      <x:c r="J322" s="70" t="n">
        <x:v>44</x:v>
      </x:c>
      <x:c r="K322" s="70" t="s">
        <x:v>1230</x:v>
      </x:c>
      <x:c r="L322" s="70"/>
      <x:c r="M322" s="70" t="s">
        <x:v>29</x:v>
      </x:c>
      <x:c r="N322" s="71" t="n">
        <x:v>52873661</x:v>
      </x:c>
      <x:c r="O322" s="72" t="n">
        <x:f aca="0">N322/1000000</x:f>
        <x:v>52.873661</x:v>
      </x:c>
      <x:c r="P322" s="73" t="n">
        <x:f aca="0">KOHC!C59</x:f>
        <x:v>52.873661</x:v>
      </x:c>
      <x:c r="Q322" s="70" t="str">
        <x:f aca="0">IF(ABS(O322-P322)&lt;0.000001,"PASS","FAIL")</x:f>
        <x:v>PASS</x:v>
      </x:c>
      <x:c r="R322" s="70" t="s">
        <x:v>28</x:v>
      </x:c>
      <x:c r="S322" s="70"/>
    </x:row>
    <x:row r="323" ht="15" hidden="0">
      <x:c r="A323" s="70" t="s">
        <x:v>1436</x:v>
      </x:c>
      <x:c r="B323" s="70" t="s">
        <x:v>25</x:v>
      </x:c>
      <x:c r="C323" s="70" t="s">
        <x:v>73</x:v>
      </x:c>
      <x:c r="D323" s="70" t="s">
        <x:v>370</x:v>
      </x:c>
      <x:c r="E323" s="70" t="s">
        <x:v>1129</x:v>
      </x:c>
      <x:c r="F323" s="70" t="s">
        <x:v>1435</x:v>
      </x:c>
      <x:c r="G323" s="70" t="s">
        <x:v>1203</x:v>
      </x:c>
      <x:c r="H323" s="70" t="s">
        <x:v>1204</x:v>
      </x:c>
      <x:c r="I323" s="70" t="s">
        <x:v>1199</x:v>
      </x:c>
      <x:c r="J323" s="70" t="n">
        <x:v>52</x:v>
      </x:c>
      <x:c r="K323" s="70" t="s">
        <x:v>1230</x:v>
      </x:c>
      <x:c r="L323" s="70"/>
      <x:c r="M323" s="70" t="s">
        <x:v>29</x:v>
      </x:c>
      <x:c r="N323" s="71" t="n">
        <x:v>635934543</x:v>
      </x:c>
      <x:c r="O323" s="72" t="n">
        <x:f aca="0">N323/1000000</x:f>
        <x:v>635.934543</x:v>
      </x:c>
      <x:c r="P323" s="73" t="n">
        <x:f aca="0">KOHC!D59</x:f>
        <x:v>635.934543</x:v>
      </x:c>
      <x:c r="Q323" s="70" t="str">
        <x:f aca="0">IF(ABS(O323-P323)&lt;0.000001,"PASS","FAIL")</x:f>
        <x:v>PASS</x:v>
      </x:c>
      <x:c r="R323" s="70" t="s">
        <x:v>28</x:v>
      </x:c>
      <x:c r="S323" s="70"/>
    </x:row>
    <x:row r="324" ht="15" hidden="0">
      <x:c r="A324" s="70" t="s">
        <x:v>1437</x:v>
      </x:c>
      <x:c r="B324" s="70" t="s">
        <x:v>25</x:v>
      </x:c>
      <x:c r="C324" s="70" t="s">
        <x:v>74</x:v>
      </x:c>
      <x:c r="D324" s="70" t="s">
        <x:v>370</x:v>
      </x:c>
      <x:c r="E324" s="70" t="s">
        <x:v>1129</x:v>
      </x:c>
      <x:c r="F324" s="70" t="s">
        <x:v>1435</x:v>
      </x:c>
      <x:c r="G324" s="70" t="s">
        <x:v>1207</x:v>
      </x:c>
      <x:c r="H324" s="70" t="s">
        <x:v>1208</x:v>
      </x:c>
      <x:c r="I324" s="70" t="s">
        <x:v>1199</x:v>
      </x:c>
      <x:c r="J324" s="70" t="n">
        <x:v>52</x:v>
      </x:c>
      <x:c r="K324" s="70" t="s">
        <x:v>1230</x:v>
      </x:c>
      <x:c r="L324" s="70"/>
      <x:c r="M324" s="70" t="s">
        <x:v>29</x:v>
      </x:c>
      <x:c r="N324" s="71" t="n">
        <x:v>2438052665</x:v>
      </x:c>
      <x:c r="O324" s="72" t="n">
        <x:f aca="0">N324/1000000</x:f>
        <x:v>2438.052665</x:v>
      </x:c>
      <x:c r="P324" s="73" t="n">
        <x:f aca="0">KOHC!E59</x:f>
        <x:v>2438.052665</x:v>
      </x:c>
      <x:c r="Q324" s="70" t="str">
        <x:f aca="0">IF(ABS(O324-P324)&lt;0.000001,"PASS","FAIL")</x:f>
        <x:v>PASS</x:v>
      </x:c>
      <x:c r="R324" s="70" t="s">
        <x:v>28</x:v>
      </x:c>
      <x:c r="S324" s="70"/>
    </x:row>
    <x:row r="325" ht="15" hidden="0">
      <x:c r="A325" s="70" t="s">
        <x:v>1438</x:v>
      </x:c>
      <x:c r="B325" s="70" t="s">
        <x:v>25</x:v>
      </x:c>
      <x:c r="C325" s="70" t="s">
        <x:v>75</x:v>
      </x:c>
      <x:c r="D325" s="70" t="s">
        <x:v>370</x:v>
      </x:c>
      <x:c r="E325" s="70" t="s">
        <x:v>1129</x:v>
      </x:c>
      <x:c r="F325" s="70" t="s">
        <x:v>1435</x:v>
      </x:c>
      <x:c r="G325" s="70" t="s">
        <x:v>1210</x:v>
      </x:c>
      <x:c r="H325" s="70" t="s">
        <x:v>1211</x:v>
      </x:c>
      <x:c r="I325" s="70" t="s">
        <x:v>1199</x:v>
      </x:c>
      <x:c r="J325" s="70" t="n">
        <x:v>58</x:v>
      </x:c>
      <x:c r="K325" s="70" t="s">
        <x:v>1230</x:v>
      </x:c>
      <x:c r="L325" s="70"/>
      <x:c r="M325" s="70" t="s">
        <x:v>29</x:v>
      </x:c>
      <x:c r="N325" s="71" t="n">
        <x:v>3079754230</x:v>
      </x:c>
      <x:c r="O325" s="72" t="n">
        <x:f aca="0">N325/1000000</x:f>
        <x:v>3079.75423</x:v>
      </x:c>
      <x:c r="P325" s="73" t="n">
        <x:f aca="0">KOHC!F59</x:f>
        <x:v>3079.75423</x:v>
      </x:c>
      <x:c r="Q325" s="70" t="str">
        <x:f aca="0">IF(ABS(O325-P325)&lt;0.000001,"PASS","FAIL")</x:f>
        <x:v>PASS</x:v>
      </x:c>
      <x:c r="R325" s="70" t="s">
        <x:v>28</x:v>
      </x:c>
      <x:c r="S325" s="70" t="s">
        <x:v>1205</x:v>
      </x:c>
    </x:row>
    <x:row r="326" ht="15" hidden="0">
      <x:c r="A326" s="70" t="s">
        <x:v>1439</x:v>
      </x:c>
      <x:c r="B326" s="70" t="s">
        <x:v>25</x:v>
      </x:c>
      <x:c r="C326" s="70" t="s">
        <x:v>76</x:v>
      </x:c>
      <x:c r="D326" s="70" t="s">
        <x:v>370</x:v>
      </x:c>
      <x:c r="E326" s="70" t="s">
        <x:v>1129</x:v>
      </x:c>
      <x:c r="F326" s="70" t="s">
        <x:v>1435</x:v>
      </x:c>
      <x:c r="G326" s="70" t="s">
        <x:v>1214</x:v>
      </x:c>
      <x:c r="H326" s="70" t="s">
        <x:v>1215</x:v>
      </x:c>
      <x:c r="I326" s="70" t="s">
        <x:v>1199</x:v>
      </x:c>
      <x:c r="J326" s="70" t="n">
        <x:v>68</x:v>
      </x:c>
      <x:c r="K326" s="70" t="s">
        <x:v>1235</x:v>
      </x:c>
      <x:c r="L326" s="70"/>
      <x:c r="M326" s="70" t="s">
        <x:v>29</x:v>
      </x:c>
      <x:c r="N326" s="71" t="n">
        <x:v>3544368477</x:v>
      </x:c>
      <x:c r="O326" s="72" t="n">
        <x:f aca="0">N326/1000000</x:f>
        <x:v>3544.368477</x:v>
      </x:c>
      <x:c r="P326" s="73" t="n">
        <x:f aca="0">KOHC!G59</x:f>
        <x:v>3544.368477</x:v>
      </x:c>
      <x:c r="Q326" s="70" t="str">
        <x:f aca="0">IF(ABS(O326-P326)&lt;0.000001,"PASS","FAIL")</x:f>
        <x:v>PASS</x:v>
      </x:c>
      <x:c r="R326" s="70" t="s">
        <x:v>28</x:v>
      </x:c>
      <x:c r="S326" s="70"/>
    </x:row>
    <x:row r="327" ht="15" hidden="0">
      <x:c r="A327" s="70" t="s">
        <x:v>1440</x:v>
      </x:c>
      <x:c r="B327" s="70" t="s">
        <x:v>25</x:v>
      </x:c>
      <x:c r="C327" s="70" t="s">
        <x:v>77</x:v>
      </x:c>
      <x:c r="D327" s="70" t="s">
        <x:v>370</x:v>
      </x:c>
      <x:c r="E327" s="70" t="s">
        <x:v>1129</x:v>
      </x:c>
      <x:c r="F327" s="70" t="s">
        <x:v>1435</x:v>
      </x:c>
      <x:c r="G327" s="70" t="s">
        <x:v>1214</x:v>
      </x:c>
      <x:c r="H327" s="70" t="s">
        <x:v>1215</x:v>
      </x:c>
      <x:c r="I327" s="70" t="s">
        <x:v>1218</x:v>
      </x:c>
      <x:c r="J327" s="70" t="n">
        <x:v>68</x:v>
      </x:c>
      <x:c r="K327" s="70" t="s">
        <x:v>1235</x:v>
      </x:c>
      <x:c r="L327" s="70"/>
      <x:c r="M327" s="70" t="s">
        <x:v>29</x:v>
      </x:c>
      <x:c r="N327" s="71" t="n">
        <x:v>2924142407</x:v>
      </x:c>
      <x:c r="O327" s="72" t="n">
        <x:f aca="0">N327/1000000</x:f>
        <x:v>2924.142407</x:v>
      </x:c>
      <x:c r="P327" s="73" t="n">
        <x:f aca="0">KOHC!H59</x:f>
        <x:v>2924.142407</x:v>
      </x:c>
      <x:c r="Q327" s="70" t="str">
        <x:f aca="0">IF(ABS(O327-P327)&lt;0.000001,"PASS","FAIL")</x:f>
        <x:v>PASS</x:v>
      </x:c>
      <x:c r="R327" s="70" t="s">
        <x:v>28</x:v>
      </x:c>
      <x:c r="S327" s="70"/>
    </x:row>
    <x:row r="328" ht="15" hidden="0">
      <x:c r="A328" s="70" t="s">
        <x:v>1441</x:v>
      </x:c>
      <x:c r="B328" s="70" t="s">
        <x:v>25</x:v>
      </x:c>
      <x:c r="C328" s="70" t="s">
        <x:v>1076</x:v>
      </x:c>
      <x:c r="D328" s="70" t="s">
        <x:v>372</x:v>
      </x:c>
      <x:c r="E328" s="70" t="s">
        <x:v>1129</x:v>
      </x:c>
      <x:c r="F328" s="70"/>
      <x:c r="G328" s="70" t="s">
        <x:v>1197</x:v>
      </x:c>
      <x:c r="H328" s="70" t="s">
        <x:v>1198</x:v>
      </x:c>
      <x:c r="I328" s="70" t="s">
        <x:v>1199</x:v>
      </x:c>
      <x:c r="J328" s="70" t="n">
        <x:v>44</x:v>
      </x:c>
      <x:c r="K328" s="70" t="s">
        <x:v>1230</x:v>
      </x:c>
      <x:c r="L328" s="70"/>
      <x:c r="M328" s="70" t="s">
        <x:v>29</x:v>
      </x:c>
      <x:c r="N328" s="71" t="n">
        <x:v>0</x:v>
      </x:c>
      <x:c r="O328" s="72" t="n">
        <x:f aca="0">N328/1000000</x:f>
        <x:v>0</x:v>
      </x:c>
      <x:c r="P328" s="73" t="n">
        <x:f aca="0">KOHC!C60</x:f>
        <x:v>0</x:v>
      </x:c>
      <x:c r="Q328" s="70" t="str">
        <x:f aca="0">IF(ABS(O328-P328)&lt;0.000001,"PASS","FAIL")</x:f>
        <x:v>PASS</x:v>
      </x:c>
      <x:c r="R328" s="70" t="s">
        <x:v>28</x:v>
      </x:c>
      <x:c r="S328" s="70"/>
    </x:row>
    <x:row r="329" ht="15" hidden="0">
      <x:c r="A329" s="70" t="s">
        <x:v>1442</x:v>
      </x:c>
      <x:c r="B329" s="70" t="s">
        <x:v>25</x:v>
      </x:c>
      <x:c r="C329" s="70" t="s">
        <x:v>73</x:v>
      </x:c>
      <x:c r="D329" s="70" t="s">
        <x:v>372</x:v>
      </x:c>
      <x:c r="E329" s="70" t="s">
        <x:v>1129</x:v>
      </x:c>
      <x:c r="F329" s="70"/>
      <x:c r="G329" s="70" t="s">
        <x:v>1203</x:v>
      </x:c>
      <x:c r="H329" s="70" t="s">
        <x:v>1204</x:v>
      </x:c>
      <x:c r="I329" s="70" t="s">
        <x:v>1199</x:v>
      </x:c>
      <x:c r="J329" s="70" t="n">
        <x:v>52</x:v>
      </x:c>
      <x:c r="K329" s="70" t="s">
        <x:v>1230</x:v>
      </x:c>
      <x:c r="L329" s="70"/>
      <x:c r="M329" s="70" t="s">
        <x:v>29</x:v>
      </x:c>
      <x:c r="N329" s="71" t="n">
        <x:v>0</x:v>
      </x:c>
      <x:c r="O329" s="72" t="n">
        <x:f aca="0">N329/1000000</x:f>
        <x:v>0</x:v>
      </x:c>
      <x:c r="P329" s="73" t="n">
        <x:f aca="0">KOHC!D60</x:f>
        <x:v>0</x:v>
      </x:c>
      <x:c r="Q329" s="70" t="str">
        <x:f aca="0">IF(ABS(O329-P329)&lt;0.000001,"PASS","FAIL")</x:f>
        <x:v>PASS</x:v>
      </x:c>
      <x:c r="R329" s="70" t="s">
        <x:v>28</x:v>
      </x:c>
      <x:c r="S329" s="70"/>
    </x:row>
    <x:row r="330" ht="15" hidden="0">
      <x:c r="A330" s="70" t="s">
        <x:v>1443</x:v>
      </x:c>
      <x:c r="B330" s="70" t="s">
        <x:v>25</x:v>
      </x:c>
      <x:c r="C330" s="70" t="s">
        <x:v>74</x:v>
      </x:c>
      <x:c r="D330" s="70" t="s">
        <x:v>372</x:v>
      </x:c>
      <x:c r="E330" s="70" t="s">
        <x:v>1129</x:v>
      </x:c>
      <x:c r="F330" s="70"/>
      <x:c r="G330" s="70" t="s">
        <x:v>1207</x:v>
      </x:c>
      <x:c r="H330" s="70" t="s">
        <x:v>1208</x:v>
      </x:c>
      <x:c r="I330" s="70" t="s">
        <x:v>1199</x:v>
      </x:c>
      <x:c r="J330" s="70" t="n">
        <x:v>52</x:v>
      </x:c>
      <x:c r="K330" s="70" t="s">
        <x:v>1230</x:v>
      </x:c>
      <x:c r="L330" s="70"/>
      <x:c r="M330" s="70" t="s">
        <x:v>29</x:v>
      </x:c>
      <x:c r="N330" s="71" t="n">
        <x:v>0</x:v>
      </x:c>
      <x:c r="O330" s="72" t="n">
        <x:f aca="0">N330/1000000</x:f>
        <x:v>0</x:v>
      </x:c>
      <x:c r="P330" s="73" t="n">
        <x:f aca="0">KOHC!E60</x:f>
        <x:v>0</x:v>
      </x:c>
      <x:c r="Q330" s="70" t="str">
        <x:f aca="0">IF(ABS(O330-P330)&lt;0.000001,"PASS","FAIL")</x:f>
        <x:v>PASS</x:v>
      </x:c>
      <x:c r="R330" s="70" t="s">
        <x:v>28</x:v>
      </x:c>
      <x:c r="S330" s="70"/>
    </x:row>
    <x:row r="331" ht="15" hidden="0">
      <x:c r="A331" s="70" t="s">
        <x:v>1444</x:v>
      </x:c>
      <x:c r="B331" s="70" t="s">
        <x:v>25</x:v>
      </x:c>
      <x:c r="C331" s="70" t="s">
        <x:v>75</x:v>
      </x:c>
      <x:c r="D331" s="70" t="s">
        <x:v>372</x:v>
      </x:c>
      <x:c r="E331" s="70" t="s">
        <x:v>1129</x:v>
      </x:c>
      <x:c r="F331" s="70"/>
      <x:c r="G331" s="70" t="s">
        <x:v>1210</x:v>
      </x:c>
      <x:c r="H331" s="70" t="s">
        <x:v>1211</x:v>
      </x:c>
      <x:c r="I331" s="70" t="s">
        <x:v>1199</x:v>
      </x:c>
      <x:c r="J331" s="70" t="n">
        <x:v>58</x:v>
      </x:c>
      <x:c r="K331" s="70" t="s">
        <x:v>1230</x:v>
      </x:c>
      <x:c r="L331" s="70"/>
      <x:c r="M331" s="70" t="s">
        <x:v>29</x:v>
      </x:c>
      <x:c r="N331" s="71" t="n">
        <x:v>0</x:v>
      </x:c>
      <x:c r="O331" s="72" t="n">
        <x:f aca="0">N331/1000000</x:f>
        <x:v>0</x:v>
      </x:c>
      <x:c r="P331" s="73" t="n">
        <x:f aca="0">KOHC!F60</x:f>
        <x:v>0</x:v>
      </x:c>
      <x:c r="Q331" s="70" t="str">
        <x:f aca="0">IF(ABS(O331-P331)&lt;0.000001,"PASS","FAIL")</x:f>
        <x:v>PASS</x:v>
      </x:c>
      <x:c r="R331" s="70" t="s">
        <x:v>28</x:v>
      </x:c>
      <x:c r="S331" s="70"/>
    </x:row>
    <x:row r="332" ht="15" hidden="0">
      <x:c r="A332" s="70" t="s">
        <x:v>1445</x:v>
      </x:c>
      <x:c r="B332" s="70" t="s">
        <x:v>25</x:v>
      </x:c>
      <x:c r="C332" s="70" t="s">
        <x:v>76</x:v>
      </x:c>
      <x:c r="D332" s="70" t="s">
        <x:v>372</x:v>
      </x:c>
      <x:c r="E332" s="70" t="s">
        <x:v>1129</x:v>
      </x:c>
      <x:c r="F332" s="70"/>
      <x:c r="G332" s="70" t="s">
        <x:v>1214</x:v>
      </x:c>
      <x:c r="H332" s="70" t="s">
        <x:v>1215</x:v>
      </x:c>
      <x:c r="I332" s="70" t="s">
        <x:v>1199</x:v>
      </x:c>
      <x:c r="J332" s="70" t="n">
        <x:v>68</x:v>
      </x:c>
      <x:c r="K332" s="70" t="s">
        <x:v>1235</x:v>
      </x:c>
      <x:c r="L332" s="70"/>
      <x:c r="M332" s="70" t="s">
        <x:v>29</x:v>
      </x:c>
      <x:c r="N332" s="71" t="n">
        <x:v>0</x:v>
      </x:c>
      <x:c r="O332" s="72" t="n">
        <x:f aca="0">N332/1000000</x:f>
        <x:v>0</x:v>
      </x:c>
      <x:c r="P332" s="73" t="n">
        <x:f aca="0">KOHC!G60</x:f>
        <x:v>0</x:v>
      </x:c>
      <x:c r="Q332" s="70" t="str">
        <x:f aca="0">IF(ABS(O332-P332)&lt;0.000001,"PASS","FAIL")</x:f>
        <x:v>PASS</x:v>
      </x:c>
      <x:c r="R332" s="70" t="s">
        <x:v>28</x:v>
      </x:c>
      <x:c r="S332" s="70"/>
    </x:row>
    <x:row r="333" ht="15" hidden="0">
      <x:c r="A333" s="70" t="s">
        <x:v>1446</x:v>
      </x:c>
      <x:c r="B333" s="70" t="s">
        <x:v>25</x:v>
      </x:c>
      <x:c r="C333" s="70" t="s">
        <x:v>77</x:v>
      </x:c>
      <x:c r="D333" s="70" t="s">
        <x:v>372</x:v>
      </x:c>
      <x:c r="E333" s="70" t="s">
        <x:v>1129</x:v>
      </x:c>
      <x:c r="F333" s="70"/>
      <x:c r="G333" s="70" t="s">
        <x:v>1214</x:v>
      </x:c>
      <x:c r="H333" s="70" t="s">
        <x:v>1215</x:v>
      </x:c>
      <x:c r="I333" s="70" t="s">
        <x:v>1218</x:v>
      </x:c>
      <x:c r="J333" s="70" t="n">
        <x:v>68</x:v>
      </x:c>
      <x:c r="K333" s="70" t="s">
        <x:v>1235</x:v>
      </x:c>
      <x:c r="L333" s="70"/>
      <x:c r="M333" s="70" t="s">
        <x:v>29</x:v>
      </x:c>
      <x:c r="N333" s="71" t="n">
        <x:v>0</x:v>
      </x:c>
      <x:c r="O333" s="72" t="n">
        <x:f aca="0">N333/1000000</x:f>
        <x:v>0</x:v>
      </x:c>
      <x:c r="P333" s="73" t="n">
        <x:f aca="0">KOHC!H60</x:f>
        <x:v>0</x:v>
      </x:c>
      <x:c r="Q333" s="70" t="str">
        <x:f aca="0">IF(ABS(O333-P333)&lt;0.000001,"PASS","FAIL")</x:f>
        <x:v>PASS</x:v>
      </x:c>
      <x:c r="R333" s="70" t="s">
        <x:v>28</x:v>
      </x:c>
      <x:c r="S333" s="70"/>
    </x:row>
    <x:row r="334" ht="15" hidden="0">
      <x:c r="A334" s="70" t="s">
        <x:v>1447</x:v>
      </x:c>
      <x:c r="B334" s="70" t="s">
        <x:v>25</x:v>
      </x:c>
      <x:c r="C334" s="70" t="s">
        <x:v>1076</x:v>
      </x:c>
      <x:c r="D334" s="70" t="s">
        <x:v>401</x:v>
      </x:c>
      <x:c r="E334" s="70" t="s">
        <x:v>1129</x:v>
      </x:c>
      <x:c r="F334" s="70"/>
      <x:c r="G334" s="70" t="s">
        <x:v>1197</x:v>
      </x:c>
      <x:c r="H334" s="70" t="s">
        <x:v>1198</x:v>
      </x:c>
      <x:c r="I334" s="70" t="s">
        <x:v>1199</x:v>
      </x:c>
      <x:c r="J334" s="70" t="n">
        <x:v>45</x:v>
      </x:c>
      <x:c r="K334" s="70" t="s">
        <x:v>1200</x:v>
      </x:c>
      <x:c r="L334" s="70"/>
      <x:c r="M334" s="70" t="s">
        <x:v>29</x:v>
      </x:c>
      <x:c r="N334" s="71" t="n">
        <x:v>31756667306</x:v>
      </x:c>
      <x:c r="O334" s="72" t="n">
        <x:f aca="0">N334/1000000</x:f>
        <x:v>31756.667306</x:v>
      </x:c>
      <x:c r="P334" s="73" t="n">
        <x:f aca="0">KOHC!C75</x:f>
        <x:v>31756.667306</x:v>
      </x:c>
      <x:c r="Q334" s="70" t="str">
        <x:f aca="0">IF(ABS(O334-P334)&lt;0.000001,"PASS","FAIL")</x:f>
        <x:v>PASS</x:v>
      </x:c>
      <x:c r="R334" s="70" t="s">
        <x:v>28</x:v>
      </x:c>
      <x:c r="S334" s="70"/>
    </x:row>
    <x:row r="335" ht="15" hidden="0">
      <x:c r="A335" s="70" t="s">
        <x:v>1448</x:v>
      </x:c>
      <x:c r="B335" s="70" t="s">
        <x:v>25</x:v>
      </x:c>
      <x:c r="C335" s="70" t="s">
        <x:v>73</x:v>
      </x:c>
      <x:c r="D335" s="70" t="s">
        <x:v>401</x:v>
      </x:c>
      <x:c r="E335" s="70" t="s">
        <x:v>1129</x:v>
      </x:c>
      <x:c r="F335" s="70"/>
      <x:c r="G335" s="70" t="s">
        <x:v>1203</x:v>
      </x:c>
      <x:c r="H335" s="70" t="s">
        <x:v>1204</x:v>
      </x:c>
      <x:c r="I335" s="70" t="s">
        <x:v>1199</x:v>
      </x:c>
      <x:c r="J335" s="70" t="n">
        <x:v>53</x:v>
      </x:c>
      <x:c r="K335" s="70" t="s">
        <x:v>1200</x:v>
      </x:c>
      <x:c r="L335" s="70"/>
      <x:c r="M335" s="70" t="s">
        <x:v>29</x:v>
      </x:c>
      <x:c r="N335" s="71" t="n">
        <x:v>36086921437</x:v>
      </x:c>
      <x:c r="O335" s="72" t="n">
        <x:f aca="0">N335/1000000</x:f>
        <x:v>36086.921437</x:v>
      </x:c>
      <x:c r="P335" s="73" t="n">
        <x:f aca="0">KOHC!D75</x:f>
        <x:v>36086.921437</x:v>
      </x:c>
      <x:c r="Q335" s="70" t="str">
        <x:f aca="0">IF(ABS(O335-P335)&lt;0.000001,"PASS","FAIL")</x:f>
        <x:v>PASS</x:v>
      </x:c>
      <x:c r="R335" s="70" t="s">
        <x:v>28</x:v>
      </x:c>
      <x:c r="S335" s="70"/>
    </x:row>
    <x:row r="336" ht="15" hidden="0">
      <x:c r="A336" s="70" t="s">
        <x:v>1449</x:v>
      </x:c>
      <x:c r="B336" s="70" t="s">
        <x:v>25</x:v>
      </x:c>
      <x:c r="C336" s="70" t="s">
        <x:v>74</x:v>
      </x:c>
      <x:c r="D336" s="70" t="s">
        <x:v>401</x:v>
      </x:c>
      <x:c r="E336" s="70" t="s">
        <x:v>1129</x:v>
      </x:c>
      <x:c r="F336" s="70"/>
      <x:c r="G336" s="70" t="s">
        <x:v>1207</x:v>
      </x:c>
      <x:c r="H336" s="70" t="s">
        <x:v>1208</x:v>
      </x:c>
      <x:c r="I336" s="70" t="s">
        <x:v>1199</x:v>
      </x:c>
      <x:c r="J336" s="70" t="n">
        <x:v>53</x:v>
      </x:c>
      <x:c r="K336" s="70" t="s">
        <x:v>1200</x:v>
      </x:c>
      <x:c r="L336" s="70"/>
      <x:c r="M336" s="70" t="s">
        <x:v>29</x:v>
      </x:c>
      <x:c r="N336" s="71" t="n">
        <x:v>43350667844</x:v>
      </x:c>
      <x:c r="O336" s="72" t="n">
        <x:f aca="0">N336/1000000</x:f>
        <x:v>43350.667844</x:v>
      </x:c>
      <x:c r="P336" s="73" t="n">
        <x:f aca="0">KOHC!E75</x:f>
        <x:v>43350.667844</x:v>
      </x:c>
      <x:c r="Q336" s="70" t="str">
        <x:f aca="0">IF(ABS(O336-P336)&lt;0.000001,"PASS","FAIL")</x:f>
        <x:v>PASS</x:v>
      </x:c>
      <x:c r="R336" s="70" t="s">
        <x:v>28</x:v>
      </x:c>
      <x:c r="S336" s="70"/>
    </x:row>
    <x:row r="337" ht="15" hidden="0">
      <x:c r="A337" s="70" t="s">
        <x:v>1450</x:v>
      </x:c>
      <x:c r="B337" s="70" t="s">
        <x:v>25</x:v>
      </x:c>
      <x:c r="C337" s="70" t="s">
        <x:v>75</x:v>
      </x:c>
      <x:c r="D337" s="70" t="s">
        <x:v>401</x:v>
      </x:c>
      <x:c r="E337" s="70" t="s">
        <x:v>1129</x:v>
      </x:c>
      <x:c r="F337" s="70"/>
      <x:c r="G337" s="70" t="s">
        <x:v>1210</x:v>
      </x:c>
      <x:c r="H337" s="70" t="s">
        <x:v>1211</x:v>
      </x:c>
      <x:c r="I337" s="70" t="s">
        <x:v>1199</x:v>
      </x:c>
      <x:c r="J337" s="70" t="n">
        <x:v>59</x:v>
      </x:c>
      <x:c r="K337" s="70" t="s">
        <x:v>1200</x:v>
      </x:c>
      <x:c r="L337" s="70"/>
      <x:c r="M337" s="70" t="s">
        <x:v>29</x:v>
      </x:c>
      <x:c r="N337" s="71" t="n">
        <x:v>49530075545</x:v>
      </x:c>
      <x:c r="O337" s="72" t="n">
        <x:f aca="0">N337/1000000</x:f>
        <x:v>49530.075545</x:v>
      </x:c>
      <x:c r="P337" s="73" t="n">
        <x:f aca="0">KOHC!F75</x:f>
        <x:v>49530.075545</x:v>
      </x:c>
      <x:c r="Q337" s="70" t="str">
        <x:f aca="0">IF(ABS(O337-P337)&lt;0.000001,"PASS","FAIL")</x:f>
        <x:v>PASS</x:v>
      </x:c>
      <x:c r="R337" s="70" t="s">
        <x:v>28</x:v>
      </x:c>
      <x:c r="S337" s="70"/>
    </x:row>
    <x:row r="338" ht="15" hidden="0">
      <x:c r="A338" s="70" t="s">
        <x:v>1451</x:v>
      </x:c>
      <x:c r="B338" s="70" t="s">
        <x:v>25</x:v>
      </x:c>
      <x:c r="C338" s="70" t="s">
        <x:v>76</x:v>
      </x:c>
      <x:c r="D338" s="70" t="s">
        <x:v>401</x:v>
      </x:c>
      <x:c r="E338" s="70" t="s">
        <x:v>1129</x:v>
      </x:c>
      <x:c r="F338" s="70"/>
      <x:c r="G338" s="70" t="s">
        <x:v>1214</x:v>
      </x:c>
      <x:c r="H338" s="70" t="s">
        <x:v>1215</x:v>
      </x:c>
      <x:c r="I338" s="70" t="s">
        <x:v>1199</x:v>
      </x:c>
      <x:c r="J338" s="70" t="n">
        <x:v>69</x:v>
      </x:c>
      <x:c r="K338" s="70" t="s">
        <x:v>1200</x:v>
      </x:c>
      <x:c r="L338" s="70"/>
      <x:c r="M338" s="70" t="s">
        <x:v>29</x:v>
      </x:c>
      <x:c r="N338" s="71" t="n">
        <x:v>58843295197</x:v>
      </x:c>
      <x:c r="O338" s="72" t="n">
        <x:f aca="0">N338/1000000</x:f>
        <x:v>58843.295197</x:v>
      </x:c>
      <x:c r="P338" s="73" t="n">
        <x:f aca="0">KOHC!G75</x:f>
        <x:v>58843.295197</x:v>
      </x:c>
      <x:c r="Q338" s="70" t="str">
        <x:f aca="0">IF(ABS(O338-P338)&lt;0.000001,"PASS","FAIL")</x:f>
        <x:v>PASS</x:v>
      </x:c>
      <x:c r="R338" s="70" t="s">
        <x:v>28</x:v>
      </x:c>
      <x:c r="S338" s="70"/>
    </x:row>
    <x:row r="339" ht="15" hidden="0">
      <x:c r="A339" s="70" t="s">
        <x:v>1452</x:v>
      </x:c>
      <x:c r="B339" s="70" t="s">
        <x:v>25</x:v>
      </x:c>
      <x:c r="C339" s="70" t="s">
        <x:v>77</x:v>
      </x:c>
      <x:c r="D339" s="70" t="s">
        <x:v>401</x:v>
      </x:c>
      <x:c r="E339" s="70" t="s">
        <x:v>1129</x:v>
      </x:c>
      <x:c r="F339" s="70"/>
      <x:c r="G339" s="70" t="s">
        <x:v>1214</x:v>
      </x:c>
      <x:c r="H339" s="70" t="s">
        <x:v>1215</x:v>
      </x:c>
      <x:c r="I339" s="70" t="s">
        <x:v>1218</x:v>
      </x:c>
      <x:c r="J339" s="70" t="n">
        <x:v>69</x:v>
      </x:c>
      <x:c r="K339" s="70" t="s">
        <x:v>1200</x:v>
      </x:c>
      <x:c r="L339" s="70"/>
      <x:c r="M339" s="70" t="s">
        <x:v>29</x:v>
      </x:c>
      <x:c r="N339" s="71" t="n">
        <x:v>66794311768</x:v>
      </x:c>
      <x:c r="O339" s="72" t="n">
        <x:f aca="0">N339/1000000</x:f>
        <x:v>66794.311768</x:v>
      </x:c>
      <x:c r="P339" s="73" t="n">
        <x:f aca="0">KOHC!H75</x:f>
        <x:v>66794.311768</x:v>
      </x:c>
      <x:c r="Q339" s="70" t="str">
        <x:f aca="0">IF(ABS(O339-P339)&lt;0.000001,"PASS","FAIL")</x:f>
        <x:v>PASS</x:v>
      </x:c>
      <x:c r="R339" s="70" t="s">
        <x:v>28</x:v>
      </x:c>
      <x:c r="S339" s="70"/>
    </x:row>
    <x:row r="340" ht="15" hidden="0">
      <x:c r="A340" s="70" t="s">
        <x:v>1453</x:v>
      </x:c>
      <x:c r="B340" s="70" t="s">
        <x:v>25</x:v>
      </x:c>
      <x:c r="C340" s="70" t="s">
        <x:v>1076</x:v>
      </x:c>
      <x:c r="D340" s="70" t="s">
        <x:v>403</x:v>
      </x:c>
      <x:c r="E340" s="70" t="s">
        <x:v>1129</x:v>
      </x:c>
      <x:c r="F340" s="70"/>
      <x:c r="G340" s="70" t="s">
        <x:v>1197</x:v>
      </x:c>
      <x:c r="H340" s="70" t="s">
        <x:v>1198</x:v>
      </x:c>
      <x:c r="I340" s="70" t="s">
        <x:v>1199</x:v>
      </x:c>
      <x:c r="J340" s="70" t="n">
        <x:v>44</x:v>
      </x:c>
      <x:c r="K340" s="70" t="s">
        <x:v>1230</x:v>
      </x:c>
      <x:c r="L340" s="70"/>
      <x:c r="M340" s="70" t="s">
        <x:v>29</x:v>
      </x:c>
      <x:c r="N340" s="71" t="n">
        <x:v>18726673324</x:v>
      </x:c>
      <x:c r="O340" s="72" t="n">
        <x:f aca="0">N340/1000000</x:f>
        <x:v>18726.673324</x:v>
      </x:c>
      <x:c r="P340" s="73" t="n">
        <x:f aca="0">KOHC!C76</x:f>
        <x:v>18726.673324</x:v>
      </x:c>
      <x:c r="Q340" s="70" t="str">
        <x:f aca="0">IF(ABS(O340-P340)&lt;0.000001,"PASS","FAIL")</x:f>
        <x:v>PASS</x:v>
      </x:c>
      <x:c r="R340" s="70" t="s">
        <x:v>28</x:v>
      </x:c>
      <x:c r="S340" s="70"/>
    </x:row>
    <x:row r="341" ht="15" hidden="0">
      <x:c r="A341" s="70" t="s">
        <x:v>1454</x:v>
      </x:c>
      <x:c r="B341" s="70" t="s">
        <x:v>25</x:v>
      </x:c>
      <x:c r="C341" s="70" t="s">
        <x:v>73</x:v>
      </x:c>
      <x:c r="D341" s="70" t="s">
        <x:v>403</x:v>
      </x:c>
      <x:c r="E341" s="70" t="s">
        <x:v>1129</x:v>
      </x:c>
      <x:c r="F341" s="70"/>
      <x:c r="G341" s="70" t="s">
        <x:v>1203</x:v>
      </x:c>
      <x:c r="H341" s="70" t="s">
        <x:v>1204</x:v>
      </x:c>
      <x:c r="I341" s="70" t="s">
        <x:v>1199</x:v>
      </x:c>
      <x:c r="J341" s="70" t="n">
        <x:v>52</x:v>
      </x:c>
      <x:c r="K341" s="70" t="s">
        <x:v>1230</x:v>
      </x:c>
      <x:c r="L341" s="70"/>
      <x:c r="M341" s="70" t="s">
        <x:v>29</x:v>
      </x:c>
      <x:c r="N341" s="71" t="n">
        <x:v>22223539371</x:v>
      </x:c>
      <x:c r="O341" s="72" t="n">
        <x:f aca="0">N341/1000000</x:f>
        <x:v>22223.539371</x:v>
      </x:c>
      <x:c r="P341" s="73" t="n">
        <x:f aca="0">KOHC!D76</x:f>
        <x:v>22223.539371</x:v>
      </x:c>
      <x:c r="Q341" s="70" t="str">
        <x:f aca="0">IF(ABS(O341-P341)&lt;0.000001,"PASS","FAIL")</x:f>
        <x:v>PASS</x:v>
      </x:c>
      <x:c r="R341" s="70" t="s">
        <x:v>28</x:v>
      </x:c>
      <x:c r="S341" s="70"/>
    </x:row>
    <x:row r="342" ht="15" hidden="0">
      <x:c r="A342" s="70" t="s">
        <x:v>1455</x:v>
      </x:c>
      <x:c r="B342" s="70" t="s">
        <x:v>25</x:v>
      </x:c>
      <x:c r="C342" s="70" t="s">
        <x:v>74</x:v>
      </x:c>
      <x:c r="D342" s="70" t="s">
        <x:v>403</x:v>
      </x:c>
      <x:c r="E342" s="70" t="s">
        <x:v>1129</x:v>
      </x:c>
      <x:c r="F342" s="70"/>
      <x:c r="G342" s="70" t="s">
        <x:v>1207</x:v>
      </x:c>
      <x:c r="H342" s="70" t="s">
        <x:v>1208</x:v>
      </x:c>
      <x:c r="I342" s="70" t="s">
        <x:v>1199</x:v>
      </x:c>
      <x:c r="J342" s="70" t="n">
        <x:v>52</x:v>
      </x:c>
      <x:c r="K342" s="70" t="s">
        <x:v>1230</x:v>
      </x:c>
      <x:c r="L342" s="70"/>
      <x:c r="M342" s="70" t="s">
        <x:v>29</x:v>
      </x:c>
      <x:c r="N342" s="71" t="n">
        <x:v>27246220231</x:v>
      </x:c>
      <x:c r="O342" s="72" t="n">
        <x:f aca="0">N342/1000000</x:f>
        <x:v>27246.220231</x:v>
      </x:c>
      <x:c r="P342" s="73" t="n">
        <x:f aca="0">KOHC!E76</x:f>
        <x:v>27246.220231</x:v>
      </x:c>
      <x:c r="Q342" s="70" t="str">
        <x:f aca="0">IF(ABS(O342-P342)&lt;0.000001,"PASS","FAIL")</x:f>
        <x:v>PASS</x:v>
      </x:c>
      <x:c r="R342" s="70" t="s">
        <x:v>28</x:v>
      </x:c>
      <x:c r="S342" s="70"/>
    </x:row>
    <x:row r="343" ht="15" hidden="0">
      <x:c r="A343" s="70" t="s">
        <x:v>1456</x:v>
      </x:c>
      <x:c r="B343" s="70" t="s">
        <x:v>25</x:v>
      </x:c>
      <x:c r="C343" s="70" t="s">
        <x:v>75</x:v>
      </x:c>
      <x:c r="D343" s="70" t="s">
        <x:v>403</x:v>
      </x:c>
      <x:c r="E343" s="70" t="s">
        <x:v>1129</x:v>
      </x:c>
      <x:c r="F343" s="70"/>
      <x:c r="G343" s="70" t="s">
        <x:v>1210</x:v>
      </x:c>
      <x:c r="H343" s="70" t="s">
        <x:v>1211</x:v>
      </x:c>
      <x:c r="I343" s="70" t="s">
        <x:v>1199</x:v>
      </x:c>
      <x:c r="J343" s="70" t="n">
        <x:v>58</x:v>
      </x:c>
      <x:c r="K343" s="70" t="s">
        <x:v>1230</x:v>
      </x:c>
      <x:c r="L343" s="70"/>
      <x:c r="M343" s="70" t="s">
        <x:v>29</x:v>
      </x:c>
      <x:c r="N343" s="71" t="n">
        <x:v>32610044972</x:v>
      </x:c>
      <x:c r="O343" s="72" t="n">
        <x:f aca="0">N343/1000000</x:f>
        <x:v>32610.044972</x:v>
      </x:c>
      <x:c r="P343" s="73" t="n">
        <x:f aca="0">KOHC!F76</x:f>
        <x:v>32610.044972</x:v>
      </x:c>
      <x:c r="Q343" s="70" t="str">
        <x:f aca="0">IF(ABS(O343-P343)&lt;0.000001,"PASS","FAIL")</x:f>
        <x:v>PASS</x:v>
      </x:c>
      <x:c r="R343" s="70" t="s">
        <x:v>28</x:v>
      </x:c>
      <x:c r="S343" s="70"/>
    </x:row>
    <x:row r="344" ht="15" hidden="0">
      <x:c r="A344" s="70" t="s">
        <x:v>1457</x:v>
      </x:c>
      <x:c r="B344" s="70" t="s">
        <x:v>25</x:v>
      </x:c>
      <x:c r="C344" s="70" t="s">
        <x:v>76</x:v>
      </x:c>
      <x:c r="D344" s="70" t="s">
        <x:v>403</x:v>
      </x:c>
      <x:c r="E344" s="70" t="s">
        <x:v>1129</x:v>
      </x:c>
      <x:c r="F344" s="70"/>
      <x:c r="G344" s="70" t="s">
        <x:v>1214</x:v>
      </x:c>
      <x:c r="H344" s="70" t="s">
        <x:v>1215</x:v>
      </x:c>
      <x:c r="I344" s="70" t="s">
        <x:v>1199</x:v>
      </x:c>
      <x:c r="J344" s="70" t="n">
        <x:v>68</x:v>
      </x:c>
      <x:c r="K344" s="70" t="s">
        <x:v>1235</x:v>
      </x:c>
      <x:c r="L344" s="70"/>
      <x:c r="M344" s="70" t="s">
        <x:v>29</x:v>
      </x:c>
      <x:c r="N344" s="71" t="n">
        <x:v>41090305291</x:v>
      </x:c>
      <x:c r="O344" s="72" t="n">
        <x:f aca="0">N344/1000000</x:f>
        <x:v>41090.305291</x:v>
      </x:c>
      <x:c r="P344" s="73" t="n">
        <x:f aca="0">KOHC!G76</x:f>
        <x:v>41090.305291</x:v>
      </x:c>
      <x:c r="Q344" s="70" t="str">
        <x:f aca="0">IF(ABS(O344-P344)&lt;0.000001,"PASS","FAIL")</x:f>
        <x:v>PASS</x:v>
      </x:c>
      <x:c r="R344" s="70" t="s">
        <x:v>28</x:v>
      </x:c>
      <x:c r="S344" s="70"/>
    </x:row>
    <x:row r="345" ht="15" hidden="0">
      <x:c r="A345" s="70" t="s">
        <x:v>1458</x:v>
      </x:c>
      <x:c r="B345" s="70" t="s">
        <x:v>25</x:v>
      </x:c>
      <x:c r="C345" s="70" t="s">
        <x:v>77</x:v>
      </x:c>
      <x:c r="D345" s="70" t="s">
        <x:v>403</x:v>
      </x:c>
      <x:c r="E345" s="70" t="s">
        <x:v>1129</x:v>
      </x:c>
      <x:c r="F345" s="70"/>
      <x:c r="G345" s="70" t="s">
        <x:v>1214</x:v>
      </x:c>
      <x:c r="H345" s="70" t="s">
        <x:v>1215</x:v>
      </x:c>
      <x:c r="I345" s="70" t="s">
        <x:v>1218</x:v>
      </x:c>
      <x:c r="J345" s="70" t="n">
        <x:v>68</x:v>
      </x:c>
      <x:c r="K345" s="70" t="s">
        <x:v>1235</x:v>
      </x:c>
      <x:c r="L345" s="70"/>
      <x:c r="M345" s="70" t="s">
        <x:v>29</x:v>
      </x:c>
      <x:c r="N345" s="71" t="n">
        <x:v>47955194787</x:v>
      </x:c>
      <x:c r="O345" s="72" t="n">
        <x:f aca="0">N345/1000000</x:f>
        <x:v>47955.194787</x:v>
      </x:c>
      <x:c r="P345" s="73" t="n">
        <x:f aca="0">KOHC!H76</x:f>
        <x:v>47955.194787</x:v>
      </x:c>
      <x:c r="Q345" s="70" t="str">
        <x:f aca="0">IF(ABS(O345-P345)&lt;0.000001,"PASS","FAIL")</x:f>
        <x:v>PASS</x:v>
      </x:c>
      <x:c r="R345" s="70" t="s">
        <x:v>28</x:v>
      </x:c>
      <x:c r="S345" s="70"/>
    </x:row>
    <x:row r="346" ht="15" hidden="0">
      <x:c r="A346" s="70" t="s">
        <x:v>1459</x:v>
      </x:c>
      <x:c r="B346" s="70" t="s">
        <x:v>25</x:v>
      </x:c>
      <x:c r="C346" s="70" t="s">
        <x:v>1076</x:v>
      </x:c>
      <x:c r="D346" s="70" t="s">
        <x:v>405</x:v>
      </x:c>
      <x:c r="E346" s="70" t="s">
        <x:v>1129</x:v>
      </x:c>
      <x:c r="F346" s="70"/>
      <x:c r="G346" s="70" t="s">
        <x:v>1197</x:v>
      </x:c>
      <x:c r="H346" s="70" t="s">
        <x:v>1198</x:v>
      </x:c>
      <x:c r="I346" s="70" t="s">
        <x:v>1199</x:v>
      </x:c>
      <x:c r="J346" s="70" t="n">
        <x:v>44</x:v>
      </x:c>
      <x:c r="K346" s="70" t="s">
        <x:v>1230</x:v>
      </x:c>
      <x:c r="L346" s="70"/>
      <x:c r="M346" s="70" t="s">
        <x:v>29</x:v>
      </x:c>
      <x:c r="N346" s="71" t="n">
        <x:v>5237623778</x:v>
      </x:c>
      <x:c r="O346" s="72" t="n">
        <x:f aca="0">N346/1000000</x:f>
        <x:v>5237.623778</x:v>
      </x:c>
      <x:c r="P346" s="73" t="n">
        <x:f aca="0">KOHC!C77</x:f>
        <x:v>5237.623778</x:v>
      </x:c>
      <x:c r="Q346" s="70" t="str">
        <x:f aca="0">IF(ABS(O346-P346)&lt;0.000001,"PASS","FAIL")</x:f>
        <x:v>PASS</x:v>
      </x:c>
      <x:c r="R346" s="70" t="s">
        <x:v>28</x:v>
      </x:c>
      <x:c r="S346" s="70"/>
    </x:row>
    <x:row r="347" ht="15" hidden="0">
      <x:c r="A347" s="70" t="s">
        <x:v>1460</x:v>
      </x:c>
      <x:c r="B347" s="70" t="s">
        <x:v>25</x:v>
      </x:c>
      <x:c r="C347" s="70" t="s">
        <x:v>73</x:v>
      </x:c>
      <x:c r="D347" s="70" t="s">
        <x:v>405</x:v>
      </x:c>
      <x:c r="E347" s="70" t="s">
        <x:v>1129</x:v>
      </x:c>
      <x:c r="F347" s="70"/>
      <x:c r="G347" s="70" t="s">
        <x:v>1203</x:v>
      </x:c>
      <x:c r="H347" s="70" t="s">
        <x:v>1204</x:v>
      </x:c>
      <x:c r="I347" s="70" t="s">
        <x:v>1199</x:v>
      </x:c>
      <x:c r="J347" s="70" t="n">
        <x:v>52</x:v>
      </x:c>
      <x:c r="K347" s="70" t="s">
        <x:v>1230</x:v>
      </x:c>
      <x:c r="L347" s="70"/>
      <x:c r="M347" s="70" t="s">
        <x:v>29</x:v>
      </x:c>
      <x:c r="N347" s="71" t="n">
        <x:v>9848798714</x:v>
      </x:c>
      <x:c r="O347" s="72" t="n">
        <x:f aca="0">N347/1000000</x:f>
        <x:v>9848.798714</x:v>
      </x:c>
      <x:c r="P347" s="73" t="n">
        <x:f aca="0">KOHC!D77</x:f>
        <x:v>9848.798714</x:v>
      </x:c>
      <x:c r="Q347" s="70" t="str">
        <x:f aca="0">IF(ABS(O347-P347)&lt;0.000001,"PASS","FAIL")</x:f>
        <x:v>PASS</x:v>
      </x:c>
      <x:c r="R347" s="70" t="s">
        <x:v>28</x:v>
      </x:c>
      <x:c r="S347" s="70"/>
    </x:row>
    <x:row r="348" ht="15" hidden="0">
      <x:c r="A348" s="70" t="s">
        <x:v>1461</x:v>
      </x:c>
      <x:c r="B348" s="70" t="s">
        <x:v>25</x:v>
      </x:c>
      <x:c r="C348" s="70" t="s">
        <x:v>74</x:v>
      </x:c>
      <x:c r="D348" s="70" t="s">
        <x:v>405</x:v>
      </x:c>
      <x:c r="E348" s="70" t="s">
        <x:v>1129</x:v>
      </x:c>
      <x:c r="F348" s="70"/>
      <x:c r="G348" s="70" t="s">
        <x:v>1207</x:v>
      </x:c>
      <x:c r="H348" s="70" t="s">
        <x:v>1208</x:v>
      </x:c>
      <x:c r="I348" s="70" t="s">
        <x:v>1199</x:v>
      </x:c>
      <x:c r="J348" s="70" t="n">
        <x:v>52</x:v>
      </x:c>
      <x:c r="K348" s="70" t="s">
        <x:v>1230</x:v>
      </x:c>
      <x:c r="L348" s="70"/>
      <x:c r="M348" s="70" t="s">
        <x:v>29</x:v>
      </x:c>
      <x:c r="N348" s="71" t="n">
        <x:v>17775831447</x:v>
      </x:c>
      <x:c r="O348" s="72" t="n">
        <x:f aca="0">N348/1000000</x:f>
        <x:v>17775.831447</x:v>
      </x:c>
      <x:c r="P348" s="73" t="n">
        <x:f aca="0">KOHC!E77</x:f>
        <x:v>17775.831447</x:v>
      </x:c>
      <x:c r="Q348" s="70" t="str">
        <x:f aca="0">IF(ABS(O348-P348)&lt;0.000001,"PASS","FAIL")</x:f>
        <x:v>PASS</x:v>
      </x:c>
      <x:c r="R348" s="70" t="s">
        <x:v>28</x:v>
      </x:c>
      <x:c r="S348" s="70"/>
    </x:row>
    <x:row r="349" ht="15" hidden="0">
      <x:c r="A349" s="70" t="s">
        <x:v>1462</x:v>
      </x:c>
      <x:c r="B349" s="70" t="s">
        <x:v>25</x:v>
      </x:c>
      <x:c r="C349" s="70" t="s">
        <x:v>75</x:v>
      </x:c>
      <x:c r="D349" s="70" t="s">
        <x:v>405</x:v>
      </x:c>
      <x:c r="E349" s="70" t="s">
        <x:v>1129</x:v>
      </x:c>
      <x:c r="F349" s="70"/>
      <x:c r="G349" s="70" t="s">
        <x:v>1210</x:v>
      </x:c>
      <x:c r="H349" s="70" t="s">
        <x:v>1211</x:v>
      </x:c>
      <x:c r="I349" s="70" t="s">
        <x:v>1199</x:v>
      </x:c>
      <x:c r="J349" s="70" t="n">
        <x:v>58</x:v>
      </x:c>
      <x:c r="K349" s="70" t="s">
        <x:v>1230</x:v>
      </x:c>
      <x:c r="L349" s="70"/>
      <x:c r="M349" s="70" t="s">
        <x:v>29</x:v>
      </x:c>
      <x:c r="N349" s="71" t="n">
        <x:v>22913376649</x:v>
      </x:c>
      <x:c r="O349" s="72" t="n">
        <x:f aca="0">N349/1000000</x:f>
        <x:v>22913.376649</x:v>
      </x:c>
      <x:c r="P349" s="73" t="n">
        <x:f aca="0">KOHC!F77</x:f>
        <x:v>22913.376649</x:v>
      </x:c>
      <x:c r="Q349" s="70" t="str">
        <x:f aca="0">IF(ABS(O349-P349)&lt;0.000001,"PASS","FAIL")</x:f>
        <x:v>PASS</x:v>
      </x:c>
      <x:c r="R349" s="70" t="s">
        <x:v>28</x:v>
      </x:c>
      <x:c r="S349" s="70"/>
    </x:row>
    <x:row r="350" ht="15" hidden="0">
      <x:c r="A350" s="70" t="s">
        <x:v>1463</x:v>
      </x:c>
      <x:c r="B350" s="70" t="s">
        <x:v>25</x:v>
      </x:c>
      <x:c r="C350" s="70" t="s">
        <x:v>76</x:v>
      </x:c>
      <x:c r="D350" s="70" t="s">
        <x:v>405</x:v>
      </x:c>
      <x:c r="E350" s="70" t="s">
        <x:v>1129</x:v>
      </x:c>
      <x:c r="F350" s="70"/>
      <x:c r="G350" s="70" t="s">
        <x:v>1214</x:v>
      </x:c>
      <x:c r="H350" s="70" t="s">
        <x:v>1215</x:v>
      </x:c>
      <x:c r="I350" s="70" t="s">
        <x:v>1199</x:v>
      </x:c>
      <x:c r="J350" s="70" t="n">
        <x:v>68</x:v>
      </x:c>
      <x:c r="K350" s="70" t="s">
        <x:v>1235</x:v>
      </x:c>
      <x:c r="L350" s="70"/>
      <x:c r="M350" s="70" t="s">
        <x:v>29</x:v>
      </x:c>
      <x:c r="N350" s="71" t="n">
        <x:v>32212396773</x:v>
      </x:c>
      <x:c r="O350" s="72" t="n">
        <x:f aca="0">N350/1000000</x:f>
        <x:v>32212.396773</x:v>
      </x:c>
      <x:c r="P350" s="73" t="n">
        <x:f aca="0">KOHC!G77</x:f>
        <x:v>32212.396773</x:v>
      </x:c>
      <x:c r="Q350" s="70" t="str">
        <x:f aca="0">IF(ABS(O350-P350)&lt;0.000001,"PASS","FAIL")</x:f>
        <x:v>PASS</x:v>
      </x:c>
      <x:c r="R350" s="70" t="s">
        <x:v>28</x:v>
      </x:c>
      <x:c r="S350" s="70"/>
    </x:row>
    <x:row r="351" ht="15" hidden="0">
      <x:c r="A351" s="70" t="s">
        <x:v>1464</x:v>
      </x:c>
      <x:c r="B351" s="70" t="s">
        <x:v>25</x:v>
      </x:c>
      <x:c r="C351" s="70" t="s">
        <x:v>77</x:v>
      </x:c>
      <x:c r="D351" s="70" t="s">
        <x:v>405</x:v>
      </x:c>
      <x:c r="E351" s="70" t="s">
        <x:v>1129</x:v>
      </x:c>
      <x:c r="F351" s="70"/>
      <x:c r="G351" s="70" t="s">
        <x:v>1214</x:v>
      </x:c>
      <x:c r="H351" s="70" t="s">
        <x:v>1215</x:v>
      </x:c>
      <x:c r="I351" s="70" t="s">
        <x:v>1218</x:v>
      </x:c>
      <x:c r="J351" s="70" t="n">
        <x:v>68</x:v>
      </x:c>
      <x:c r="K351" s="70" t="s">
        <x:v>1235</x:v>
      </x:c>
      <x:c r="L351" s="70"/>
      <x:c r="M351" s="70" t="s">
        <x:v>29</x:v>
      </x:c>
      <x:c r="N351" s="71" t="n">
        <x:v>38614792494</x:v>
      </x:c>
      <x:c r="O351" s="72" t="n">
        <x:f aca="0">N351/1000000</x:f>
        <x:v>38614.792494</x:v>
      </x:c>
      <x:c r="P351" s="73" t="n">
        <x:f aca="0">KOHC!H77</x:f>
        <x:v>38614.792494</x:v>
      </x:c>
      <x:c r="Q351" s="70" t="str">
        <x:f aca="0">IF(ABS(O351-P351)&lt;0.000001,"PASS","FAIL")</x:f>
        <x:v>PASS</x:v>
      </x:c>
      <x:c r="R351" s="70" t="s">
        <x:v>28</x:v>
      </x:c>
      <x:c r="S351" s="70"/>
    </x:row>
    <x:row r="352" ht="15" hidden="0">
      <x:c r="A352" s="70" t="s">
        <x:v>1465</x:v>
      </x:c>
      <x:c r="B352" s="70" t="s">
        <x:v>25</x:v>
      </x:c>
      <x:c r="C352" s="70" t="s">
        <x:v>1076</x:v>
      </x:c>
      <x:c r="D352" s="70" t="s">
        <x:v>407</x:v>
      </x:c>
      <x:c r="E352" s="70" t="s">
        <x:v>1129</x:v>
      </x:c>
      <x:c r="F352" s="70"/>
      <x:c r="G352" s="70" t="s">
        <x:v>1197</x:v>
      </x:c>
      <x:c r="H352" s="70" t="s">
        <x:v>1198</x:v>
      </x:c>
      <x:c r="I352" s="70" t="s">
        <x:v>1199</x:v>
      </x:c>
      <x:c r="J352" s="70" t="n">
        <x:v>44</x:v>
      </x:c>
      <x:c r="K352" s="70" t="s">
        <x:v>1230</x:v>
      </x:c>
      <x:c r="L352" s="70"/>
      <x:c r="M352" s="70" t="s">
        <x:v>29</x:v>
      </x:c>
      <x:c r="N352" s="71" t="n">
        <x:v>6279548271</x:v>
      </x:c>
      <x:c r="O352" s="72" t="n">
        <x:f aca="0">N352/1000000</x:f>
        <x:v>6279.548271</x:v>
      </x:c>
      <x:c r="P352" s="73" t="n">
        <x:f aca="0">KOHC!C78</x:f>
        <x:v>6279.548271</x:v>
      </x:c>
      <x:c r="Q352" s="70" t="str">
        <x:f aca="0">IF(ABS(O352-P352)&lt;0.000001,"PASS","FAIL")</x:f>
        <x:v>PASS</x:v>
      </x:c>
      <x:c r="R352" s="70" t="s">
        <x:v>28</x:v>
      </x:c>
      <x:c r="S352" s="70"/>
    </x:row>
    <x:row r="353" ht="15" hidden="0">
      <x:c r="A353" s="70" t="s">
        <x:v>1466</x:v>
      </x:c>
      <x:c r="B353" s="70" t="s">
        <x:v>25</x:v>
      </x:c>
      <x:c r="C353" s="70" t="s">
        <x:v>73</x:v>
      </x:c>
      <x:c r="D353" s="70" t="s">
        <x:v>407</x:v>
      </x:c>
      <x:c r="E353" s="70" t="s">
        <x:v>1129</x:v>
      </x:c>
      <x:c r="F353" s="70"/>
      <x:c r="G353" s="70" t="s">
        <x:v>1203</x:v>
      </x:c>
      <x:c r="H353" s="70" t="s">
        <x:v>1204</x:v>
      </x:c>
      <x:c r="I353" s="70" t="s">
        <x:v>1199</x:v>
      </x:c>
      <x:c r="J353" s="70" t="n">
        <x:v>52</x:v>
      </x:c>
      <x:c r="K353" s="70" t="s">
        <x:v>1230</x:v>
      </x:c>
      <x:c r="L353" s="70"/>
      <x:c r="M353" s="70" t="s">
        <x:v>29</x:v>
      </x:c>
      <x:c r="N353" s="71" t="n">
        <x:v>7572243940</x:v>
      </x:c>
      <x:c r="O353" s="72" t="n">
        <x:f aca="0">N353/1000000</x:f>
        <x:v>7572.24394</x:v>
      </x:c>
      <x:c r="P353" s="73" t="n">
        <x:f aca="0">KOHC!D78</x:f>
        <x:v>7572.24394</x:v>
      </x:c>
      <x:c r="Q353" s="70" t="str">
        <x:f aca="0">IF(ABS(O353-P353)&lt;0.000001,"PASS","FAIL")</x:f>
        <x:v>PASS</x:v>
      </x:c>
      <x:c r="R353" s="70" t="s">
        <x:v>28</x:v>
      </x:c>
      <x:c r="S353" s="70"/>
    </x:row>
    <x:row r="354" ht="15" hidden="0">
      <x:c r="A354" s="70" t="s">
        <x:v>1467</x:v>
      </x:c>
      <x:c r="B354" s="70" t="s">
        <x:v>25</x:v>
      </x:c>
      <x:c r="C354" s="70" t="s">
        <x:v>74</x:v>
      </x:c>
      <x:c r="D354" s="70" t="s">
        <x:v>407</x:v>
      </x:c>
      <x:c r="E354" s="70" t="s">
        <x:v>1129</x:v>
      </x:c>
      <x:c r="F354" s="70"/>
      <x:c r="G354" s="70" t="s">
        <x:v>1207</x:v>
      </x:c>
      <x:c r="H354" s="70" t="s">
        <x:v>1208</x:v>
      </x:c>
      <x:c r="I354" s="70" t="s">
        <x:v>1199</x:v>
      </x:c>
      <x:c r="J354" s="70" t="n">
        <x:v>52</x:v>
      </x:c>
      <x:c r="K354" s="70" t="s">
        <x:v>1230</x:v>
      </x:c>
      <x:c r="L354" s="70"/>
      <x:c r="M354" s="70" t="s">
        <x:v>29</x:v>
      </x:c>
      <x:c r="N354" s="71" t="n">
        <x:v>9487990679</x:v>
      </x:c>
      <x:c r="O354" s="72" t="n">
        <x:f aca="0">N354/1000000</x:f>
        <x:v>9487.990679</x:v>
      </x:c>
      <x:c r="P354" s="73" t="n">
        <x:f aca="0">KOHC!E78</x:f>
        <x:v>9487.990679</x:v>
      </x:c>
      <x:c r="Q354" s="70" t="str">
        <x:f aca="0">IF(ABS(O354-P354)&lt;0.000001,"PASS","FAIL")</x:f>
        <x:v>PASS</x:v>
      </x:c>
      <x:c r="R354" s="70" t="s">
        <x:v>28</x:v>
      </x:c>
      <x:c r="S354" s="70"/>
    </x:row>
    <x:row r="355" ht="15" hidden="0">
      <x:c r="A355" s="70" t="s">
        <x:v>1468</x:v>
      </x:c>
      <x:c r="B355" s="70" t="s">
        <x:v>25</x:v>
      </x:c>
      <x:c r="C355" s="70" t="s">
        <x:v>75</x:v>
      </x:c>
      <x:c r="D355" s="70" t="s">
        <x:v>407</x:v>
      </x:c>
      <x:c r="E355" s="70" t="s">
        <x:v>1129</x:v>
      </x:c>
      <x:c r="F355" s="70"/>
      <x:c r="G355" s="70" t="s">
        <x:v>1210</x:v>
      </x:c>
      <x:c r="H355" s="70" t="s">
        <x:v>1211</x:v>
      </x:c>
      <x:c r="I355" s="70" t="s">
        <x:v>1199</x:v>
      </x:c>
      <x:c r="J355" s="70" t="n">
        <x:v>58</x:v>
      </x:c>
      <x:c r="K355" s="70" t="s">
        <x:v>1230</x:v>
      </x:c>
      <x:c r="L355" s="70"/>
      <x:c r="M355" s="70" t="s">
        <x:v>29</x:v>
      </x:c>
      <x:c r="N355" s="71" t="n">
        <x:v>9912471411</x:v>
      </x:c>
      <x:c r="O355" s="72" t="n">
        <x:f aca="0">N355/1000000</x:f>
        <x:v>9912.471411</x:v>
      </x:c>
      <x:c r="P355" s="73" t="n">
        <x:f aca="0">KOHC!F78</x:f>
        <x:v>9912.471411</x:v>
      </x:c>
      <x:c r="Q355" s="70" t="str">
        <x:f aca="0">IF(ABS(O355-P355)&lt;0.000001,"PASS","FAIL")</x:f>
        <x:v>PASS</x:v>
      </x:c>
      <x:c r="R355" s="70" t="s">
        <x:v>28</x:v>
      </x:c>
      <x:c r="S355" s="70"/>
    </x:row>
    <x:row r="356" ht="15" hidden="0">
      <x:c r="A356" s="70" t="s">
        <x:v>1469</x:v>
      </x:c>
      <x:c r="B356" s="70" t="s">
        <x:v>25</x:v>
      </x:c>
      <x:c r="C356" s="70" t="s">
        <x:v>76</x:v>
      </x:c>
      <x:c r="D356" s="70" t="s">
        <x:v>407</x:v>
      </x:c>
      <x:c r="E356" s="70" t="s">
        <x:v>1129</x:v>
      </x:c>
      <x:c r="F356" s="70"/>
      <x:c r="G356" s="70" t="s">
        <x:v>1214</x:v>
      </x:c>
      <x:c r="H356" s="70" t="s">
        <x:v>1215</x:v>
      </x:c>
      <x:c r="I356" s="70" t="s">
        <x:v>1199</x:v>
      </x:c>
      <x:c r="J356" s="70" t="n">
        <x:v>68</x:v>
      </x:c>
      <x:c r="K356" s="70" t="s">
        <x:v>1235</x:v>
      </x:c>
      <x:c r="L356" s="70"/>
      <x:c r="M356" s="70" t="s">
        <x:v>29</x:v>
      </x:c>
      <x:c r="N356" s="71" t="n">
        <x:v>11095636231</x:v>
      </x:c>
      <x:c r="O356" s="72" t="n">
        <x:f aca="0">N356/1000000</x:f>
        <x:v>11095.636231</x:v>
      </x:c>
      <x:c r="P356" s="73" t="n">
        <x:f aca="0">KOHC!G78</x:f>
        <x:v>11095.636231</x:v>
      </x:c>
      <x:c r="Q356" s="70" t="str">
        <x:f aca="0">IF(ABS(O356-P356)&lt;0.000001,"PASS","FAIL")</x:f>
        <x:v>PASS</x:v>
      </x:c>
      <x:c r="R356" s="70" t="s">
        <x:v>28</x:v>
      </x:c>
      <x:c r="S356" s="70"/>
    </x:row>
    <x:row r="357" ht="15" hidden="0">
      <x:c r="A357" s="70" t="s">
        <x:v>1470</x:v>
      </x:c>
      <x:c r="B357" s="70" t="s">
        <x:v>25</x:v>
      </x:c>
      <x:c r="C357" s="70" t="s">
        <x:v>77</x:v>
      </x:c>
      <x:c r="D357" s="70" t="s">
        <x:v>407</x:v>
      </x:c>
      <x:c r="E357" s="70" t="s">
        <x:v>1129</x:v>
      </x:c>
      <x:c r="F357" s="70"/>
      <x:c r="G357" s="70" t="s">
        <x:v>1214</x:v>
      </x:c>
      <x:c r="H357" s="70" t="s">
        <x:v>1215</x:v>
      </x:c>
      <x:c r="I357" s="70" t="s">
        <x:v>1218</x:v>
      </x:c>
      <x:c r="J357" s="70" t="n">
        <x:v>68</x:v>
      </x:c>
      <x:c r="K357" s="70" t="s">
        <x:v>1235</x:v>
      </x:c>
      <x:c r="L357" s="70"/>
      <x:c r="M357" s="70" t="s">
        <x:v>29</x:v>
      </x:c>
      <x:c r="N357" s="71" t="n">
        <x:v>11661701111</x:v>
      </x:c>
      <x:c r="O357" s="72" t="n">
        <x:f aca="0">N357/1000000</x:f>
        <x:v>11661.701111</x:v>
      </x:c>
      <x:c r="P357" s="73" t="n">
        <x:f aca="0">KOHC!H78</x:f>
        <x:v>11661.701111</x:v>
      </x:c>
      <x:c r="Q357" s="70" t="str">
        <x:f aca="0">IF(ABS(O357-P357)&lt;0.000001,"PASS","FAIL")</x:f>
        <x:v>PASS</x:v>
      </x:c>
      <x:c r="R357" s="70" t="s">
        <x:v>28</x:v>
      </x:c>
      <x:c r="S357" s="70"/>
    </x:row>
    <x:row r="358" ht="15" hidden="0">
      <x:c r="A358" s="70" t="s">
        <x:v>1471</x:v>
      </x:c>
      <x:c r="B358" s="70" t="s">
        <x:v>25</x:v>
      </x:c>
      <x:c r="C358" s="70" t="s">
        <x:v>73</x:v>
      </x:c>
      <x:c r="D358" s="70" t="s">
        <x:v>414</x:v>
      </x:c>
      <x:c r="E358" s="70" t="s">
        <x:v>1472</x:v>
      </x:c>
      <x:c r="F358" s="70" t="s">
        <x:v>1473</x:v>
      </x:c>
      <x:c r="G358" s="70" t="s">
        <x:v>1203</x:v>
      </x:c>
      <x:c r="H358" s="70" t="s">
        <x:v>1204</x:v>
      </x:c>
      <x:c r="I358" s="70" t="s">
        <x:v>1199</x:v>
      </x:c>
      <x:c r="J358" s="70" t="n">
        <x:v>54</x:v>
      </x:c>
      <x:c r="K358" s="70" t="s">
        <x:v>1230</x:v>
      </x:c>
      <x:c r="L358" s="70"/>
      <x:c r="M358" s="70" t="s">
        <x:v>29</x:v>
      </x:c>
      <x:c r="N358" s="71" t="n">
        <x:v>24057375992</x:v>
      </x:c>
      <x:c r="O358" s="72" t="n">
        <x:f aca="0">N358/1000000</x:f>
        <x:v>24057.375992</x:v>
      </x:c>
      <x:c r="P358" s="73" t="n">
        <x:f aca="0">KOHC!D84</x:f>
        <x:v>24057.375992</x:v>
      </x:c>
      <x:c r="Q358" s="70" t="str">
        <x:f aca="0">IF(ABS(O358-P358)&lt;0.000001,"PASS","FAIL")</x:f>
        <x:v>PASS</x:v>
      </x:c>
      <x:c r="R358" s="70" t="s">
        <x:v>28</x:v>
      </x:c>
      <x:c r="S358" s="70"/>
    </x:row>
    <x:row r="359" ht="15" hidden="0">
      <x:c r="A359" s="70" t="s">
        <x:v>1474</x:v>
      </x:c>
      <x:c r="B359" s="70" t="s">
        <x:v>25</x:v>
      </x:c>
      <x:c r="C359" s="70" t="s">
        <x:v>74</x:v>
      </x:c>
      <x:c r="D359" s="70" t="s">
        <x:v>414</x:v>
      </x:c>
      <x:c r="E359" s="70" t="s">
        <x:v>1472</x:v>
      </x:c>
      <x:c r="F359" s="70" t="s">
        <x:v>1473</x:v>
      </x:c>
      <x:c r="G359" s="70" t="s">
        <x:v>1207</x:v>
      </x:c>
      <x:c r="H359" s="70" t="s">
        <x:v>1208</x:v>
      </x:c>
      <x:c r="I359" s="70" t="s">
        <x:v>1199</x:v>
      </x:c>
      <x:c r="J359" s="70" t="n">
        <x:v>54</x:v>
      </x:c>
      <x:c r="K359" s="70" t="s">
        <x:v>1230</x:v>
      </x:c>
      <x:c r="L359" s="70"/>
      <x:c r="M359" s="70" t="s">
        <x:v>29</x:v>
      </x:c>
      <x:c r="N359" s="71" t="n">
        <x:v>32876949179</x:v>
      </x:c>
      <x:c r="O359" s="72" t="n">
        <x:f aca="0">N359/1000000</x:f>
        <x:v>32876.949179</x:v>
      </x:c>
      <x:c r="P359" s="73" t="n">
        <x:f aca="0">KOHC!E84</x:f>
        <x:v>32876.949179</x:v>
      </x:c>
      <x:c r="Q359" s="70" t="str">
        <x:f aca="0">IF(ABS(O359-P359)&lt;0.000001,"PASS","FAIL")</x:f>
        <x:v>PASS</x:v>
      </x:c>
      <x:c r="R359" s="70" t="s">
        <x:v>28</x:v>
      </x:c>
      <x:c r="S359" s="70"/>
    </x:row>
    <x:row r="360" ht="15" hidden="0">
      <x:c r="A360" s="70" t="s">
        <x:v>1475</x:v>
      </x:c>
      <x:c r="B360" s="70" t="s">
        <x:v>25</x:v>
      </x:c>
      <x:c r="C360" s="70" t="s">
        <x:v>75</x:v>
      </x:c>
      <x:c r="D360" s="70" t="s">
        <x:v>414</x:v>
      </x:c>
      <x:c r="E360" s="70" t="s">
        <x:v>1472</x:v>
      </x:c>
      <x:c r="F360" s="70" t="s">
        <x:v>1473</x:v>
      </x:c>
      <x:c r="G360" s="70" t="s">
        <x:v>1210</x:v>
      </x:c>
      <x:c r="H360" s="70" t="s">
        <x:v>1211</x:v>
      </x:c>
      <x:c r="I360" s="70" t="s">
        <x:v>1199</x:v>
      </x:c>
      <x:c r="J360" s="70" t="n">
        <x:v>60</x:v>
      </x:c>
      <x:c r="K360" s="70" t="s">
        <x:v>1230</x:v>
      </x:c>
      <x:c r="L360" s="70"/>
      <x:c r="M360" s="70" t="s">
        <x:v>29</x:v>
      </x:c>
      <x:c r="N360" s="71" t="n">
        <x:v>38921635350</x:v>
      </x:c>
      <x:c r="O360" s="72" t="n">
        <x:f aca="0">N360/1000000</x:f>
        <x:v>38921.63535</x:v>
      </x:c>
      <x:c r="P360" s="73" t="n">
        <x:f aca="0">KOHC!F84</x:f>
        <x:v>38921.63535</x:v>
      </x:c>
      <x:c r="Q360" s="70" t="str">
        <x:f aca="0">IF(ABS(O360-P360)&lt;0.000001,"PASS","FAIL")</x:f>
        <x:v>PASS</x:v>
      </x:c>
      <x:c r="R360" s="70" t="s">
        <x:v>28</x:v>
      </x:c>
      <x:c r="S360" s="70"/>
    </x:row>
    <x:row r="361" ht="15" hidden="0">
      <x:c r="A361" s="70" t="s">
        <x:v>1476</x:v>
      </x:c>
      <x:c r="B361" s="70" t="s">
        <x:v>25</x:v>
      </x:c>
      <x:c r="C361" s="70" t="s">
        <x:v>76</x:v>
      </x:c>
      <x:c r="D361" s="70" t="s">
        <x:v>414</x:v>
      </x:c>
      <x:c r="E361" s="70" t="s">
        <x:v>1472</x:v>
      </x:c>
      <x:c r="F361" s="70" t="s">
        <x:v>1473</x:v>
      </x:c>
      <x:c r="G361" s="70" t="s">
        <x:v>1214</x:v>
      </x:c>
      <x:c r="H361" s="70" t="s">
        <x:v>1215</x:v>
      </x:c>
      <x:c r="I361" s="70" t="s">
        <x:v>1199</x:v>
      </x:c>
      <x:c r="J361" s="70" t="n">
        <x:v>70</x:v>
      </x:c>
      <x:c r="K361" s="70" t="s">
        <x:v>1477</x:v>
      </x:c>
      <x:c r="L361" s="70"/>
      <x:c r="M361" s="70" t="s">
        <x:v>29</x:v>
      </x:c>
      <x:c r="N361" s="71" t="n">
        <x:v>38647767972</x:v>
      </x:c>
      <x:c r="O361" s="72" t="n">
        <x:f aca="0">N361/1000000</x:f>
        <x:v>38647.767972</x:v>
      </x:c>
      <x:c r="P361" s="73" t="n">
        <x:f aca="0">KOHC!G84</x:f>
        <x:v>38647.767972</x:v>
      </x:c>
      <x:c r="Q361" s="70" t="str">
        <x:f aca="0">IF(ABS(O361-P361)&lt;0.000001,"PASS","FAIL")</x:f>
        <x:v>PASS</x:v>
      </x:c>
      <x:c r="R361" s="70" t="s">
        <x:v>28</x:v>
      </x:c>
      <x:c r="S361" s="70"/>
    </x:row>
    <x:row r="362" ht="15" hidden="0">
      <x:c r="A362" s="70" t="s">
        <x:v>1478</x:v>
      </x:c>
      <x:c r="B362" s="70" t="s">
        <x:v>25</x:v>
      </x:c>
      <x:c r="C362" s="70" t="s">
        <x:v>77</x:v>
      </x:c>
      <x:c r="D362" s="70" t="s">
        <x:v>414</x:v>
      </x:c>
      <x:c r="E362" s="70" t="s">
        <x:v>1472</x:v>
      </x:c>
      <x:c r="F362" s="70" t="s">
        <x:v>1473</x:v>
      </x:c>
      <x:c r="G362" s="70" t="s">
        <x:v>1214</x:v>
      </x:c>
      <x:c r="H362" s="70" t="s">
        <x:v>1215</x:v>
      </x:c>
      <x:c r="I362" s="70" t="s">
        <x:v>1218</x:v>
      </x:c>
      <x:c r="J362" s="70" t="n">
        <x:v>70</x:v>
      </x:c>
      <x:c r="K362" s="70" t="s">
        <x:v>1477</x:v>
      </x:c>
      <x:c r="L362" s="70"/>
      <x:c r="M362" s="70" t="s">
        <x:v>29</x:v>
      </x:c>
      <x:c r="N362" s="71" t="n">
        <x:v>37535700372</x:v>
      </x:c>
      <x:c r="O362" s="72" t="n">
        <x:f aca="0">N362/1000000</x:f>
        <x:v>37535.700372</x:v>
      </x:c>
      <x:c r="P362" s="73" t="n">
        <x:f aca="0">KOHC!H84</x:f>
        <x:v>37535.700372</x:v>
      </x:c>
      <x:c r="Q362" s="70" t="str">
        <x:f aca="0">IF(ABS(O362-P362)&lt;0.000001,"PASS","FAIL")</x:f>
        <x:v>PASS</x:v>
      </x:c>
      <x:c r="R362" s="70" t="s">
        <x:v>28</x:v>
      </x:c>
      <x:c r="S362" s="70"/>
    </x:row>
    <x:row r="363" ht="15" hidden="0">
      <x:c r="A363" s="70" t="s">
        <x:v>1479</x:v>
      </x:c>
      <x:c r="B363" s="70" t="s">
        <x:v>25</x:v>
      </x:c>
      <x:c r="C363" s="70" t="s">
        <x:v>73</x:v>
      </x:c>
      <x:c r="D363" s="70" t="s">
        <x:v>416</x:v>
      </x:c>
      <x:c r="E363" s="70" t="s">
        <x:v>1472</x:v>
      </x:c>
      <x:c r="F363" s="70" t="s">
        <x:v>416</x:v>
      </x:c>
      <x:c r="G363" s="70" t="s">
        <x:v>1203</x:v>
      </x:c>
      <x:c r="H363" s="70" t="s">
        <x:v>1204</x:v>
      </x:c>
      <x:c r="I363" s="70" t="s">
        <x:v>1199</x:v>
      </x:c>
      <x:c r="J363" s="70" t="n">
        <x:v>54</x:v>
      </x:c>
      <x:c r="K363" s="70" t="s">
        <x:v>1230</x:v>
      </x:c>
      <x:c r="L363" s="70"/>
      <x:c r="M363" s="70" t="s">
        <x:v>29</x:v>
      </x:c>
      <x:c r="N363" s="71" t="n">
        <x:v>-18092026933</x:v>
      </x:c>
      <x:c r="O363" s="72" t="n">
        <x:f aca="0">N363/1000000</x:f>
        <x:v>-18092.026933</x:v>
      </x:c>
      <x:c r="P363" s="73" t="n">
        <x:f aca="0">KOHC!D85</x:f>
        <x:v>-18092.026933</x:v>
      </x:c>
      <x:c r="Q363" s="70" t="str">
        <x:f aca="0">IF(ABS(O363-P363)&lt;0.000001,"PASS","FAIL")</x:f>
        <x:v>PASS</x:v>
      </x:c>
      <x:c r="R363" s="70" t="s">
        <x:v>28</x:v>
      </x:c>
      <x:c r="S363" s="70"/>
    </x:row>
    <x:row r="364" ht="15" hidden="0">
      <x:c r="A364" s="70" t="s">
        <x:v>1480</x:v>
      </x:c>
      <x:c r="B364" s="70" t="s">
        <x:v>25</x:v>
      </x:c>
      <x:c r="C364" s="70" t="s">
        <x:v>74</x:v>
      </x:c>
      <x:c r="D364" s="70" t="s">
        <x:v>416</x:v>
      </x:c>
      <x:c r="E364" s="70" t="s">
        <x:v>1472</x:v>
      </x:c>
      <x:c r="F364" s="70" t="s">
        <x:v>416</x:v>
      </x:c>
      <x:c r="G364" s="70" t="s">
        <x:v>1207</x:v>
      </x:c>
      <x:c r="H364" s="70" t="s">
        <x:v>1208</x:v>
      </x:c>
      <x:c r="I364" s="70" t="s">
        <x:v>1199</x:v>
      </x:c>
      <x:c r="J364" s="70" t="n">
        <x:v>54</x:v>
      </x:c>
      <x:c r="K364" s="70" t="s">
        <x:v>1230</x:v>
      </x:c>
      <x:c r="L364" s="70"/>
      <x:c r="M364" s="70" t="s">
        <x:v>29</x:v>
      </x:c>
      <x:c r="N364" s="71" t="n">
        <x:v>-23065180670</x:v>
      </x:c>
      <x:c r="O364" s="72" t="n">
        <x:f aca="0">N364/1000000</x:f>
        <x:v>-23065.18067</x:v>
      </x:c>
      <x:c r="P364" s="73" t="n">
        <x:f aca="0">KOHC!E85</x:f>
        <x:v>-23065.18067</x:v>
      </x:c>
      <x:c r="Q364" s="70" t="str">
        <x:f aca="0">IF(ABS(O364-P364)&lt;0.000001,"PASS","FAIL")</x:f>
        <x:v>PASS</x:v>
      </x:c>
      <x:c r="R364" s="70" t="s">
        <x:v>28</x:v>
      </x:c>
      <x:c r="S364" s="70"/>
    </x:row>
    <x:row r="365" ht="15" hidden="0">
      <x:c r="A365" s="70" t="s">
        <x:v>1481</x:v>
      </x:c>
      <x:c r="B365" s="70" t="s">
        <x:v>25</x:v>
      </x:c>
      <x:c r="C365" s="70" t="s">
        <x:v>75</x:v>
      </x:c>
      <x:c r="D365" s="70" t="s">
        <x:v>416</x:v>
      </x:c>
      <x:c r="E365" s="70" t="s">
        <x:v>1472</x:v>
      </x:c>
      <x:c r="F365" s="70" t="s">
        <x:v>416</x:v>
      </x:c>
      <x:c r="G365" s="70" t="s">
        <x:v>1210</x:v>
      </x:c>
      <x:c r="H365" s="70" t="s">
        <x:v>1211</x:v>
      </x:c>
      <x:c r="I365" s="70" t="s">
        <x:v>1199</x:v>
      </x:c>
      <x:c r="J365" s="70" t="n">
        <x:v>60</x:v>
      </x:c>
      <x:c r="K365" s="70" t="s">
        <x:v>1230</x:v>
      </x:c>
      <x:c r="L365" s="70"/>
      <x:c r="M365" s="70" t="s">
        <x:v>29</x:v>
      </x:c>
      <x:c r="N365" s="71" t="n">
        <x:v>-28488941331</x:v>
      </x:c>
      <x:c r="O365" s="72" t="n">
        <x:f aca="0">N365/1000000</x:f>
        <x:v>-28488.941331</x:v>
      </x:c>
      <x:c r="P365" s="73" t="n">
        <x:f aca="0">KOHC!F85</x:f>
        <x:v>-28488.941331</x:v>
      </x:c>
      <x:c r="Q365" s="70" t="str">
        <x:f aca="0">IF(ABS(O365-P365)&lt;0.000001,"PASS","FAIL")</x:f>
        <x:v>PASS</x:v>
      </x:c>
      <x:c r="R365" s="70" t="s">
        <x:v>28</x:v>
      </x:c>
      <x:c r="S365" s="70"/>
    </x:row>
    <x:row r="366" ht="15" hidden="0">
      <x:c r="A366" s="70" t="s">
        <x:v>1482</x:v>
      </x:c>
      <x:c r="B366" s="70" t="s">
        <x:v>25</x:v>
      </x:c>
      <x:c r="C366" s="70" t="s">
        <x:v>76</x:v>
      </x:c>
      <x:c r="D366" s="70" t="s">
        <x:v>416</x:v>
      </x:c>
      <x:c r="E366" s="70" t="s">
        <x:v>1472</x:v>
      </x:c>
      <x:c r="F366" s="70" t="s">
        <x:v>416</x:v>
      </x:c>
      <x:c r="G366" s="70" t="s">
        <x:v>1214</x:v>
      </x:c>
      <x:c r="H366" s="70" t="s">
        <x:v>1215</x:v>
      </x:c>
      <x:c r="I366" s="70" t="s">
        <x:v>1199</x:v>
      </x:c>
      <x:c r="J366" s="70" t="n">
        <x:v>70</x:v>
      </x:c>
      <x:c r="K366" s="70" t="s">
        <x:v>1477</x:v>
      </x:c>
      <x:c r="L366" s="70"/>
      <x:c r="M366" s="70" t="s">
        <x:v>29</x:v>
      </x:c>
      <x:c r="N366" s="71" t="n">
        <x:v>-27391276477</x:v>
      </x:c>
      <x:c r="O366" s="72" t="n">
        <x:f aca="0">N366/1000000</x:f>
        <x:v>-27391.276477</x:v>
      </x:c>
      <x:c r="P366" s="73" t="n">
        <x:f aca="0">KOHC!G85</x:f>
        <x:v>-27391.276477</x:v>
      </x:c>
      <x:c r="Q366" s="70" t="str">
        <x:f aca="0">IF(ABS(O366-P366)&lt;0.000001,"PASS","FAIL")</x:f>
        <x:v>PASS</x:v>
      </x:c>
      <x:c r="R366" s="70" t="s">
        <x:v>28</x:v>
      </x:c>
      <x:c r="S366" s="70"/>
    </x:row>
    <x:row r="367" ht="15" hidden="0">
      <x:c r="A367" s="70" t="s">
        <x:v>1483</x:v>
      </x:c>
      <x:c r="B367" s="70" t="s">
        <x:v>25</x:v>
      </x:c>
      <x:c r="C367" s="70" t="s">
        <x:v>77</x:v>
      </x:c>
      <x:c r="D367" s="70" t="s">
        <x:v>416</x:v>
      </x:c>
      <x:c r="E367" s="70" t="s">
        <x:v>1472</x:v>
      </x:c>
      <x:c r="F367" s="70" t="s">
        <x:v>416</x:v>
      </x:c>
      <x:c r="G367" s="70" t="s">
        <x:v>1214</x:v>
      </x:c>
      <x:c r="H367" s="70" t="s">
        <x:v>1215</x:v>
      </x:c>
      <x:c r="I367" s="70" t="s">
        <x:v>1218</x:v>
      </x:c>
      <x:c r="J367" s="70" t="n">
        <x:v>70</x:v>
      </x:c>
      <x:c r="K367" s="70" t="s">
        <x:v>1477</x:v>
      </x:c>
      <x:c r="L367" s="70"/>
      <x:c r="M367" s="70" t="s">
        <x:v>29</x:v>
      </x:c>
      <x:c r="N367" s="71" t="n">
        <x:v>-22814094271</x:v>
      </x:c>
      <x:c r="O367" s="72" t="n">
        <x:f aca="0">N367/1000000</x:f>
        <x:v>-22814.094271</x:v>
      </x:c>
      <x:c r="P367" s="73" t="n">
        <x:f aca="0">KOHC!H85</x:f>
        <x:v>-22814.094271</x:v>
      </x:c>
      <x:c r="Q367" s="70" t="str">
        <x:f aca="0">IF(ABS(O367-P367)&lt;0.000001,"PASS","FAIL")</x:f>
        <x:v>PASS</x:v>
      </x:c>
      <x:c r="R367" s="70" t="s">
        <x:v>28</x:v>
      </x:c>
      <x:c r="S367" s="70"/>
    </x:row>
    <x:row r="368" ht="15" hidden="0">
      <x:c r="A368" s="70" t="s">
        <x:v>1484</x:v>
      </x:c>
      <x:c r="B368" s="70" t="s">
        <x:v>25</x:v>
      </x:c>
      <x:c r="C368" s="70" t="s">
        <x:v>73</x:v>
      </x:c>
      <x:c r="D368" s="70" t="s">
        <x:v>420</x:v>
      </x:c>
      <x:c r="E368" s="70" t="s">
        <x:v>1472</x:v>
      </x:c>
      <x:c r="F368" s="70" t="s">
        <x:v>420</x:v>
      </x:c>
      <x:c r="G368" s="70" t="s">
        <x:v>1203</x:v>
      </x:c>
      <x:c r="H368" s="70" t="s">
        <x:v>1204</x:v>
      </x:c>
      <x:c r="I368" s="70" t="s">
        <x:v>1199</x:v>
      </x:c>
      <x:c r="J368" s="70" t="n">
        <x:v>54</x:v>
      </x:c>
      <x:c r="K368" s="70" t="s">
        <x:v>1230</x:v>
      </x:c>
      <x:c r="L368" s="70"/>
      <x:c r="M368" s="70" t="s">
        <x:v>29</x:v>
      </x:c>
      <x:c r="N368" s="71" t="n">
        <x:v>-94165965</x:v>
      </x:c>
      <x:c r="O368" s="72" t="n">
        <x:f aca="0">N368/1000000</x:f>
        <x:v>-94.165965</x:v>
      </x:c>
      <x:c r="P368" s="73" t="n">
        <x:f aca="0">KOHC!D87</x:f>
        <x:v>-94.165965</x:v>
      </x:c>
      <x:c r="Q368" s="70" t="str">
        <x:f aca="0">IF(ABS(O368-P368)&lt;0.000001,"PASS","FAIL")</x:f>
        <x:v>PASS</x:v>
      </x:c>
      <x:c r="R368" s="70" t="s">
        <x:v>28</x:v>
      </x:c>
      <x:c r="S368" s="70"/>
    </x:row>
    <x:row r="369" ht="15" hidden="0">
      <x:c r="A369" s="70" t="s">
        <x:v>1485</x:v>
      </x:c>
      <x:c r="B369" s="70" t="s">
        <x:v>25</x:v>
      </x:c>
      <x:c r="C369" s="70" t="s">
        <x:v>74</x:v>
      </x:c>
      <x:c r="D369" s="70" t="s">
        <x:v>420</x:v>
      </x:c>
      <x:c r="E369" s="70" t="s">
        <x:v>1472</x:v>
      </x:c>
      <x:c r="F369" s="70" t="s">
        <x:v>420</x:v>
      </x:c>
      <x:c r="G369" s="70" t="s">
        <x:v>1207</x:v>
      </x:c>
      <x:c r="H369" s="70" t="s">
        <x:v>1208</x:v>
      </x:c>
      <x:c r="I369" s="70" t="s">
        <x:v>1199</x:v>
      </x:c>
      <x:c r="J369" s="70" t="n">
        <x:v>54</x:v>
      </x:c>
      <x:c r="K369" s="70" t="s">
        <x:v>1230</x:v>
      </x:c>
      <x:c r="L369" s="70"/>
      <x:c r="M369" s="70" t="s">
        <x:v>29</x:v>
      </x:c>
      <x:c r="N369" s="71" t="n">
        <x:v>-122136736</x:v>
      </x:c>
      <x:c r="O369" s="72" t="n">
        <x:f aca="0">N369/1000000</x:f>
        <x:v>-122.136736</x:v>
      </x:c>
      <x:c r="P369" s="73" t="n">
        <x:f aca="0">KOHC!E87</x:f>
        <x:v>-122.136736</x:v>
      </x:c>
      <x:c r="Q369" s="70" t="str">
        <x:f aca="0">IF(ABS(O369-P369)&lt;0.000001,"PASS","FAIL")</x:f>
        <x:v>PASS</x:v>
      </x:c>
      <x:c r="R369" s="70" t="s">
        <x:v>28</x:v>
      </x:c>
      <x:c r="S369" s="70"/>
    </x:row>
    <x:row r="370" ht="15" hidden="0">
      <x:c r="A370" s="70" t="s">
        <x:v>1486</x:v>
      </x:c>
      <x:c r="B370" s="70" t="s">
        <x:v>25</x:v>
      </x:c>
      <x:c r="C370" s="70" t="s">
        <x:v>75</x:v>
      </x:c>
      <x:c r="D370" s="70" t="s">
        <x:v>420</x:v>
      </x:c>
      <x:c r="E370" s="70" t="s">
        <x:v>1472</x:v>
      </x:c>
      <x:c r="F370" s="70" t="s">
        <x:v>420</x:v>
      </x:c>
      <x:c r="G370" s="70" t="s">
        <x:v>1210</x:v>
      </x:c>
      <x:c r="H370" s="70" t="s">
        <x:v>1211</x:v>
      </x:c>
      <x:c r="I370" s="70" t="s">
        <x:v>1199</x:v>
      </x:c>
      <x:c r="J370" s="70" t="n">
        <x:v>60</x:v>
      </x:c>
      <x:c r="K370" s="70" t="s">
        <x:v>1230</x:v>
      </x:c>
      <x:c r="L370" s="70"/>
      <x:c r="M370" s="70" t="s">
        <x:v>29</x:v>
      </x:c>
      <x:c r="N370" s="71" t="n">
        <x:v>-176123458</x:v>
      </x:c>
      <x:c r="O370" s="72" t="n">
        <x:f aca="0">N370/1000000</x:f>
        <x:v>-176.123458</x:v>
      </x:c>
      <x:c r="P370" s="73" t="n">
        <x:f aca="0">KOHC!F87</x:f>
        <x:v>-176.123458</x:v>
      </x:c>
      <x:c r="Q370" s="70" t="str">
        <x:f aca="0">IF(ABS(O370-P370)&lt;0.000001,"PASS","FAIL")</x:f>
        <x:v>PASS</x:v>
      </x:c>
      <x:c r="R370" s="70" t="s">
        <x:v>28</x:v>
      </x:c>
      <x:c r="S370" s="70"/>
    </x:row>
    <x:row r="371" ht="15" hidden="0">
      <x:c r="A371" s="70" t="s">
        <x:v>1487</x:v>
      </x:c>
      <x:c r="B371" s="70" t="s">
        <x:v>25</x:v>
      </x:c>
      <x:c r="C371" s="70" t="s">
        <x:v>76</x:v>
      </x:c>
      <x:c r="D371" s="70" t="s">
        <x:v>420</x:v>
      </x:c>
      <x:c r="E371" s="70" t="s">
        <x:v>1472</x:v>
      </x:c>
      <x:c r="F371" s="70" t="s">
        <x:v>420</x:v>
      </x:c>
      <x:c r="G371" s="70" t="s">
        <x:v>1214</x:v>
      </x:c>
      <x:c r="H371" s="70" t="s">
        <x:v>1215</x:v>
      </x:c>
      <x:c r="I371" s="70" t="s">
        <x:v>1199</x:v>
      </x:c>
      <x:c r="J371" s="70" t="n">
        <x:v>70</x:v>
      </x:c>
      <x:c r="K371" s="70" t="s">
        <x:v>1477</x:v>
      </x:c>
      <x:c r="L371" s="70"/>
      <x:c r="M371" s="70" t="s">
        <x:v>29</x:v>
      </x:c>
      <x:c r="N371" s="71" t="n">
        <x:v>-197259359</x:v>
      </x:c>
      <x:c r="O371" s="72" t="n">
        <x:f aca="0">N371/1000000</x:f>
        <x:v>-197.259359</x:v>
      </x:c>
      <x:c r="P371" s="73" t="n">
        <x:f aca="0">KOHC!G87</x:f>
        <x:v>-197.259359</x:v>
      </x:c>
      <x:c r="Q371" s="70" t="str">
        <x:f aca="0">IF(ABS(O371-P371)&lt;0.000001,"PASS","FAIL")</x:f>
        <x:v>PASS</x:v>
      </x:c>
      <x:c r="R371" s="70" t="s">
        <x:v>28</x:v>
      </x:c>
      <x:c r="S371" s="70"/>
    </x:row>
    <x:row r="372" ht="15" hidden="0">
      <x:c r="A372" s="70" t="s">
        <x:v>1488</x:v>
      </x:c>
      <x:c r="B372" s="70" t="s">
        <x:v>25</x:v>
      </x:c>
      <x:c r="C372" s="70" t="s">
        <x:v>77</x:v>
      </x:c>
      <x:c r="D372" s="70" t="s">
        <x:v>420</x:v>
      </x:c>
      <x:c r="E372" s="70" t="s">
        <x:v>1472</x:v>
      </x:c>
      <x:c r="F372" s="70" t="s">
        <x:v>420</x:v>
      </x:c>
      <x:c r="G372" s="70" t="s">
        <x:v>1214</x:v>
      </x:c>
      <x:c r="H372" s="70" t="s">
        <x:v>1215</x:v>
      </x:c>
      <x:c r="I372" s="70" t="s">
        <x:v>1218</x:v>
      </x:c>
      <x:c r="J372" s="70" t="n">
        <x:v>70</x:v>
      </x:c>
      <x:c r="K372" s="70" t="s">
        <x:v>1477</x:v>
      </x:c>
      <x:c r="L372" s="70"/>
      <x:c r="M372" s="70" t="s">
        <x:v>29</x:v>
      </x:c>
      <x:c r="N372" s="71" t="n">
        <x:v>-225600417</x:v>
      </x:c>
      <x:c r="O372" s="72" t="n">
        <x:f aca="0">N372/1000000</x:f>
        <x:v>-225.600417</x:v>
      </x:c>
      <x:c r="P372" s="73" t="n">
        <x:f aca="0">KOHC!H87</x:f>
        <x:v>-225.600417</x:v>
      </x:c>
      <x:c r="Q372" s="70" t="str">
        <x:f aca="0">IF(ABS(O372-P372)&lt;0.000001,"PASS","FAIL")</x:f>
        <x:v>PASS</x:v>
      </x:c>
      <x:c r="R372" s="70" t="s">
        <x:v>28</x:v>
      </x:c>
      <x:c r="S372" s="70"/>
    </x:row>
    <x:row r="373" ht="15" hidden="0">
      <x:c r="A373" s="70" t="s">
        <x:v>1489</x:v>
      </x:c>
      <x:c r="B373" s="70" t="s">
        <x:v>25</x:v>
      </x:c>
      <x:c r="C373" s="70" t="s">
        <x:v>73</x:v>
      </x:c>
      <x:c r="D373" s="70" t="s">
        <x:v>422</x:v>
      </x:c>
      <x:c r="E373" s="70" t="s">
        <x:v>1472</x:v>
      </x:c>
      <x:c r="F373" s="70" t="s">
        <x:v>1490</x:v>
      </x:c>
      <x:c r="G373" s="70" t="s">
        <x:v>1203</x:v>
      </x:c>
      <x:c r="H373" s="70" t="s">
        <x:v>1204</x:v>
      </x:c>
      <x:c r="I373" s="70" t="s">
        <x:v>1199</x:v>
      </x:c>
      <x:c r="J373" s="70" t="n">
        <x:v>54</x:v>
      </x:c>
      <x:c r="K373" s="70" t="s">
        <x:v>1230</x:v>
      </x:c>
      <x:c r="L373" s="70"/>
      <x:c r="M373" s="70" t="s">
        <x:v>29</x:v>
      </x:c>
      <x:c r="N373" s="71" t="n">
        <x:v>-313524670</x:v>
      </x:c>
      <x:c r="O373" s="72" t="n">
        <x:f aca="0">N373/1000000</x:f>
        <x:v>-313.52467</x:v>
      </x:c>
      <x:c r="P373" s="73" t="n">
        <x:f aca="0">KOHC!D88</x:f>
        <x:v>-313.52467</x:v>
      </x:c>
      <x:c r="Q373" s="70" t="str">
        <x:f aca="0">IF(ABS(O373-P373)&lt;0.000001,"PASS","FAIL")</x:f>
        <x:v>PASS</x:v>
      </x:c>
      <x:c r="R373" s="70" t="s">
        <x:v>28</x:v>
      </x:c>
      <x:c r="S373" s="70"/>
    </x:row>
    <x:row r="374" ht="15" hidden="0">
      <x:c r="A374" s="70" t="s">
        <x:v>1491</x:v>
      </x:c>
      <x:c r="B374" s="70" t="s">
        <x:v>25</x:v>
      </x:c>
      <x:c r="C374" s="70" t="s">
        <x:v>74</x:v>
      </x:c>
      <x:c r="D374" s="70" t="s">
        <x:v>422</x:v>
      </x:c>
      <x:c r="E374" s="70" t="s">
        <x:v>1472</x:v>
      </x:c>
      <x:c r="F374" s="70" t="s">
        <x:v>1490</x:v>
      </x:c>
      <x:c r="G374" s="70" t="s">
        <x:v>1207</x:v>
      </x:c>
      <x:c r="H374" s="70" t="s">
        <x:v>1208</x:v>
      </x:c>
      <x:c r="I374" s="70" t="s">
        <x:v>1199</x:v>
      </x:c>
      <x:c r="J374" s="70" t="n">
        <x:v>54</x:v>
      </x:c>
      <x:c r="K374" s="70" t="s">
        <x:v>1230</x:v>
      </x:c>
      <x:c r="L374" s="70"/>
      <x:c r="M374" s="70" t="s">
        <x:v>29</x:v>
      </x:c>
      <x:c r="N374" s="71" t="n">
        <x:v>-353522846</x:v>
      </x:c>
      <x:c r="O374" s="72" t="n">
        <x:f aca="0">N374/1000000</x:f>
        <x:v>-353.522846</x:v>
      </x:c>
      <x:c r="P374" s="73" t="n">
        <x:f aca="0">KOHC!E88</x:f>
        <x:v>-353.522846</x:v>
      </x:c>
      <x:c r="Q374" s="70" t="str">
        <x:f aca="0">IF(ABS(O374-P374)&lt;0.000001,"PASS","FAIL")</x:f>
        <x:v>PASS</x:v>
      </x:c>
      <x:c r="R374" s="70" t="s">
        <x:v>28</x:v>
      </x:c>
      <x:c r="S374" s="70"/>
    </x:row>
    <x:row r="375" ht="15" hidden="0">
      <x:c r="A375" s="70" t="s">
        <x:v>1492</x:v>
      </x:c>
      <x:c r="B375" s="70" t="s">
        <x:v>25</x:v>
      </x:c>
      <x:c r="C375" s="70" t="s">
        <x:v>75</x:v>
      </x:c>
      <x:c r="D375" s="70" t="s">
        <x:v>422</x:v>
      </x:c>
      <x:c r="E375" s="70" t="s">
        <x:v>1472</x:v>
      </x:c>
      <x:c r="F375" s="70" t="s">
        <x:v>1490</x:v>
      </x:c>
      <x:c r="G375" s="70" t="s">
        <x:v>1210</x:v>
      </x:c>
      <x:c r="H375" s="70" t="s">
        <x:v>1211</x:v>
      </x:c>
      <x:c r="I375" s="70" t="s">
        <x:v>1199</x:v>
      </x:c>
      <x:c r="J375" s="70" t="n">
        <x:v>60</x:v>
      </x:c>
      <x:c r="K375" s="70" t="s">
        <x:v>1230</x:v>
      </x:c>
      <x:c r="L375" s="70"/>
      <x:c r="M375" s="70" t="s">
        <x:v>29</x:v>
      </x:c>
      <x:c r="N375" s="71" t="n">
        <x:v>-396230055</x:v>
      </x:c>
      <x:c r="O375" s="72" t="n">
        <x:f aca="0">N375/1000000</x:f>
        <x:v>-396.230055</x:v>
      </x:c>
      <x:c r="P375" s="73" t="n">
        <x:f aca="0">KOHC!F88</x:f>
        <x:v>-396.230055</x:v>
      </x:c>
      <x:c r="Q375" s="70" t="str">
        <x:f aca="0">IF(ABS(O375-P375)&lt;0.000001,"PASS","FAIL")</x:f>
        <x:v>PASS</x:v>
      </x:c>
      <x:c r="R375" s="70" t="s">
        <x:v>28</x:v>
      </x:c>
      <x:c r="S375" s="70"/>
    </x:row>
    <x:row r="376" ht="15" hidden="0">
      <x:c r="A376" s="70" t="s">
        <x:v>1493</x:v>
      </x:c>
      <x:c r="B376" s="70" t="s">
        <x:v>25</x:v>
      </x:c>
      <x:c r="C376" s="70" t="s">
        <x:v>76</x:v>
      </x:c>
      <x:c r="D376" s="70" t="s">
        <x:v>422</x:v>
      </x:c>
      <x:c r="E376" s="70" t="s">
        <x:v>1472</x:v>
      </x:c>
      <x:c r="F376" s="70" t="s">
        <x:v>1490</x:v>
      </x:c>
      <x:c r="G376" s="70" t="s">
        <x:v>1214</x:v>
      </x:c>
      <x:c r="H376" s="70" t="s">
        <x:v>1215</x:v>
      </x:c>
      <x:c r="I376" s="70" t="s">
        <x:v>1199</x:v>
      </x:c>
      <x:c r="J376" s="70" t="n">
        <x:v>70</x:v>
      </x:c>
      <x:c r="K376" s="70" t="s">
        <x:v>1477</x:v>
      </x:c>
      <x:c r="L376" s="70"/>
      <x:c r="M376" s="70" t="s">
        <x:v>29</x:v>
      </x:c>
      <x:c r="N376" s="71" t="n">
        <x:v>-488042831</x:v>
      </x:c>
      <x:c r="O376" s="72" t="n">
        <x:f aca="0">N376/1000000</x:f>
        <x:v>-488.042831</x:v>
      </x:c>
      <x:c r="P376" s="73" t="n">
        <x:f aca="0">KOHC!G88</x:f>
        <x:v>-488.042831</x:v>
      </x:c>
      <x:c r="Q376" s="70" t="str">
        <x:f aca="0">IF(ABS(O376-P376)&lt;0.000001,"PASS","FAIL")</x:f>
        <x:v>PASS</x:v>
      </x:c>
      <x:c r="R376" s="70" t="s">
        <x:v>28</x:v>
      </x:c>
      <x:c r="S376" s="70"/>
    </x:row>
    <x:row r="377" ht="15" hidden="0">
      <x:c r="A377" s="70" t="s">
        <x:v>1494</x:v>
      </x:c>
      <x:c r="B377" s="70" t="s">
        <x:v>25</x:v>
      </x:c>
      <x:c r="C377" s="70" t="s">
        <x:v>77</x:v>
      </x:c>
      <x:c r="D377" s="70" t="s">
        <x:v>422</x:v>
      </x:c>
      <x:c r="E377" s="70" t="s">
        <x:v>1472</x:v>
      </x:c>
      <x:c r="F377" s="70" t="s">
        <x:v>1490</x:v>
      </x:c>
      <x:c r="G377" s="70" t="s">
        <x:v>1214</x:v>
      </x:c>
      <x:c r="H377" s="70" t="s">
        <x:v>1215</x:v>
      </x:c>
      <x:c r="I377" s="70" t="s">
        <x:v>1218</x:v>
      </x:c>
      <x:c r="J377" s="70" t="n">
        <x:v>70</x:v>
      </x:c>
      <x:c r="K377" s="70" t="s">
        <x:v>1477</x:v>
      </x:c>
      <x:c r="L377" s="70"/>
      <x:c r="M377" s="70" t="s">
        <x:v>29</x:v>
      </x:c>
      <x:c r="N377" s="71" t="n">
        <x:v>-695553118</x:v>
      </x:c>
      <x:c r="O377" s="72" t="n">
        <x:f aca="0">N377/1000000</x:f>
        <x:v>-695.553118</x:v>
      </x:c>
      <x:c r="P377" s="73" t="n">
        <x:f aca="0">KOHC!H88</x:f>
        <x:v>-695.553118</x:v>
      </x:c>
      <x:c r="Q377" s="70" t="str">
        <x:f aca="0">IF(ABS(O377-P377)&lt;0.000001,"PASS","FAIL")</x:f>
        <x:v>PASS</x:v>
      </x:c>
      <x:c r="R377" s="70" t="s">
        <x:v>28</x:v>
      </x:c>
      <x:c r="S377" s="70"/>
    </x:row>
    <x:row r="378" ht="15" hidden="0">
      <x:c r="A378" s="70" t="s">
        <x:v>1495</x:v>
      </x:c>
      <x:c r="B378" s="70" t="s">
        <x:v>25</x:v>
      </x:c>
      <x:c r="C378" s="70" t="s">
        <x:v>73</x:v>
      </x:c>
      <x:c r="D378" s="70" t="s">
        <x:v>424</x:v>
      </x:c>
      <x:c r="E378" s="70" t="s">
        <x:v>1472</x:v>
      </x:c>
      <x:c r="F378" s="70"/>
      <x:c r="G378" s="70" t="s">
        <x:v>1203</x:v>
      </x:c>
      <x:c r="H378" s="70" t="s">
        <x:v>1204</x:v>
      </x:c>
      <x:c r="I378" s="70" t="s">
        <x:v>1199</x:v>
      </x:c>
      <x:c r="J378" s="70" t="n">
        <x:v>54</x:v>
      </x:c>
      <x:c r="K378" s="70" t="s">
        <x:v>1230</x:v>
      </x:c>
      <x:c r="L378" s="70"/>
      <x:c r="M378" s="70" t="s">
        <x:v>29</x:v>
      </x:c>
      <x:c r="N378" s="71" t="n">
        <x:v>0</x:v>
      </x:c>
      <x:c r="O378" s="72" t="n">
        <x:f aca="0">N378/1000000</x:f>
        <x:v>0</x:v>
      </x:c>
      <x:c r="P378" s="73" t="n">
        <x:f aca="0">KOHC!D89</x:f>
        <x:v>0</x:v>
      </x:c>
      <x:c r="Q378" s="70" t="str">
        <x:f aca="0">IF(ABS(O378-P378)&lt;0.000001,"PASS","FAIL")</x:f>
        <x:v>PASS</x:v>
      </x:c>
      <x:c r="R378" s="70" t="s">
        <x:v>28</x:v>
      </x:c>
      <x:c r="S378" s="70"/>
    </x:row>
    <x:row r="379" ht="15" hidden="0">
      <x:c r="A379" s="70" t="s">
        <x:v>1496</x:v>
      </x:c>
      <x:c r="B379" s="70" t="s">
        <x:v>25</x:v>
      </x:c>
      <x:c r="C379" s="70" t="s">
        <x:v>74</x:v>
      </x:c>
      <x:c r="D379" s="70" t="s">
        <x:v>424</x:v>
      </x:c>
      <x:c r="E379" s="70" t="s">
        <x:v>1472</x:v>
      </x:c>
      <x:c r="F379" s="70"/>
      <x:c r="G379" s="70" t="s">
        <x:v>1207</x:v>
      </x:c>
      <x:c r="H379" s="70" t="s">
        <x:v>1208</x:v>
      </x:c>
      <x:c r="I379" s="70" t="s">
        <x:v>1199</x:v>
      </x:c>
      <x:c r="J379" s="70" t="n">
        <x:v>54</x:v>
      </x:c>
      <x:c r="K379" s="70" t="s">
        <x:v>1230</x:v>
      </x:c>
      <x:c r="L379" s="70"/>
      <x:c r="M379" s="70" t="s">
        <x:v>29</x:v>
      </x:c>
      <x:c r="N379" s="71" t="n">
        <x:v>0</x:v>
      </x:c>
      <x:c r="O379" s="72" t="n">
        <x:f aca="0">N379/1000000</x:f>
        <x:v>0</x:v>
      </x:c>
      <x:c r="P379" s="73" t="n">
        <x:f aca="0">KOHC!E89</x:f>
        <x:v>0</x:v>
      </x:c>
      <x:c r="Q379" s="70" t="str">
        <x:f aca="0">IF(ABS(O379-P379)&lt;0.000001,"PASS","FAIL")</x:f>
        <x:v>PASS</x:v>
      </x:c>
      <x:c r="R379" s="70" t="s">
        <x:v>28</x:v>
      </x:c>
      <x:c r="S379" s="70"/>
    </x:row>
    <x:row r="380" ht="15" hidden="0">
      <x:c r="A380" s="70" t="s">
        <x:v>1497</x:v>
      </x:c>
      <x:c r="B380" s="70" t="s">
        <x:v>25</x:v>
      </x:c>
      <x:c r="C380" s="70" t="s">
        <x:v>75</x:v>
      </x:c>
      <x:c r="D380" s="70" t="s">
        <x:v>424</x:v>
      </x:c>
      <x:c r="E380" s="70" t="s">
        <x:v>1472</x:v>
      </x:c>
      <x:c r="F380" s="70"/>
      <x:c r="G380" s="70" t="s">
        <x:v>1210</x:v>
      </x:c>
      <x:c r="H380" s="70" t="s">
        <x:v>1211</x:v>
      </x:c>
      <x:c r="I380" s="70" t="s">
        <x:v>1199</x:v>
      </x:c>
      <x:c r="J380" s="70" t="n">
        <x:v>60</x:v>
      </x:c>
      <x:c r="K380" s="70" t="s">
        <x:v>1230</x:v>
      </x:c>
      <x:c r="L380" s="70"/>
      <x:c r="M380" s="70" t="s">
        <x:v>29</x:v>
      </x:c>
      <x:c r="N380" s="71" t="n">
        <x:v>0</x:v>
      </x:c>
      <x:c r="O380" s="72" t="n">
        <x:f aca="0">N380/1000000</x:f>
        <x:v>0</x:v>
      </x:c>
      <x:c r="P380" s="73" t="n">
        <x:f aca="0">KOHC!F89</x:f>
        <x:v>0</x:v>
      </x:c>
      <x:c r="Q380" s="70" t="str">
        <x:f aca="0">IF(ABS(O380-P380)&lt;0.000001,"PASS","FAIL")</x:f>
        <x:v>PASS</x:v>
      </x:c>
      <x:c r="R380" s="70" t="s">
        <x:v>28</x:v>
      </x:c>
      <x:c r="S380" s="70"/>
    </x:row>
    <x:row r="381" ht="15" hidden="0">
      <x:c r="A381" s="70" t="s">
        <x:v>1498</x:v>
      </x:c>
      <x:c r="B381" s="70" t="s">
        <x:v>25</x:v>
      </x:c>
      <x:c r="C381" s="70" t="s">
        <x:v>76</x:v>
      </x:c>
      <x:c r="D381" s="70" t="s">
        <x:v>424</x:v>
      </x:c>
      <x:c r="E381" s="70" t="s">
        <x:v>1472</x:v>
      </x:c>
      <x:c r="F381" s="70" t="s">
        <x:v>1499</x:v>
      </x:c>
      <x:c r="G381" s="70" t="s">
        <x:v>1214</x:v>
      </x:c>
      <x:c r="H381" s="70" t="s">
        <x:v>1215</x:v>
      </x:c>
      <x:c r="I381" s="70" t="s">
        <x:v>1199</x:v>
      </x:c>
      <x:c r="J381" s="70" t="n">
        <x:v>70</x:v>
      </x:c>
      <x:c r="K381" s="70" t="s">
        <x:v>1477</x:v>
      </x:c>
      <x:c r="L381" s="70"/>
      <x:c r="M381" s="70" t="s">
        <x:v>29</x:v>
      </x:c>
      <x:c r="N381" s="71" t="n">
        <x:v>2010516</x:v>
      </x:c>
      <x:c r="O381" s="72" t="n">
        <x:f aca="0">N381/1000000</x:f>
        <x:v>2.010516</x:v>
      </x:c>
      <x:c r="P381" s="73" t="n">
        <x:f aca="0">KOHC!G89</x:f>
        <x:v>2.010516</x:v>
      </x:c>
      <x:c r="Q381" s="70" t="str">
        <x:f aca="0">IF(ABS(O381-P381)&lt;0.000001,"PASS","FAIL")</x:f>
        <x:v>PASS</x:v>
      </x:c>
      <x:c r="R381" s="70" t="s">
        <x:v>28</x:v>
      </x:c>
      <x:c r="S381" s="70"/>
    </x:row>
    <x:row r="382" ht="15" hidden="0">
      <x:c r="A382" s="70" t="s">
        <x:v>1500</x:v>
      </x:c>
      <x:c r="B382" s="70" t="s">
        <x:v>25</x:v>
      </x:c>
      <x:c r="C382" s="70" t="s">
        <x:v>77</x:v>
      </x:c>
      <x:c r="D382" s="70" t="s">
        <x:v>424</x:v>
      </x:c>
      <x:c r="E382" s="70" t="s">
        <x:v>1472</x:v>
      </x:c>
      <x:c r="F382" s="70" t="s">
        <x:v>1499</x:v>
      </x:c>
      <x:c r="G382" s="70" t="s">
        <x:v>1214</x:v>
      </x:c>
      <x:c r="H382" s="70" t="s">
        <x:v>1215</x:v>
      </x:c>
      <x:c r="I382" s="70" t="s">
        <x:v>1218</x:v>
      </x:c>
      <x:c r="J382" s="70" t="n">
        <x:v>70</x:v>
      </x:c>
      <x:c r="K382" s="70" t="s">
        <x:v>1477</x:v>
      </x:c>
      <x:c r="L382" s="70"/>
      <x:c r="M382" s="70" t="s">
        <x:v>29</x:v>
      </x:c>
      <x:c r="N382" s="71" t="n">
        <x:v>-44078565</x:v>
      </x:c>
      <x:c r="O382" s="72" t="n">
        <x:f aca="0">N382/1000000</x:f>
        <x:v>-44.078565</x:v>
      </x:c>
      <x:c r="P382" s="73" t="n">
        <x:f aca="0">KOHC!H89</x:f>
        <x:v>-44.078565</x:v>
      </x:c>
      <x:c r="Q382" s="70" t="str">
        <x:f aca="0">IF(ABS(O382-P382)&lt;0.000001,"PASS","FAIL")</x:f>
        <x:v>PASS</x:v>
      </x:c>
      <x:c r="R382" s="70" t="s">
        <x:v>28</x:v>
      </x:c>
      <x:c r="S382" s="70"/>
    </x:row>
    <x:row r="383" ht="15" hidden="0">
      <x:c r="A383" s="70" t="s">
        <x:v>1501</x:v>
      </x:c>
      <x:c r="B383" s="70" t="s">
        <x:v>25</x:v>
      </x:c>
      <x:c r="C383" s="70" t="s">
        <x:v>73</x:v>
      </x:c>
      <x:c r="D383" s="70" t="s">
        <x:v>426</x:v>
      </x:c>
      <x:c r="E383" s="70" t="s">
        <x:v>1472</x:v>
      </x:c>
      <x:c r="F383" s="70" t="s">
        <x:v>1502</x:v>
      </x:c>
      <x:c r="G383" s="70" t="s">
        <x:v>1203</x:v>
      </x:c>
      <x:c r="H383" s="70" t="s">
        <x:v>1204</x:v>
      </x:c>
      <x:c r="I383" s="70" t="s">
        <x:v>1199</x:v>
      </x:c>
      <x:c r="J383" s="70" t="n">
        <x:v>54</x:v>
      </x:c>
      <x:c r="K383" s="70" t="s">
        <x:v>1230</x:v>
      </x:c>
      <x:c r="L383" s="70"/>
      <x:c r="M383" s="70" t="s">
        <x:v>29</x:v>
      </x:c>
      <x:c r="N383" s="71" t="n">
        <x:v>-325323074</x:v>
      </x:c>
      <x:c r="O383" s="72" t="n">
        <x:f aca="0">N383/1000000</x:f>
        <x:v>-325.323074</x:v>
      </x:c>
      <x:c r="P383" s="73" t="n">
        <x:f aca="0">KOHC!D90</x:f>
        <x:v>-325.323074</x:v>
      </x:c>
      <x:c r="Q383" s="70" t="str">
        <x:f aca="0">IF(ABS(O383-P383)&lt;0.000001,"PASS","FAIL")</x:f>
        <x:v>PASS</x:v>
      </x:c>
      <x:c r="R383" s="70" t="s">
        <x:v>28</x:v>
      </x:c>
      <x:c r="S383" s="70"/>
    </x:row>
    <x:row r="384" ht="15" hidden="0">
      <x:c r="A384" s="70" t="s">
        <x:v>1503</x:v>
      </x:c>
      <x:c r="B384" s="70" t="s">
        <x:v>25</x:v>
      </x:c>
      <x:c r="C384" s="70" t="s">
        <x:v>74</x:v>
      </x:c>
      <x:c r="D384" s="70" t="s">
        <x:v>426</x:v>
      </x:c>
      <x:c r="E384" s="70" t="s">
        <x:v>1472</x:v>
      </x:c>
      <x:c r="F384" s="70" t="s">
        <x:v>1502</x:v>
      </x:c>
      <x:c r="G384" s="70" t="s">
        <x:v>1207</x:v>
      </x:c>
      <x:c r="H384" s="70" t="s">
        <x:v>1208</x:v>
      </x:c>
      <x:c r="I384" s="70" t="s">
        <x:v>1199</x:v>
      </x:c>
      <x:c r="J384" s="70" t="n">
        <x:v>54</x:v>
      </x:c>
      <x:c r="K384" s="70" t="s">
        <x:v>1230</x:v>
      </x:c>
      <x:c r="L384" s="70"/>
      <x:c r="M384" s="70" t="s">
        <x:v>29</x:v>
      </x:c>
      <x:c r="N384" s="71" t="n">
        <x:v>-563052382</x:v>
      </x:c>
      <x:c r="O384" s="72" t="n">
        <x:f aca="0">N384/1000000</x:f>
        <x:v>-563.052382</x:v>
      </x:c>
      <x:c r="P384" s="73" t="n">
        <x:f aca="0">KOHC!E90</x:f>
        <x:v>-563.052382</x:v>
      </x:c>
      <x:c r="Q384" s="70" t="str">
        <x:f aca="0">IF(ABS(O384-P384)&lt;0.000001,"PASS","FAIL")</x:f>
        <x:v>PASS</x:v>
      </x:c>
      <x:c r="R384" s="70" t="s">
        <x:v>28</x:v>
      </x:c>
      <x:c r="S384" s="70"/>
    </x:row>
    <x:row r="385" ht="15" hidden="0">
      <x:c r="A385" s="70" t="s">
        <x:v>1504</x:v>
      </x:c>
      <x:c r="B385" s="70" t="s">
        <x:v>25</x:v>
      </x:c>
      <x:c r="C385" s="70" t="s">
        <x:v>75</x:v>
      </x:c>
      <x:c r="D385" s="70" t="s">
        <x:v>426</x:v>
      </x:c>
      <x:c r="E385" s="70" t="s">
        <x:v>1472</x:v>
      </x:c>
      <x:c r="F385" s="70" t="s">
        <x:v>1502</x:v>
      </x:c>
      <x:c r="G385" s="70" t="s">
        <x:v>1210</x:v>
      </x:c>
      <x:c r="H385" s="70" t="s">
        <x:v>1211</x:v>
      </x:c>
      <x:c r="I385" s="70" t="s">
        <x:v>1199</x:v>
      </x:c>
      <x:c r="J385" s="70" t="n">
        <x:v>60</x:v>
      </x:c>
      <x:c r="K385" s="70" t="s">
        <x:v>1230</x:v>
      </x:c>
      <x:c r="L385" s="70"/>
      <x:c r="M385" s="70" t="s">
        <x:v>29</x:v>
      </x:c>
      <x:c r="N385" s="71" t="n">
        <x:v>-736512959</x:v>
      </x:c>
      <x:c r="O385" s="72" t="n">
        <x:f aca="0">N385/1000000</x:f>
        <x:v>-736.512959</x:v>
      </x:c>
      <x:c r="P385" s="73" t="n">
        <x:f aca="0">KOHC!F90</x:f>
        <x:v>-736.512959</x:v>
      </x:c>
      <x:c r="Q385" s="70" t="str">
        <x:f aca="0">IF(ABS(O385-P385)&lt;0.000001,"PASS","FAIL")</x:f>
        <x:v>PASS</x:v>
      </x:c>
      <x:c r="R385" s="70" t="s">
        <x:v>28</x:v>
      </x:c>
      <x:c r="S385" s="70"/>
    </x:row>
    <x:row r="386" ht="15" hidden="0">
      <x:c r="A386" s="70" t="s">
        <x:v>1505</x:v>
      </x:c>
      <x:c r="B386" s="70" t="s">
        <x:v>25</x:v>
      </x:c>
      <x:c r="C386" s="70" t="s">
        <x:v>76</x:v>
      </x:c>
      <x:c r="D386" s="70" t="s">
        <x:v>426</x:v>
      </x:c>
      <x:c r="E386" s="70" t="s">
        <x:v>1472</x:v>
      </x:c>
      <x:c r="F386" s="70" t="s">
        <x:v>1502</x:v>
      </x:c>
      <x:c r="G386" s="70" t="s">
        <x:v>1214</x:v>
      </x:c>
      <x:c r="H386" s="70" t="s">
        <x:v>1215</x:v>
      </x:c>
      <x:c r="I386" s="70" t="s">
        <x:v>1199</x:v>
      </x:c>
      <x:c r="J386" s="70" t="n">
        <x:v>70</x:v>
      </x:c>
      <x:c r="K386" s="70" t="s">
        <x:v>1477</x:v>
      </x:c>
      <x:c r="L386" s="70"/>
      <x:c r="M386" s="70" t="s">
        <x:v>29</x:v>
      </x:c>
      <x:c r="N386" s="71" t="n">
        <x:v>-571950389</x:v>
      </x:c>
      <x:c r="O386" s="72" t="n">
        <x:f aca="0">N386/1000000</x:f>
        <x:v>-571.950389</x:v>
      </x:c>
      <x:c r="P386" s="73" t="n">
        <x:f aca="0">KOHC!G90</x:f>
        <x:v>-571.950389</x:v>
      </x:c>
      <x:c r="Q386" s="70" t="str">
        <x:f aca="0">IF(ABS(O386-P386)&lt;0.000001,"PASS","FAIL")</x:f>
        <x:v>PASS</x:v>
      </x:c>
      <x:c r="R386" s="70" t="s">
        <x:v>28</x:v>
      </x:c>
      <x:c r="S386" s="70"/>
    </x:row>
    <x:row r="387" ht="15" hidden="0">
      <x:c r="A387" s="70" t="s">
        <x:v>1506</x:v>
      </x:c>
      <x:c r="B387" s="70" t="s">
        <x:v>25</x:v>
      </x:c>
      <x:c r="C387" s="70" t="s">
        <x:v>77</x:v>
      </x:c>
      <x:c r="D387" s="70" t="s">
        <x:v>426</x:v>
      </x:c>
      <x:c r="E387" s="70" t="s">
        <x:v>1472</x:v>
      </x:c>
      <x:c r="F387" s="70" t="s">
        <x:v>1502</x:v>
      </x:c>
      <x:c r="G387" s="70" t="s">
        <x:v>1214</x:v>
      </x:c>
      <x:c r="H387" s="70" t="s">
        <x:v>1215</x:v>
      </x:c>
      <x:c r="I387" s="70" t="s">
        <x:v>1218</x:v>
      </x:c>
      <x:c r="J387" s="70" t="n">
        <x:v>70</x:v>
      </x:c>
      <x:c r="K387" s="70" t="s">
        <x:v>1477</x:v>
      </x:c>
      <x:c r="L387" s="70"/>
      <x:c r="M387" s="70" t="s">
        <x:v>29</x:v>
      </x:c>
      <x:c r="N387" s="71" t="n">
        <x:v>-940359065</x:v>
      </x:c>
      <x:c r="O387" s="72" t="n">
        <x:f aca="0">N387/1000000</x:f>
        <x:v>-940.359065</x:v>
      </x:c>
      <x:c r="P387" s="73" t="n">
        <x:f aca="0">KOHC!H90</x:f>
        <x:v>-940.359065</x:v>
      </x:c>
      <x:c r="Q387" s="70" t="str">
        <x:f aca="0">IF(ABS(O387-P387)&lt;0.000001,"PASS","FAIL")</x:f>
        <x:v>PASS</x:v>
      </x:c>
      <x:c r="R387" s="70" t="s">
        <x:v>28</x:v>
      </x:c>
      <x:c r="S387" s="70"/>
    </x:row>
    <x:row r="388" ht="15" hidden="0">
      <x:c r="A388" s="70" t="s">
        <x:v>1507</x:v>
      </x:c>
      <x:c r="B388" s="70" t="s">
        <x:v>25</x:v>
      </x:c>
      <x:c r="C388" s="70" t="s">
        <x:v>73</x:v>
      </x:c>
      <x:c r="D388" s="70" t="s">
        <x:v>430</x:v>
      </x:c>
      <x:c r="E388" s="70" t="s">
        <x:v>1472</x:v>
      </x:c>
      <x:c r="F388" s="70" t="s">
        <x:v>430</x:v>
      </x:c>
      <x:c r="G388" s="70" t="s">
        <x:v>1203</x:v>
      </x:c>
      <x:c r="H388" s="70" t="s">
        <x:v>1204</x:v>
      </x:c>
      <x:c r="I388" s="70" t="s">
        <x:v>1199</x:v>
      </x:c>
      <x:c r="J388" s="70" t="n">
        <x:v>54</x:v>
      </x:c>
      <x:c r="K388" s="70" t="s">
        <x:v>1230</x:v>
      </x:c>
      <x:c r="L388" s="70"/>
      <x:c r="M388" s="70" t="s">
        <x:v>29</x:v>
      </x:c>
      <x:c r="N388" s="71" t="n">
        <x:v>170674670</x:v>
      </x:c>
      <x:c r="O388" s="72" t="n">
        <x:f aca="0">N388/1000000</x:f>
        <x:v>170.67467</x:v>
      </x:c>
      <x:c r="P388" s="73" t="n">
        <x:f aca="0">KOHC!D92</x:f>
        <x:v>170.67467</x:v>
      </x:c>
      <x:c r="Q388" s="70" t="str">
        <x:f aca="0">IF(ABS(O388-P388)&lt;0.000001,"PASS","FAIL")</x:f>
        <x:v>PASS</x:v>
      </x:c>
      <x:c r="R388" s="70" t="s">
        <x:v>28</x:v>
      </x:c>
      <x:c r="S388" s="70"/>
    </x:row>
    <x:row r="389" ht="15" hidden="0">
      <x:c r="A389" s="70" t="s">
        <x:v>1508</x:v>
      </x:c>
      <x:c r="B389" s="70" t="s">
        <x:v>25</x:v>
      </x:c>
      <x:c r="C389" s="70" t="s">
        <x:v>74</x:v>
      </x:c>
      <x:c r="D389" s="70" t="s">
        <x:v>430</x:v>
      </x:c>
      <x:c r="E389" s="70" t="s">
        <x:v>1472</x:v>
      </x:c>
      <x:c r="F389" s="70" t="s">
        <x:v>430</x:v>
      </x:c>
      <x:c r="G389" s="70" t="s">
        <x:v>1207</x:v>
      </x:c>
      <x:c r="H389" s="70" t="s">
        <x:v>1208</x:v>
      </x:c>
      <x:c r="I389" s="70" t="s">
        <x:v>1199</x:v>
      </x:c>
      <x:c r="J389" s="70" t="n">
        <x:v>54</x:v>
      </x:c>
      <x:c r="K389" s="70" t="s">
        <x:v>1230</x:v>
      </x:c>
      <x:c r="L389" s="70"/>
      <x:c r="M389" s="70" t="s">
        <x:v>29</x:v>
      </x:c>
      <x:c r="N389" s="71" t="n">
        <x:v>690143396</x:v>
      </x:c>
      <x:c r="O389" s="72" t="n">
        <x:f aca="0">N389/1000000</x:f>
        <x:v>690.143396</x:v>
      </x:c>
      <x:c r="P389" s="73" t="n">
        <x:f aca="0">KOHC!E92</x:f>
        <x:v>690.143396</x:v>
      </x:c>
      <x:c r="Q389" s="70" t="str">
        <x:f aca="0">IF(ABS(O389-P389)&lt;0.000001,"PASS","FAIL")</x:f>
        <x:v>PASS</x:v>
      </x:c>
      <x:c r="R389" s="70" t="s">
        <x:v>28</x:v>
      </x:c>
      <x:c r="S389" s="70"/>
    </x:row>
    <x:row r="390" ht="15" hidden="0">
      <x:c r="A390" s="70" t="s">
        <x:v>1509</x:v>
      </x:c>
      <x:c r="B390" s="70" t="s">
        <x:v>25</x:v>
      </x:c>
      <x:c r="C390" s="70" t="s">
        <x:v>75</x:v>
      </x:c>
      <x:c r="D390" s="70" t="s">
        <x:v>430</x:v>
      </x:c>
      <x:c r="E390" s="70" t="s">
        <x:v>1472</x:v>
      </x:c>
      <x:c r="F390" s="70" t="s">
        <x:v>430</x:v>
      </x:c>
      <x:c r="G390" s="70" t="s">
        <x:v>1210</x:v>
      </x:c>
      <x:c r="H390" s="70" t="s">
        <x:v>1211</x:v>
      </x:c>
      <x:c r="I390" s="70" t="s">
        <x:v>1199</x:v>
      </x:c>
      <x:c r="J390" s="70" t="n">
        <x:v>60</x:v>
      </x:c>
      <x:c r="K390" s="70" t="s">
        <x:v>1230</x:v>
      </x:c>
      <x:c r="L390" s="70"/>
      <x:c r="M390" s="70" t="s">
        <x:v>29</x:v>
      </x:c>
      <x:c r="N390" s="71" t="n">
        <x:v>2085808053</x:v>
      </x:c>
      <x:c r="O390" s="72" t="n">
        <x:f aca="0">N390/1000000</x:f>
        <x:v>2085.808053</x:v>
      </x:c>
      <x:c r="P390" s="73" t="n">
        <x:f aca="0">KOHC!F92</x:f>
        <x:v>2085.808053</x:v>
      </x:c>
      <x:c r="Q390" s="70" t="str">
        <x:f aca="0">IF(ABS(O390-P390)&lt;0.000001,"PASS","FAIL")</x:f>
        <x:v>PASS</x:v>
      </x:c>
      <x:c r="R390" s="70" t="s">
        <x:v>28</x:v>
      </x:c>
      <x:c r="S390" s="70"/>
    </x:row>
    <x:row r="391" ht="15" hidden="0">
      <x:c r="A391" s="70" t="s">
        <x:v>1510</x:v>
      </x:c>
      <x:c r="B391" s="70" t="s">
        <x:v>25</x:v>
      </x:c>
      <x:c r="C391" s="70" t="s">
        <x:v>76</x:v>
      </x:c>
      <x:c r="D391" s="70" t="s">
        <x:v>430</x:v>
      </x:c>
      <x:c r="E391" s="70" t="s">
        <x:v>1472</x:v>
      </x:c>
      <x:c r="F391" s="70" t="s">
        <x:v>430</x:v>
      </x:c>
      <x:c r="G391" s="70" t="s">
        <x:v>1214</x:v>
      </x:c>
      <x:c r="H391" s="70" t="s">
        <x:v>1215</x:v>
      </x:c>
      <x:c r="I391" s="70" t="s">
        <x:v>1199</x:v>
      </x:c>
      <x:c r="J391" s="70" t="n">
        <x:v>70</x:v>
      </x:c>
      <x:c r="K391" s="70" t="s">
        <x:v>1477</x:v>
      </x:c>
      <x:c r="L391" s="70"/>
      <x:c r="M391" s="70" t="s">
        <x:v>29</x:v>
      </x:c>
      <x:c r="N391" s="71" t="n">
        <x:v>4452416513</x:v>
      </x:c>
      <x:c r="O391" s="72" t="n">
        <x:f aca="0">N391/1000000</x:f>
        <x:v>4452.416513</x:v>
      </x:c>
      <x:c r="P391" s="73" t="n">
        <x:f aca="0">KOHC!G92</x:f>
        <x:v>4452.416513</x:v>
      </x:c>
      <x:c r="Q391" s="70" t="str">
        <x:f aca="0">IF(ABS(O391-P391)&lt;0.000001,"PASS","FAIL")</x:f>
        <x:v>PASS</x:v>
      </x:c>
      <x:c r="R391" s="70" t="s">
        <x:v>28</x:v>
      </x:c>
      <x:c r="S391" s="70" t="s">
        <x:v>1205</x:v>
      </x:c>
    </x:row>
    <x:row r="392" ht="15" hidden="0">
      <x:c r="A392" s="70" t="s">
        <x:v>1511</x:v>
      </x:c>
      <x:c r="B392" s="70" t="s">
        <x:v>25</x:v>
      </x:c>
      <x:c r="C392" s="70" t="s">
        <x:v>77</x:v>
      </x:c>
      <x:c r="D392" s="70" t="s">
        <x:v>430</x:v>
      </x:c>
      <x:c r="E392" s="70" t="s">
        <x:v>1472</x:v>
      </x:c>
      <x:c r="F392" s="70" t="s">
        <x:v>430</x:v>
      </x:c>
      <x:c r="G392" s="70" t="s">
        <x:v>1214</x:v>
      </x:c>
      <x:c r="H392" s="70" t="s">
        <x:v>1215</x:v>
      </x:c>
      <x:c r="I392" s="70" t="s">
        <x:v>1218</x:v>
      </x:c>
      <x:c r="J392" s="70" t="n">
        <x:v>70</x:v>
      </x:c>
      <x:c r="K392" s="70" t="s">
        <x:v>1477</x:v>
      </x:c>
      <x:c r="L392" s="70"/>
      <x:c r="M392" s="70" t="s">
        <x:v>29</x:v>
      </x:c>
      <x:c r="N392" s="71" t="n">
        <x:v>5280719197</x:v>
      </x:c>
      <x:c r="O392" s="72" t="n">
        <x:f aca="0">N392/1000000</x:f>
        <x:v>5280.719197</x:v>
      </x:c>
      <x:c r="P392" s="73" t="n">
        <x:f aca="0">KOHC!H92</x:f>
        <x:v>5280.719197</x:v>
      </x:c>
      <x:c r="Q392" s="70" t="str">
        <x:f aca="0">IF(ABS(O392-P392)&lt;0.000001,"PASS","FAIL")</x:f>
        <x:v>PASS</x:v>
      </x:c>
      <x:c r="R392" s="70" t="s">
        <x:v>28</x:v>
      </x:c>
      <x:c r="S392" s="70"/>
    </x:row>
    <x:row r="393" ht="15" hidden="0">
      <x:c r="A393" s="70" t="s">
        <x:v>1512</x:v>
      </x:c>
      <x:c r="B393" s="70" t="s">
        <x:v>25</x:v>
      </x:c>
      <x:c r="C393" s="70" t="s">
        <x:v>73</x:v>
      </x:c>
      <x:c r="D393" s="70" t="s">
        <x:v>432</x:v>
      </x:c>
      <x:c r="E393" s="70" t="s">
        <x:v>1472</x:v>
      </x:c>
      <x:c r="F393" s="70"/>
      <x:c r="G393" s="70" t="s">
        <x:v>1203</x:v>
      </x:c>
      <x:c r="H393" s="70" t="s">
        <x:v>1204</x:v>
      </x:c>
      <x:c r="I393" s="70" t="s">
        <x:v>1199</x:v>
      </x:c>
      <x:c r="J393" s="70" t="n">
        <x:v>54</x:v>
      </x:c>
      <x:c r="K393" s="70" t="s">
        <x:v>1230</x:v>
      </x:c>
      <x:c r="L393" s="70"/>
      <x:c r="M393" s="70" t="s">
        <x:v>29</x:v>
      </x:c>
      <x:c r="N393" s="71" t="n">
        <x:v>0</x:v>
      </x:c>
      <x:c r="O393" s="72" t="n">
        <x:f aca="0">N393/1000000</x:f>
        <x:v>0</x:v>
      </x:c>
      <x:c r="P393" s="73" t="n">
        <x:f aca="0">KOHC!D93</x:f>
        <x:v>0</x:v>
      </x:c>
      <x:c r="Q393" s="70" t="str">
        <x:f aca="0">IF(ABS(O393-P393)&lt;0.000001,"PASS","FAIL")</x:f>
        <x:v>PASS</x:v>
      </x:c>
      <x:c r="R393" s="70" t="s">
        <x:v>28</x:v>
      </x:c>
      <x:c r="S393" s="70"/>
    </x:row>
    <x:row r="394" ht="15" hidden="0">
      <x:c r="A394" s="70" t="s">
        <x:v>1513</x:v>
      </x:c>
      <x:c r="B394" s="70" t="s">
        <x:v>25</x:v>
      </x:c>
      <x:c r="C394" s="70" t="s">
        <x:v>74</x:v>
      </x:c>
      <x:c r="D394" s="70" t="s">
        <x:v>432</x:v>
      </x:c>
      <x:c r="E394" s="70" t="s">
        <x:v>1472</x:v>
      </x:c>
      <x:c r="F394" s="70"/>
      <x:c r="G394" s="70" t="s">
        <x:v>1207</x:v>
      </x:c>
      <x:c r="H394" s="70" t="s">
        <x:v>1208</x:v>
      </x:c>
      <x:c r="I394" s="70" t="s">
        <x:v>1199</x:v>
      </x:c>
      <x:c r="J394" s="70" t="n">
        <x:v>54</x:v>
      </x:c>
      <x:c r="K394" s="70" t="s">
        <x:v>1230</x:v>
      </x:c>
      <x:c r="L394" s="70"/>
      <x:c r="M394" s="70" t="s">
        <x:v>29</x:v>
      </x:c>
      <x:c r="N394" s="71" t="n">
        <x:v>0</x:v>
      </x:c>
      <x:c r="O394" s="72" t="n">
        <x:f aca="0">N394/1000000</x:f>
        <x:v>0</x:v>
      </x:c>
      <x:c r="P394" s="73" t="n">
        <x:f aca="0">KOHC!E93</x:f>
        <x:v>0</x:v>
      </x:c>
      <x:c r="Q394" s="70" t="str">
        <x:f aca="0">IF(ABS(O394-P394)&lt;0.000001,"PASS","FAIL")</x:f>
        <x:v>PASS</x:v>
      </x:c>
      <x:c r="R394" s="70" t="s">
        <x:v>28</x:v>
      </x:c>
      <x:c r="S394" s="70"/>
    </x:row>
    <x:row r="395" ht="15" hidden="0">
      <x:c r="A395" s="70" t="s">
        <x:v>1514</x:v>
      </x:c>
      <x:c r="B395" s="70" t="s">
        <x:v>25</x:v>
      </x:c>
      <x:c r="C395" s="70" t="s">
        <x:v>75</x:v>
      </x:c>
      <x:c r="D395" s="70" t="s">
        <x:v>432</x:v>
      </x:c>
      <x:c r="E395" s="70" t="s">
        <x:v>1472</x:v>
      </x:c>
      <x:c r="F395" s="70"/>
      <x:c r="G395" s="70" t="s">
        <x:v>1210</x:v>
      </x:c>
      <x:c r="H395" s="70" t="s">
        <x:v>1211</x:v>
      </x:c>
      <x:c r="I395" s="70" t="s">
        <x:v>1199</x:v>
      </x:c>
      <x:c r="J395" s="70" t="n">
        <x:v>60</x:v>
      </x:c>
      <x:c r="K395" s="70" t="s">
        <x:v>1230</x:v>
      </x:c>
      <x:c r="L395" s="70"/>
      <x:c r="M395" s="70" t="s">
        <x:v>29</x:v>
      </x:c>
      <x:c r="N395" s="71" t="n">
        <x:v>0</x:v>
      </x:c>
      <x:c r="O395" s="72" t="n">
        <x:f aca="0">N395/1000000</x:f>
        <x:v>0</x:v>
      </x:c>
      <x:c r="P395" s="73" t="n">
        <x:f aca="0">KOHC!F93</x:f>
        <x:v>0</x:v>
      </x:c>
      <x:c r="Q395" s="70" t="str">
        <x:f aca="0">IF(ABS(O395-P395)&lt;0.000001,"PASS","FAIL")</x:f>
        <x:v>PASS</x:v>
      </x:c>
      <x:c r="R395" s="70" t="s">
        <x:v>28</x:v>
      </x:c>
      <x:c r="S395" s="70"/>
    </x:row>
    <x:row r="396" ht="15" hidden="0">
      <x:c r="A396" s="70" t="s">
        <x:v>1515</x:v>
      </x:c>
      <x:c r="B396" s="70" t="s">
        <x:v>25</x:v>
      </x:c>
      <x:c r="C396" s="70" t="s">
        <x:v>76</x:v>
      </x:c>
      <x:c r="D396" s="70" t="s">
        <x:v>432</x:v>
      </x:c>
      <x:c r="E396" s="70" t="s">
        <x:v>1472</x:v>
      </x:c>
      <x:c r="F396" s="70"/>
      <x:c r="G396" s="70" t="s">
        <x:v>1214</x:v>
      </x:c>
      <x:c r="H396" s="70" t="s">
        <x:v>1215</x:v>
      </x:c>
      <x:c r="I396" s="70" t="s">
        <x:v>1199</x:v>
      </x:c>
      <x:c r="J396" s="70" t="n">
        <x:v>70</x:v>
      </x:c>
      <x:c r="K396" s="70" t="s">
        <x:v>1477</x:v>
      </x:c>
      <x:c r="L396" s="70"/>
      <x:c r="M396" s="70" t="s">
        <x:v>29</x:v>
      </x:c>
      <x:c r="N396" s="71" t="n">
        <x:v>0</x:v>
      </x:c>
      <x:c r="O396" s="72" t="n">
        <x:f aca="0">N396/1000000</x:f>
        <x:v>0</x:v>
      </x:c>
      <x:c r="P396" s="73" t="n">
        <x:f aca="0">KOHC!G93</x:f>
        <x:v>0</x:v>
      </x:c>
      <x:c r="Q396" s="70" t="str">
        <x:f aca="0">IF(ABS(O396-P396)&lt;0.000001,"PASS","FAIL")</x:f>
        <x:v>PASS</x:v>
      </x:c>
      <x:c r="R396" s="70" t="s">
        <x:v>28</x:v>
      </x:c>
      <x:c r="S396" s="70"/>
    </x:row>
    <x:row r="397" ht="15" hidden="0">
      <x:c r="A397" s="70" t="s">
        <x:v>1516</x:v>
      </x:c>
      <x:c r="B397" s="70" t="s">
        <x:v>25</x:v>
      </x:c>
      <x:c r="C397" s="70" t="s">
        <x:v>77</x:v>
      </x:c>
      <x:c r="D397" s="70" t="s">
        <x:v>432</x:v>
      </x:c>
      <x:c r="E397" s="70" t="s">
        <x:v>1472</x:v>
      </x:c>
      <x:c r="F397" s="70"/>
      <x:c r="G397" s="70" t="s">
        <x:v>1214</x:v>
      </x:c>
      <x:c r="H397" s="70" t="s">
        <x:v>1215</x:v>
      </x:c>
      <x:c r="I397" s="70" t="s">
        <x:v>1218</x:v>
      </x:c>
      <x:c r="J397" s="70" t="n">
        <x:v>70</x:v>
      </x:c>
      <x:c r="K397" s="70" t="s">
        <x:v>1477</x:v>
      </x:c>
      <x:c r="L397" s="70"/>
      <x:c r="M397" s="70" t="s">
        <x:v>29</x:v>
      </x:c>
      <x:c r="N397" s="71" t="n">
        <x:v>0</x:v>
      </x:c>
      <x:c r="O397" s="72" t="n">
        <x:f aca="0">N397/1000000</x:f>
        <x:v>0</x:v>
      </x:c>
      <x:c r="P397" s="73" t="n">
        <x:f aca="0">KOHC!H93</x:f>
        <x:v>0</x:v>
      </x:c>
      <x:c r="Q397" s="70" t="str">
        <x:f aca="0">IF(ABS(O397-P397)&lt;0.000001,"PASS","FAIL")</x:f>
        <x:v>PASS</x:v>
      </x:c>
      <x:c r="R397" s="70" t="s">
        <x:v>28</x:v>
      </x:c>
      <x:c r="S397" s="70"/>
    </x:row>
    <x:row r="398" ht="15" hidden="0">
      <x:c r="A398" s="70" t="s">
        <x:v>1517</x:v>
      </x:c>
      <x:c r="B398" s="70" t="s">
        <x:v>25</x:v>
      </x:c>
      <x:c r="C398" s="70" t="s">
        <x:v>73</x:v>
      </x:c>
      <x:c r="D398" s="70" t="s">
        <x:v>434</x:v>
      </x:c>
      <x:c r="E398" s="70" t="s">
        <x:v>1472</x:v>
      </x:c>
      <x:c r="F398" s="70"/>
      <x:c r="G398" s="70" t="s">
        <x:v>1203</x:v>
      </x:c>
      <x:c r="H398" s="70" t="s">
        <x:v>1204</x:v>
      </x:c>
      <x:c r="I398" s="70" t="s">
        <x:v>1199</x:v>
      </x:c>
      <x:c r="J398" s="70" t="n">
        <x:v>54</x:v>
      </x:c>
      <x:c r="K398" s="70" t="s">
        <x:v>1230</x:v>
      </x:c>
      <x:c r="L398" s="70"/>
      <x:c r="M398" s="70" t="s">
        <x:v>29</x:v>
      </x:c>
      <x:c r="N398" s="71" t="n">
        <x:v>0</x:v>
      </x:c>
      <x:c r="O398" s="72" t="n">
        <x:f aca="0">N398/1000000</x:f>
        <x:v>0</x:v>
      </x:c>
      <x:c r="P398" s="73" t="n">
        <x:f aca="0">KOHC!D94</x:f>
        <x:v>0</x:v>
      </x:c>
      <x:c r="Q398" s="70" t="str">
        <x:f aca="0">IF(ABS(O398-P398)&lt;0.000001,"PASS","FAIL")</x:f>
        <x:v>PASS</x:v>
      </x:c>
      <x:c r="R398" s="70" t="s">
        <x:v>28</x:v>
      </x:c>
      <x:c r="S398" s="70"/>
    </x:row>
    <x:row r="399" ht="15" hidden="0">
      <x:c r="A399" s="70" t="s">
        <x:v>1518</x:v>
      </x:c>
      <x:c r="B399" s="70" t="s">
        <x:v>25</x:v>
      </x:c>
      <x:c r="C399" s="70" t="s">
        <x:v>74</x:v>
      </x:c>
      <x:c r="D399" s="70" t="s">
        <x:v>434</x:v>
      </x:c>
      <x:c r="E399" s="70" t="s">
        <x:v>1472</x:v>
      </x:c>
      <x:c r="F399" s="70"/>
      <x:c r="G399" s="70" t="s">
        <x:v>1207</x:v>
      </x:c>
      <x:c r="H399" s="70" t="s">
        <x:v>1208</x:v>
      </x:c>
      <x:c r="I399" s="70" t="s">
        <x:v>1199</x:v>
      </x:c>
      <x:c r="J399" s="70" t="n">
        <x:v>54</x:v>
      </x:c>
      <x:c r="K399" s="70" t="s">
        <x:v>1230</x:v>
      </x:c>
      <x:c r="L399" s="70"/>
      <x:c r="M399" s="70" t="s">
        <x:v>29</x:v>
      </x:c>
      <x:c r="N399" s="71" t="n">
        <x:v>0</x:v>
      </x:c>
      <x:c r="O399" s="72" t="n">
        <x:f aca="0">N399/1000000</x:f>
        <x:v>0</x:v>
      </x:c>
      <x:c r="P399" s="73" t="n">
        <x:f aca="0">KOHC!E94</x:f>
        <x:v>0</x:v>
      </x:c>
      <x:c r="Q399" s="70" t="str">
        <x:f aca="0">IF(ABS(O399-P399)&lt;0.000001,"PASS","FAIL")</x:f>
        <x:v>PASS</x:v>
      </x:c>
      <x:c r="R399" s="70" t="s">
        <x:v>28</x:v>
      </x:c>
      <x:c r="S399" s="70"/>
    </x:row>
    <x:row r="400" ht="15" hidden="0">
      <x:c r="A400" s="70" t="s">
        <x:v>1519</x:v>
      </x:c>
      <x:c r="B400" s="70" t="s">
        <x:v>25</x:v>
      </x:c>
      <x:c r="C400" s="70" t="s">
        <x:v>75</x:v>
      </x:c>
      <x:c r="D400" s="70" t="s">
        <x:v>434</x:v>
      </x:c>
      <x:c r="E400" s="70" t="s">
        <x:v>1472</x:v>
      </x:c>
      <x:c r="F400" s="70"/>
      <x:c r="G400" s="70" t="s">
        <x:v>1210</x:v>
      </x:c>
      <x:c r="H400" s="70" t="s">
        <x:v>1211</x:v>
      </x:c>
      <x:c r="I400" s="70" t="s">
        <x:v>1199</x:v>
      </x:c>
      <x:c r="J400" s="70" t="n">
        <x:v>60</x:v>
      </x:c>
      <x:c r="K400" s="70" t="s">
        <x:v>1230</x:v>
      </x:c>
      <x:c r="L400" s="70"/>
      <x:c r="M400" s="70" t="s">
        <x:v>29</x:v>
      </x:c>
      <x:c r="N400" s="71" t="n">
        <x:v>0</x:v>
      </x:c>
      <x:c r="O400" s="72" t="n">
        <x:f aca="0">N400/1000000</x:f>
        <x:v>0</x:v>
      </x:c>
      <x:c r="P400" s="73" t="n">
        <x:f aca="0">KOHC!F94</x:f>
        <x:v>0</x:v>
      </x:c>
      <x:c r="Q400" s="70" t="str">
        <x:f aca="0">IF(ABS(O400-P400)&lt;0.000001,"PASS","FAIL")</x:f>
        <x:v>PASS</x:v>
      </x:c>
      <x:c r="R400" s="70" t="s">
        <x:v>28</x:v>
      </x:c>
      <x:c r="S400" s="70"/>
    </x:row>
    <x:row r="401" ht="15" hidden="0">
      <x:c r="A401" s="70" t="s">
        <x:v>1520</x:v>
      </x:c>
      <x:c r="B401" s="70" t="s">
        <x:v>25</x:v>
      </x:c>
      <x:c r="C401" s="70" t="s">
        <x:v>76</x:v>
      </x:c>
      <x:c r="D401" s="70" t="s">
        <x:v>434</x:v>
      </x:c>
      <x:c r="E401" s="70" t="s">
        <x:v>1472</x:v>
      </x:c>
      <x:c r="F401" s="70"/>
      <x:c r="G401" s="70" t="s">
        <x:v>1214</x:v>
      </x:c>
      <x:c r="H401" s="70" t="s">
        <x:v>1215</x:v>
      </x:c>
      <x:c r="I401" s="70" t="s">
        <x:v>1199</x:v>
      </x:c>
      <x:c r="J401" s="70" t="n">
        <x:v>70</x:v>
      </x:c>
      <x:c r="K401" s="70" t="s">
        <x:v>1477</x:v>
      </x:c>
      <x:c r="L401" s="70"/>
      <x:c r="M401" s="70" t="s">
        <x:v>29</x:v>
      </x:c>
      <x:c r="N401" s="71" t="n">
        <x:v>0</x:v>
      </x:c>
      <x:c r="O401" s="72" t="n">
        <x:f aca="0">N401/1000000</x:f>
        <x:v>0</x:v>
      </x:c>
      <x:c r="P401" s="73" t="n">
        <x:f aca="0">KOHC!G94</x:f>
        <x:v>0</x:v>
      </x:c>
      <x:c r="Q401" s="70" t="str">
        <x:f aca="0">IF(ABS(O401-P401)&lt;0.000001,"PASS","FAIL")</x:f>
        <x:v>PASS</x:v>
      </x:c>
      <x:c r="R401" s="70" t="s">
        <x:v>28</x:v>
      </x:c>
      <x:c r="S401" s="70"/>
    </x:row>
    <x:row r="402" ht="15" hidden="0">
      <x:c r="A402" s="70" t="s">
        <x:v>1521</x:v>
      </x:c>
      <x:c r="B402" s="70" t="s">
        <x:v>25</x:v>
      </x:c>
      <x:c r="C402" s="70" t="s">
        <x:v>77</x:v>
      </x:c>
      <x:c r="D402" s="70" t="s">
        <x:v>434</x:v>
      </x:c>
      <x:c r="E402" s="70" t="s">
        <x:v>1472</x:v>
      </x:c>
      <x:c r="F402" s="70"/>
      <x:c r="G402" s="70" t="s">
        <x:v>1214</x:v>
      </x:c>
      <x:c r="H402" s="70" t="s">
        <x:v>1215</x:v>
      </x:c>
      <x:c r="I402" s="70" t="s">
        <x:v>1218</x:v>
      </x:c>
      <x:c r="J402" s="70" t="n">
        <x:v>70</x:v>
      </x:c>
      <x:c r="K402" s="70" t="s">
        <x:v>1477</x:v>
      </x:c>
      <x:c r="L402" s="70"/>
      <x:c r="M402" s="70" t="s">
        <x:v>29</x:v>
      </x:c>
      <x:c r="N402" s="71" t="n">
        <x:v>0</x:v>
      </x:c>
      <x:c r="O402" s="72" t="n">
        <x:f aca="0">N402/1000000</x:f>
        <x:v>0</x:v>
      </x:c>
      <x:c r="P402" s="73" t="n">
        <x:f aca="0">KOHC!H94</x:f>
        <x:v>0</x:v>
      </x:c>
      <x:c r="Q402" s="70" t="str">
        <x:f aca="0">IF(ABS(O402-P402)&lt;0.000001,"PASS","FAIL")</x:f>
        <x:v>PASS</x:v>
      </x:c>
      <x:c r="R402" s="70" t="s">
        <x:v>28</x:v>
      </x:c>
      <x:c r="S402" s="70"/>
    </x:row>
    <x:row r="403" ht="15" hidden="0">
      <x:c r="A403" s="70" t="s">
        <x:v>1522</x:v>
      </x:c>
      <x:c r="B403" s="70" t="s">
        <x:v>25</x:v>
      </x:c>
      <x:c r="C403" s="70" t="s">
        <x:v>73</x:v>
      </x:c>
      <x:c r="D403" s="70" t="s">
        <x:v>436</x:v>
      </x:c>
      <x:c r="E403" s="70" t="s">
        <x:v>1472</x:v>
      </x:c>
      <x:c r="F403" s="70" t="s">
        <x:v>436</x:v>
      </x:c>
      <x:c r="G403" s="70" t="s">
        <x:v>1203</x:v>
      </x:c>
      <x:c r="H403" s="70" t="s">
        <x:v>1204</x:v>
      </x:c>
      <x:c r="I403" s="70" t="s">
        <x:v>1199</x:v>
      </x:c>
      <x:c r="J403" s="70" t="n">
        <x:v>54</x:v>
      </x:c>
      <x:c r="K403" s="70" t="s">
        <x:v>1230</x:v>
      </x:c>
      <x:c r="L403" s="70"/>
      <x:c r="M403" s="70" t="s">
        <x:v>29</x:v>
      </x:c>
      <x:c r="N403" s="71" t="n">
        <x:v>-517055413</x:v>
      </x:c>
      <x:c r="O403" s="72" t="n">
        <x:f aca="0">N403/1000000</x:f>
        <x:v>-517.055413</x:v>
      </x:c>
      <x:c r="P403" s="73" t="n">
        <x:f aca="0">KOHC!D95</x:f>
        <x:v>-517.055413</x:v>
      </x:c>
      <x:c r="Q403" s="70" t="str">
        <x:f aca="0">IF(ABS(O403-P403)&lt;0.000001,"PASS","FAIL")</x:f>
        <x:v>PASS</x:v>
      </x:c>
      <x:c r="R403" s="70" t="s">
        <x:v>28</x:v>
      </x:c>
      <x:c r="S403" s="70"/>
    </x:row>
    <x:row r="404" ht="15" hidden="0">
      <x:c r="A404" s="70" t="s">
        <x:v>1523</x:v>
      </x:c>
      <x:c r="B404" s="70" t="s">
        <x:v>25</x:v>
      </x:c>
      <x:c r="C404" s="70" t="s">
        <x:v>74</x:v>
      </x:c>
      <x:c r="D404" s="70" t="s">
        <x:v>436</x:v>
      </x:c>
      <x:c r="E404" s="70" t="s">
        <x:v>1472</x:v>
      </x:c>
      <x:c r="F404" s="70" t="s">
        <x:v>436</x:v>
      </x:c>
      <x:c r="G404" s="70" t="s">
        <x:v>1207</x:v>
      </x:c>
      <x:c r="H404" s="70" t="s">
        <x:v>1208</x:v>
      </x:c>
      <x:c r="I404" s="70" t="s">
        <x:v>1199</x:v>
      </x:c>
      <x:c r="J404" s="70" t="n">
        <x:v>54</x:v>
      </x:c>
      <x:c r="K404" s="70" t="s">
        <x:v>1230</x:v>
      </x:c>
      <x:c r="L404" s="70"/>
      <x:c r="M404" s="70" t="s">
        <x:v>29</x:v>
      </x:c>
      <x:c r="N404" s="71" t="n">
        <x:v>-537710815</x:v>
      </x:c>
      <x:c r="O404" s="72" t="n">
        <x:f aca="0">N404/1000000</x:f>
        <x:v>-537.710815</x:v>
      </x:c>
      <x:c r="P404" s="73" t="n">
        <x:f aca="0">KOHC!E95</x:f>
        <x:v>-537.710815</x:v>
      </x:c>
      <x:c r="Q404" s="70" t="str">
        <x:f aca="0">IF(ABS(O404-P404)&lt;0.000001,"PASS","FAIL")</x:f>
        <x:v>PASS</x:v>
      </x:c>
      <x:c r="R404" s="70" t="s">
        <x:v>28</x:v>
      </x:c>
      <x:c r="S404" s="70"/>
    </x:row>
    <x:row r="405" ht="15" hidden="0">
      <x:c r="A405" s="70" t="s">
        <x:v>1524</x:v>
      </x:c>
      <x:c r="B405" s="70" t="s">
        <x:v>25</x:v>
      </x:c>
      <x:c r="C405" s="70" t="s">
        <x:v>75</x:v>
      </x:c>
      <x:c r="D405" s="70" t="s">
        <x:v>436</x:v>
      </x:c>
      <x:c r="E405" s="70" t="s">
        <x:v>1472</x:v>
      </x:c>
      <x:c r="F405" s="70" t="s">
        <x:v>436</x:v>
      </x:c>
      <x:c r="G405" s="70" t="s">
        <x:v>1210</x:v>
      </x:c>
      <x:c r="H405" s="70" t="s">
        <x:v>1211</x:v>
      </x:c>
      <x:c r="I405" s="70" t="s">
        <x:v>1199</x:v>
      </x:c>
      <x:c r="J405" s="70" t="n">
        <x:v>60</x:v>
      </x:c>
      <x:c r="K405" s="70" t="s">
        <x:v>1230</x:v>
      </x:c>
      <x:c r="L405" s="70"/>
      <x:c r="M405" s="70" t="s">
        <x:v>29</x:v>
      </x:c>
      <x:c r="N405" s="71" t="n">
        <x:v>-740307772</x:v>
      </x:c>
      <x:c r="O405" s="72" t="n">
        <x:f aca="0">N405/1000000</x:f>
        <x:v>-740.307772</x:v>
      </x:c>
      <x:c r="P405" s="73" t="n">
        <x:f aca="0">KOHC!F95</x:f>
        <x:v>-740.307772</x:v>
      </x:c>
      <x:c r="Q405" s="70" t="str">
        <x:f aca="0">IF(ABS(O405-P405)&lt;0.000001,"PASS","FAIL")</x:f>
        <x:v>PASS</x:v>
      </x:c>
      <x:c r="R405" s="70" t="s">
        <x:v>28</x:v>
      </x:c>
      <x:c r="S405" s="70"/>
    </x:row>
    <x:row r="406" ht="15" hidden="0">
      <x:c r="A406" s="70" t="s">
        <x:v>1525</x:v>
      </x:c>
      <x:c r="B406" s="70" t="s">
        <x:v>25</x:v>
      </x:c>
      <x:c r="C406" s="70" t="s">
        <x:v>76</x:v>
      </x:c>
      <x:c r="D406" s="70" t="s">
        <x:v>436</x:v>
      </x:c>
      <x:c r="E406" s="70" t="s">
        <x:v>1472</x:v>
      </x:c>
      <x:c r="F406" s="70" t="s">
        <x:v>436</x:v>
      </x:c>
      <x:c r="G406" s="70" t="s">
        <x:v>1214</x:v>
      </x:c>
      <x:c r="H406" s="70" t="s">
        <x:v>1215</x:v>
      </x:c>
      <x:c r="I406" s="70" t="s">
        <x:v>1199</x:v>
      </x:c>
      <x:c r="J406" s="70" t="n">
        <x:v>70</x:v>
      </x:c>
      <x:c r="K406" s="70" t="s">
        <x:v>1477</x:v>
      </x:c>
      <x:c r="L406" s="70"/>
      <x:c r="M406" s="70" t="s">
        <x:v>29</x:v>
      </x:c>
      <x:c r="N406" s="71" t="n">
        <x:v>-677380845</x:v>
      </x:c>
      <x:c r="O406" s="72" t="n">
        <x:f aca="0">N406/1000000</x:f>
        <x:v>-677.380845</x:v>
      </x:c>
      <x:c r="P406" s="73" t="n">
        <x:f aca="0">KOHC!G95</x:f>
        <x:v>-677.380845</x:v>
      </x:c>
      <x:c r="Q406" s="70" t="str">
        <x:f aca="0">IF(ABS(O406-P406)&lt;0.000001,"PASS","FAIL")</x:f>
        <x:v>PASS</x:v>
      </x:c>
      <x:c r="R406" s="70" t="s">
        <x:v>28</x:v>
      </x:c>
      <x:c r="S406" s="70"/>
    </x:row>
    <x:row r="407" ht="15" hidden="0">
      <x:c r="A407" s="70" t="s">
        <x:v>1526</x:v>
      </x:c>
      <x:c r="B407" s="70" t="s">
        <x:v>25</x:v>
      </x:c>
      <x:c r="C407" s="70" t="s">
        <x:v>77</x:v>
      </x:c>
      <x:c r="D407" s="70" t="s">
        <x:v>436</x:v>
      </x:c>
      <x:c r="E407" s="70" t="s">
        <x:v>1472</x:v>
      </x:c>
      <x:c r="F407" s="70" t="s">
        <x:v>436</x:v>
      </x:c>
      <x:c r="G407" s="70" t="s">
        <x:v>1214</x:v>
      </x:c>
      <x:c r="H407" s="70" t="s">
        <x:v>1215</x:v>
      </x:c>
      <x:c r="I407" s="70" t="s">
        <x:v>1218</x:v>
      </x:c>
      <x:c r="J407" s="70" t="n">
        <x:v>70</x:v>
      </x:c>
      <x:c r="K407" s="70" t="s">
        <x:v>1477</x:v>
      </x:c>
      <x:c r="L407" s="70"/>
      <x:c r="M407" s="70" t="s">
        <x:v>29</x:v>
      </x:c>
      <x:c r="N407" s="71" t="n">
        <x:v>-349910716</x:v>
      </x:c>
      <x:c r="O407" s="72" t="n">
        <x:f aca="0">N407/1000000</x:f>
        <x:v>-349.910716</x:v>
      </x:c>
      <x:c r="P407" s="73" t="n">
        <x:f aca="0">KOHC!H95</x:f>
        <x:v>-349.910716</x:v>
      </x:c>
      <x:c r="Q407" s="70" t="str">
        <x:f aca="0">IF(ABS(O407-P407)&lt;0.000001,"PASS","FAIL")</x:f>
        <x:v>PASS</x:v>
      </x:c>
      <x:c r="R407" s="70" t="s">
        <x:v>28</x:v>
      </x:c>
      <x:c r="S407" s="70"/>
    </x:row>
    <x:row r="408" ht="15" hidden="0">
      <x:c r="A408" s="70" t="s">
        <x:v>1527</x:v>
      </x:c>
      <x:c r="B408" s="70" t="s">
        <x:v>25</x:v>
      </x:c>
      <x:c r="C408" s="70" t="s">
        <x:v>73</x:v>
      </x:c>
      <x:c r="D408" s="70" t="s">
        <x:v>440</x:v>
      </x:c>
      <x:c r="E408" s="70" t="s">
        <x:v>1472</x:v>
      </x:c>
      <x:c r="F408" s="70"/>
      <x:c r="G408" s="70" t="s">
        <x:v>1203</x:v>
      </x:c>
      <x:c r="H408" s="70" t="s">
        <x:v>1204</x:v>
      </x:c>
      <x:c r="I408" s="70" t="s">
        <x:v>1199</x:v>
      </x:c>
      <x:c r="J408" s="70" t="n">
        <x:v>54</x:v>
      </x:c>
      <x:c r="K408" s="70" t="s">
        <x:v>1230</x:v>
      </x:c>
      <x:c r="L408" s="70"/>
      <x:c r="M408" s="70" t="s">
        <x:v>29</x:v>
      </x:c>
      <x:c r="N408" s="71" t="n">
        <x:v>0</x:v>
      </x:c>
      <x:c r="O408" s="72" t="n">
        <x:f aca="0">N408/1000000</x:f>
        <x:v>0</x:v>
      </x:c>
      <x:c r="P408" s="73" t="n">
        <x:f aca="0">KOHC!D97</x:f>
        <x:v>0</x:v>
      </x:c>
      <x:c r="Q408" s="70" t="str">
        <x:f aca="0">IF(ABS(O408-P408)&lt;0.000001,"PASS","FAIL")</x:f>
        <x:v>PASS</x:v>
      </x:c>
      <x:c r="R408" s="70" t="s">
        <x:v>28</x:v>
      </x:c>
      <x:c r="S408" s="70"/>
    </x:row>
    <x:row r="409" ht="15" hidden="0">
      <x:c r="A409" s="70" t="s">
        <x:v>1528</x:v>
      </x:c>
      <x:c r="B409" s="70" t="s">
        <x:v>25</x:v>
      </x:c>
      <x:c r="C409" s="70" t="s">
        <x:v>74</x:v>
      </x:c>
      <x:c r="D409" s="70" t="s">
        <x:v>440</x:v>
      </x:c>
      <x:c r="E409" s="70" t="s">
        <x:v>1472</x:v>
      </x:c>
      <x:c r="F409" s="70"/>
      <x:c r="G409" s="70" t="s">
        <x:v>1207</x:v>
      </x:c>
      <x:c r="H409" s="70" t="s">
        <x:v>1208</x:v>
      </x:c>
      <x:c r="I409" s="70" t="s">
        <x:v>1199</x:v>
      </x:c>
      <x:c r="J409" s="70" t="n">
        <x:v>54</x:v>
      </x:c>
      <x:c r="K409" s="70" t="s">
        <x:v>1230</x:v>
      </x:c>
      <x:c r="L409" s="70"/>
      <x:c r="M409" s="70" t="s">
        <x:v>29</x:v>
      </x:c>
      <x:c r="N409" s="71" t="n">
        <x:v>0</x:v>
      </x:c>
      <x:c r="O409" s="72" t="n">
        <x:f aca="0">N409/1000000</x:f>
        <x:v>0</x:v>
      </x:c>
      <x:c r="P409" s="73" t="n">
        <x:f aca="0">KOHC!E97</x:f>
        <x:v>0</x:v>
      </x:c>
      <x:c r="Q409" s="70" t="str">
        <x:f aca="0">IF(ABS(O409-P409)&lt;0.000001,"PASS","FAIL")</x:f>
        <x:v>PASS</x:v>
      </x:c>
      <x:c r="R409" s="70" t="s">
        <x:v>28</x:v>
      </x:c>
      <x:c r="S409" s="70"/>
    </x:row>
    <x:row r="410" ht="15" hidden="0">
      <x:c r="A410" s="70" t="s">
        <x:v>1529</x:v>
      </x:c>
      <x:c r="B410" s="70" t="s">
        <x:v>25</x:v>
      </x:c>
      <x:c r="C410" s="70" t="s">
        <x:v>75</x:v>
      </x:c>
      <x:c r="D410" s="70" t="s">
        <x:v>440</x:v>
      </x:c>
      <x:c r="E410" s="70" t="s">
        <x:v>1472</x:v>
      </x:c>
      <x:c r="F410" s="70" t="s">
        <x:v>1530</x:v>
      </x:c>
      <x:c r="G410" s="70" t="s">
        <x:v>1210</x:v>
      </x:c>
      <x:c r="H410" s="70" t="s">
        <x:v>1211</x:v>
      </x:c>
      <x:c r="I410" s="70" t="s">
        <x:v>1199</x:v>
      </x:c>
      <x:c r="J410" s="70" t="n">
        <x:v>60</x:v>
      </x:c>
      <x:c r="K410" s="70" t="s">
        <x:v>1230</x:v>
      </x:c>
      <x:c r="L410" s="70"/>
      <x:c r="M410" s="70" t="s">
        <x:v>29</x:v>
      </x:c>
      <x:c r="N410" s="71" t="n">
        <x:v>-343981005</x:v>
      </x:c>
      <x:c r="O410" s="72" t="n">
        <x:f aca="0">N410/1000000</x:f>
        <x:v>-343.981005</x:v>
      </x:c>
      <x:c r="P410" s="73" t="n">
        <x:f aca="0">KOHC!F97</x:f>
        <x:v>-343.981005</x:v>
      </x:c>
      <x:c r="Q410" s="70" t="str">
        <x:f aca="0">IF(ABS(O410-P410)&lt;0.000001,"PASS","FAIL")</x:f>
        <x:v>PASS</x:v>
      </x:c>
      <x:c r="R410" s="70" t="s">
        <x:v>28</x:v>
      </x:c>
      <x:c r="S410" s="70"/>
    </x:row>
    <x:row r="411" ht="15" hidden="0">
      <x:c r="A411" s="70" t="s">
        <x:v>1531</x:v>
      </x:c>
      <x:c r="B411" s="70" t="s">
        <x:v>25</x:v>
      </x:c>
      <x:c r="C411" s="70" t="s">
        <x:v>76</x:v>
      </x:c>
      <x:c r="D411" s="70" t="s">
        <x:v>440</x:v>
      </x:c>
      <x:c r="E411" s="70" t="s">
        <x:v>1472</x:v>
      </x:c>
      <x:c r="F411" s="70" t="s">
        <x:v>1530</x:v>
      </x:c>
      <x:c r="G411" s="70" t="s">
        <x:v>1214</x:v>
      </x:c>
      <x:c r="H411" s="70" t="s">
        <x:v>1215</x:v>
      </x:c>
      <x:c r="I411" s="70" t="s">
        <x:v>1199</x:v>
      </x:c>
      <x:c r="J411" s="70" t="n">
        <x:v>70</x:v>
      </x:c>
      <x:c r="K411" s="70" t="s">
        <x:v>1477</x:v>
      </x:c>
      <x:c r="L411" s="70"/>
      <x:c r="M411" s="70" t="s">
        <x:v>29</x:v>
      </x:c>
      <x:c r="N411" s="71" t="n">
        <x:v>-844151365</x:v>
      </x:c>
      <x:c r="O411" s="72" t="n">
        <x:f aca="0">N411/1000000</x:f>
        <x:v>-844.151365</x:v>
      </x:c>
      <x:c r="P411" s="73" t="n">
        <x:f aca="0">KOHC!G97</x:f>
        <x:v>-844.151365</x:v>
      </x:c>
      <x:c r="Q411" s="70" t="str">
        <x:f aca="0">IF(ABS(O411-P411)&lt;0.000001,"PASS","FAIL")</x:f>
        <x:v>PASS</x:v>
      </x:c>
      <x:c r="R411" s="70" t="s">
        <x:v>28</x:v>
      </x:c>
      <x:c r="S411" s="70"/>
    </x:row>
    <x:row r="412" ht="15" hidden="0">
      <x:c r="A412" s="70" t="s">
        <x:v>1532</x:v>
      </x:c>
      <x:c r="B412" s="70" t="s">
        <x:v>25</x:v>
      </x:c>
      <x:c r="C412" s="70" t="s">
        <x:v>77</x:v>
      </x:c>
      <x:c r="D412" s="70" t="s">
        <x:v>440</x:v>
      </x:c>
      <x:c r="E412" s="70" t="s">
        <x:v>1472</x:v>
      </x:c>
      <x:c r="F412" s="70" t="s">
        <x:v>1530</x:v>
      </x:c>
      <x:c r="G412" s="70" t="s">
        <x:v>1214</x:v>
      </x:c>
      <x:c r="H412" s="70" t="s">
        <x:v>1215</x:v>
      </x:c>
      <x:c r="I412" s="70" t="s">
        <x:v>1218</x:v>
      </x:c>
      <x:c r="J412" s="70" t="n">
        <x:v>70</x:v>
      </x:c>
      <x:c r="K412" s="70" t="s">
        <x:v>1477</x:v>
      </x:c>
      <x:c r="L412" s="70"/>
      <x:c r="M412" s="70" t="s">
        <x:v>29</x:v>
      </x:c>
      <x:c r="N412" s="71" t="n">
        <x:v>-58631368</x:v>
      </x:c>
      <x:c r="O412" s="72" t="n">
        <x:f aca="0">N412/1000000</x:f>
        <x:v>-58.631368</x:v>
      </x:c>
      <x:c r="P412" s="73" t="n">
        <x:f aca="0">KOHC!H97</x:f>
        <x:v>-58.631368</x:v>
      </x:c>
      <x:c r="Q412" s="70" t="str">
        <x:f aca="0">IF(ABS(O412-P412)&lt;0.000001,"PASS","FAIL")</x:f>
        <x:v>PASS</x:v>
      </x:c>
      <x:c r="R412" s="70" t="s">
        <x:v>28</x:v>
      </x:c>
      <x:c r="S412" s="70"/>
    </x:row>
    <x:row r="413" ht="15" hidden="0">
      <x:c r="A413" s="70" t="s">
        <x:v>1533</x:v>
      </x:c>
      <x:c r="B413" s="70" t="s">
        <x:v>25</x:v>
      </x:c>
      <x:c r="C413" s="70" t="s">
        <x:v>73</x:v>
      </x:c>
      <x:c r="D413" s="70" t="s">
        <x:v>442</x:v>
      </x:c>
      <x:c r="E413" s="70" t="s">
        <x:v>1472</x:v>
      </x:c>
      <x:c r="F413" s="70" t="s">
        <x:v>1534</x:v>
      </x:c>
      <x:c r="G413" s="70" t="s">
        <x:v>1203</x:v>
      </x:c>
      <x:c r="H413" s="70" t="s">
        <x:v>1204</x:v>
      </x:c>
      <x:c r="I413" s="70" t="s">
        <x:v>1199</x:v>
      </x:c>
      <x:c r="J413" s="70" t="n">
        <x:v>54</x:v>
      </x:c>
      <x:c r="K413" s="70" t="s">
        <x:v>1230</x:v>
      </x:c>
      <x:c r="L413" s="70"/>
      <x:c r="M413" s="70" t="s">
        <x:v>29</x:v>
      </x:c>
      <x:c r="N413" s="71" t="n">
        <x:v>-1388447360</x:v>
      </x:c>
      <x:c r="O413" s="72" t="n">
        <x:f aca="0">N413/1000000</x:f>
        <x:v>-1388.44736</x:v>
      </x:c>
      <x:c r="P413" s="73" t="n">
        <x:f aca="0">KOHC!D98</x:f>
        <x:v>-1388.44736</x:v>
      </x:c>
      <x:c r="Q413" s="70" t="str">
        <x:f aca="0">IF(ABS(O413-P413)&lt;0.000001,"PASS","FAIL")</x:f>
        <x:v>PASS</x:v>
      </x:c>
      <x:c r="R413" s="70" t="s">
        <x:v>28</x:v>
      </x:c>
      <x:c r="S413" s="70"/>
    </x:row>
    <x:row r="414" ht="15" hidden="0">
      <x:c r="A414" s="70" t="s">
        <x:v>1535</x:v>
      </x:c>
      <x:c r="B414" s="70" t="s">
        <x:v>25</x:v>
      </x:c>
      <x:c r="C414" s="70" t="s">
        <x:v>74</x:v>
      </x:c>
      <x:c r="D414" s="70" t="s">
        <x:v>442</x:v>
      </x:c>
      <x:c r="E414" s="70" t="s">
        <x:v>1472</x:v>
      </x:c>
      <x:c r="F414" s="70" t="s">
        <x:v>1534</x:v>
      </x:c>
      <x:c r="G414" s="70" t="s">
        <x:v>1207</x:v>
      </x:c>
      <x:c r="H414" s="70" t="s">
        <x:v>1208</x:v>
      </x:c>
      <x:c r="I414" s="70" t="s">
        <x:v>1199</x:v>
      </x:c>
      <x:c r="J414" s="70" t="n">
        <x:v>54</x:v>
      </x:c>
      <x:c r="K414" s="70" t="s">
        <x:v>1230</x:v>
      </x:c>
      <x:c r="L414" s="70"/>
      <x:c r="M414" s="70" t="s">
        <x:v>29</x:v>
      </x:c>
      <x:c r="N414" s="71" t="n">
        <x:v>-3901208866</x:v>
      </x:c>
      <x:c r="O414" s="72" t="n">
        <x:f aca="0">N414/1000000</x:f>
        <x:v>-3901.208866</x:v>
      </x:c>
      <x:c r="P414" s="73" t="n">
        <x:f aca="0">KOHC!E98</x:f>
        <x:v>-3901.208866</x:v>
      </x:c>
      <x:c r="Q414" s="70" t="str">
        <x:f aca="0">IF(ABS(O414-P414)&lt;0.000001,"PASS","FAIL")</x:f>
        <x:v>PASS</x:v>
      </x:c>
      <x:c r="R414" s="70" t="s">
        <x:v>28</x:v>
      </x:c>
      <x:c r="S414" s="70"/>
    </x:row>
    <x:row r="415" ht="15" hidden="0">
      <x:c r="A415" s="70" t="s">
        <x:v>1536</x:v>
      </x:c>
      <x:c r="B415" s="70" t="s">
        <x:v>25</x:v>
      </x:c>
      <x:c r="C415" s="70" t="s">
        <x:v>75</x:v>
      </x:c>
      <x:c r="D415" s="70" t="s">
        <x:v>442</x:v>
      </x:c>
      <x:c r="E415" s="70" t="s">
        <x:v>1472</x:v>
      </x:c>
      <x:c r="F415" s="70" t="s">
        <x:v>1534</x:v>
      </x:c>
      <x:c r="G415" s="70" t="s">
        <x:v>1210</x:v>
      </x:c>
      <x:c r="H415" s="70" t="s">
        <x:v>1211</x:v>
      </x:c>
      <x:c r="I415" s="70" t="s">
        <x:v>1199</x:v>
      </x:c>
      <x:c r="J415" s="70" t="n">
        <x:v>60</x:v>
      </x:c>
      <x:c r="K415" s="70" t="s">
        <x:v>1230</x:v>
      </x:c>
      <x:c r="L415" s="70"/>
      <x:c r="M415" s="70" t="s">
        <x:v>29</x:v>
      </x:c>
      <x:c r="N415" s="71" t="n">
        <x:v>-4304595678</x:v>
      </x:c>
      <x:c r="O415" s="72" t="n">
        <x:f aca="0">N415/1000000</x:f>
        <x:v>-4304.595678</x:v>
      </x:c>
      <x:c r="P415" s="73" t="n">
        <x:f aca="0">KOHC!F98</x:f>
        <x:v>-4304.595678</x:v>
      </x:c>
      <x:c r="Q415" s="70" t="str">
        <x:f aca="0">IF(ABS(O415-P415)&lt;0.000001,"PASS","FAIL")</x:f>
        <x:v>PASS</x:v>
      </x:c>
      <x:c r="R415" s="70" t="s">
        <x:v>28</x:v>
      </x:c>
      <x:c r="S415" s="70" t="s">
        <x:v>1205</x:v>
      </x:c>
    </x:row>
    <x:row r="416" ht="15" hidden="0">
      <x:c r="A416" s="70" t="s">
        <x:v>1537</x:v>
      </x:c>
      <x:c r="B416" s="70" t="s">
        <x:v>25</x:v>
      </x:c>
      <x:c r="C416" s="70" t="s">
        <x:v>76</x:v>
      </x:c>
      <x:c r="D416" s="70" t="s">
        <x:v>442</x:v>
      </x:c>
      <x:c r="E416" s="70" t="s">
        <x:v>1472</x:v>
      </x:c>
      <x:c r="F416" s="70" t="s">
        <x:v>1534</x:v>
      </x:c>
      <x:c r="G416" s="70" t="s">
        <x:v>1214</x:v>
      </x:c>
      <x:c r="H416" s="70" t="s">
        <x:v>1215</x:v>
      </x:c>
      <x:c r="I416" s="70" t="s">
        <x:v>1199</x:v>
      </x:c>
      <x:c r="J416" s="70" t="n">
        <x:v>70</x:v>
      </x:c>
      <x:c r="K416" s="70" t="s">
        <x:v>1477</x:v>
      </x:c>
      <x:c r="L416" s="70"/>
      <x:c r="M416" s="70" t="s">
        <x:v>29</x:v>
      </x:c>
      <x:c r="N416" s="71" t="n">
        <x:v>-4038678948</x:v>
      </x:c>
      <x:c r="O416" s="72" t="n">
        <x:f aca="0">N416/1000000</x:f>
        <x:v>-4038.678948</x:v>
      </x:c>
      <x:c r="P416" s="73" t="n">
        <x:f aca="0">KOHC!G98</x:f>
        <x:v>-4038.678948</x:v>
      </x:c>
      <x:c r="Q416" s="70" t="str">
        <x:f aca="0">IF(ABS(O416-P416)&lt;0.000001,"PASS","FAIL")</x:f>
        <x:v>PASS</x:v>
      </x:c>
      <x:c r="R416" s="70" t="s">
        <x:v>28</x:v>
      </x:c>
      <x:c r="S416" s="70" t="s">
        <x:v>1205</x:v>
      </x:c>
    </x:row>
    <x:row r="417" ht="15" hidden="0">
      <x:c r="A417" s="70" t="s">
        <x:v>1538</x:v>
      </x:c>
      <x:c r="B417" s="70" t="s">
        <x:v>25</x:v>
      </x:c>
      <x:c r="C417" s="70" t="s">
        <x:v>77</x:v>
      </x:c>
      <x:c r="D417" s="70" t="s">
        <x:v>442</x:v>
      </x:c>
      <x:c r="E417" s="70" t="s">
        <x:v>1472</x:v>
      </x:c>
      <x:c r="F417" s="70" t="s">
        <x:v>1534</x:v>
      </x:c>
      <x:c r="G417" s="70" t="s">
        <x:v>1214</x:v>
      </x:c>
      <x:c r="H417" s="70" t="s">
        <x:v>1215</x:v>
      </x:c>
      <x:c r="I417" s="70" t="s">
        <x:v>1218</x:v>
      </x:c>
      <x:c r="J417" s="70" t="n">
        <x:v>70</x:v>
      </x:c>
      <x:c r="K417" s="70" t="s">
        <x:v>1477</x:v>
      </x:c>
      <x:c r="L417" s="70"/>
      <x:c r="M417" s="70" t="s">
        <x:v>29</x:v>
      </x:c>
      <x:c r="N417" s="71" t="n">
        <x:v>-6113037978</x:v>
      </x:c>
      <x:c r="O417" s="72" t="n">
        <x:f aca="0">N417/1000000</x:f>
        <x:v>-6113.037978</x:v>
      </x:c>
      <x:c r="P417" s="73" t="n">
        <x:f aca="0">KOHC!H98</x:f>
        <x:v>-6113.037978</x:v>
      </x:c>
      <x:c r="Q417" s="70" t="str">
        <x:f aca="0">IF(ABS(O417-P417)&lt;0.000001,"PASS","FAIL")</x:f>
        <x:v>PASS</x:v>
      </x:c>
      <x:c r="R417" s="70" t="s">
        <x:v>28</x:v>
      </x:c>
      <x:c r="S417" s="70"/>
    </x:row>
    <x:row r="418" ht="15" hidden="0">
      <x:c r="A418" s="70" t="s">
        <x:v>1539</x:v>
      </x:c>
      <x:c r="B418" s="70" t="s">
        <x:v>25</x:v>
      </x:c>
      <x:c r="C418" s="70" t="s">
        <x:v>73</x:v>
      </x:c>
      <x:c r="D418" s="70" t="s">
        <x:v>446</x:v>
      </x:c>
      <x:c r="E418" s="70" t="s">
        <x:v>1472</x:v>
      </x:c>
      <x:c r="F418" s="70" t="s">
        <x:v>1540</x:v>
      </x:c>
      <x:c r="G418" s="70" t="s">
        <x:v>1203</x:v>
      </x:c>
      <x:c r="H418" s="70" t="s">
        <x:v>1204</x:v>
      </x:c>
      <x:c r="I418" s="70" t="s">
        <x:v>1199</x:v>
      </x:c>
      <x:c r="J418" s="70" t="n">
        <x:v>54</x:v>
      </x:c>
      <x:c r="K418" s="70" t="s">
        <x:v>1230</x:v>
      </x:c>
      <x:c r="L418" s="70"/>
      <x:c r="M418" s="70" t="s">
        <x:v>29</x:v>
      </x:c>
      <x:c r="N418" s="71" t="n">
        <x:v>5965349059</x:v>
      </x:c>
      <x:c r="O418" s="72" t="n">
        <x:f aca="0">N418/1000000</x:f>
        <x:v>5965.349059</x:v>
      </x:c>
      <x:c r="P418" s="73" t="n">
        <x:f aca="0">KOHC!D100</x:f>
        <x:v>5965.349059</x:v>
      </x:c>
      <x:c r="Q418" s="70" t="str">
        <x:f aca="0">IF(ABS(O418-P418)&lt;0.000001,"PASS","FAIL")</x:f>
        <x:v>PASS</x:v>
      </x:c>
      <x:c r="R418" s="70" t="s">
        <x:v>28</x:v>
      </x:c>
      <x:c r="S418" s="70"/>
    </x:row>
    <x:row r="419" ht="15" hidden="0">
      <x:c r="A419" s="70" t="s">
        <x:v>1541</x:v>
      </x:c>
      <x:c r="B419" s="70" t="s">
        <x:v>25</x:v>
      </x:c>
      <x:c r="C419" s="70" t="s">
        <x:v>74</x:v>
      </x:c>
      <x:c r="D419" s="70" t="s">
        <x:v>446</x:v>
      </x:c>
      <x:c r="E419" s="70" t="s">
        <x:v>1472</x:v>
      </x:c>
      <x:c r="F419" s="70" t="s">
        <x:v>1540</x:v>
      </x:c>
      <x:c r="G419" s="70" t="s">
        <x:v>1207</x:v>
      </x:c>
      <x:c r="H419" s="70" t="s">
        <x:v>1208</x:v>
      </x:c>
      <x:c r="I419" s="70" t="s">
        <x:v>1199</x:v>
      </x:c>
      <x:c r="J419" s="70" t="n">
        <x:v>54</x:v>
      </x:c>
      <x:c r="K419" s="70" t="s">
        <x:v>1230</x:v>
      </x:c>
      <x:c r="L419" s="70"/>
      <x:c r="M419" s="70" t="s">
        <x:v>29</x:v>
      </x:c>
      <x:c r="N419" s="71" t="n">
        <x:v>9811768509</x:v>
      </x:c>
      <x:c r="O419" s="72" t="n">
        <x:f aca="0">N419/1000000</x:f>
        <x:v>9811.768509</x:v>
      </x:c>
      <x:c r="P419" s="73" t="n">
        <x:f aca="0">KOHC!E100</x:f>
        <x:v>9811.768509</x:v>
      </x:c>
      <x:c r="Q419" s="70" t="str">
        <x:f aca="0">IF(ABS(O419-P419)&lt;0.000001,"PASS","FAIL")</x:f>
        <x:v>PASS</x:v>
      </x:c>
      <x:c r="R419" s="70" t="s">
        <x:v>28</x:v>
      </x:c>
      <x:c r="S419" s="70"/>
    </x:row>
    <x:row r="420" ht="15" hidden="0">
      <x:c r="A420" s="70" t="s">
        <x:v>1542</x:v>
      </x:c>
      <x:c r="B420" s="70" t="s">
        <x:v>25</x:v>
      </x:c>
      <x:c r="C420" s="70" t="s">
        <x:v>75</x:v>
      </x:c>
      <x:c r="D420" s="70" t="s">
        <x:v>446</x:v>
      </x:c>
      <x:c r="E420" s="70" t="s">
        <x:v>1472</x:v>
      </x:c>
      <x:c r="F420" s="70" t="s">
        <x:v>1540</x:v>
      </x:c>
      <x:c r="G420" s="70" t="s">
        <x:v>1210</x:v>
      </x:c>
      <x:c r="H420" s="70" t="s">
        <x:v>1211</x:v>
      </x:c>
      <x:c r="I420" s="70" t="s">
        <x:v>1199</x:v>
      </x:c>
      <x:c r="J420" s="70" t="n">
        <x:v>60</x:v>
      </x:c>
      <x:c r="K420" s="70" t="s">
        <x:v>1230</x:v>
      </x:c>
      <x:c r="L420" s="70"/>
      <x:c r="M420" s="70" t="s">
        <x:v>29</x:v>
      </x:c>
      <x:c r="N420" s="71" t="n">
        <x:v>10432694019</x:v>
      </x:c>
      <x:c r="O420" s="72" t="n">
        <x:f aca="0">N420/1000000</x:f>
        <x:v>10432.694019</x:v>
      </x:c>
      <x:c r="P420" s="73" t="n">
        <x:f aca="0">KOHC!F100</x:f>
        <x:v>10432.694019</x:v>
      </x:c>
      <x:c r="Q420" s="70" t="str">
        <x:f aca="0">IF(ABS(O420-P420)&lt;0.000001,"PASS","FAIL")</x:f>
        <x:v>PASS</x:v>
      </x:c>
      <x:c r="R420" s="70" t="s">
        <x:v>28</x:v>
      </x:c>
      <x:c r="S420" s="70"/>
    </x:row>
    <x:row r="421" ht="15" hidden="0">
      <x:c r="A421" s="70" t="s">
        <x:v>1543</x:v>
      </x:c>
      <x:c r="B421" s="70" t="s">
        <x:v>25</x:v>
      </x:c>
      <x:c r="C421" s="70" t="s">
        <x:v>76</x:v>
      </x:c>
      <x:c r="D421" s="70" t="s">
        <x:v>446</x:v>
      </x:c>
      <x:c r="E421" s="70" t="s">
        <x:v>1472</x:v>
      </x:c>
      <x:c r="F421" s="70" t="s">
        <x:v>1540</x:v>
      </x:c>
      <x:c r="G421" s="70" t="s">
        <x:v>1214</x:v>
      </x:c>
      <x:c r="H421" s="70" t="s">
        <x:v>1215</x:v>
      </x:c>
      <x:c r="I421" s="70" t="s">
        <x:v>1199</x:v>
      </x:c>
      <x:c r="J421" s="70" t="n">
        <x:v>70</x:v>
      </x:c>
      <x:c r="K421" s="70" t="s">
        <x:v>1477</x:v>
      </x:c>
      <x:c r="L421" s="70"/>
      <x:c r="M421" s="70" t="s">
        <x:v>29</x:v>
      </x:c>
      <x:c r="N421" s="71" t="n">
        <x:v>11256491495</x:v>
      </x:c>
      <x:c r="O421" s="72" t="n">
        <x:f aca="0">N421/1000000</x:f>
        <x:v>11256.491495</x:v>
      </x:c>
      <x:c r="P421" s="73" t="n">
        <x:f aca="0">KOHC!G100</x:f>
        <x:v>11256.491495</x:v>
      </x:c>
      <x:c r="Q421" s="70" t="str">
        <x:f aca="0">IF(ABS(O421-P421)&lt;0.000001,"PASS","FAIL")</x:f>
        <x:v>PASS</x:v>
      </x:c>
      <x:c r="R421" s="70" t="s">
        <x:v>28</x:v>
      </x:c>
      <x:c r="S421" s="70"/>
    </x:row>
    <x:row r="422" ht="15" hidden="0">
      <x:c r="A422" s="70" t="s">
        <x:v>1544</x:v>
      </x:c>
      <x:c r="B422" s="70" t="s">
        <x:v>25</x:v>
      </x:c>
      <x:c r="C422" s="70" t="s">
        <x:v>77</x:v>
      </x:c>
      <x:c r="D422" s="70" t="s">
        <x:v>446</x:v>
      </x:c>
      <x:c r="E422" s="70" t="s">
        <x:v>1472</x:v>
      </x:c>
      <x:c r="F422" s="70" t="s">
        <x:v>1540</x:v>
      </x:c>
      <x:c r="G422" s="70" t="s">
        <x:v>1214</x:v>
      </x:c>
      <x:c r="H422" s="70" t="s">
        <x:v>1215</x:v>
      </x:c>
      <x:c r="I422" s="70" t="s">
        <x:v>1218</x:v>
      </x:c>
      <x:c r="J422" s="70" t="n">
        <x:v>70</x:v>
      </x:c>
      <x:c r="K422" s="70" t="s">
        <x:v>1477</x:v>
      </x:c>
      <x:c r="L422" s="70"/>
      <x:c r="M422" s="70" t="s">
        <x:v>29</x:v>
      </x:c>
      <x:c r="N422" s="71" t="n">
        <x:v>14721606101</x:v>
      </x:c>
      <x:c r="O422" s="72" t="n">
        <x:f aca="0">N422/1000000</x:f>
        <x:v>14721.606101</x:v>
      </x:c>
      <x:c r="P422" s="73" t="n">
        <x:f aca="0">KOHC!H100</x:f>
        <x:v>14721.606101</x:v>
      </x:c>
      <x:c r="Q422" s="70" t="str">
        <x:f aca="0">IF(ABS(O422-P422)&lt;0.000001,"PASS","FAIL")</x:f>
        <x:v>PASS</x:v>
      </x:c>
      <x:c r="R422" s="70" t="s">
        <x:v>28</x:v>
      </x:c>
      <x:c r="S422" s="70"/>
    </x:row>
    <x:row r="423" ht="15" hidden="0">
      <x:c r="A423" s="70" t="s">
        <x:v>1545</x:v>
      </x:c>
      <x:c r="B423" s="70" t="s">
        <x:v>25</x:v>
      </x:c>
      <x:c r="C423" s="70" t="s">
        <x:v>73</x:v>
      </x:c>
      <x:c r="D423" s="70" t="s">
        <x:v>448</x:v>
      </x:c>
      <x:c r="E423" s="70" t="s">
        <x:v>1472</x:v>
      </x:c>
      <x:c r="F423" s="70" t="s">
        <x:v>1546</x:v>
      </x:c>
      <x:c r="G423" s="70" t="s">
        <x:v>1203</x:v>
      </x:c>
      <x:c r="H423" s="70" t="s">
        <x:v>1204</x:v>
      </x:c>
      <x:c r="I423" s="70" t="s">
        <x:v>1199</x:v>
      </x:c>
      <x:c r="J423" s="70" t="n">
        <x:v>54</x:v>
      </x:c>
      <x:c r="K423" s="70" t="s">
        <x:v>1230</x:v>
      </x:c>
      <x:c r="L423" s="70"/>
      <x:c r="M423" s="70" t="s">
        <x:v>29</x:v>
      </x:c>
      <x:c r="N423" s="71" t="n">
        <x:v>4885954607</x:v>
      </x:c>
      <x:c r="O423" s="72" t="n">
        <x:f aca="0">N423/1000000</x:f>
        <x:v>4885.954607</x:v>
      </x:c>
      <x:c r="P423" s="73" t="n">
        <x:f aca="0">KOHC!D101</x:f>
        <x:v>4885.954607</x:v>
      </x:c>
      <x:c r="Q423" s="70" t="str">
        <x:f aca="0">IF(ABS(O423-P423)&lt;0.000001,"PASS","FAIL")</x:f>
        <x:v>PASS</x:v>
      </x:c>
      <x:c r="R423" s="70" t="s">
        <x:v>28</x:v>
      </x:c>
      <x:c r="S423" s="70"/>
    </x:row>
    <x:row r="424" ht="15" hidden="0">
      <x:c r="A424" s="70" t="s">
        <x:v>1547</x:v>
      </x:c>
      <x:c r="B424" s="70" t="s">
        <x:v>25</x:v>
      </x:c>
      <x:c r="C424" s="70" t="s">
        <x:v>74</x:v>
      </x:c>
      <x:c r="D424" s="70" t="s">
        <x:v>448</x:v>
      </x:c>
      <x:c r="E424" s="70" t="s">
        <x:v>1472</x:v>
      </x:c>
      <x:c r="F424" s="70" t="s">
        <x:v>1546</x:v>
      </x:c>
      <x:c r="G424" s="70" t="s">
        <x:v>1207</x:v>
      </x:c>
      <x:c r="H424" s="70" t="s">
        <x:v>1208</x:v>
      </x:c>
      <x:c r="I424" s="70" t="s">
        <x:v>1199</x:v>
      </x:c>
      <x:c r="J424" s="70" t="n">
        <x:v>54</x:v>
      </x:c>
      <x:c r="K424" s="70" t="s">
        <x:v>1230</x:v>
      </x:c>
      <x:c r="L424" s="70"/>
      <x:c r="M424" s="70" t="s">
        <x:v>29</x:v>
      </x:c>
      <x:c r="N424" s="71" t="n">
        <x:v>8925489126</x:v>
      </x:c>
      <x:c r="O424" s="72" t="n">
        <x:f aca="0">N424/1000000</x:f>
        <x:v>8925.489126</x:v>
      </x:c>
      <x:c r="P424" s="73" t="n">
        <x:f aca="0">KOHC!E101</x:f>
        <x:v>8925.489126</x:v>
      </x:c>
      <x:c r="Q424" s="70" t="str">
        <x:f aca="0">IF(ABS(O424-P424)&lt;0.000001,"PASS","FAIL")</x:f>
        <x:v>PASS</x:v>
      </x:c>
      <x:c r="R424" s="70" t="s">
        <x:v>28</x:v>
      </x:c>
      <x:c r="S424" s="70"/>
    </x:row>
    <x:row r="425" ht="15" hidden="0">
      <x:c r="A425" s="70" t="s">
        <x:v>1548</x:v>
      </x:c>
      <x:c r="B425" s="70" t="s">
        <x:v>25</x:v>
      </x:c>
      <x:c r="C425" s="70" t="s">
        <x:v>75</x:v>
      </x:c>
      <x:c r="D425" s="70" t="s">
        <x:v>448</x:v>
      </x:c>
      <x:c r="E425" s="70" t="s">
        <x:v>1472</x:v>
      </x:c>
      <x:c r="F425" s="70" t="s">
        <x:v>1549</x:v>
      </x:c>
      <x:c r="G425" s="70" t="s">
        <x:v>1210</x:v>
      </x:c>
      <x:c r="H425" s="70" t="s">
        <x:v>1211</x:v>
      </x:c>
      <x:c r="I425" s="70" t="s">
        <x:v>1199</x:v>
      </x:c>
      <x:c r="J425" s="70" t="n">
        <x:v>60</x:v>
      </x:c>
      <x:c r="K425" s="70" t="s">
        <x:v>1230</x:v>
      </x:c>
      <x:c r="L425" s="70"/>
      <x:c r="M425" s="70" t="s">
        <x:v>29</x:v>
      </x:c>
      <x:c r="N425" s="71" t="n">
        <x:v>10469327828</x:v>
      </x:c>
      <x:c r="O425" s="72" t="n">
        <x:f aca="0">N425/1000000</x:f>
        <x:v>10469.327828</x:v>
      </x:c>
      <x:c r="P425" s="73" t="n">
        <x:f aca="0">KOHC!F101</x:f>
        <x:v>10469.327828</x:v>
      </x:c>
      <x:c r="Q425" s="70" t="str">
        <x:f aca="0">IF(ABS(O425-P425)&lt;0.000001,"PASS","FAIL")</x:f>
        <x:v>PASS</x:v>
      </x:c>
      <x:c r="R425" s="70" t="s">
        <x:v>28</x:v>
      </x:c>
      <x:c r="S425" s="70"/>
    </x:row>
    <x:row r="426" ht="15" hidden="0">
      <x:c r="A426" s="70" t="s">
        <x:v>1550</x:v>
      </x:c>
      <x:c r="B426" s="70" t="s">
        <x:v>25</x:v>
      </x:c>
      <x:c r="C426" s="70" t="s">
        <x:v>76</x:v>
      </x:c>
      <x:c r="D426" s="70" t="s">
        <x:v>448</x:v>
      </x:c>
      <x:c r="E426" s="70" t="s">
        <x:v>1472</x:v>
      </x:c>
      <x:c r="F426" s="70" t="s">
        <x:v>1549</x:v>
      </x:c>
      <x:c r="G426" s="70" t="s">
        <x:v>1214</x:v>
      </x:c>
      <x:c r="H426" s="70" t="s">
        <x:v>1215</x:v>
      </x:c>
      <x:c r="I426" s="70" t="s">
        <x:v>1199</x:v>
      </x:c>
      <x:c r="J426" s="70" t="n">
        <x:v>70</x:v>
      </x:c>
      <x:c r="K426" s="70" t="s">
        <x:v>1477</x:v>
      </x:c>
      <x:c r="L426" s="70"/>
      <x:c r="M426" s="70" t="s">
        <x:v>29</x:v>
      </x:c>
      <x:c r="N426" s="71" t="n">
        <x:v>13776285100</x:v>
      </x:c>
      <x:c r="O426" s="72" t="n">
        <x:f aca="0">N426/1000000</x:f>
        <x:v>13776.2851</x:v>
      </x:c>
      <x:c r="P426" s="73" t="n">
        <x:f aca="0">KOHC!G101</x:f>
        <x:v>13776.2851</x:v>
      </x:c>
      <x:c r="Q426" s="70" t="str">
        <x:f aca="0">IF(ABS(O426-P426)&lt;0.000001,"PASS","FAIL")</x:f>
        <x:v>PASS</x:v>
      </x:c>
      <x:c r="R426" s="70" t="s">
        <x:v>28</x:v>
      </x:c>
      <x:c r="S426" s="70"/>
    </x:row>
    <x:row r="427" ht="15" hidden="0">
      <x:c r="A427" s="70" t="s">
        <x:v>1551</x:v>
      </x:c>
      <x:c r="B427" s="70" t="s">
        <x:v>25</x:v>
      </x:c>
      <x:c r="C427" s="70" t="s">
        <x:v>77</x:v>
      </x:c>
      <x:c r="D427" s="70" t="s">
        <x:v>448</x:v>
      </x:c>
      <x:c r="E427" s="70" t="s">
        <x:v>1472</x:v>
      </x:c>
      <x:c r="F427" s="70" t="s">
        <x:v>1549</x:v>
      </x:c>
      <x:c r="G427" s="70" t="s">
        <x:v>1214</x:v>
      </x:c>
      <x:c r="H427" s="70" t="s">
        <x:v>1215</x:v>
      </x:c>
      <x:c r="I427" s="70" t="s">
        <x:v>1218</x:v>
      </x:c>
      <x:c r="J427" s="70" t="n">
        <x:v>70</x:v>
      </x:c>
      <x:c r="K427" s="70" t="s">
        <x:v>1477</x:v>
      </x:c>
      <x:c r="L427" s="70"/>
      <x:c r="M427" s="70" t="s">
        <x:v>29</x:v>
      </x:c>
      <x:c r="N427" s="71" t="n">
        <x:v>17746823417</x:v>
      </x:c>
      <x:c r="O427" s="72" t="n">
        <x:f aca="0">N427/1000000</x:f>
        <x:v>17746.823417</x:v>
      </x:c>
      <x:c r="P427" s="73" t="n">
        <x:f aca="0">KOHC!H101</x:f>
        <x:v>17746.823417</x:v>
      </x:c>
      <x:c r="Q427" s="70" t="str">
        <x:f aca="0">IF(ABS(O427-P427)&lt;0.000001,"PASS","FAIL")</x:f>
        <x:v>PASS</x:v>
      </x:c>
      <x:c r="R427" s="70" t="s">
        <x:v>28</x:v>
      </x:c>
      <x:c r="S427" s="70"/>
    </x:row>
    <x:row r="428" ht="15" hidden="0">
      <x:c r="A428" s="70" t="s">
        <x:v>1552</x:v>
      </x:c>
      <x:c r="B428" s="70" t="s">
        <x:v>25</x:v>
      </x:c>
      <x:c r="C428" s="70" t="s">
        <x:v>73</x:v>
      </x:c>
      <x:c r="D428" s="70" t="s">
        <x:v>450</x:v>
      </x:c>
      <x:c r="E428" s="70" t="s">
        <x:v>1472</x:v>
      </x:c>
      <x:c r="F428" s="70" t="s">
        <x:v>1553</x:v>
      </x:c>
      <x:c r="G428" s="70" t="s">
        <x:v>1203</x:v>
      </x:c>
      <x:c r="H428" s="70" t="s">
        <x:v>1204</x:v>
      </x:c>
      <x:c r="I428" s="70" t="s">
        <x:v>1199</x:v>
      </x:c>
      <x:c r="J428" s="70" t="n">
        <x:v>54</x:v>
      </x:c>
      <x:c r="K428" s="70" t="s">
        <x:v>1230</x:v>
      </x:c>
      <x:c r="L428" s="70"/>
      <x:c r="M428" s="70" t="s">
        <x:v>29</x:v>
      </x:c>
      <x:c r="N428" s="71" t="n">
        <x:v>3497507247</x:v>
      </x:c>
      <x:c r="O428" s="72" t="n">
        <x:f aca="0">N428/1000000</x:f>
        <x:v>3497.507247</x:v>
      </x:c>
      <x:c r="P428" s="73" t="n">
        <x:f aca="0">KOHC!D102</x:f>
        <x:v>3497.507247</x:v>
      </x:c>
      <x:c r="Q428" s="70" t="str">
        <x:f aca="0">IF(ABS(O428-P428)&lt;0.000001,"PASS","FAIL")</x:f>
        <x:v>PASS</x:v>
      </x:c>
      <x:c r="R428" s="70" t="s">
        <x:v>28</x:v>
      </x:c>
      <x:c r="S428" s="70"/>
    </x:row>
    <x:row r="429" ht="15" hidden="0">
      <x:c r="A429" s="70" t="s">
        <x:v>1554</x:v>
      </x:c>
      <x:c r="B429" s="70" t="s">
        <x:v>25</x:v>
      </x:c>
      <x:c r="C429" s="70" t="s">
        <x:v>74</x:v>
      </x:c>
      <x:c r="D429" s="70" t="s">
        <x:v>450</x:v>
      </x:c>
      <x:c r="E429" s="70" t="s">
        <x:v>1472</x:v>
      </x:c>
      <x:c r="F429" s="70" t="s">
        <x:v>1553</x:v>
      </x:c>
      <x:c r="G429" s="70" t="s">
        <x:v>1207</x:v>
      </x:c>
      <x:c r="H429" s="70" t="s">
        <x:v>1208</x:v>
      </x:c>
      <x:c r="I429" s="70" t="s">
        <x:v>1199</x:v>
      </x:c>
      <x:c r="J429" s="70" t="n">
        <x:v>54</x:v>
      </x:c>
      <x:c r="K429" s="70" t="s">
        <x:v>1230</x:v>
      </x:c>
      <x:c r="L429" s="70"/>
      <x:c r="M429" s="70" t="s">
        <x:v>29</x:v>
      </x:c>
      <x:c r="N429" s="71" t="n">
        <x:v>5024280260</x:v>
      </x:c>
      <x:c r="O429" s="72" t="n">
        <x:f aca="0">N429/1000000</x:f>
        <x:v>5024.28026</x:v>
      </x:c>
      <x:c r="P429" s="73" t="n">
        <x:f aca="0">KOHC!E102</x:f>
        <x:v>5024.28026</x:v>
      </x:c>
      <x:c r="Q429" s="70" t="str">
        <x:f aca="0">IF(ABS(O429-P429)&lt;0.000001,"PASS","FAIL")</x:f>
        <x:v>PASS</x:v>
      </x:c>
      <x:c r="R429" s="70" t="s">
        <x:v>28</x:v>
      </x:c>
      <x:c r="S429" s="70"/>
    </x:row>
    <x:row r="430" ht="15" hidden="0">
      <x:c r="A430" s="70" t="s">
        <x:v>1555</x:v>
      </x:c>
      <x:c r="B430" s="70" t="s">
        <x:v>25</x:v>
      </x:c>
      <x:c r="C430" s="70" t="s">
        <x:v>75</x:v>
      </x:c>
      <x:c r="D430" s="70" t="s">
        <x:v>450</x:v>
      </x:c>
      <x:c r="E430" s="70" t="s">
        <x:v>1472</x:v>
      </x:c>
      <x:c r="F430" s="70" t="s">
        <x:v>1553</x:v>
      </x:c>
      <x:c r="G430" s="70" t="s">
        <x:v>1210</x:v>
      </x:c>
      <x:c r="H430" s="70" t="s">
        <x:v>1211</x:v>
      </x:c>
      <x:c r="I430" s="70" t="s">
        <x:v>1199</x:v>
      </x:c>
      <x:c r="J430" s="70" t="n">
        <x:v>60</x:v>
      </x:c>
      <x:c r="K430" s="70" t="s">
        <x:v>1230</x:v>
      </x:c>
      <x:c r="L430" s="70"/>
      <x:c r="M430" s="70" t="s">
        <x:v>29</x:v>
      </x:c>
      <x:c r="N430" s="71" t="n">
        <x:v>5820751145</x:v>
      </x:c>
      <x:c r="O430" s="72" t="n">
        <x:f aca="0">N430/1000000</x:f>
        <x:v>5820.751145</x:v>
      </x:c>
      <x:c r="P430" s="73" t="n">
        <x:f aca="0">KOHC!F102</x:f>
        <x:v>5820.751145</x:v>
      </x:c>
      <x:c r="Q430" s="70" t="str">
        <x:f aca="0">IF(ABS(O430-P430)&lt;0.000001,"PASS","FAIL")</x:f>
        <x:v>PASS</x:v>
      </x:c>
      <x:c r="R430" s="70" t="s">
        <x:v>28</x:v>
      </x:c>
      <x:c r="S430" s="70"/>
    </x:row>
    <x:row r="431" ht="15" hidden="0">
      <x:c r="A431" s="70" t="s">
        <x:v>1556</x:v>
      </x:c>
      <x:c r="B431" s="70" t="s">
        <x:v>25</x:v>
      </x:c>
      <x:c r="C431" s="70" t="s">
        <x:v>76</x:v>
      </x:c>
      <x:c r="D431" s="70" t="s">
        <x:v>450</x:v>
      </x:c>
      <x:c r="E431" s="70" t="s">
        <x:v>1472</x:v>
      </x:c>
      <x:c r="F431" s="70" t="s">
        <x:v>1553</x:v>
      </x:c>
      <x:c r="G431" s="70" t="s">
        <x:v>1214</x:v>
      </x:c>
      <x:c r="H431" s="70" t="s">
        <x:v>1215</x:v>
      </x:c>
      <x:c r="I431" s="70" t="s">
        <x:v>1199</x:v>
      </x:c>
      <x:c r="J431" s="70" t="n">
        <x:v>70</x:v>
      </x:c>
      <x:c r="K431" s="70" t="s">
        <x:v>1477</x:v>
      </x:c>
      <x:c r="L431" s="70"/>
      <x:c r="M431" s="70" t="s">
        <x:v>29</x:v>
      </x:c>
      <x:c r="N431" s="71" t="n">
        <x:v>8893454787</x:v>
      </x:c>
      <x:c r="O431" s="72" t="n">
        <x:f aca="0">N431/1000000</x:f>
        <x:v>8893.454787</x:v>
      </x:c>
      <x:c r="P431" s="73" t="n">
        <x:f aca="0">KOHC!G102</x:f>
        <x:v>8893.454787</x:v>
      </x:c>
      <x:c r="Q431" s="70" t="str">
        <x:f aca="0">IF(ABS(O431-P431)&lt;0.000001,"PASS","FAIL")</x:f>
        <x:v>PASS</x:v>
      </x:c>
      <x:c r="R431" s="70" t="s">
        <x:v>28</x:v>
      </x:c>
      <x:c r="S431" s="70"/>
    </x:row>
    <x:row r="432" ht="15" hidden="0">
      <x:c r="A432" s="70" t="s">
        <x:v>1557</x:v>
      </x:c>
      <x:c r="B432" s="70" t="s">
        <x:v>25</x:v>
      </x:c>
      <x:c r="C432" s="70" t="s">
        <x:v>77</x:v>
      </x:c>
      <x:c r="D432" s="70" t="s">
        <x:v>450</x:v>
      </x:c>
      <x:c r="E432" s="70" t="s">
        <x:v>1472</x:v>
      </x:c>
      <x:c r="F432" s="70" t="s">
        <x:v>1553</x:v>
      </x:c>
      <x:c r="G432" s="70" t="s">
        <x:v>1214</x:v>
      </x:c>
      <x:c r="H432" s="70" t="s">
        <x:v>1215</x:v>
      </x:c>
      <x:c r="I432" s="70" t="s">
        <x:v>1218</x:v>
      </x:c>
      <x:c r="J432" s="70" t="n">
        <x:v>70</x:v>
      </x:c>
      <x:c r="K432" s="70" t="s">
        <x:v>1477</x:v>
      </x:c>
      <x:c r="L432" s="70"/>
      <x:c r="M432" s="70" t="s">
        <x:v>29</x:v>
      </x:c>
      <x:c r="N432" s="71" t="n">
        <x:v>11575154071</x:v>
      </x:c>
      <x:c r="O432" s="72" t="n">
        <x:f aca="0">N432/1000000</x:f>
        <x:v>11575.154071</x:v>
      </x:c>
      <x:c r="P432" s="73" t="n">
        <x:f aca="0">KOHC!H102</x:f>
        <x:v>11575.154071</x:v>
      </x:c>
      <x:c r="Q432" s="70" t="str">
        <x:f aca="0">IF(ABS(O432-P432)&lt;0.000001,"PASS","FAIL")</x:f>
        <x:v>PASS</x:v>
      </x:c>
      <x:c r="R432" s="70" t="s">
        <x:v>28</x:v>
      </x:c>
      <x:c r="S432" s="70"/>
    </x:row>
    <x:row r="433" ht="15" hidden="0">
      <x:c r="A433" s="70" t="s">
        <x:v>1558</x:v>
      </x:c>
      <x:c r="B433" s="70" t="s">
        <x:v>25</x:v>
      </x:c>
      <x:c r="C433" s="70" t="s">
        <x:v>73</x:v>
      </x:c>
      <x:c r="D433" s="70" t="s">
        <x:v>454</x:v>
      </x:c>
      <x:c r="E433" s="70" t="s">
        <x:v>1221</x:v>
      </x:c>
      <x:c r="F433" s="70" t="s">
        <x:v>1559</x:v>
      </x:c>
      <x:c r="G433" s="70" t="s">
        <x:v>1203</x:v>
      </x:c>
      <x:c r="H433" s="70" t="s">
        <x:v>1204</x:v>
      </x:c>
      <x:c r="I433" s="70" t="s">
        <x:v>1199</x:v>
      </x:c>
      <x:c r="J433" s="70" t="n">
        <x:v>94</x:v>
      </x:c>
      <x:c r="K433" s="70" t="s">
        <x:v>1560</x:v>
      </x:c>
      <x:c r="L433" s="70"/>
      <x:c r="M433" s="70" t="s">
        <x:v>29</x:v>
      </x:c>
      <x:c r="N433" s="71" t="n">
        <x:v>26751082</x:v>
      </x:c>
      <x:c r="O433" s="72" t="n">
        <x:f aca="0">N433/1000000</x:f>
        <x:v>26.751082</x:v>
      </x:c>
      <x:c r="P433" s="73" t="n">
        <x:f aca="0">KOHC!D105</x:f>
        <x:v>26.751082</x:v>
      </x:c>
      <x:c r="Q433" s="70" t="str">
        <x:f aca="0">IF(ABS(O433-P433)&lt;0.000001,"PASS","FAIL")</x:f>
        <x:v>PASS</x:v>
      </x:c>
      <x:c r="R433" s="70" t="s">
        <x:v>28</x:v>
      </x:c>
      <x:c r="S433" s="70"/>
    </x:row>
    <x:row r="434" ht="15" hidden="0">
      <x:c r="A434" s="70" t="s">
        <x:v>1561</x:v>
      </x:c>
      <x:c r="B434" s="70" t="s">
        <x:v>25</x:v>
      </x:c>
      <x:c r="C434" s="70" t="s">
        <x:v>74</x:v>
      </x:c>
      <x:c r="D434" s="70" t="s">
        <x:v>454</x:v>
      </x:c>
      <x:c r="E434" s="70" t="s">
        <x:v>1221</x:v>
      </x:c>
      <x:c r="F434" s="70" t="s">
        <x:v>1559</x:v>
      </x:c>
      <x:c r="G434" s="70" t="s">
        <x:v>1207</x:v>
      </x:c>
      <x:c r="H434" s="70" t="s">
        <x:v>1208</x:v>
      </x:c>
      <x:c r="I434" s="70" t="s">
        <x:v>1199</x:v>
      </x:c>
      <x:c r="J434" s="70" t="n">
        <x:v>92</x:v>
      </x:c>
      <x:c r="K434" s="70" t="s">
        <x:v>1562</x:v>
      </x:c>
      <x:c r="L434" s="70"/>
      <x:c r="M434" s="70" t="s">
        <x:v>29</x:v>
      </x:c>
      <x:c r="N434" s="71" t="n">
        <x:v>22374466</x:v>
      </x:c>
      <x:c r="O434" s="72" t="n">
        <x:f aca="0">N434/1000000</x:f>
        <x:v>22.374466</x:v>
      </x:c>
      <x:c r="P434" s="73" t="n">
        <x:f aca="0">KOHC!E105</x:f>
        <x:v>22.374466</x:v>
      </x:c>
      <x:c r="Q434" s="70" t="str">
        <x:f aca="0">IF(ABS(O434-P434)&lt;0.000001,"PASS","FAIL")</x:f>
        <x:v>PASS</x:v>
      </x:c>
      <x:c r="R434" s="70" t="s">
        <x:v>28</x:v>
      </x:c>
      <x:c r="S434" s="70"/>
    </x:row>
    <x:row r="435" ht="15" hidden="0">
      <x:c r="A435" s="70" t="s">
        <x:v>1563</x:v>
      </x:c>
      <x:c r="B435" s="70" t="s">
        <x:v>25</x:v>
      </x:c>
      <x:c r="C435" s="70" t="s">
        <x:v>75</x:v>
      </x:c>
      <x:c r="D435" s="70" t="s">
        <x:v>454</x:v>
      </x:c>
      <x:c r="E435" s="70" t="s">
        <x:v>1221</x:v>
      </x:c>
      <x:c r="F435" s="70" t="s">
        <x:v>1559</x:v>
      </x:c>
      <x:c r="G435" s="70" t="s">
        <x:v>1210</x:v>
      </x:c>
      <x:c r="H435" s="70" t="s">
        <x:v>1211</x:v>
      </x:c>
      <x:c r="I435" s="70" t="s">
        <x:v>1199</x:v>
      </x:c>
      <x:c r="J435" s="70" t="n">
        <x:v>100</x:v>
      </x:c>
      <x:c r="K435" s="70" t="s">
        <x:v>1564</x:v>
      </x:c>
      <x:c r="L435" s="70"/>
      <x:c r="M435" s="70" t="s">
        <x:v>29</x:v>
      </x:c>
      <x:c r="N435" s="71" t="n">
        <x:v>56744443</x:v>
      </x:c>
      <x:c r="O435" s="72" t="n">
        <x:f aca="0">N435/1000000</x:f>
        <x:v>56.744443</x:v>
      </x:c>
      <x:c r="P435" s="73" t="n">
        <x:f aca="0">KOHC!F105</x:f>
        <x:v>56.744443</x:v>
      </x:c>
      <x:c r="Q435" s="70" t="str">
        <x:f aca="0">IF(ABS(O435-P435)&lt;0.000001,"PASS","FAIL")</x:f>
        <x:v>PASS</x:v>
      </x:c>
      <x:c r="R435" s="70" t="s">
        <x:v>28</x:v>
      </x:c>
      <x:c r="S435" s="70"/>
    </x:row>
    <x:row r="436" ht="15" hidden="0">
      <x:c r="A436" s="70" t="s">
        <x:v>1565</x:v>
      </x:c>
      <x:c r="B436" s="70" t="s">
        <x:v>25</x:v>
      </x:c>
      <x:c r="C436" s="70" t="s">
        <x:v>76</x:v>
      </x:c>
      <x:c r="D436" s="70" t="s">
        <x:v>454</x:v>
      </x:c>
      <x:c r="E436" s="70" t="s">
        <x:v>1221</x:v>
      </x:c>
      <x:c r="F436" s="70" t="s">
        <x:v>1559</x:v>
      </x:c>
      <x:c r="G436" s="70" t="s">
        <x:v>1214</x:v>
      </x:c>
      <x:c r="H436" s="70" t="s">
        <x:v>1215</x:v>
      </x:c>
      <x:c r="I436" s="70" t="s">
        <x:v>1199</x:v>
      </x:c>
      <x:c r="J436" s="70" t="n">
        <x:v>108</x:v>
      </x:c>
      <x:c r="K436" s="70" t="s">
        <x:v>1566</x:v>
      </x:c>
      <x:c r="L436" s="70"/>
      <x:c r="M436" s="70" t="s">
        <x:v>29</x:v>
      </x:c>
      <x:c r="N436" s="71" t="n">
        <x:v>31196710</x:v>
      </x:c>
      <x:c r="O436" s="72" t="n">
        <x:f aca="0">N436/1000000</x:f>
        <x:v>31.19671</x:v>
      </x:c>
      <x:c r="P436" s="73" t="n">
        <x:f aca="0">KOHC!G105</x:f>
        <x:v>31.19671</x:v>
      </x:c>
      <x:c r="Q436" s="70" t="str">
        <x:f aca="0">IF(ABS(O436-P436)&lt;0.000001,"PASS","FAIL")</x:f>
        <x:v>PASS</x:v>
      </x:c>
      <x:c r="R436" s="70" t="s">
        <x:v>28</x:v>
      </x:c>
      <x:c r="S436" s="70"/>
    </x:row>
    <x:row r="437" ht="15" hidden="0">
      <x:c r="A437" s="70" t="s">
        <x:v>1567</x:v>
      </x:c>
      <x:c r="B437" s="70" t="s">
        <x:v>25</x:v>
      </x:c>
      <x:c r="C437" s="70" t="s">
        <x:v>77</x:v>
      </x:c>
      <x:c r="D437" s="70" t="s">
        <x:v>454</x:v>
      </x:c>
      <x:c r="E437" s="70" t="s">
        <x:v>1221</x:v>
      </x:c>
      <x:c r="F437" s="70" t="s">
        <x:v>1559</x:v>
      </x:c>
      <x:c r="G437" s="70" t="s">
        <x:v>1214</x:v>
      </x:c>
      <x:c r="H437" s="70" t="s">
        <x:v>1215</x:v>
      </x:c>
      <x:c r="I437" s="70" t="s">
        <x:v>1218</x:v>
      </x:c>
      <x:c r="J437" s="70" t="n">
        <x:v>108</x:v>
      </x:c>
      <x:c r="K437" s="70" t="s">
        <x:v>1566</x:v>
      </x:c>
      <x:c r="L437" s="70"/>
      <x:c r="M437" s="70" t="s">
        <x:v>29</x:v>
      </x:c>
      <x:c r="N437" s="71" t="n">
        <x:v>43699977</x:v>
      </x:c>
      <x:c r="O437" s="72" t="n">
        <x:f aca="0">N437/1000000</x:f>
        <x:v>43.699977</x:v>
      </x:c>
      <x:c r="P437" s="73" t="n">
        <x:f aca="0">KOHC!H105</x:f>
        <x:v>43.699977</x:v>
      </x:c>
      <x:c r="Q437" s="70" t="str">
        <x:f aca="0">IF(ABS(O437-P437)&lt;0.000001,"PASS","FAIL")</x:f>
        <x:v>PASS</x:v>
      </x:c>
      <x:c r="R437" s="70" t="s">
        <x:v>28</x:v>
      </x:c>
      <x:c r="S437" s="70"/>
    </x:row>
    <x:row r="438" ht="15" hidden="0">
      <x:c r="A438" s="70" t="s">
        <x:v>1568</x:v>
      </x:c>
      <x:c r="B438" s="70" t="s">
        <x:v>25</x:v>
      </x:c>
      <x:c r="C438" s="70" t="s">
        <x:v>73</x:v>
      </x:c>
      <x:c r="D438" s="70" t="s">
        <x:v>458</x:v>
      </x:c>
      <x:c r="E438" s="70" t="s">
        <x:v>172</x:v>
      </x:c>
      <x:c r="F438" s="70" t="s">
        <x:v>1569</x:v>
      </x:c>
      <x:c r="G438" s="70" t="s">
        <x:v>1203</x:v>
      </x:c>
      <x:c r="H438" s="70" t="s">
        <x:v>1204</x:v>
      </x:c>
      <x:c r="I438" s="70" t="s">
        <x:v>1199</x:v>
      </x:c>
      <x:c r="J438" s="70" t="n">
        <x:v>95</x:v>
      </x:c>
      <x:c r="K438" s="70" t="s">
        <x:v>1200</x:v>
      </x:c>
      <x:c r="L438" s="70"/>
      <x:c r="M438" s="70" t="s">
        <x:v>29</x:v>
      </x:c>
      <x:c r="N438" s="71" t="n">
        <x:v>1230692701</x:v>
      </x:c>
      <x:c r="O438" s="72" t="n">
        <x:f aca="0">N438/1000000</x:f>
        <x:v>1230.692701</x:v>
      </x:c>
      <x:c r="P438" s="73" t="n">
        <x:f aca="0">KOHC!D107</x:f>
        <x:v>1230.692701</x:v>
      </x:c>
      <x:c r="Q438" s="70" t="str">
        <x:f aca="0">IF(ABS(O438-P438)&lt;0.000001,"PASS","FAIL")</x:f>
        <x:v>PASS</x:v>
      </x:c>
      <x:c r="R438" s="70" t="s">
        <x:v>28</x:v>
      </x:c>
      <x:c r="S438" s="70"/>
    </x:row>
    <x:row r="439" ht="15" hidden="0">
      <x:c r="A439" s="70" t="s">
        <x:v>1570</x:v>
      </x:c>
      <x:c r="B439" s="70" t="s">
        <x:v>25</x:v>
      </x:c>
      <x:c r="C439" s="70" t="s">
        <x:v>74</x:v>
      </x:c>
      <x:c r="D439" s="70" t="s">
        <x:v>458</x:v>
      </x:c>
      <x:c r="E439" s="70" t="s">
        <x:v>172</x:v>
      </x:c>
      <x:c r="F439" s="70" t="s">
        <x:v>1569</x:v>
      </x:c>
      <x:c r="G439" s="70" t="s">
        <x:v>1207</x:v>
      </x:c>
      <x:c r="H439" s="70" t="s">
        <x:v>1208</x:v>
      </x:c>
      <x:c r="I439" s="70" t="s">
        <x:v>1199</x:v>
      </x:c>
      <x:c r="J439" s="70" t="n">
        <x:v>93</x:v>
      </x:c>
      <x:c r="K439" s="70" t="s">
        <x:v>1200</x:v>
      </x:c>
      <x:c r="L439" s="70"/>
      <x:c r="M439" s="70" t="s">
        <x:v>29</x:v>
      </x:c>
      <x:c r="N439" s="71" t="n">
        <x:v>1118109816</x:v>
      </x:c>
      <x:c r="O439" s="72" t="n">
        <x:f aca="0">N439/1000000</x:f>
        <x:v>1118.109816</x:v>
      </x:c>
      <x:c r="P439" s="73" t="n">
        <x:f aca="0">KOHC!E107</x:f>
        <x:v>1118.109816</x:v>
      </x:c>
      <x:c r="Q439" s="70" t="str">
        <x:f aca="0">IF(ABS(O439-P439)&lt;0.000001,"PASS","FAIL")</x:f>
        <x:v>PASS</x:v>
      </x:c>
      <x:c r="R439" s="70" t="s">
        <x:v>28</x:v>
      </x:c>
      <x:c r="S439" s="70"/>
    </x:row>
    <x:row r="440" ht="15" hidden="0">
      <x:c r="A440" s="70" t="s">
        <x:v>1571</x:v>
      </x:c>
      <x:c r="B440" s="70" t="s">
        <x:v>25</x:v>
      </x:c>
      <x:c r="C440" s="70" t="s">
        <x:v>75</x:v>
      </x:c>
      <x:c r="D440" s="70" t="s">
        <x:v>458</x:v>
      </x:c>
      <x:c r="E440" s="70" t="s">
        <x:v>172</x:v>
      </x:c>
      <x:c r="F440" s="70" t="s">
        <x:v>1569</x:v>
      </x:c>
      <x:c r="G440" s="70" t="s">
        <x:v>1210</x:v>
      </x:c>
      <x:c r="H440" s="70" t="s">
        <x:v>1211</x:v>
      </x:c>
      <x:c r="I440" s="70" t="s">
        <x:v>1199</x:v>
      </x:c>
      <x:c r="J440" s="70" t="n">
        <x:v>102</x:v>
      </x:c>
      <x:c r="K440" s="70" t="s">
        <x:v>1572</x:v>
      </x:c>
      <x:c r="L440" s="70"/>
      <x:c r="M440" s="70" t="s">
        <x:v>29</x:v>
      </x:c>
      <x:c r="N440" s="71" t="n">
        <x:v>1116013390</x:v>
      </x:c>
      <x:c r="O440" s="72" t="n">
        <x:f aca="0">N440/1000000</x:f>
        <x:v>1116.01339</x:v>
      </x:c>
      <x:c r="P440" s="73" t="n">
        <x:f aca="0">KOHC!F107</x:f>
        <x:v>1116.01339</x:v>
      </x:c>
      <x:c r="Q440" s="70" t="str">
        <x:f aca="0">IF(ABS(O440-P440)&lt;0.000001,"PASS","FAIL")</x:f>
        <x:v>PASS</x:v>
      </x:c>
      <x:c r="R440" s="70" t="s">
        <x:v>28</x:v>
      </x:c>
      <x:c r="S440" s="70"/>
    </x:row>
    <x:row r="441" ht="15" hidden="0">
      <x:c r="A441" s="70" t="s">
        <x:v>1573</x:v>
      </x:c>
      <x:c r="B441" s="70" t="s">
        <x:v>25</x:v>
      </x:c>
      <x:c r="C441" s="70" t="s">
        <x:v>76</x:v>
      </x:c>
      <x:c r="D441" s="70" t="s">
        <x:v>458</x:v>
      </x:c>
      <x:c r="E441" s="70" t="s">
        <x:v>172</x:v>
      </x:c>
      <x:c r="F441" s="70" t="s">
        <x:v>1569</x:v>
      </x:c>
      <x:c r="G441" s="70" t="s">
        <x:v>1214</x:v>
      </x:c>
      <x:c r="H441" s="70" t="s">
        <x:v>1215</x:v>
      </x:c>
      <x:c r="I441" s="70" t="s">
        <x:v>1199</x:v>
      </x:c>
      <x:c r="J441" s="70" t="n">
        <x:v>110</x:v>
      </x:c>
      <x:c r="K441" s="70" t="s">
        <x:v>1574</x:v>
      </x:c>
      <x:c r="L441" s="70"/>
      <x:c r="M441" s="70" t="s">
        <x:v>29</x:v>
      </x:c>
      <x:c r="N441" s="71" t="n">
        <x:v>1182787174</x:v>
      </x:c>
      <x:c r="O441" s="72" t="n">
        <x:f aca="0">N441/1000000</x:f>
        <x:v>1182.787174</x:v>
      </x:c>
      <x:c r="P441" s="73" t="n">
        <x:f aca="0">KOHC!G107</x:f>
        <x:v>1182.787174</x:v>
      </x:c>
      <x:c r="Q441" s="70" t="str">
        <x:f aca="0">IF(ABS(O441-P441)&lt;0.000001,"PASS","FAIL")</x:f>
        <x:v>PASS</x:v>
      </x:c>
      <x:c r="R441" s="70" t="s">
        <x:v>28</x:v>
      </x:c>
      <x:c r="S441" s="70"/>
    </x:row>
    <x:row r="442" ht="15" hidden="0">
      <x:c r="A442" s="70" t="s">
        <x:v>1575</x:v>
      </x:c>
      <x:c r="B442" s="70" t="s">
        <x:v>25</x:v>
      </x:c>
      <x:c r="C442" s="70" t="s">
        <x:v>77</x:v>
      </x:c>
      <x:c r="D442" s="70" t="s">
        <x:v>458</x:v>
      </x:c>
      <x:c r="E442" s="70" t="s">
        <x:v>172</x:v>
      </x:c>
      <x:c r="F442" s="70" t="s">
        <x:v>1569</x:v>
      </x:c>
      <x:c r="G442" s="70" t="s">
        <x:v>1214</x:v>
      </x:c>
      <x:c r="H442" s="70" t="s">
        <x:v>1215</x:v>
      </x:c>
      <x:c r="I442" s="70" t="s">
        <x:v>1218</x:v>
      </x:c>
      <x:c r="J442" s="70" t="n">
        <x:v>110</x:v>
      </x:c>
      <x:c r="K442" s="70" t="s">
        <x:v>1574</x:v>
      </x:c>
      <x:c r="L442" s="70"/>
      <x:c r="M442" s="70" t="s">
        <x:v>29</x:v>
      </x:c>
      <x:c r="N442" s="71" t="n">
        <x:v>1264994747</x:v>
      </x:c>
      <x:c r="O442" s="72" t="n">
        <x:f aca="0">N442/1000000</x:f>
        <x:v>1264.994747</x:v>
      </x:c>
      <x:c r="P442" s="73" t="n">
        <x:f aca="0">KOHC!H107</x:f>
        <x:v>1264.994747</x:v>
      </x:c>
      <x:c r="Q442" s="70" t="str">
        <x:f aca="0">IF(ABS(O442-P442)&lt;0.000001,"PASS","FAIL")</x:f>
        <x:v>PASS</x:v>
      </x:c>
      <x:c r="R442" s="70" t="s">
        <x:v>28</x:v>
      </x:c>
      <x:c r="S442" s="70"/>
    </x:row>
    <x:row r="443" ht="15" hidden="0">
      <x:c r="A443" s="70" t="s">
        <x:v>1576</x:v>
      </x:c>
      <x:c r="B443" s="70" t="s">
        <x:v>25</x:v>
      </x:c>
      <x:c r="C443" s="70" t="s">
        <x:v>73</x:v>
      </x:c>
      <x:c r="D443" s="70" t="s">
        <x:v>473</x:v>
      </x:c>
      <x:c r="E443" s="70" t="s">
        <x:v>172</x:v>
      </x:c>
      <x:c r="F443" s="70" t="s">
        <x:v>1577</x:v>
      </x:c>
      <x:c r="G443" s="70" t="s">
        <x:v>1203</x:v>
      </x:c>
      <x:c r="H443" s="70" t="s">
        <x:v>1204</x:v>
      </x:c>
      <x:c r="I443" s="70" t="s">
        <x:v>1199</x:v>
      </x:c>
      <x:c r="J443" s="70" t="n">
        <x:v>57</x:v>
      </x:c>
      <x:c r="K443" s="70" t="s">
        <x:v>1230</x:v>
      </x:c>
      <x:c r="L443" s="70"/>
      <x:c r="M443" s="70" t="s">
        <x:v>29</x:v>
      </x:c>
      <x:c r="N443" s="71" t="n">
        <x:v>6012030743</x:v>
      </x:c>
      <x:c r="O443" s="72" t="n">
        <x:f aca="0">N443/1000000</x:f>
        <x:v>6012.030743</x:v>
      </x:c>
      <x:c r="P443" s="73" t="n">
        <x:f aca="0">KOHC!D116</x:f>
        <x:v>6012.030743</x:v>
      </x:c>
      <x:c r="Q443" s="70" t="str">
        <x:f aca="0">IF(ABS(O443-P443)&lt;0.000001,"PASS","FAIL")</x:f>
        <x:v>PASS</x:v>
      </x:c>
      <x:c r="R443" s="70" t="s">
        <x:v>28</x:v>
      </x:c>
      <x:c r="S443" s="70"/>
    </x:row>
    <x:row r="444" ht="15" hidden="0">
      <x:c r="A444" s="70" t="s">
        <x:v>1578</x:v>
      </x:c>
      <x:c r="B444" s="70" t="s">
        <x:v>25</x:v>
      </x:c>
      <x:c r="C444" s="70" t="s">
        <x:v>74</x:v>
      </x:c>
      <x:c r="D444" s="70" t="s">
        <x:v>473</x:v>
      </x:c>
      <x:c r="E444" s="70" t="s">
        <x:v>172</x:v>
      </x:c>
      <x:c r="F444" s="70" t="s">
        <x:v>1577</x:v>
      </x:c>
      <x:c r="G444" s="70" t="s">
        <x:v>1207</x:v>
      </x:c>
      <x:c r="H444" s="70" t="s">
        <x:v>1208</x:v>
      </x:c>
      <x:c r="I444" s="70" t="s">
        <x:v>1199</x:v>
      </x:c>
      <x:c r="J444" s="70" t="n">
        <x:v>57</x:v>
      </x:c>
      <x:c r="K444" s="70" t="s">
        <x:v>1230</x:v>
      </x:c>
      <x:c r="L444" s="70"/>
      <x:c r="M444" s="70" t="s">
        <x:v>29</x:v>
      </x:c>
      <x:c r="N444" s="71" t="n">
        <x:v>9429252992</x:v>
      </x:c>
      <x:c r="O444" s="72" t="n">
        <x:f aca="0">N444/1000000</x:f>
        <x:v>9429.252992</x:v>
      </x:c>
      <x:c r="P444" s="73" t="n">
        <x:f aca="0">KOHC!E116</x:f>
        <x:v>9429.252992</x:v>
      </x:c>
      <x:c r="Q444" s="70" t="str">
        <x:f aca="0">IF(ABS(O444-P444)&lt;0.000001,"PASS","FAIL")</x:f>
        <x:v>PASS</x:v>
      </x:c>
      <x:c r="R444" s="70" t="s">
        <x:v>28</x:v>
      </x:c>
      <x:c r="S444" s="70"/>
    </x:row>
    <x:row r="445" ht="15" hidden="0">
      <x:c r="A445" s="70" t="s">
        <x:v>1579</x:v>
      </x:c>
      <x:c r="B445" s="70" t="s">
        <x:v>25</x:v>
      </x:c>
      <x:c r="C445" s="70" t="s">
        <x:v>75</x:v>
      </x:c>
      <x:c r="D445" s="70" t="s">
        <x:v>473</x:v>
      </x:c>
      <x:c r="E445" s="70" t="s">
        <x:v>172</x:v>
      </x:c>
      <x:c r="F445" s="70" t="s">
        <x:v>1577</x:v>
      </x:c>
      <x:c r="G445" s="70" t="s">
        <x:v>1210</x:v>
      </x:c>
      <x:c r="H445" s="70" t="s">
        <x:v>1211</x:v>
      </x:c>
      <x:c r="I445" s="70" t="s">
        <x:v>1199</x:v>
      </x:c>
      <x:c r="J445" s="70" t="n">
        <x:v>63</x:v>
      </x:c>
      <x:c r="K445" s="70" t="s">
        <x:v>1230</x:v>
      </x:c>
      <x:c r="L445" s="70"/>
      <x:c r="M445" s="70" t="s">
        <x:v>29</x:v>
      </x:c>
      <x:c r="N445" s="71" t="n">
        <x:v>7862593209</x:v>
      </x:c>
      <x:c r="O445" s="72" t="n">
        <x:f aca="0">N445/1000000</x:f>
        <x:v>7862.593209</x:v>
      </x:c>
      <x:c r="P445" s="73" t="n">
        <x:f aca="0">KOHC!F116</x:f>
        <x:v>7862.593209</x:v>
      </x:c>
      <x:c r="Q445" s="70" t="str">
        <x:f aca="0">IF(ABS(O445-P445)&lt;0.000001,"PASS","FAIL")</x:f>
        <x:v>PASS</x:v>
      </x:c>
      <x:c r="R445" s="70" t="s">
        <x:v>28</x:v>
      </x:c>
      <x:c r="S445" s="70" t="s">
        <x:v>1205</x:v>
      </x:c>
    </x:row>
    <x:row r="446" ht="15" hidden="0">
      <x:c r="A446" s="70" t="s">
        <x:v>1580</x:v>
      </x:c>
      <x:c r="B446" s="70" t="s">
        <x:v>25</x:v>
      </x:c>
      <x:c r="C446" s="70" t="s">
        <x:v>76</x:v>
      </x:c>
      <x:c r="D446" s="70" t="s">
        <x:v>473</x:v>
      </x:c>
      <x:c r="E446" s="70" t="s">
        <x:v>172</x:v>
      </x:c>
      <x:c r="F446" s="70" t="s">
        <x:v>1577</x:v>
      </x:c>
      <x:c r="G446" s="70" t="s">
        <x:v>1214</x:v>
      </x:c>
      <x:c r="H446" s="70" t="s">
        <x:v>1215</x:v>
      </x:c>
      <x:c r="I446" s="70" t="s">
        <x:v>1199</x:v>
      </x:c>
      <x:c r="J446" s="70" t="n">
        <x:v>73</x:v>
      </x:c>
      <x:c r="K446" s="70" t="s">
        <x:v>1200</x:v>
      </x:c>
      <x:c r="L446" s="70"/>
      <x:c r="M446" s="70" t="s">
        <x:v>29</x:v>
      </x:c>
      <x:c r="N446" s="71" t="n">
        <x:v>11482975487</x:v>
      </x:c>
      <x:c r="O446" s="72" t="n">
        <x:f aca="0">N446/1000000</x:f>
        <x:v>11482.975487</x:v>
      </x:c>
      <x:c r="P446" s="73" t="n">
        <x:f aca="0">KOHC!G116</x:f>
        <x:v>11482.975487</x:v>
      </x:c>
      <x:c r="Q446" s="70" t="str">
        <x:f aca="0">IF(ABS(O446-P446)&lt;0.000001,"PASS","FAIL")</x:f>
        <x:v>PASS</x:v>
      </x:c>
      <x:c r="R446" s="70" t="s">
        <x:v>28</x:v>
      </x:c>
      <x:c r="S446" s="70" t="s">
        <x:v>1205</x:v>
      </x:c>
    </x:row>
    <x:row r="447" ht="15" hidden="0">
      <x:c r="A447" s="70" t="s">
        <x:v>1581</x:v>
      </x:c>
      <x:c r="B447" s="70" t="s">
        <x:v>25</x:v>
      </x:c>
      <x:c r="C447" s="70" t="s">
        <x:v>77</x:v>
      </x:c>
      <x:c r="D447" s="70" t="s">
        <x:v>473</x:v>
      </x:c>
      <x:c r="E447" s="70" t="s">
        <x:v>172</x:v>
      </x:c>
      <x:c r="F447" s="70" t="s">
        <x:v>1577</x:v>
      </x:c>
      <x:c r="G447" s="70" t="s">
        <x:v>1214</x:v>
      </x:c>
      <x:c r="H447" s="70" t="s">
        <x:v>1215</x:v>
      </x:c>
      <x:c r="I447" s="70" t="s">
        <x:v>1218</x:v>
      </x:c>
      <x:c r="J447" s="70" t="n">
        <x:v>73</x:v>
      </x:c>
      <x:c r="K447" s="70" t="s">
        <x:v>1200</x:v>
      </x:c>
      <x:c r="L447" s="70"/>
      <x:c r="M447" s="70" t="s">
        <x:v>29</x:v>
      </x:c>
      <x:c r="N447" s="71" t="n">
        <x:v>16574725509</x:v>
      </x:c>
      <x:c r="O447" s="72" t="n">
        <x:f aca="0">N447/1000000</x:f>
        <x:v>16574.725509</x:v>
      </x:c>
      <x:c r="P447" s="73" t="n">
        <x:f aca="0">KOHC!H116</x:f>
        <x:v>16574.725509</x:v>
      </x:c>
      <x:c r="Q447" s="70" t="str">
        <x:f aca="0">IF(ABS(O447-P447)&lt;0.000001,"PASS","FAIL")</x:f>
        <x:v>PASS</x:v>
      </x:c>
      <x:c r="R447" s="70" t="s">
        <x:v>28</x:v>
      </x:c>
      <x:c r="S447" s="70"/>
    </x:row>
    <x:row r="448" ht="15" hidden="0">
      <x:c r="A448" s="70" t="s">
        <x:v>1582</x:v>
      </x:c>
      <x:c r="B448" s="70" t="s">
        <x:v>25</x:v>
      </x:c>
      <x:c r="C448" s="70" t="s">
        <x:v>73</x:v>
      </x:c>
      <x:c r="D448" s="70" t="s">
        <x:v>475</x:v>
      </x:c>
      <x:c r="E448" s="70" t="s">
        <x:v>172</x:v>
      </x:c>
      <x:c r="F448" s="70" t="s">
        <x:v>1583</x:v>
      </x:c>
      <x:c r="G448" s="70" t="s">
        <x:v>1203</x:v>
      </x:c>
      <x:c r="H448" s="70" t="s">
        <x:v>1204</x:v>
      </x:c>
      <x:c r="I448" s="70" t="s">
        <x:v>1199</x:v>
      </x:c>
      <x:c r="J448" s="70" t="n">
        <x:v>57</x:v>
      </x:c>
      <x:c r="K448" s="70" t="s">
        <x:v>1230</x:v>
      </x:c>
      <x:c r="L448" s="70"/>
      <x:c r="M448" s="70" t="s">
        <x:v>29</x:v>
      </x:c>
      <x:c r="N448" s="71" t="n">
        <x:v>5089315864</x:v>
      </x:c>
      <x:c r="O448" s="72" t="n">
        <x:f aca="0">N448/1000000</x:f>
        <x:v>5089.315864</x:v>
      </x:c>
      <x:c r="P448" s="73" t="n">
        <x:f aca="0">KOHC!D117</x:f>
        <x:v>5089.315864</x:v>
      </x:c>
      <x:c r="Q448" s="70" t="str">
        <x:f aca="0">IF(ABS(O448-P448)&lt;0.000001,"PASS","FAIL")</x:f>
        <x:v>PASS</x:v>
      </x:c>
      <x:c r="R448" s="70" t="s">
        <x:v>28</x:v>
      </x:c>
      <x:c r="S448" s="70"/>
    </x:row>
    <x:row r="449" ht="15" hidden="0">
      <x:c r="A449" s="70" t="s">
        <x:v>1584</x:v>
      </x:c>
      <x:c r="B449" s="70" t="s">
        <x:v>25</x:v>
      </x:c>
      <x:c r="C449" s="70" t="s">
        <x:v>74</x:v>
      </x:c>
      <x:c r="D449" s="70" t="s">
        <x:v>475</x:v>
      </x:c>
      <x:c r="E449" s="70" t="s">
        <x:v>172</x:v>
      </x:c>
      <x:c r="F449" s="70" t="s">
        <x:v>1583</x:v>
      </x:c>
      <x:c r="G449" s="70" t="s">
        <x:v>1207</x:v>
      </x:c>
      <x:c r="H449" s="70" t="s">
        <x:v>1208</x:v>
      </x:c>
      <x:c r="I449" s="70" t="s">
        <x:v>1199</x:v>
      </x:c>
      <x:c r="J449" s="70" t="n">
        <x:v>57</x:v>
      </x:c>
      <x:c r="K449" s="70" t="s">
        <x:v>1230</x:v>
      </x:c>
      <x:c r="L449" s="70"/>
      <x:c r="M449" s="70" t="s">
        <x:v>29</x:v>
      </x:c>
      <x:c r="N449" s="71" t="n">
        <x:v>8181357890</x:v>
      </x:c>
      <x:c r="O449" s="72" t="n">
        <x:f aca="0">N449/1000000</x:f>
        <x:v>8181.35789</x:v>
      </x:c>
      <x:c r="P449" s="73" t="n">
        <x:f aca="0">KOHC!E117</x:f>
        <x:v>8181.35789</x:v>
      </x:c>
      <x:c r="Q449" s="70" t="str">
        <x:f aca="0">IF(ABS(O449-P449)&lt;0.000001,"PASS","FAIL")</x:f>
        <x:v>PASS</x:v>
      </x:c>
      <x:c r="R449" s="70" t="s">
        <x:v>28</x:v>
      </x:c>
      <x:c r="S449" s="70"/>
    </x:row>
    <x:row r="450" ht="15" hidden="0">
      <x:c r="A450" s="70" t="s">
        <x:v>1585</x:v>
      </x:c>
      <x:c r="B450" s="70" t="s">
        <x:v>25</x:v>
      </x:c>
      <x:c r="C450" s="70" t="s">
        <x:v>75</x:v>
      </x:c>
      <x:c r="D450" s="70" t="s">
        <x:v>475</x:v>
      </x:c>
      <x:c r="E450" s="70" t="s">
        <x:v>172</x:v>
      </x:c>
      <x:c r="F450" s="70" t="s">
        <x:v>1583</x:v>
      </x:c>
      <x:c r="G450" s="70" t="s">
        <x:v>1210</x:v>
      </x:c>
      <x:c r="H450" s="70" t="s">
        <x:v>1211</x:v>
      </x:c>
      <x:c r="I450" s="70" t="s">
        <x:v>1199</x:v>
      </x:c>
      <x:c r="J450" s="70" t="n">
        <x:v>63</x:v>
      </x:c>
      <x:c r="K450" s="70" t="s">
        <x:v>1230</x:v>
      </x:c>
      <x:c r="L450" s="70"/>
      <x:c r="M450" s="70" t="s">
        <x:v>29</x:v>
      </x:c>
      <x:c r="N450" s="71" t="n">
        <x:v>4452081761</x:v>
      </x:c>
      <x:c r="O450" s="72" t="n">
        <x:f aca="0">N450/1000000</x:f>
        <x:v>4452.081761</x:v>
      </x:c>
      <x:c r="P450" s="73" t="n">
        <x:f aca="0">KOHC!F117</x:f>
        <x:v>4452.081761</x:v>
      </x:c>
      <x:c r="Q450" s="70" t="str">
        <x:f aca="0">IF(ABS(O450-P450)&lt;0.000001,"PASS","FAIL")</x:f>
        <x:v>PASS</x:v>
      </x:c>
      <x:c r="R450" s="70" t="s">
        <x:v>28</x:v>
      </x:c>
      <x:c r="S450" s="70" t="s">
        <x:v>1205</x:v>
      </x:c>
    </x:row>
    <x:row r="451" ht="15" hidden="0">
      <x:c r="A451" s="70" t="s">
        <x:v>1586</x:v>
      </x:c>
      <x:c r="B451" s="70" t="s">
        <x:v>25</x:v>
      </x:c>
      <x:c r="C451" s="70" t="s">
        <x:v>76</x:v>
      </x:c>
      <x:c r="D451" s="70" t="s">
        <x:v>475</x:v>
      </x:c>
      <x:c r="E451" s="70" t="s">
        <x:v>172</x:v>
      </x:c>
      <x:c r="F451" s="70" t="s">
        <x:v>1583</x:v>
      </x:c>
      <x:c r="G451" s="70" t="s">
        <x:v>1214</x:v>
      </x:c>
      <x:c r="H451" s="70" t="s">
        <x:v>1215</x:v>
      </x:c>
      <x:c r="I451" s="70" t="s">
        <x:v>1199</x:v>
      </x:c>
      <x:c r="J451" s="70" t="n">
        <x:v>73</x:v>
      </x:c>
      <x:c r="K451" s="70" t="s">
        <x:v>1200</x:v>
      </x:c>
      <x:c r="L451" s="70"/>
      <x:c r="M451" s="70" t="s">
        <x:v>29</x:v>
      </x:c>
      <x:c r="N451" s="71" t="n">
        <x:v>6647173409</x:v>
      </x:c>
      <x:c r="O451" s="72" t="n">
        <x:f aca="0">N451/1000000</x:f>
        <x:v>6647.173409</x:v>
      </x:c>
      <x:c r="P451" s="73" t="n">
        <x:f aca="0">KOHC!G117</x:f>
        <x:v>6647.173409</x:v>
      </x:c>
      <x:c r="Q451" s="70" t="str">
        <x:f aca="0">IF(ABS(O451-P451)&lt;0.000001,"PASS","FAIL")</x:f>
        <x:v>PASS</x:v>
      </x:c>
      <x:c r="R451" s="70" t="s">
        <x:v>28</x:v>
      </x:c>
      <x:c r="S451" s="70" t="s">
        <x:v>1205</x:v>
      </x:c>
    </x:row>
    <x:row r="452" ht="15" hidden="0">
      <x:c r="A452" s="70" t="s">
        <x:v>1587</x:v>
      </x:c>
      <x:c r="B452" s="70" t="s">
        <x:v>25</x:v>
      </x:c>
      <x:c r="C452" s="70" t="s">
        <x:v>77</x:v>
      </x:c>
      <x:c r="D452" s="70" t="s">
        <x:v>475</x:v>
      </x:c>
      <x:c r="E452" s="70" t="s">
        <x:v>172</x:v>
      </x:c>
      <x:c r="F452" s="70" t="s">
        <x:v>1583</x:v>
      </x:c>
      <x:c r="G452" s="70" t="s">
        <x:v>1214</x:v>
      </x:c>
      <x:c r="H452" s="70" t="s">
        <x:v>1215</x:v>
      </x:c>
      <x:c r="I452" s="70" t="s">
        <x:v>1218</x:v>
      </x:c>
      <x:c r="J452" s="70" t="n">
        <x:v>73</x:v>
      </x:c>
      <x:c r="K452" s="70" t="s">
        <x:v>1200</x:v>
      </x:c>
      <x:c r="L452" s="70"/>
      <x:c r="M452" s="70" t="s">
        <x:v>29</x:v>
      </x:c>
      <x:c r="N452" s="71" t="n">
        <x:v>9378288538</x:v>
      </x:c>
      <x:c r="O452" s="72" t="n">
        <x:f aca="0">N452/1000000</x:f>
        <x:v>9378.288538</x:v>
      </x:c>
      <x:c r="P452" s="73" t="n">
        <x:f aca="0">KOHC!H117</x:f>
        <x:v>9378.288538</x:v>
      </x:c>
      <x:c r="Q452" s="70" t="str">
        <x:f aca="0">IF(ABS(O452-P452)&lt;0.000001,"PASS","FAIL")</x:f>
        <x:v>PASS</x:v>
      </x:c>
      <x:c r="R452" s="70" t="s">
        <x:v>28</x:v>
      </x:c>
      <x:c r="S452" s="70"/>
    </x:row>
    <x:row r="453" ht="15" hidden="0">
      <x:c r="A453" s="70" t="s">
        <x:v>1588</x:v>
      </x:c>
      <x:c r="B453" s="70" t="s">
        <x:v>25</x:v>
      </x:c>
      <x:c r="C453" s="70" t="s">
        <x:v>73</x:v>
      </x:c>
      <x:c r="D453" s="70" t="s">
        <x:v>477</x:v>
      </x:c>
      <x:c r="E453" s="70" t="s">
        <x:v>172</x:v>
      </x:c>
      <x:c r="F453" s="70" t="s">
        <x:v>1589</x:v>
      </x:c>
      <x:c r="G453" s="70" t="s">
        <x:v>1203</x:v>
      </x:c>
      <x:c r="H453" s="70" t="s">
        <x:v>1204</x:v>
      </x:c>
      <x:c r="I453" s="70" t="s">
        <x:v>1199</x:v>
      </x:c>
      <x:c r="J453" s="70" t="n">
        <x:v>57</x:v>
      </x:c>
      <x:c r="K453" s="70" t="s">
        <x:v>1230</x:v>
      </x:c>
      <x:c r="L453" s="70"/>
      <x:c r="M453" s="70" t="s">
        <x:v>29</x:v>
      </x:c>
      <x:c r="N453" s="71" t="n">
        <x:v>-599227218</x:v>
      </x:c>
      <x:c r="O453" s="72" t="n">
        <x:f aca="0">N453/1000000</x:f>
        <x:v>-599.227218</x:v>
      </x:c>
      <x:c r="P453" s="73" t="n">
        <x:f aca="0">KOHC!D118</x:f>
        <x:v>-599.227218</x:v>
      </x:c>
      <x:c r="Q453" s="70" t="str">
        <x:f aca="0">IF(ABS(O453-P453)&lt;0.000001,"PASS","FAIL")</x:f>
        <x:v>PASS</x:v>
      </x:c>
      <x:c r="R453" s="70" t="s">
        <x:v>28</x:v>
      </x:c>
      <x:c r="S453" s="70"/>
    </x:row>
    <x:row r="454" ht="15" hidden="0">
      <x:c r="A454" s="70" t="s">
        <x:v>1590</x:v>
      </x:c>
      <x:c r="B454" s="70" t="s">
        <x:v>25</x:v>
      </x:c>
      <x:c r="C454" s="70" t="s">
        <x:v>74</x:v>
      </x:c>
      <x:c r="D454" s="70" t="s">
        <x:v>477</x:v>
      </x:c>
      <x:c r="E454" s="70" t="s">
        <x:v>172</x:v>
      </x:c>
      <x:c r="F454" s="70" t="s">
        <x:v>1589</x:v>
      </x:c>
      <x:c r="G454" s="70" t="s">
        <x:v>1207</x:v>
      </x:c>
      <x:c r="H454" s="70" t="s">
        <x:v>1208</x:v>
      </x:c>
      <x:c r="I454" s="70" t="s">
        <x:v>1199</x:v>
      </x:c>
      <x:c r="J454" s="70" t="n">
        <x:v>57</x:v>
      </x:c>
      <x:c r="K454" s="70" t="s">
        <x:v>1230</x:v>
      </x:c>
      <x:c r="L454" s="70"/>
      <x:c r="M454" s="70" t="s">
        <x:v>29</x:v>
      </x:c>
      <x:c r="N454" s="71" t="n">
        <x:v>-514171817</x:v>
      </x:c>
      <x:c r="O454" s="72" t="n">
        <x:f aca="0">N454/1000000</x:f>
        <x:v>-514.171817</x:v>
      </x:c>
      <x:c r="P454" s="73" t="n">
        <x:f aca="0">KOHC!E118</x:f>
        <x:v>-514.171817</x:v>
      </x:c>
      <x:c r="Q454" s="70" t="str">
        <x:f aca="0">IF(ABS(O454-P454)&lt;0.000001,"PASS","FAIL")</x:f>
        <x:v>PASS</x:v>
      </x:c>
      <x:c r="R454" s="70" t="s">
        <x:v>28</x:v>
      </x:c>
      <x:c r="S454" s="70"/>
    </x:row>
    <x:row r="455" ht="15" hidden="0">
      <x:c r="A455" s="70" t="s">
        <x:v>1591</x:v>
      </x:c>
      <x:c r="B455" s="70" t="s">
        <x:v>25</x:v>
      </x:c>
      <x:c r="C455" s="70" t="s">
        <x:v>75</x:v>
      </x:c>
      <x:c r="D455" s="70" t="s">
        <x:v>477</x:v>
      </x:c>
      <x:c r="E455" s="70" t="s">
        <x:v>172</x:v>
      </x:c>
      <x:c r="F455" s="70" t="s">
        <x:v>1589</x:v>
      </x:c>
      <x:c r="G455" s="70" t="s">
        <x:v>1210</x:v>
      </x:c>
      <x:c r="H455" s="70" t="s">
        <x:v>1211</x:v>
      </x:c>
      <x:c r="I455" s="70" t="s">
        <x:v>1199</x:v>
      </x:c>
      <x:c r="J455" s="70" t="n">
        <x:v>63</x:v>
      </x:c>
      <x:c r="K455" s="70" t="s">
        <x:v>1230</x:v>
      </x:c>
      <x:c r="L455" s="70"/>
      <x:c r="M455" s="70" t="s">
        <x:v>29</x:v>
      </x:c>
      <x:c r="N455" s="71" t="n">
        <x:v>-685823997</x:v>
      </x:c>
      <x:c r="O455" s="72" t="n">
        <x:f aca="0">N455/1000000</x:f>
        <x:v>-685.823997</x:v>
      </x:c>
      <x:c r="P455" s="73" t="n">
        <x:f aca="0">KOHC!F118</x:f>
        <x:v>-685.823997</x:v>
      </x:c>
      <x:c r="Q455" s="70" t="str">
        <x:f aca="0">IF(ABS(O455-P455)&lt;0.000001,"PASS","FAIL")</x:f>
        <x:v>PASS</x:v>
      </x:c>
      <x:c r="R455" s="70" t="s">
        <x:v>28</x:v>
      </x:c>
      <x:c r="S455" s="70"/>
    </x:row>
    <x:row r="456" ht="15" hidden="0">
      <x:c r="A456" s="70" t="s">
        <x:v>1592</x:v>
      </x:c>
      <x:c r="B456" s="70" t="s">
        <x:v>25</x:v>
      </x:c>
      <x:c r="C456" s="70" t="s">
        <x:v>76</x:v>
      </x:c>
      <x:c r="D456" s="70" t="s">
        <x:v>477</x:v>
      </x:c>
      <x:c r="E456" s="70" t="s">
        <x:v>172</x:v>
      </x:c>
      <x:c r="F456" s="70" t="s">
        <x:v>1589</x:v>
      </x:c>
      <x:c r="G456" s="70" t="s">
        <x:v>1214</x:v>
      </x:c>
      <x:c r="H456" s="70" t="s">
        <x:v>1215</x:v>
      </x:c>
      <x:c r="I456" s="70" t="s">
        <x:v>1199</x:v>
      </x:c>
      <x:c r="J456" s="70" t="n">
        <x:v>73</x:v>
      </x:c>
      <x:c r="K456" s="70" t="s">
        <x:v>1200</x:v>
      </x:c>
      <x:c r="L456" s="70"/>
      <x:c r="M456" s="70" t="s">
        <x:v>29</x:v>
      </x:c>
      <x:c r="N456" s="71" t="n">
        <x:v>-731073634</x:v>
      </x:c>
      <x:c r="O456" s="72" t="n">
        <x:f aca="0">N456/1000000</x:f>
        <x:v>-731.073634</x:v>
      </x:c>
      <x:c r="P456" s="73" t="n">
        <x:f aca="0">KOHC!G118</x:f>
        <x:v>-731.073634</x:v>
      </x:c>
      <x:c r="Q456" s="70" t="str">
        <x:f aca="0">IF(ABS(O456-P456)&lt;0.000001,"PASS","FAIL")</x:f>
        <x:v>PASS</x:v>
      </x:c>
      <x:c r="R456" s="70" t="s">
        <x:v>28</x:v>
      </x:c>
      <x:c r="S456" s="70"/>
    </x:row>
    <x:row r="457" ht="15" hidden="0">
      <x:c r="A457" s="70" t="s">
        <x:v>1593</x:v>
      </x:c>
      <x:c r="B457" s="70" t="s">
        <x:v>25</x:v>
      </x:c>
      <x:c r="C457" s="70" t="s">
        <x:v>77</x:v>
      </x:c>
      <x:c r="D457" s="70" t="s">
        <x:v>477</x:v>
      </x:c>
      <x:c r="E457" s="70" t="s">
        <x:v>172</x:v>
      </x:c>
      <x:c r="F457" s="70" t="s">
        <x:v>1589</x:v>
      </x:c>
      <x:c r="G457" s="70" t="s">
        <x:v>1214</x:v>
      </x:c>
      <x:c r="H457" s="70" t="s">
        <x:v>1215</x:v>
      </x:c>
      <x:c r="I457" s="70" t="s">
        <x:v>1218</x:v>
      </x:c>
      <x:c r="J457" s="70" t="n">
        <x:v>73</x:v>
      </x:c>
      <x:c r="K457" s="70" t="s">
        <x:v>1200</x:v>
      </x:c>
      <x:c r="L457" s="70"/>
      <x:c r="M457" s="70" t="s">
        <x:v>29</x:v>
      </x:c>
      <x:c r="N457" s="71" t="n">
        <x:v>-391061821</x:v>
      </x:c>
      <x:c r="O457" s="72" t="n">
        <x:f aca="0">N457/1000000</x:f>
        <x:v>-391.061821</x:v>
      </x:c>
      <x:c r="P457" s="73" t="n">
        <x:f aca="0">KOHC!H118</x:f>
        <x:v>-391.061821</x:v>
      </x:c>
      <x:c r="Q457" s="70" t="str">
        <x:f aca="0">IF(ABS(O457-P457)&lt;0.000001,"PASS","FAIL")</x:f>
        <x:v>PASS</x:v>
      </x:c>
      <x:c r="R457" s="70" t="s">
        <x:v>28</x:v>
      </x:c>
      <x:c r="S457" s="70"/>
    </x:row>
    <x:row r="458" ht="15" hidden="0">
      <x:c r="A458" s="70" t="s">
        <x:v>1594</x:v>
      </x:c>
      <x:c r="B458" s="70" t="s">
        <x:v>25</x:v>
      </x:c>
      <x:c r="C458" s="70" t="s">
        <x:v>73</x:v>
      </x:c>
      <x:c r="D458" s="70" t="s">
        <x:v>479</x:v>
      </x:c>
      <x:c r="E458" s="70" t="s">
        <x:v>172</x:v>
      </x:c>
      <x:c r="F458" s="70" t="s">
        <x:v>1595</x:v>
      </x:c>
      <x:c r="G458" s="70" t="s">
        <x:v>1203</x:v>
      </x:c>
      <x:c r="H458" s="70" t="s">
        <x:v>1204</x:v>
      </x:c>
      <x:c r="I458" s="70" t="s">
        <x:v>1199</x:v>
      </x:c>
      <x:c r="J458" s="70" t="n">
        <x:v>57</x:v>
      </x:c>
      <x:c r="K458" s="70" t="s">
        <x:v>1230</x:v>
      </x:c>
      <x:c r="L458" s="70"/>
      <x:c r="M458" s="70" t="s">
        <x:v>482</x:v>
      </x:c>
      <x:c r="N458" s="70" t="s">
        <x:v>481</x:v>
      </x:c>
      <x:c r="O458" s="70" t="str">
        <x:f aca="0">N458</x:f>
        <x:v>Operating</x:v>
      </x:c>
      <x:c r="P458" s="70" t="str">
        <x:f aca="0">KOHC!D119</x:f>
        <x:v>Operating</x:v>
      </x:c>
      <x:c r="Q458" s="70" t="str">
        <x:f aca="0">IF(O458=P458,"PASS","FAIL")</x:f>
        <x:v>PASS</x:v>
      </x:c>
      <x:c r="R458" s="70" t="s">
        <x:v>28</x:v>
      </x:c>
      <x:c r="S458" s="70"/>
    </x:row>
    <x:row r="459" ht="15" hidden="0">
      <x:c r="A459" s="70" t="s">
        <x:v>1596</x:v>
      </x:c>
      <x:c r="B459" s="70" t="s">
        <x:v>25</x:v>
      </x:c>
      <x:c r="C459" s="70" t="s">
        <x:v>74</x:v>
      </x:c>
      <x:c r="D459" s="70" t="s">
        <x:v>479</x:v>
      </x:c>
      <x:c r="E459" s="70" t="s">
        <x:v>172</x:v>
      </x:c>
      <x:c r="F459" s="70" t="s">
        <x:v>1595</x:v>
      </x:c>
      <x:c r="G459" s="70" t="s">
        <x:v>1207</x:v>
      </x:c>
      <x:c r="H459" s="70" t="s">
        <x:v>1208</x:v>
      </x:c>
      <x:c r="I459" s="70" t="s">
        <x:v>1199</x:v>
      </x:c>
      <x:c r="J459" s="70" t="n">
        <x:v>57</x:v>
      </x:c>
      <x:c r="K459" s="70" t="s">
        <x:v>1230</x:v>
      </x:c>
      <x:c r="L459" s="70"/>
      <x:c r="M459" s="70" t="s">
        <x:v>482</x:v>
      </x:c>
      <x:c r="N459" s="70" t="s">
        <x:v>481</x:v>
      </x:c>
      <x:c r="O459" s="70" t="str">
        <x:f aca="0">N459</x:f>
        <x:v>Operating</x:v>
      </x:c>
      <x:c r="P459" s="70" t="str">
        <x:f aca="0">KOHC!E119</x:f>
        <x:v>Operating</x:v>
      </x:c>
      <x:c r="Q459" s="70" t="str">
        <x:f aca="0">IF(O459=P459,"PASS","FAIL")</x:f>
        <x:v>PASS</x:v>
      </x:c>
      <x:c r="R459" s="70" t="s">
        <x:v>28</x:v>
      </x:c>
      <x:c r="S459" s="70"/>
    </x:row>
    <x:row r="460" ht="15" hidden="0">
      <x:c r="A460" s="70" t="s">
        <x:v>1597</x:v>
      </x:c>
      <x:c r="B460" s="70" t="s">
        <x:v>25</x:v>
      </x:c>
      <x:c r="C460" s="70" t="s">
        <x:v>75</x:v>
      </x:c>
      <x:c r="D460" s="70" t="s">
        <x:v>479</x:v>
      </x:c>
      <x:c r="E460" s="70" t="s">
        <x:v>172</x:v>
      </x:c>
      <x:c r="F460" s="70" t="s">
        <x:v>1595</x:v>
      </x:c>
      <x:c r="G460" s="70" t="s">
        <x:v>1210</x:v>
      </x:c>
      <x:c r="H460" s="70" t="s">
        <x:v>1211</x:v>
      </x:c>
      <x:c r="I460" s="70" t="s">
        <x:v>1199</x:v>
      </x:c>
      <x:c r="J460" s="70" t="n">
        <x:v>63</x:v>
      </x:c>
      <x:c r="K460" s="70" t="s">
        <x:v>1230</x:v>
      </x:c>
      <x:c r="L460" s="70"/>
      <x:c r="M460" s="70" t="s">
        <x:v>482</x:v>
      </x:c>
      <x:c r="N460" s="70" t="s">
        <x:v>481</x:v>
      </x:c>
      <x:c r="O460" s="70" t="str">
        <x:f aca="0">N460</x:f>
        <x:v>Operating</x:v>
      </x:c>
      <x:c r="P460" s="70" t="str">
        <x:f aca="0">KOHC!F119</x:f>
        <x:v>Operating</x:v>
      </x:c>
      <x:c r="Q460" s="70" t="str">
        <x:f aca="0">IF(O460=P460,"PASS","FAIL")</x:f>
        <x:v>PASS</x:v>
      </x:c>
      <x:c r="R460" s="70" t="s">
        <x:v>28</x:v>
      </x:c>
      <x:c r="S460" s="70"/>
    </x:row>
    <x:row r="461" ht="15" hidden="0">
      <x:c r="A461" s="70" t="s">
        <x:v>1598</x:v>
      </x:c>
      <x:c r="B461" s="70" t="s">
        <x:v>25</x:v>
      </x:c>
      <x:c r="C461" s="70" t="s">
        <x:v>76</x:v>
      </x:c>
      <x:c r="D461" s="70" t="s">
        <x:v>479</x:v>
      </x:c>
      <x:c r="E461" s="70" t="s">
        <x:v>172</x:v>
      </x:c>
      <x:c r="F461" s="70" t="s">
        <x:v>1595</x:v>
      </x:c>
      <x:c r="G461" s="70" t="s">
        <x:v>1214</x:v>
      </x:c>
      <x:c r="H461" s="70" t="s">
        <x:v>1215</x:v>
      </x:c>
      <x:c r="I461" s="70" t="s">
        <x:v>1199</x:v>
      </x:c>
      <x:c r="J461" s="70" t="n">
        <x:v>73</x:v>
      </x:c>
      <x:c r="K461" s="70" t="s">
        <x:v>1200</x:v>
      </x:c>
      <x:c r="L461" s="70"/>
      <x:c r="M461" s="70" t="s">
        <x:v>482</x:v>
      </x:c>
      <x:c r="N461" s="70" t="s">
        <x:v>481</x:v>
      </x:c>
      <x:c r="O461" s="70" t="str">
        <x:f aca="0">N461</x:f>
        <x:v>Operating</x:v>
      </x:c>
      <x:c r="P461" s="70" t="str">
        <x:f aca="0">KOHC!G119</x:f>
        <x:v>Operating</x:v>
      </x:c>
      <x:c r="Q461" s="70" t="str">
        <x:f aca="0">IF(O461=P461,"PASS","FAIL")</x:f>
        <x:v>PASS</x:v>
      </x:c>
      <x:c r="R461" s="70" t="s">
        <x:v>28</x:v>
      </x:c>
      <x:c r="S461" s="70"/>
    </x:row>
    <x:row r="462" ht="15" hidden="0">
      <x:c r="A462" s="70" t="s">
        <x:v>1599</x:v>
      </x:c>
      <x:c r="B462" s="70" t="s">
        <x:v>25</x:v>
      </x:c>
      <x:c r="C462" s="70" t="s">
        <x:v>77</x:v>
      </x:c>
      <x:c r="D462" s="70" t="s">
        <x:v>479</x:v>
      </x:c>
      <x:c r="E462" s="70" t="s">
        <x:v>172</x:v>
      </x:c>
      <x:c r="F462" s="70" t="s">
        <x:v>1595</x:v>
      </x:c>
      <x:c r="G462" s="70" t="s">
        <x:v>1214</x:v>
      </x:c>
      <x:c r="H462" s="70" t="s">
        <x:v>1215</x:v>
      </x:c>
      <x:c r="I462" s="70" t="s">
        <x:v>1218</x:v>
      </x:c>
      <x:c r="J462" s="70" t="n">
        <x:v>73</x:v>
      </x:c>
      <x:c r="K462" s="70" t="s">
        <x:v>1200</x:v>
      </x:c>
      <x:c r="L462" s="70"/>
      <x:c r="M462" s="70" t="s">
        <x:v>482</x:v>
      </x:c>
      <x:c r="N462" s="70" t="s">
        <x:v>481</x:v>
      </x:c>
      <x:c r="O462" s="70" t="str">
        <x:f aca="0">N462</x:f>
        <x:v>Operating</x:v>
      </x:c>
      <x:c r="P462" s="70" t="str">
        <x:f aca="0">KOHC!H119</x:f>
        <x:v>Operating</x:v>
      </x:c>
      <x:c r="Q462" s="70" t="str">
        <x:f aca="0">IF(O462=P462,"PASS","FAIL")</x:f>
        <x:v>PASS</x:v>
      </x:c>
      <x:c r="R462" s="70" t="s">
        <x:v>28</x:v>
      </x:c>
      <x:c r="S462" s="70"/>
    </x:row>
    <x:row r="463" ht="15" hidden="0">
      <x:c r="A463" s="70" t="s">
        <x:v>1600</x:v>
      </x:c>
      <x:c r="B463" s="70" t="s">
        <x:v>25</x:v>
      </x:c>
      <x:c r="C463" s="70" t="s">
        <x:v>73</x:v>
      </x:c>
      <x:c r="D463" s="70" t="s">
        <x:v>485</x:v>
      </x:c>
      <x:c r="E463" s="70" t="s">
        <x:v>172</x:v>
      </x:c>
      <x:c r="F463" s="70" t="s">
        <x:v>1601</x:v>
      </x:c>
      <x:c r="G463" s="70" t="s">
        <x:v>1203</x:v>
      </x:c>
      <x:c r="H463" s="70" t="s">
        <x:v>1204</x:v>
      </x:c>
      <x:c r="I463" s="70" t="s">
        <x:v>1199</x:v>
      </x:c>
      <x:c r="J463" s="70" t="n">
        <x:v>57</x:v>
      </x:c>
      <x:c r="K463" s="70" t="s">
        <x:v>1230</x:v>
      </x:c>
      <x:c r="L463" s="70"/>
      <x:c r="M463" s="70" t="s">
        <x:v>29</x:v>
      </x:c>
      <x:c r="N463" s="71" t="n">
        <x:v>-610597045</x:v>
      </x:c>
      <x:c r="O463" s="72" t="n">
        <x:f aca="0">N463/1000000</x:f>
        <x:v>-610.597045</x:v>
      </x:c>
      <x:c r="P463" s="73" t="n">
        <x:f aca="0">KOHC!D121</x:f>
        <x:v>-610.597045</x:v>
      </x:c>
      <x:c r="Q463" s="70" t="str">
        <x:f aca="0">IF(ABS(O463-P463)&lt;0.000001,"PASS","FAIL")</x:f>
        <x:v>PASS</x:v>
      </x:c>
      <x:c r="R463" s="70" t="s">
        <x:v>28</x:v>
      </x:c>
      <x:c r="S463" s="70"/>
    </x:row>
    <x:row r="464" ht="15" hidden="0">
      <x:c r="A464" s="70" t="s">
        <x:v>1602</x:v>
      </x:c>
      <x:c r="B464" s="70" t="s">
        <x:v>25</x:v>
      </x:c>
      <x:c r="C464" s="70" t="s">
        <x:v>74</x:v>
      </x:c>
      <x:c r="D464" s="70" t="s">
        <x:v>485</x:v>
      </x:c>
      <x:c r="E464" s="70" t="s">
        <x:v>172</x:v>
      </x:c>
      <x:c r="F464" s="70" t="s">
        <x:v>1601</x:v>
      </x:c>
      <x:c r="G464" s="70" t="s">
        <x:v>1207</x:v>
      </x:c>
      <x:c r="H464" s="70" t="s">
        <x:v>1208</x:v>
      </x:c>
      <x:c r="I464" s="70" t="s">
        <x:v>1199</x:v>
      </x:c>
      <x:c r="J464" s="70" t="n">
        <x:v>57</x:v>
      </x:c>
      <x:c r="K464" s="70" t="s">
        <x:v>1230</x:v>
      </x:c>
      <x:c r="L464" s="70"/>
      <x:c r="M464" s="70" t="s">
        <x:v>29</x:v>
      </x:c>
      <x:c r="N464" s="71" t="n">
        <x:v>-461847370</x:v>
      </x:c>
      <x:c r="O464" s="72" t="n">
        <x:f aca="0">N464/1000000</x:f>
        <x:v>-461.84737</x:v>
      </x:c>
      <x:c r="P464" s="73" t="n">
        <x:f aca="0">KOHC!E121</x:f>
        <x:v>-461.84737</x:v>
      </x:c>
      <x:c r="Q464" s="70" t="str">
        <x:f aca="0">IF(ABS(O464-P464)&lt;0.000001,"PASS","FAIL")</x:f>
        <x:v>PASS</x:v>
      </x:c>
      <x:c r="R464" s="70" t="s">
        <x:v>28</x:v>
      </x:c>
      <x:c r="S464" s="70"/>
    </x:row>
    <x:row r="465" ht="15" hidden="0">
      <x:c r="A465" s="70" t="s">
        <x:v>1603</x:v>
      </x:c>
      <x:c r="B465" s="70" t="s">
        <x:v>25</x:v>
      </x:c>
      <x:c r="C465" s="70" t="s">
        <x:v>75</x:v>
      </x:c>
      <x:c r="D465" s="70" t="s">
        <x:v>485</x:v>
      </x:c>
      <x:c r="E465" s="70" t="s">
        <x:v>172</x:v>
      </x:c>
      <x:c r="F465" s="70" t="s">
        <x:v>1601</x:v>
      </x:c>
      <x:c r="G465" s="70" t="s">
        <x:v>1210</x:v>
      </x:c>
      <x:c r="H465" s="70" t="s">
        <x:v>1211</x:v>
      </x:c>
      <x:c r="I465" s="70" t="s">
        <x:v>1199</x:v>
      </x:c>
      <x:c r="J465" s="70" t="n">
        <x:v>63</x:v>
      </x:c>
      <x:c r="K465" s="70" t="s">
        <x:v>1230</x:v>
      </x:c>
      <x:c r="L465" s="70"/>
      <x:c r="M465" s="70" t="s">
        <x:v>29</x:v>
      </x:c>
      <x:c r="N465" s="71" t="n">
        <x:v>-2015897038</x:v>
      </x:c>
      <x:c r="O465" s="72" t="n">
        <x:f aca="0">N465/1000000</x:f>
        <x:v>-2015.897038</x:v>
      </x:c>
      <x:c r="P465" s="73" t="n">
        <x:f aca="0">KOHC!F121</x:f>
        <x:v>-2015.897038</x:v>
      </x:c>
      <x:c r="Q465" s="70" t="str">
        <x:f aca="0">IF(ABS(O465-P465)&lt;0.000001,"PASS","FAIL")</x:f>
        <x:v>PASS</x:v>
      </x:c>
      <x:c r="R465" s="70" t="s">
        <x:v>28</x:v>
      </x:c>
      <x:c r="S465" s="70"/>
    </x:row>
    <x:row r="466" ht="15" hidden="0">
      <x:c r="A466" s="70" t="s">
        <x:v>1604</x:v>
      </x:c>
      <x:c r="B466" s="70" t="s">
        <x:v>25</x:v>
      </x:c>
      <x:c r="C466" s="70" t="s">
        <x:v>76</x:v>
      </x:c>
      <x:c r="D466" s="70" t="s">
        <x:v>485</x:v>
      </x:c>
      <x:c r="E466" s="70" t="s">
        <x:v>172</x:v>
      </x:c>
      <x:c r="F466" s="70" t="s">
        <x:v>1601</x:v>
      </x:c>
      <x:c r="G466" s="70" t="s">
        <x:v>1214</x:v>
      </x:c>
      <x:c r="H466" s="70" t="s">
        <x:v>1215</x:v>
      </x:c>
      <x:c r="I466" s="70" t="s">
        <x:v>1199</x:v>
      </x:c>
      <x:c r="J466" s="70" t="n">
        <x:v>73</x:v>
      </x:c>
      <x:c r="K466" s="70" t="s">
        <x:v>1200</x:v>
      </x:c>
      <x:c r="L466" s="70"/>
      <x:c r="M466" s="70" t="s">
        <x:v>29</x:v>
      </x:c>
      <x:c r="N466" s="71" t="n">
        <x:v>-1107284933</x:v>
      </x:c>
      <x:c r="O466" s="72" t="n">
        <x:f aca="0">N466/1000000</x:f>
        <x:v>-1107.284933</x:v>
      </x:c>
      <x:c r="P466" s="73" t="n">
        <x:f aca="0">KOHC!G121</x:f>
        <x:v>-1107.284933</x:v>
      </x:c>
      <x:c r="Q466" s="70" t="str">
        <x:f aca="0">IF(ABS(O466-P466)&lt;0.000001,"PASS","FAIL")</x:f>
        <x:v>PASS</x:v>
      </x:c>
      <x:c r="R466" s="70" t="s">
        <x:v>28</x:v>
      </x:c>
      <x:c r="S466" s="70" t="s">
        <x:v>1205</x:v>
      </x:c>
    </x:row>
    <x:row r="467" ht="15" hidden="0">
      <x:c r="A467" s="70" t="s">
        <x:v>1605</x:v>
      </x:c>
      <x:c r="B467" s="70" t="s">
        <x:v>25</x:v>
      </x:c>
      <x:c r="C467" s="70" t="s">
        <x:v>77</x:v>
      </x:c>
      <x:c r="D467" s="70" t="s">
        <x:v>485</x:v>
      </x:c>
      <x:c r="E467" s="70" t="s">
        <x:v>172</x:v>
      </x:c>
      <x:c r="F467" s="70" t="s">
        <x:v>1601</x:v>
      </x:c>
      <x:c r="G467" s="70" t="s">
        <x:v>1214</x:v>
      </x:c>
      <x:c r="H467" s="70" t="s">
        <x:v>1215</x:v>
      </x:c>
      <x:c r="I467" s="70" t="s">
        <x:v>1218</x:v>
      </x:c>
      <x:c r="J467" s="70" t="n">
        <x:v>73</x:v>
      </x:c>
      <x:c r="K467" s="70" t="s">
        <x:v>1200</x:v>
      </x:c>
      <x:c r="L467" s="70"/>
      <x:c r="M467" s="70" t="s">
        <x:v>29</x:v>
      </x:c>
      <x:c r="N467" s="71" t="n">
        <x:v>-2398919336</x:v>
      </x:c>
      <x:c r="O467" s="72" t="n">
        <x:f aca="0">N467/1000000</x:f>
        <x:v>-2398.919336</x:v>
      </x:c>
      <x:c r="P467" s="73" t="n">
        <x:f aca="0">KOHC!H121</x:f>
        <x:v>-2398.919336</x:v>
      </x:c>
      <x:c r="Q467" s="70" t="str">
        <x:f aca="0">IF(ABS(O467-P467)&lt;0.000001,"PASS","FAIL")</x:f>
        <x:v>PASS</x:v>
      </x:c>
      <x:c r="R467" s="70" t="s">
        <x:v>28</x:v>
      </x:c>
      <x:c r="S467" s="70"/>
    </x:row>
    <x:row r="468" ht="15" hidden="0">
      <x:c r="A468" s="70" t="s">
        <x:v>1606</x:v>
      </x:c>
      <x:c r="B468" s="70" t="s">
        <x:v>25</x:v>
      </x:c>
      <x:c r="C468" s="70" t="s">
        <x:v>73</x:v>
      </x:c>
      <x:c r="D468" s="70" t="s">
        <x:v>487</x:v>
      </x:c>
      <x:c r="E468" s="70" t="s">
        <x:v>172</x:v>
      </x:c>
      <x:c r="F468" s="70" t="s">
        <x:v>1607</x:v>
      </x:c>
      <x:c r="G468" s="70" t="s">
        <x:v>1203</x:v>
      </x:c>
      <x:c r="H468" s="70" t="s">
        <x:v>1204</x:v>
      </x:c>
      <x:c r="I468" s="70" t="s">
        <x:v>1199</x:v>
      </x:c>
      <x:c r="J468" s="70" t="n">
        <x:v>57</x:v>
      </x:c>
      <x:c r="K468" s="70" t="s">
        <x:v>1230</x:v>
      </x:c>
      <x:c r="L468" s="70"/>
      <x:c r="M468" s="70" t="s">
        <x:v>29</x:v>
      </x:c>
      <x:c r="N468" s="71" t="n">
        <x:v>-3950178348</x:v>
      </x:c>
      <x:c r="O468" s="72" t="n">
        <x:f aca="0">N468/1000000</x:f>
        <x:v>-3950.178348</x:v>
      </x:c>
      <x:c r="P468" s="73" t="n">
        <x:f aca="0">KOHC!D122</x:f>
        <x:v>-3950.178348</x:v>
      </x:c>
      <x:c r="Q468" s="70" t="str">
        <x:f aca="0">IF(ABS(O468-P468)&lt;0.000001,"PASS","FAIL")</x:f>
        <x:v>PASS</x:v>
      </x:c>
      <x:c r="R468" s="70" t="s">
        <x:v>28</x:v>
      </x:c>
      <x:c r="S468" s="70"/>
    </x:row>
    <x:row r="469" ht="15" hidden="0">
      <x:c r="A469" s="70" t="s">
        <x:v>1608</x:v>
      </x:c>
      <x:c r="B469" s="70" t="s">
        <x:v>25</x:v>
      </x:c>
      <x:c r="C469" s="70" t="s">
        <x:v>74</x:v>
      </x:c>
      <x:c r="D469" s="70" t="s">
        <x:v>487</x:v>
      </x:c>
      <x:c r="E469" s="70" t="s">
        <x:v>172</x:v>
      </x:c>
      <x:c r="F469" s="70" t="s">
        <x:v>1607</x:v>
      </x:c>
      <x:c r="G469" s="70" t="s">
        <x:v>1207</x:v>
      </x:c>
      <x:c r="H469" s="70" t="s">
        <x:v>1208</x:v>
      </x:c>
      <x:c r="I469" s="70" t="s">
        <x:v>1199</x:v>
      </x:c>
      <x:c r="J469" s="70" t="n">
        <x:v>57</x:v>
      </x:c>
      <x:c r="K469" s="70" t="s">
        <x:v>1230</x:v>
      </x:c>
      <x:c r="L469" s="70"/>
      <x:c r="M469" s="70" t="s">
        <x:v>29</x:v>
      </x:c>
      <x:c r="N469" s="71" t="n">
        <x:v>-7092988516</x:v>
      </x:c>
      <x:c r="O469" s="72" t="n">
        <x:f aca="0">N469/1000000</x:f>
        <x:v>-7092.988516</x:v>
      </x:c>
      <x:c r="P469" s="73" t="n">
        <x:f aca="0">KOHC!E122</x:f>
        <x:v>-7092.988516</x:v>
      </x:c>
      <x:c r="Q469" s="70" t="str">
        <x:f aca="0">IF(ABS(O469-P469)&lt;0.000001,"PASS","FAIL")</x:f>
        <x:v>PASS</x:v>
      </x:c>
      <x:c r="R469" s="70" t="s">
        <x:v>28</x:v>
      </x:c>
      <x:c r="S469" s="70"/>
    </x:row>
    <x:row r="470" ht="15" hidden="0">
      <x:c r="A470" s="70" t="s">
        <x:v>1609</x:v>
      </x:c>
      <x:c r="B470" s="70" t="s">
        <x:v>25</x:v>
      </x:c>
      <x:c r="C470" s="70" t="s">
        <x:v>75</x:v>
      </x:c>
      <x:c r="D470" s="70" t="s">
        <x:v>487</x:v>
      </x:c>
      <x:c r="E470" s="70" t="s">
        <x:v>172</x:v>
      </x:c>
      <x:c r="F470" s="70" t="s">
        <x:v>1607</x:v>
      </x:c>
      <x:c r="G470" s="70" t="s">
        <x:v>1210</x:v>
      </x:c>
      <x:c r="H470" s="70" t="s">
        <x:v>1211</x:v>
      </x:c>
      <x:c r="I470" s="70" t="s">
        <x:v>1199</x:v>
      </x:c>
      <x:c r="J470" s="70" t="n">
        <x:v>63</x:v>
      </x:c>
      <x:c r="K470" s="70" t="s">
        <x:v>1230</x:v>
      </x:c>
      <x:c r="L470" s="70"/>
      <x:c r="M470" s="70" t="s">
        <x:v>29</x:v>
      </x:c>
      <x:c r="N470" s="71" t="n">
        <x:v>-2470515763</x:v>
      </x:c>
      <x:c r="O470" s="72" t="n">
        <x:f aca="0">N470/1000000</x:f>
        <x:v>-2470.515763</x:v>
      </x:c>
      <x:c r="P470" s="73" t="n">
        <x:f aca="0">KOHC!F122</x:f>
        <x:v>-2470.515763</x:v>
      </x:c>
      <x:c r="Q470" s="70" t="str">
        <x:f aca="0">IF(ABS(O470-P470)&lt;0.000001,"PASS","FAIL")</x:f>
        <x:v>PASS</x:v>
      </x:c>
      <x:c r="R470" s="70" t="s">
        <x:v>28</x:v>
      </x:c>
      <x:c r="S470" s="70" t="s">
        <x:v>1205</x:v>
      </x:c>
    </x:row>
    <x:row r="471" ht="15" hidden="0">
      <x:c r="A471" s="70" t="s">
        <x:v>1610</x:v>
      </x:c>
      <x:c r="B471" s="70" t="s">
        <x:v>25</x:v>
      </x:c>
      <x:c r="C471" s="70" t="s">
        <x:v>76</x:v>
      </x:c>
      <x:c r="D471" s="70" t="s">
        <x:v>487</x:v>
      </x:c>
      <x:c r="E471" s="70" t="s">
        <x:v>172</x:v>
      </x:c>
      <x:c r="F471" s="70" t="s">
        <x:v>1607</x:v>
      </x:c>
      <x:c r="G471" s="70" t="s">
        <x:v>1214</x:v>
      </x:c>
      <x:c r="H471" s="70" t="s">
        <x:v>1215</x:v>
      </x:c>
      <x:c r="I471" s="70" t="s">
        <x:v>1199</x:v>
      </x:c>
      <x:c r="J471" s="70" t="n">
        <x:v>73</x:v>
      </x:c>
      <x:c r="K471" s="70" t="s">
        <x:v>1200</x:v>
      </x:c>
      <x:c r="L471" s="70"/>
      <x:c r="M471" s="70" t="s">
        <x:v>29</x:v>
      </x:c>
      <x:c r="N471" s="71" t="n">
        <x:v>-5030324094</x:v>
      </x:c>
      <x:c r="O471" s="72" t="n">
        <x:f aca="0">N471/1000000</x:f>
        <x:v>-5030.324094</x:v>
      </x:c>
      <x:c r="P471" s="73" t="n">
        <x:f aca="0">KOHC!G122</x:f>
        <x:v>-5030.324094</x:v>
      </x:c>
      <x:c r="Q471" s="70" t="str">
        <x:f aca="0">IF(ABS(O471-P471)&lt;0.000001,"PASS","FAIL")</x:f>
        <x:v>PASS</x:v>
      </x:c>
      <x:c r="R471" s="70" t="s">
        <x:v>28</x:v>
      </x:c>
      <x:c r="S471" s="70" t="s">
        <x:v>1205</x:v>
      </x:c>
    </x:row>
    <x:row r="472" ht="15" hidden="0">
      <x:c r="A472" s="70" t="s">
        <x:v>1611</x:v>
      </x:c>
      <x:c r="B472" s="70" t="s">
        <x:v>25</x:v>
      </x:c>
      <x:c r="C472" s="70" t="s">
        <x:v>77</x:v>
      </x:c>
      <x:c r="D472" s="70" t="s">
        <x:v>487</x:v>
      </x:c>
      <x:c r="E472" s="70" t="s">
        <x:v>172</x:v>
      </x:c>
      <x:c r="F472" s="70" t="s">
        <x:v>1607</x:v>
      </x:c>
      <x:c r="G472" s="70" t="s">
        <x:v>1214</x:v>
      </x:c>
      <x:c r="H472" s="70" t="s">
        <x:v>1215</x:v>
      </x:c>
      <x:c r="I472" s="70" t="s">
        <x:v>1218</x:v>
      </x:c>
      <x:c r="J472" s="70" t="n">
        <x:v>73</x:v>
      </x:c>
      <x:c r="K472" s="70" t="s">
        <x:v>1200</x:v>
      </x:c>
      <x:c r="L472" s="70"/>
      <x:c r="M472" s="70" t="s">
        <x:v>29</x:v>
      </x:c>
      <x:c r="N472" s="71" t="n">
        <x:v>-4398595770</x:v>
      </x:c>
      <x:c r="O472" s="72" t="n">
        <x:f aca="0">N472/1000000</x:f>
        <x:v>-4398.59577</x:v>
      </x:c>
      <x:c r="P472" s="73" t="n">
        <x:f aca="0">KOHC!H122</x:f>
        <x:v>-4398.59577</x:v>
      </x:c>
      <x:c r="Q472" s="70" t="str">
        <x:f aca="0">IF(ABS(O472-P472)&lt;0.000001,"PASS","FAIL")</x:f>
        <x:v>PASS</x:v>
      </x:c>
      <x:c r="R472" s="70" t="s">
        <x:v>28</x:v>
      </x:c>
      <x:c r="S472" s="70"/>
    </x:row>
    <x:row r="473" ht="15" hidden="0">
      <x:c r="A473" s="70" t="s">
        <x:v>1612</x:v>
      </x:c>
      <x:c r="B473" s="70" t="s">
        <x:v>25</x:v>
      </x:c>
      <x:c r="C473" s="70" t="s">
        <x:v>73</x:v>
      </x:c>
      <x:c r="D473" s="70" t="s">
        <x:v>489</x:v>
      </x:c>
      <x:c r="E473" s="70" t="s">
        <x:v>172</x:v>
      </x:c>
      <x:c r="F473" s="70" t="s">
        <x:v>1613</x:v>
      </x:c>
      <x:c r="G473" s="70" t="s">
        <x:v>1203</x:v>
      </x:c>
      <x:c r="H473" s="70" t="s">
        <x:v>1204</x:v>
      </x:c>
      <x:c r="I473" s="70" t="s">
        <x:v>1199</x:v>
      </x:c>
      <x:c r="J473" s="70" t="n">
        <x:v>57</x:v>
      </x:c>
      <x:c r="K473" s="70" t="s">
        <x:v>1230</x:v>
      </x:c>
      <x:c r="L473" s="70"/>
      <x:c r="M473" s="70" t="s">
        <x:v>29</x:v>
      </x:c>
      <x:c r="N473" s="71" t="n">
        <x:v>-943014252</x:v>
      </x:c>
      <x:c r="O473" s="72" t="n">
        <x:f aca="0">N473/1000000</x:f>
        <x:v>-943.014252</x:v>
      </x:c>
      <x:c r="P473" s="73" t="n">
        <x:f aca="0">KOHC!D123</x:f>
        <x:v>-943.014252</x:v>
      </x:c>
      <x:c r="Q473" s="70" t="str">
        <x:f aca="0">IF(ABS(O473-P473)&lt;0.000001,"PASS","FAIL")</x:f>
        <x:v>PASS</x:v>
      </x:c>
      <x:c r="R473" s="70" t="s">
        <x:v>28</x:v>
      </x:c>
      <x:c r="S473" s="70"/>
    </x:row>
    <x:row r="474" ht="15" hidden="0">
      <x:c r="A474" s="70" t="s">
        <x:v>1614</x:v>
      </x:c>
      <x:c r="B474" s="70" t="s">
        <x:v>25</x:v>
      </x:c>
      <x:c r="C474" s="70" t="s">
        <x:v>74</x:v>
      </x:c>
      <x:c r="D474" s="70" t="s">
        <x:v>489</x:v>
      </x:c>
      <x:c r="E474" s="70" t="s">
        <x:v>172</x:v>
      </x:c>
      <x:c r="F474" s="70" t="s">
        <x:v>1613</x:v>
      </x:c>
      <x:c r="G474" s="70" t="s">
        <x:v>1207</x:v>
      </x:c>
      <x:c r="H474" s="70" t="s">
        <x:v>1208</x:v>
      </x:c>
      <x:c r="I474" s="70" t="s">
        <x:v>1199</x:v>
      </x:c>
      <x:c r="J474" s="70" t="n">
        <x:v>57</x:v>
      </x:c>
      <x:c r="K474" s="70" t="s">
        <x:v>1230</x:v>
      </x:c>
      <x:c r="L474" s="70"/>
      <x:c r="M474" s="70" t="s">
        <x:v>29</x:v>
      </x:c>
      <x:c r="N474" s="71" t="n">
        <x:v>-1805333093</x:v>
      </x:c>
      <x:c r="O474" s="72" t="n">
        <x:f aca="0">N474/1000000</x:f>
        <x:v>-1805.333093</x:v>
      </x:c>
      <x:c r="P474" s="73" t="n">
        <x:f aca="0">KOHC!E123</x:f>
        <x:v>-1805.333093</x:v>
      </x:c>
      <x:c r="Q474" s="70" t="str">
        <x:f aca="0">IF(ABS(O474-P474)&lt;0.000001,"PASS","FAIL")</x:f>
        <x:v>PASS</x:v>
      </x:c>
      <x:c r="R474" s="70" t="s">
        <x:v>28</x:v>
      </x:c>
      <x:c r="S474" s="70"/>
    </x:row>
    <x:row r="475" ht="15" hidden="0">
      <x:c r="A475" s="70" t="s">
        <x:v>1615</x:v>
      </x:c>
      <x:c r="B475" s="70" t="s">
        <x:v>25</x:v>
      </x:c>
      <x:c r="C475" s="70" t="s">
        <x:v>75</x:v>
      </x:c>
      <x:c r="D475" s="70" t="s">
        <x:v>489</x:v>
      </x:c>
      <x:c r="E475" s="70" t="s">
        <x:v>172</x:v>
      </x:c>
      <x:c r="F475" s="70" t="s">
        <x:v>1613</x:v>
      </x:c>
      <x:c r="G475" s="70" t="s">
        <x:v>1210</x:v>
      </x:c>
      <x:c r="H475" s="70" t="s">
        <x:v>1211</x:v>
      </x:c>
      <x:c r="I475" s="70" t="s">
        <x:v>1199</x:v>
      </x:c>
      <x:c r="J475" s="70" t="n">
        <x:v>63</x:v>
      </x:c>
      <x:c r="K475" s="70" t="s">
        <x:v>1230</x:v>
      </x:c>
      <x:c r="L475" s="70"/>
      <x:c r="M475" s="70" t="s">
        <x:v>29</x:v>
      </x:c>
      <x:c r="N475" s="71" t="n">
        <x:v>-1528794437</x:v>
      </x:c>
      <x:c r="O475" s="72" t="n">
        <x:f aca="0">N475/1000000</x:f>
        <x:v>-1528.794437</x:v>
      </x:c>
      <x:c r="P475" s="73" t="n">
        <x:f aca="0">KOHC!F123</x:f>
        <x:v>-1528.794437</x:v>
      </x:c>
      <x:c r="Q475" s="70" t="str">
        <x:f aca="0">IF(ABS(O475-P475)&lt;0.000001,"PASS","FAIL")</x:f>
        <x:v>PASS</x:v>
      </x:c>
      <x:c r="R475" s="70" t="s">
        <x:v>28</x:v>
      </x:c>
      <x:c r="S475" s="70"/>
    </x:row>
    <x:row r="476" ht="15" hidden="0">
      <x:c r="A476" s="70" t="s">
        <x:v>1616</x:v>
      </x:c>
      <x:c r="B476" s="70" t="s">
        <x:v>25</x:v>
      </x:c>
      <x:c r="C476" s="70" t="s">
        <x:v>76</x:v>
      </x:c>
      <x:c r="D476" s="70" t="s">
        <x:v>489</x:v>
      </x:c>
      <x:c r="E476" s="70" t="s">
        <x:v>172</x:v>
      </x:c>
      <x:c r="F476" s="70" t="s">
        <x:v>1613</x:v>
      </x:c>
      <x:c r="G476" s="70" t="s">
        <x:v>1214</x:v>
      </x:c>
      <x:c r="H476" s="70" t="s">
        <x:v>1215</x:v>
      </x:c>
      <x:c r="I476" s="70" t="s">
        <x:v>1199</x:v>
      </x:c>
      <x:c r="J476" s="70" t="n">
        <x:v>73</x:v>
      </x:c>
      <x:c r="K476" s="70" t="s">
        <x:v>1200</x:v>
      </x:c>
      <x:c r="L476" s="70"/>
      <x:c r="M476" s="70" t="s">
        <x:v>29</x:v>
      </x:c>
      <x:c r="N476" s="71" t="n">
        <x:v>-1447737336</x:v>
      </x:c>
      <x:c r="O476" s="72" t="n">
        <x:f aca="0">N476/1000000</x:f>
        <x:v>-1447.737336</x:v>
      </x:c>
      <x:c r="P476" s="73" t="n">
        <x:f aca="0">KOHC!G123</x:f>
        <x:v>-1447.737336</x:v>
      </x:c>
      <x:c r="Q476" s="70" t="str">
        <x:f aca="0">IF(ABS(O476-P476)&lt;0.000001,"PASS","FAIL")</x:f>
        <x:v>PASS</x:v>
      </x:c>
      <x:c r="R476" s="70" t="s">
        <x:v>28</x:v>
      </x:c>
      <x:c r="S476" s="70"/>
    </x:row>
    <x:row r="477" ht="15" hidden="0">
      <x:c r="A477" s="70" t="s">
        <x:v>1617</x:v>
      </x:c>
      <x:c r="B477" s="70" t="s">
        <x:v>25</x:v>
      </x:c>
      <x:c r="C477" s="70" t="s">
        <x:v>77</x:v>
      </x:c>
      <x:c r="D477" s="70" t="s">
        <x:v>489</x:v>
      </x:c>
      <x:c r="E477" s="70" t="s">
        <x:v>172</x:v>
      </x:c>
      <x:c r="F477" s="70" t="s">
        <x:v>1613</x:v>
      </x:c>
      <x:c r="G477" s="70" t="s">
        <x:v>1214</x:v>
      </x:c>
      <x:c r="H477" s="70" t="s">
        <x:v>1215</x:v>
      </x:c>
      <x:c r="I477" s="70" t="s">
        <x:v>1218</x:v>
      </x:c>
      <x:c r="J477" s="70" t="n">
        <x:v>73</x:v>
      </x:c>
      <x:c r="K477" s="70" t="s">
        <x:v>1200</x:v>
      </x:c>
      <x:c r="L477" s="70"/>
      <x:c r="M477" s="70" t="s">
        <x:v>29</x:v>
      </x:c>
      <x:c r="N477" s="71" t="n">
        <x:v>-4631639217</x:v>
      </x:c>
      <x:c r="O477" s="72" t="n">
        <x:f aca="0">N477/1000000</x:f>
        <x:v>-4631.639217</x:v>
      </x:c>
      <x:c r="P477" s="73" t="n">
        <x:f aca="0">KOHC!H123</x:f>
        <x:v>-4631.639217</x:v>
      </x:c>
      <x:c r="Q477" s="70" t="str">
        <x:f aca="0">IF(ABS(O477-P477)&lt;0.000001,"PASS","FAIL")</x:f>
        <x:v>PASS</x:v>
      </x:c>
      <x:c r="R477" s="70" t="s">
        <x:v>28</x:v>
      </x:c>
      <x:c r="S477" s="70"/>
    </x:row>
    <x:row r="478" ht="15" hidden="0">
      <x:c r="A478" s="70" t="s">
        <x:v>1618</x:v>
      </x:c>
      <x:c r="B478" s="70" t="s">
        <x:v>25</x:v>
      </x:c>
      <x:c r="C478" s="70" t="s">
        <x:v>73</x:v>
      </x:c>
      <x:c r="D478" s="70" t="s">
        <x:v>491</x:v>
      </x:c>
      <x:c r="E478" s="70" t="s">
        <x:v>172</x:v>
      </x:c>
      <x:c r="F478" s="70" t="s">
        <x:v>1619</x:v>
      </x:c>
      <x:c r="G478" s="70" t="s">
        <x:v>1203</x:v>
      </x:c>
      <x:c r="H478" s="70" t="s">
        <x:v>1204</x:v>
      </x:c>
      <x:c r="I478" s="70" t="s">
        <x:v>1199</x:v>
      </x:c>
      <x:c r="J478" s="70" t="n">
        <x:v>57</x:v>
      </x:c>
      <x:c r="K478" s="70" t="s">
        <x:v>1230</x:v>
      </x:c>
      <x:c r="L478" s="70"/>
      <x:c r="M478" s="70" t="s">
        <x:v>29</x:v>
      </x:c>
      <x:c r="N478" s="71" t="n">
        <x:v>-1816796</x:v>
      </x:c>
      <x:c r="O478" s="72" t="n">
        <x:f aca="0">N478/1000000</x:f>
        <x:v>-1.816796</x:v>
      </x:c>
      <x:c r="P478" s="73" t="n">
        <x:f aca="0">KOHC!D124</x:f>
        <x:v>-1.816796</x:v>
      </x:c>
      <x:c r="Q478" s="70" t="str">
        <x:f aca="0">IF(ABS(O478-P478)&lt;0.000001,"PASS","FAIL")</x:f>
        <x:v>PASS</x:v>
      </x:c>
      <x:c r="R478" s="70" t="s">
        <x:v>28</x:v>
      </x:c>
      <x:c r="S478" s="70"/>
    </x:row>
    <x:row r="479" ht="15" hidden="0">
      <x:c r="A479" s="70" t="s">
        <x:v>1620</x:v>
      </x:c>
      <x:c r="B479" s="70" t="s">
        <x:v>25</x:v>
      </x:c>
      <x:c r="C479" s="70" t="s">
        <x:v>74</x:v>
      </x:c>
      <x:c r="D479" s="70" t="s">
        <x:v>491</x:v>
      </x:c>
      <x:c r="E479" s="70" t="s">
        <x:v>172</x:v>
      </x:c>
      <x:c r="F479" s="70" t="s">
        <x:v>1619</x:v>
      </x:c>
      <x:c r="G479" s="70" t="s">
        <x:v>1207</x:v>
      </x:c>
      <x:c r="H479" s="70" t="s">
        <x:v>1208</x:v>
      </x:c>
      <x:c r="I479" s="70" t="s">
        <x:v>1199</x:v>
      </x:c>
      <x:c r="J479" s="70" t="n">
        <x:v>57</x:v>
      </x:c>
      <x:c r="K479" s="70" t="s">
        <x:v>1230</x:v>
      </x:c>
      <x:c r="L479" s="70"/>
      <x:c r="M479" s="70" t="s">
        <x:v>29</x:v>
      </x:c>
      <x:c r="N479" s="71" t="n">
        <x:v>-549503</x:v>
      </x:c>
      <x:c r="O479" s="72" t="n">
        <x:f aca="0">N479/1000000</x:f>
        <x:v>-0.549503</x:v>
      </x:c>
      <x:c r="P479" s="73" t="n">
        <x:f aca="0">KOHC!E124</x:f>
        <x:v>-0.549503</x:v>
      </x:c>
      <x:c r="Q479" s="70" t="str">
        <x:f aca="0">IF(ABS(O479-P479)&lt;0.000001,"PASS","FAIL")</x:f>
        <x:v>PASS</x:v>
      </x:c>
      <x:c r="R479" s="70" t="s">
        <x:v>28</x:v>
      </x:c>
      <x:c r="S479" s="70"/>
    </x:row>
    <x:row r="480" ht="15" hidden="0">
      <x:c r="A480" s="70" t="s">
        <x:v>1621</x:v>
      </x:c>
      <x:c r="B480" s="70" t="s">
        <x:v>25</x:v>
      </x:c>
      <x:c r="C480" s="70" t="s">
        <x:v>75</x:v>
      </x:c>
      <x:c r="D480" s="70" t="s">
        <x:v>491</x:v>
      </x:c>
      <x:c r="E480" s="70" t="s">
        <x:v>172</x:v>
      </x:c>
      <x:c r="F480" s="70" t="s">
        <x:v>1619</x:v>
      </x:c>
      <x:c r="G480" s="70" t="s">
        <x:v>1210</x:v>
      </x:c>
      <x:c r="H480" s="70" t="s">
        <x:v>1211</x:v>
      </x:c>
      <x:c r="I480" s="70" t="s">
        <x:v>1199</x:v>
      </x:c>
      <x:c r="J480" s="70" t="n">
        <x:v>63</x:v>
      </x:c>
      <x:c r="K480" s="70" t="s">
        <x:v>1230</x:v>
      </x:c>
      <x:c r="L480" s="70"/>
      <x:c r="M480" s="70" t="s">
        <x:v>29</x:v>
      </x:c>
      <x:c r="N480" s="71" t="n">
        <x:v>-172829</x:v>
      </x:c>
      <x:c r="O480" s="72" t="n">
        <x:f aca="0">N480/1000000</x:f>
        <x:v>-0.172829</x:v>
      </x:c>
      <x:c r="P480" s="73" t="n">
        <x:f aca="0">KOHC!F124</x:f>
        <x:v>-0.172829</x:v>
      </x:c>
      <x:c r="Q480" s="70" t="str">
        <x:f aca="0">IF(ABS(O480-P480)&lt;0.000001,"PASS","FAIL")</x:f>
        <x:v>PASS</x:v>
      </x:c>
      <x:c r="R480" s="70" t="s">
        <x:v>28</x:v>
      </x:c>
      <x:c r="S480" s="70"/>
    </x:row>
    <x:row r="481" ht="15" hidden="0">
      <x:c r="A481" s="70" t="s">
        <x:v>1622</x:v>
      </x:c>
      <x:c r="B481" s="70" t="s">
        <x:v>25</x:v>
      </x:c>
      <x:c r="C481" s="70" t="s">
        <x:v>76</x:v>
      </x:c>
      <x:c r="D481" s="70" t="s">
        <x:v>491</x:v>
      </x:c>
      <x:c r="E481" s="70" t="s">
        <x:v>172</x:v>
      </x:c>
      <x:c r="F481" s="70" t="s">
        <x:v>1619</x:v>
      </x:c>
      <x:c r="G481" s="70" t="s">
        <x:v>1214</x:v>
      </x:c>
      <x:c r="H481" s="70" t="s">
        <x:v>1215</x:v>
      </x:c>
      <x:c r="I481" s="70" t="s">
        <x:v>1199</x:v>
      </x:c>
      <x:c r="J481" s="70" t="n">
        <x:v>73</x:v>
      </x:c>
      <x:c r="K481" s="70" t="s">
        <x:v>1200</x:v>
      </x:c>
      <x:c r="L481" s="70"/>
      <x:c r="M481" s="70" t="s">
        <x:v>29</x:v>
      </x:c>
      <x:c r="N481" s="71" t="n">
        <x:v>-136289</x:v>
      </x:c>
      <x:c r="O481" s="72" t="n">
        <x:f aca="0">N481/1000000</x:f>
        <x:v>-0.136289</x:v>
      </x:c>
      <x:c r="P481" s="73" t="n">
        <x:f aca="0">KOHC!G124</x:f>
        <x:v>-0.136289</x:v>
      </x:c>
      <x:c r="Q481" s="70" t="str">
        <x:f aca="0">IF(ABS(O481-P481)&lt;0.000001,"PASS","FAIL")</x:f>
        <x:v>PASS</x:v>
      </x:c>
      <x:c r="R481" s="70" t="s">
        <x:v>28</x:v>
      </x:c>
      <x:c r="S481" s="70"/>
    </x:row>
    <x:row r="482" ht="15" hidden="0">
      <x:c r="A482" s="70" t="s">
        <x:v>1623</x:v>
      </x:c>
      <x:c r="B482" s="70" t="s">
        <x:v>25</x:v>
      </x:c>
      <x:c r="C482" s="70" t="s">
        <x:v>77</x:v>
      </x:c>
      <x:c r="D482" s="70" t="s">
        <x:v>491</x:v>
      </x:c>
      <x:c r="E482" s="70" t="s">
        <x:v>172</x:v>
      </x:c>
      <x:c r="F482" s="70" t="s">
        <x:v>1619</x:v>
      </x:c>
      <x:c r="G482" s="70" t="s">
        <x:v>1214</x:v>
      </x:c>
      <x:c r="H482" s="70" t="s">
        <x:v>1215</x:v>
      </x:c>
      <x:c r="I482" s="70" t="s">
        <x:v>1218</x:v>
      </x:c>
      <x:c r="J482" s="70" t="n">
        <x:v>73</x:v>
      </x:c>
      <x:c r="K482" s="70" t="s">
        <x:v>1200</x:v>
      </x:c>
      <x:c r="L482" s="70"/>
      <x:c r="M482" s="70" t="s">
        <x:v>29</x:v>
      </x:c>
      <x:c r="N482" s="71" t="n">
        <x:v>-3157674</x:v>
      </x:c>
      <x:c r="O482" s="72" t="n">
        <x:f aca="0">N482/1000000</x:f>
        <x:v>-3.157674</x:v>
      </x:c>
      <x:c r="P482" s="73" t="n">
        <x:f aca="0">KOHC!H124</x:f>
        <x:v>-3.157674</x:v>
      </x:c>
      <x:c r="Q482" s="70" t="str">
        <x:f aca="0">IF(ABS(O482-P482)&lt;0.000001,"PASS","FAIL")</x:f>
        <x:v>PASS</x:v>
      </x:c>
      <x:c r="R482" s="70" t="s">
        <x:v>28</x:v>
      </x:c>
      <x:c r="S482" s="70"/>
    </x:row>
    <x:row r="483" ht="15" hidden="0">
      <x:c r="A483" s="70" t="s">
        <x:v>1624</x:v>
      </x:c>
      <x:c r="B483" s="70" t="s">
        <x:v>25</x:v>
      </x:c>
      <x:c r="C483" s="70" t="s">
        <x:v>73</x:v>
      </x:c>
      <x:c r="D483" s="70" t="s">
        <x:v>494</x:v>
      </x:c>
      <x:c r="E483" s="70" t="s">
        <x:v>1221</x:v>
      </x:c>
      <x:c r="F483" s="70" t="s">
        <x:v>1625</x:v>
      </x:c>
      <x:c r="G483" s="70" t="s">
        <x:v>1197</x:v>
      </x:c>
      <x:c r="H483" s="70" t="s">
        <x:v>1198</x:v>
      </x:c>
      <x:c r="I483" s="70" t="s">
        <x:v>1218</x:v>
      </x:c>
      <x:c r="J483" s="70" t="n">
        <x:v>86</x:v>
      </x:c>
      <x:c r="K483" s="70" t="s">
        <x:v>1626</x:v>
      </x:c>
      <x:c r="L483" s="70"/>
      <x:c r="M483" s="70" t="s">
        <x:v>158</x:v>
      </x:c>
      <x:c r="N483" s="70" t="n">
        <x:v>10</x:v>
      </x:c>
      <x:c r="O483" s="70" t="n">
        <x:f aca="0">N483</x:f>
        <x:v>10</x:v>
      </x:c>
      <x:c r="P483" s="74" t="n">
        <x:f aca="0">KOHC!D127</x:f>
        <x:v>10</x:v>
      </x:c>
      <x:c r="Q483" s="70" t="str">
        <x:f aca="0">IF(ABS(O483-P483)&lt;0.000001,"PASS","FAIL")</x:f>
        <x:v>PASS</x:v>
      </x:c>
      <x:c r="R483" s="70" t="s">
        <x:v>28</x:v>
      </x:c>
      <x:c r="S483" s="70" t="str">
        <x:v>Verified FY-end share basis; see Share Basis and Corporate Actions for source excerpts and normalization. Original source metadata superseded where the basis changed.</x:v>
      </x:c>
    </x:row>
    <x:row r="484" ht="15" hidden="0">
      <x:c r="A484" s="70" t="s">
        <x:v>1627</x:v>
      </x:c>
      <x:c r="B484" s="70" t="s">
        <x:v>25</x:v>
      </x:c>
      <x:c r="C484" s="70" t="s">
        <x:v>74</x:v>
      </x:c>
      <x:c r="D484" s="70" t="s">
        <x:v>494</x:v>
      </x:c>
      <x:c r="E484" s="70" t="s">
        <x:v>1221</x:v>
      </x:c>
      <x:c r="F484" s="70" t="s">
        <x:v>1625</x:v>
      </x:c>
      <x:c r="G484" s="70" t="s">
        <x:v>1203</x:v>
      </x:c>
      <x:c r="H484" s="70" t="s">
        <x:v>1204</x:v>
      </x:c>
      <x:c r="I484" s="70" t="s">
        <x:v>1218</x:v>
      </x:c>
      <x:c r="J484" s="70" t="n">
        <x:v>94</x:v>
      </x:c>
      <x:c r="K484" s="70" t="s">
        <x:v>1560</x:v>
      </x:c>
      <x:c r="L484" s="70"/>
      <x:c r="M484" s="70" t="s">
        <x:v>158</x:v>
      </x:c>
      <x:c r="N484" s="70" t="n">
        <x:v>10</x:v>
      </x:c>
      <x:c r="O484" s="70" t="n">
        <x:f aca="0">N484</x:f>
        <x:v>10</x:v>
      </x:c>
      <x:c r="P484" s="74" t="n">
        <x:f aca="0">KOHC!E127</x:f>
        <x:v>10</x:v>
      </x:c>
      <x:c r="Q484" s="70" t="str">
        <x:f aca="0">IF(ABS(O484-P484)&lt;0.000001,"PASS","FAIL")</x:f>
        <x:v>PASS</x:v>
      </x:c>
      <x:c r="R484" s="70" t="s">
        <x:v>28</x:v>
      </x:c>
      <x:c r="S484" s="70" t="str">
        <x:v>Verified FY-end share basis; see Share Basis and Corporate Actions for source excerpts and normalization. Original source metadata superseded where the basis changed.</x:v>
      </x:c>
    </x:row>
    <x:row r="485" ht="15" hidden="0">
      <x:c r="A485" s="70" t="s">
        <x:v>1628</x:v>
      </x:c>
      <x:c r="B485" s="70" t="s">
        <x:v>25</x:v>
      </x:c>
      <x:c r="C485" s="70" t="s">
        <x:v>75</x:v>
      </x:c>
      <x:c r="D485" s="70" t="s">
        <x:v>494</x:v>
      </x:c>
      <x:c r="E485" s="70" t="s">
        <x:v>1221</x:v>
      </x:c>
      <x:c r="F485" s="70" t="s">
        <x:v>1625</x:v>
      </x:c>
      <x:c r="G485" s="70" t="s">
        <x:v>1207</x:v>
      </x:c>
      <x:c r="H485" s="70" t="s">
        <x:v>1208</x:v>
      </x:c>
      <x:c r="I485" s="70" t="s">
        <x:v>1218</x:v>
      </x:c>
      <x:c r="J485" s="70" t="n">
        <x:v>92</x:v>
      </x:c>
      <x:c r="K485" s="70" t="s">
        <x:v>1562</x:v>
      </x:c>
      <x:c r="L485" s="70"/>
      <x:c r="M485" s="70" t="s">
        <x:v>158</x:v>
      </x:c>
      <x:c r="N485" s="70" t="n">
        <x:v>10</x:v>
      </x:c>
      <x:c r="O485" s="70" t="n">
        <x:f aca="0">N485</x:f>
        <x:v>10</x:v>
      </x:c>
      <x:c r="P485" s="74" t="n">
        <x:f aca="0">KOHC!F127</x:f>
        <x:v>10</x:v>
      </x:c>
      <x:c r="Q485" s="70" t="str">
        <x:f aca="0">IF(ABS(O485-P485)&lt;0.000001,"PASS","FAIL")</x:f>
        <x:v>PASS</x:v>
      </x:c>
      <x:c r="R485" s="70" t="s">
        <x:v>28</x:v>
      </x:c>
      <x:c r="S485" s="70" t="str">
        <x:v>Verified FY-end share basis; see Share Basis and Corporate Actions for source excerpts and normalization. Original source metadata superseded where the basis changed.</x:v>
      </x:c>
    </x:row>
    <x:row r="486" ht="15" hidden="0">
      <x:c r="A486" s="70" t="s">
        <x:v>1629</x:v>
      </x:c>
      <x:c r="B486" s="70" t="s">
        <x:v>25</x:v>
      </x:c>
      <x:c r="C486" s="70" t="s">
        <x:v>76</x:v>
      </x:c>
      <x:c r="D486" s="70" t="s">
        <x:v>494</x:v>
      </x:c>
      <x:c r="E486" s="70" t="s">
        <x:v>1221</x:v>
      </x:c>
      <x:c r="F486" s="70" t="s">
        <x:v>1625</x:v>
      </x:c>
      <x:c r="G486" s="70" t="s">
        <x:v>1210</x:v>
      </x:c>
      <x:c r="H486" s="70" t="s">
        <x:v>1211</x:v>
      </x:c>
      <x:c r="I486" s="70" t="s">
        <x:v>1218</x:v>
      </x:c>
      <x:c r="J486" s="70" t="n">
        <x:v>101</x:v>
      </x:c>
      <x:c r="K486" s="70" t="s">
        <x:v>1200</x:v>
      </x:c>
      <x:c r="L486" s="70"/>
      <x:c r="M486" s="70" t="s">
        <x:v>158</x:v>
      </x:c>
      <x:c r="N486" s="70" t="n">
        <x:v>10</x:v>
      </x:c>
      <x:c r="O486" s="70" t="n">
        <x:f aca="0">N486</x:f>
        <x:v>10</x:v>
      </x:c>
      <x:c r="P486" s="74" t="n">
        <x:f aca="0">KOHC!G127</x:f>
        <x:v>10</x:v>
      </x:c>
      <x:c r="Q486" s="70" t="str">
        <x:f aca="0">IF(ABS(O486-P486)&lt;0.000001,"PASS","FAIL")</x:f>
        <x:v>PASS</x:v>
      </x:c>
      <x:c r="R486" s="70" t="s">
        <x:v>28</x:v>
      </x:c>
      <x:c r="S486" s="70" t="str">
        <x:v>Verified FY-end share basis; see Share Basis and Corporate Actions for source excerpts and normalization. Original source metadata superseded where the basis changed.</x:v>
      </x:c>
    </x:row>
    <x:row r="487" ht="15" hidden="0">
      <x:c r="A487" s="70" t="s">
        <x:v>1630</x:v>
      </x:c>
      <x:c r="B487" s="70" t="s">
        <x:v>25</x:v>
      </x:c>
      <x:c r="C487" s="70" t="s">
        <x:v>77</x:v>
      </x:c>
      <x:c r="D487" s="70" t="s">
        <x:v>494</x:v>
      </x:c>
      <x:c r="E487" s="70" t="s">
        <x:v>1221</x:v>
      </x:c>
      <x:c r="F487" s="70" t="s">
        <x:v>1625</x:v>
      </x:c>
      <x:c r="G487" s="70" t="s">
        <x:v>1214</x:v>
      </x:c>
      <x:c r="H487" s="70" t="s">
        <x:v>1215</x:v>
      </x:c>
      <x:c r="I487" s="70" t="s">
        <x:v>1218</x:v>
      </x:c>
      <x:c r="J487" s="70" t="n">
        <x:v>109</x:v>
      </x:c>
      <x:c r="K487" s="70" t="s">
        <x:v>1200</x:v>
      </x:c>
      <x:c r="L487" s="70"/>
      <x:c r="M487" s="70" t="s">
        <x:v>158</x:v>
      </x:c>
      <x:c r="N487" s="70" t="n">
        <x:v>10</x:v>
      </x:c>
      <x:c r="O487" s="70" t="n">
        <x:f aca="0">N487</x:f>
        <x:v>10</x:v>
      </x:c>
      <x:c r="P487" s="74" t="n">
        <x:f aca="0">KOHC!H127</x:f>
        <x:v>10</x:v>
      </x:c>
      <x:c r="Q487" s="70" t="str">
        <x:f aca="0">IF(ABS(O487-P487)&lt;0.000001,"PASS","FAIL")</x:f>
        <x:v>PASS</x:v>
      </x:c>
      <x:c r="R487" s="70" t="s">
        <x:v>28</x:v>
      </x:c>
      <x:c r="S487" s="70" t="str">
        <x:v>Verified FY-end share basis; see Share Basis and Corporate Actions for source excerpts and normalization. Original source metadata superseded where the basis changed.</x:v>
      </x:c>
    </x:row>
    <x:row r="488" ht="15" hidden="0">
      <x:c r="A488" s="70" t="s">
        <x:v>1631</x:v>
      </x:c>
      <x:c r="B488" s="70" t="s">
        <x:v>25</x:v>
      </x:c>
      <x:c r="C488" s="70" t="s">
        <x:v>73</x:v>
      </x:c>
      <x:c r="D488" s="70" t="s">
        <x:v>499</x:v>
      </x:c>
      <x:c r="E488" s="70" t="s">
        <x:v>1221</x:v>
      </x:c>
      <x:c r="F488" s="70" t="s">
        <x:v>1632</x:v>
      </x:c>
      <x:c r="G488" s="70" t="str">
        <x:v>KOHC_AR_2021.pdf</x:v>
      </x:c>
      <x:c r="H488" s="70" t="s">
        <x:v>1198</x:v>
      </x:c>
      <x:c r="I488" s="70" t="s">
        <x:v>1218</x:v>
      </x:c>
      <x:c r="J488" s="70" t="n">
        <x:v>86</x:v>
      </x:c>
      <x:c r="K488" s="70" t="s">
        <x:v>1626</x:v>
      </x:c>
      <x:c r="L488" s="70"/>
      <x:c r="M488" s="70" t="s">
        <x:v>498</x:v>
      </x:c>
      <x:c r="N488" s="70" t="n">
        <x:v>200.861297</x:v>
      </x:c>
      <x:c r="O488" s="70" t="n">
        <x:f aca="0">N488</x:f>
        <x:v>200.861297</x:v>
      </x:c>
      <x:c r="P488" s="72" t="n">
        <x:f aca="0">KOHC!D129</x:f>
        <x:v>200.861297</x:v>
      </x:c>
      <x:c r="Q488" s="70" t="str">
        <x:f aca="0">IF(ABS(O488-P488)&lt;0.000001,"PASS","FAIL")</x:f>
        <x:v>PASS</x:v>
      </x:c>
      <x:c r="R488" s="70" t="s">
        <x:v>28</x:v>
      </x:c>
      <x:c r="S488" s="70" t="str">
        <x:v>Verified FY-end share basis; see Share Basis and Corporate Actions for source excerpts and normalization. Original source metadata superseded where the basis changed.</x:v>
      </x:c>
    </x:row>
    <x:row r="489" ht="15" hidden="0">
      <x:c r="A489" s="70" t="s">
        <x:v>1633</x:v>
      </x:c>
      <x:c r="B489" s="70" t="s">
        <x:v>25</x:v>
      </x:c>
      <x:c r="C489" s="70" t="s">
        <x:v>74</x:v>
      </x:c>
      <x:c r="D489" s="70" t="s">
        <x:v>499</x:v>
      </x:c>
      <x:c r="E489" s="70" t="s">
        <x:v>1221</x:v>
      </x:c>
      <x:c r="F489" s="70" t="s">
        <x:v>1632</x:v>
      </x:c>
      <x:c r="G489" s="70" t="str">
        <x:v>Kohat_Cement_AR_2022.pdf</x:v>
      </x:c>
      <x:c r="H489" s="70" t="s">
        <x:v>1204</x:v>
      </x:c>
      <x:c r="I489" s="70" t="s">
        <x:v>1218</x:v>
      </x:c>
      <x:c r="J489" s="70" t="n">
        <x:v>94</x:v>
      </x:c>
      <x:c r="K489" s="70" t="s">
        <x:v>1560</x:v>
      </x:c>
      <x:c r="L489" s="70"/>
      <x:c r="M489" s="70" t="s">
        <x:v>498</x:v>
      </x:c>
      <x:c r="N489" s="70" t="n">
        <x:v>200.861297</x:v>
      </x:c>
      <x:c r="O489" s="70" t="n">
        <x:f aca="0">N489</x:f>
        <x:v>200.861297</x:v>
      </x:c>
      <x:c r="P489" s="72" t="n">
        <x:f aca="0">KOHC!E129</x:f>
        <x:v>200.861297</x:v>
      </x:c>
      <x:c r="Q489" s="70" t="str">
        <x:f aca="0">IF(ABS(O489-P489)&lt;0.000001,"PASS","FAIL")</x:f>
        <x:v>PASS</x:v>
      </x:c>
      <x:c r="R489" s="70" t="s">
        <x:v>28</x:v>
      </x:c>
      <x:c r="S489" s="70" t="str">
        <x:v>Verified FY-end share basis; see Share Basis and Corporate Actions for source excerpts and normalization. Original source metadata superseded where the basis changed.</x:v>
      </x:c>
    </x:row>
    <x:row r="490" ht="15" hidden="0">
      <x:c r="A490" s="70" t="s">
        <x:v>1634</x:v>
      </x:c>
      <x:c r="B490" s="70" t="s">
        <x:v>25</x:v>
      </x:c>
      <x:c r="C490" s="70" t="s">
        <x:v>75</x:v>
      </x:c>
      <x:c r="D490" s="70" t="s">
        <x:v>499</x:v>
      </x:c>
      <x:c r="E490" s="70" t="s">
        <x:v>1221</x:v>
      </x:c>
      <x:c r="F490" s="70" t="s">
        <x:v>1632</x:v>
      </x:c>
      <x:c r="G490" s="70" t="str">
        <x:v>Financial_Statements-30-06-2023.pdf</x:v>
      </x:c>
      <x:c r="H490" s="70" t="s">
        <x:v>1208</x:v>
      </x:c>
      <x:c r="I490" s="70" t="s">
        <x:v>1218</x:v>
      </x:c>
      <x:c r="J490" s="70" t="n">
        <x:v>92</x:v>
      </x:c>
      <x:c r="K490" s="70" t="s">
        <x:v>1562</x:v>
      </x:c>
      <x:c r="L490" s="70"/>
      <x:c r="M490" s="70" t="s">
        <x:v>498</x:v>
      </x:c>
      <x:c r="N490" s="70" t="n">
        <x:v>200.861297</x:v>
      </x:c>
      <x:c r="O490" s="70" t="n">
        <x:f aca="0">N490</x:f>
        <x:v>200.861297</x:v>
      </x:c>
      <x:c r="P490" s="72" t="n">
        <x:f aca="0">KOHC!F129</x:f>
        <x:v>200.861297</x:v>
      </x:c>
      <x:c r="Q490" s="70" t="str">
        <x:f aca="0">IF(ABS(O490-P490)&lt;0.000001,"PASS","FAIL")</x:f>
        <x:v>PASS</x:v>
      </x:c>
      <x:c r="R490" s="70" t="s">
        <x:v>28</x:v>
      </x:c>
      <x:c r="S490" s="70" t="str">
        <x:v>Verified FY-end share basis; see Share Basis and Corporate Actions for source excerpts and normalization. Original source metadata superseded where the basis changed.</x:v>
      </x:c>
    </x:row>
    <x:row r="491" ht="15" hidden="0">
      <x:c r="A491" s="70" t="s">
        <x:v>1635</x:v>
      </x:c>
      <x:c r="B491" s="70" t="s">
        <x:v>25</x:v>
      </x:c>
      <x:c r="C491" s="70" t="s">
        <x:v>76</x:v>
      </x:c>
      <x:c r="D491" s="70" t="s">
        <x:v>499</x:v>
      </x:c>
      <x:c r="E491" s="70" t="s">
        <x:v>1221</x:v>
      </x:c>
      <x:c r="F491" s="70" t="s">
        <x:v>1632</x:v>
      </x:c>
      <x:c r="G491" s="70" t="str">
        <x:v>Kohat_Cement_Annual_Report-2024.pdf</x:v>
      </x:c>
      <x:c r="H491" s="70" t="s">
        <x:v>1211</x:v>
      </x:c>
      <x:c r="I491" s="70" t="s">
        <x:v>1218</x:v>
      </x:c>
      <x:c r="J491" s="70" t="n">
        <x:v>101</x:v>
      </x:c>
      <x:c r="K491" s="70" t="s">
        <x:v>1200</x:v>
      </x:c>
      <x:c r="L491" s="70"/>
      <x:c r="M491" s="70" t="s">
        <x:v>498</x:v>
      </x:c>
      <x:c r="N491" s="70" t="n">
        <x:v>196.435067</x:v>
      </x:c>
      <x:c r="O491" s="70" t="n">
        <x:f aca="0">N491</x:f>
        <x:v>196.435067</x:v>
      </x:c>
      <x:c r="P491" s="72" t="n">
        <x:f aca="0">KOHC!G129</x:f>
        <x:v>196.435067</x:v>
      </x:c>
      <x:c r="Q491" s="70" t="str">
        <x:f aca="0">IF(ABS(O491-P491)&lt;0.000001,"PASS","FAIL")</x:f>
        <x:v>PASS</x:v>
      </x:c>
      <x:c r="R491" s="70" t="s">
        <x:v>28</x:v>
      </x:c>
      <x:c r="S491" s="70" t="str">
        <x:v>Verified FY-end share basis; see Share Basis and Corporate Actions for source excerpts and normalization. Original source metadata superseded where the basis changed.</x:v>
      </x:c>
    </x:row>
    <x:row r="492" ht="15" hidden="0">
      <x:c r="A492" s="70" t="s">
        <x:v>1636</x:v>
      </x:c>
      <x:c r="B492" s="70" t="s">
        <x:v>25</x:v>
      </x:c>
      <x:c r="C492" s="70" t="s">
        <x:v>77</x:v>
      </x:c>
      <x:c r="D492" s="70" t="s">
        <x:v>499</x:v>
      </x:c>
      <x:c r="E492" s="70" t="s">
        <x:v>1221</x:v>
      </x:c>
      <x:c r="F492" s="70" t="s">
        <x:v>1632</x:v>
      </x:c>
      <x:c r="G492" s="70" t="str">
        <x:v>Kohat_Cement_Annual_Report_2025.pdf</x:v>
      </x:c>
      <x:c r="H492" s="70" t="s">
        <x:v>1215</x:v>
      </x:c>
      <x:c r="I492" s="70" t="s">
        <x:v>1218</x:v>
      </x:c>
      <x:c r="J492" s="70" t="n">
        <x:v>109</x:v>
      </x:c>
      <x:c r="K492" s="70" t="s">
        <x:v>1200</x:v>
      </x:c>
      <x:c r="L492" s="70"/>
      <x:c r="M492" s="70" t="s">
        <x:v>498</x:v>
      </x:c>
      <x:c r="N492" s="70" t="n">
        <x:v>193.42842</x:v>
      </x:c>
      <x:c r="O492" s="70" t="n">
        <x:f aca="0">N492</x:f>
        <x:v>193.42842</x:v>
      </x:c>
      <x:c r="P492" s="72" t="n">
        <x:f aca="0">KOHC!H129</x:f>
        <x:v>193.42842</x:v>
      </x:c>
      <x:c r="Q492" s="70" t="str">
        <x:f aca="0">IF(ABS(O492-P492)&lt;0.000001,"PASS","FAIL")</x:f>
        <x:v>PASS</x:v>
      </x:c>
      <x:c r="R492" s="70" t="s">
        <x:v>28</x:v>
      </x:c>
      <x:c r="S492" s="70" t="str">
        <x:v>Verified FY-end share basis; see Share Basis and Corporate Actions for source excerpts and normalization. Original source metadata superseded where the basis changed.</x:v>
      </x:c>
    </x:row>
    <x:row r="493" ht="15" hidden="0">
      <x:c r="A493" s="70" t="s">
        <x:v>1637</x:v>
      </x:c>
      <x:c r="B493" s="70" t="s">
        <x:v>25</x:v>
      </x:c>
      <x:c r="C493" s="70" t="s">
        <x:v>73</x:v>
      </x:c>
      <x:c r="D493" s="70" t="str">
        <x:v>Actual FY-end closing price (Rs; unadjusted)</x:v>
      </x:c>
      <x:c r="E493" s="70" t="s">
        <x:v>1221</x:v>
      </x:c>
      <x:c r="F493" s="70" t="str">
        <x:v>Official PSX historical CLOSE column</x:v>
      </x:c>
      <x:c r="G493" s="70" t="str">
        <x:v>PSX historical response; hash and raw row on Price Evidence</x:v>
      </x:c>
      <x:c r="H493" s="70" t="str">
        <x:v>https://dps.psx.com.pk/historical</x:v>
      </x:c>
      <x:c r="I493" s="70" t="str">
        <x:v>POST date=2021-06-30</x:v>
      </x:c>
      <x:c r="J493" s="70"/>
      <x:c r="K493" s="70"/>
      <x:c r="L493" s="70"/>
      <x:c r="M493" s="70" t="s">
        <x:v>158</x:v>
      </x:c>
      <x:c r="N493" s="70" t="n">
        <x:v>206.49</x:v>
      </x:c>
      <x:c r="O493" s="70" t="n">
        <x:f aca="0">N493</x:f>
        <x:v>206.49</x:v>
      </x:c>
      <x:c r="P493" s="74" t="n">
        <x:f aca="0">KOHC!D130</x:f>
        <x:v>206.49</x:v>
      </x:c>
      <x:c r="Q493" s="70" t="str">
        <x:f aca="0">IF(ABS(O493-P493)&lt;0.000001,"PASS","FAIL")</x:f>
        <x:v>PASS</x:v>
      </x:c>
      <x:c r="R493" s="70" t="s">
        <x:v>28</x:v>
      </x:c>
      <x:c r="S493" s="70" t="str">
        <x:v>Unadjusted traded close. No split factor applied to PSX price. Original report figure and date evidence preserved on PSX Prices / Price Evidence.</x:v>
      </x:c>
    </x:row>
    <x:row r="494" ht="15" hidden="0">
      <x:c r="A494" s="70" t="s">
        <x:v>1638</x:v>
      </x:c>
      <x:c r="B494" s="70" t="s">
        <x:v>25</x:v>
      </x:c>
      <x:c r="C494" s="70" t="s">
        <x:v>74</x:v>
      </x:c>
      <x:c r="D494" s="70" t="str">
        <x:v>Actual FY-end closing price (Rs; unadjusted)</x:v>
      </x:c>
      <x:c r="E494" s="70" t="s">
        <x:v>1221</x:v>
      </x:c>
      <x:c r="F494" s="70" t="str">
        <x:v>Official PSX historical CLOSE column</x:v>
      </x:c>
      <x:c r="G494" s="70" t="str">
        <x:v>PSX historical response; hash and raw row on Price Evidence</x:v>
      </x:c>
      <x:c r="H494" s="70" t="str">
        <x:v>https://dps.psx.com.pk/historical</x:v>
      </x:c>
      <x:c r="I494" s="70" t="str">
        <x:v>POST date=2022-06-30</x:v>
      </x:c>
      <x:c r="J494" s="70"/>
      <x:c r="K494" s="70"/>
      <x:c r="L494" s="70"/>
      <x:c r="M494" s="70" t="s">
        <x:v>158</x:v>
      </x:c>
      <x:c r="N494" s="70" t="n">
        <x:v>130.13</x:v>
      </x:c>
      <x:c r="O494" s="70" t="n">
        <x:f aca="0">N494</x:f>
        <x:v>130.13</x:v>
      </x:c>
      <x:c r="P494" s="74" t="n">
        <x:f aca="0">KOHC!E130</x:f>
        <x:v>130.13</x:v>
      </x:c>
      <x:c r="Q494" s="70" t="str">
        <x:f aca="0">IF(ABS(O494-P494)&lt;0.000001,"PASS","FAIL")</x:f>
        <x:v>PASS</x:v>
      </x:c>
      <x:c r="R494" s="70" t="s">
        <x:v>28</x:v>
      </x:c>
      <x:c r="S494" s="70" t="str">
        <x:v>Unadjusted traded close. No split factor applied to PSX price. Original report figure and date evidence preserved on PSX Prices / Price Evidence.</x:v>
      </x:c>
    </x:row>
    <x:row r="495" ht="15" hidden="0">
      <x:c r="A495" s="70" t="s">
        <x:v>1639</x:v>
      </x:c>
      <x:c r="B495" s="70" t="s">
        <x:v>25</x:v>
      </x:c>
      <x:c r="C495" s="70" t="s">
        <x:v>75</x:v>
      </x:c>
      <x:c r="D495" s="70" t="str">
        <x:v>Actual FY-end closing price (Rs; unadjusted)</x:v>
      </x:c>
      <x:c r="E495" s="70" t="s">
        <x:v>1221</x:v>
      </x:c>
      <x:c r="F495" s="70" t="str">
        <x:v>Official PSX historical CLOSE column</x:v>
      </x:c>
      <x:c r="G495" s="70" t="str">
        <x:v>PSX historical response; hash and raw row on Price Evidence</x:v>
      </x:c>
      <x:c r="H495" s="70" t="str">
        <x:v>https://dps.psx.com.pk/historical</x:v>
      </x:c>
      <x:c r="I495" s="70" t="str">
        <x:v>POST date=2023-06-27</x:v>
      </x:c>
      <x:c r="J495" s="70"/>
      <x:c r="K495" s="70"/>
      <x:c r="L495" s="70"/>
      <x:c r="M495" s="70" t="s">
        <x:v>158</x:v>
      </x:c>
      <x:c r="N495" s="70" t="n">
        <x:v>173.47</x:v>
      </x:c>
      <x:c r="O495" s="70" t="n">
        <x:f aca="0">N495</x:f>
        <x:v>173.47</x:v>
      </x:c>
      <x:c r="P495" s="74" t="n">
        <x:f aca="0">KOHC!F130</x:f>
        <x:v>173.47</x:v>
      </x:c>
      <x:c r="Q495" s="70" t="str">
        <x:f aca="0">IF(ABS(O495-P495)&lt;0.000001,"PASS","FAIL")</x:f>
        <x:v>PASS</x:v>
      </x:c>
      <x:c r="R495" s="70" t="s">
        <x:v>28</x:v>
      </x:c>
      <x:c r="S495" s="70" t="str">
        <x:v>Unadjusted traded close. No split factor applied to PSX price. Original report figure and date evidence preserved on PSX Prices / Price Evidence.</x:v>
      </x:c>
    </x:row>
    <x:row r="496" ht="15" hidden="0">
      <x:c r="A496" s="70" t="s">
        <x:v>1640</x:v>
      </x:c>
      <x:c r="B496" s="70" t="s">
        <x:v>25</x:v>
      </x:c>
      <x:c r="C496" s="70" t="s">
        <x:v>76</x:v>
      </x:c>
      <x:c r="D496" s="70" t="str">
        <x:v>Actual FY-end closing price (Rs; unadjusted)</x:v>
      </x:c>
      <x:c r="E496" s="70" t="s">
        <x:v>1221</x:v>
      </x:c>
      <x:c r="F496" s="70" t="str">
        <x:v>Official PSX historical CLOSE column</x:v>
      </x:c>
      <x:c r="G496" s="70" t="str">
        <x:v>PSX historical response; hash and raw row on Price Evidence</x:v>
      </x:c>
      <x:c r="H496" s="70" t="str">
        <x:v>https://dps.psx.com.pk/historical</x:v>
      </x:c>
      <x:c r="I496" s="70" t="str">
        <x:v>POST date=2024-06-28</x:v>
      </x:c>
      <x:c r="J496" s="70"/>
      <x:c r="K496" s="70"/>
      <x:c r="L496" s="70"/>
      <x:c r="M496" s="70" t="s">
        <x:v>158</x:v>
      </x:c>
      <x:c r="N496" s="70" t="n">
        <x:v>250.43</x:v>
      </x:c>
      <x:c r="O496" s="70" t="n">
        <x:f aca="0">N496</x:f>
        <x:v>250.43</x:v>
      </x:c>
      <x:c r="P496" s="74" t="n">
        <x:f aca="0">KOHC!G130</x:f>
        <x:v>250.43</x:v>
      </x:c>
      <x:c r="Q496" s="70" t="str">
        <x:f aca="0">IF(ABS(O496-P496)&lt;0.000001,"PASS","FAIL")</x:f>
        <x:v>PASS</x:v>
      </x:c>
      <x:c r="R496" s="70" t="s">
        <x:v>28</x:v>
      </x:c>
      <x:c r="S496" s="70" t="str">
        <x:v>Unadjusted traded close. No split factor applied to PSX price. Original report figure and date evidence preserved on PSX Prices / Price Evidence.</x:v>
      </x:c>
    </x:row>
    <x:row r="497" ht="15" hidden="0">
      <x:c r="A497" s="70" t="s">
        <x:v>1641</x:v>
      </x:c>
      <x:c r="B497" s="70" t="s">
        <x:v>25</x:v>
      </x:c>
      <x:c r="C497" s="70" t="s">
        <x:v>77</x:v>
      </x:c>
      <x:c r="D497" s="70" t="str">
        <x:v>Actual FY-end closing price (Rs; unadjusted)</x:v>
      </x:c>
      <x:c r="E497" s="70" t="s">
        <x:v>1221</x:v>
      </x:c>
      <x:c r="F497" s="70" t="str">
        <x:v>Official PSX historical CLOSE column</x:v>
      </x:c>
      <x:c r="G497" s="70" t="str">
        <x:v>PSX historical response; hash and raw row on Price Evidence</x:v>
      </x:c>
      <x:c r="H497" s="70" t="str">
        <x:v>https://dps.psx.com.pk/historical</x:v>
      </x:c>
      <x:c r="I497" s="70" t="str">
        <x:v>POST date=2025-06-30</x:v>
      </x:c>
      <x:c r="J497" s="70"/>
      <x:c r="K497" s="70"/>
      <x:c r="L497" s="70"/>
      <x:c r="M497" s="70" t="s">
        <x:v>158</x:v>
      </x:c>
      <x:c r="N497" s="70" t="n">
        <x:v>379.36</x:v>
      </x:c>
      <x:c r="O497" s="70" t="n">
        <x:f aca="0">N497</x:f>
        <x:v>379.36</x:v>
      </x:c>
      <x:c r="P497" s="74" t="n">
        <x:f aca="0">KOHC!H130</x:f>
        <x:v>379.36</x:v>
      </x:c>
      <x:c r="Q497" s="70" t="str">
        <x:f aca="0">IF(ABS(O497-P497)&lt;0.000001,"PASS","FAIL")</x:f>
        <x:v>PASS</x:v>
      </x:c>
      <x:c r="R497" s="70" t="s">
        <x:v>28</x:v>
      </x:c>
      <x:c r="S497" s="70" t="str">
        <x:v>Unadjusted traded close. No split factor applied to PSX price. Original report figure and date evidence preserved on PSX Prices / Price Evidence.</x:v>
      </x:c>
    </x:row>
    <x:row r="498" ht="15" hidden="0">
      <x:c r="A498" s="70" t="s">
        <x:v>1642</x:v>
      </x:c>
      <x:c r="B498" s="70" t="s">
        <x:v>25</x:v>
      </x:c>
      <x:c r="C498" s="70" t="s">
        <x:v>73</x:v>
      </x:c>
      <x:c r="D498" s="70" t="s">
        <x:v>502</x:v>
      </x:c>
      <x:c r="E498" s="70" t="s">
        <x:v>1221</x:v>
      </x:c>
      <x:c r="F498" s="70" t="s">
        <x:v>1643</x:v>
      </x:c>
      <x:c r="G498" s="70" t="s">
        <x:v>1214</x:v>
      </x:c>
      <x:c r="H498" s="70" t="s">
        <x:v>1215</x:v>
      </x:c>
      <x:c r="I498" s="70" t="s">
        <x:v>1199</x:v>
      </x:c>
      <x:c r="J498" s="70" t="n">
        <x:v>53</x:v>
      </x:c>
      <x:c r="K498" s="70" t="s">
        <x:v>1200</x:v>
      </x:c>
      <x:c r="L498" s="70"/>
      <x:c r="M498" s="70" t="s">
        <x:v>158</x:v>
      </x:c>
      <x:c r="N498" s="70" t="n">
        <x:v>0</x:v>
      </x:c>
      <x:c r="O498" s="70" t="n">
        <x:f aca="0">N498</x:f>
        <x:v>0</x:v>
      </x:c>
      <x:c r="P498" s="74" t="n">
        <x:f aca="0">KOHC!D131</x:f>
        <x:v>0</x:v>
      </x:c>
      <x:c r="Q498" s="70" t="str">
        <x:f aca="0">IF(ABS(O498-P498)&lt;0.000001,"PASS","FAIL")</x:f>
        <x:v>PASS</x:v>
      </x:c>
      <x:c r="R498" s="70" t="s">
        <x:v>28</x:v>
      </x:c>
      <x:c r="S498" s="70" t="str">
        <x:v>Verified FY-end share basis; see Share Basis and Corporate Actions for source excerpts and normalization. Original source metadata superseded where the basis changed.</x:v>
      </x:c>
    </x:row>
    <x:row r="499" ht="15" hidden="0">
      <x:c r="A499" s="70" t="s">
        <x:v>1644</x:v>
      </x:c>
      <x:c r="B499" s="70" t="s">
        <x:v>25</x:v>
      </x:c>
      <x:c r="C499" s="70" t="s">
        <x:v>74</x:v>
      </x:c>
      <x:c r="D499" s="70" t="s">
        <x:v>502</x:v>
      </x:c>
      <x:c r="E499" s="70" t="s">
        <x:v>1221</x:v>
      </x:c>
      <x:c r="F499" s="70" t="s">
        <x:v>1643</x:v>
      </x:c>
      <x:c r="G499" s="70" t="s">
        <x:v>1214</x:v>
      </x:c>
      <x:c r="H499" s="70" t="s">
        <x:v>1215</x:v>
      </x:c>
      <x:c r="I499" s="70" t="s">
        <x:v>1199</x:v>
      </x:c>
      <x:c r="J499" s="70" t="n">
        <x:v>53</x:v>
      </x:c>
      <x:c r="K499" s="70" t="s">
        <x:v>1200</x:v>
      </x:c>
      <x:c r="L499" s="70"/>
      <x:c r="M499" s="70" t="s">
        <x:v>158</x:v>
      </x:c>
      <x:c r="N499" s="70" t="n">
        <x:v>0</x:v>
      </x:c>
      <x:c r="O499" s="70" t="n">
        <x:f aca="0">N499</x:f>
        <x:v>0</x:v>
      </x:c>
      <x:c r="P499" s="74" t="n">
        <x:f aca="0">KOHC!E131</x:f>
        <x:v>0</x:v>
      </x:c>
      <x:c r="Q499" s="70" t="str">
        <x:f aca="0">IF(ABS(O499-P499)&lt;0.000001,"PASS","FAIL")</x:f>
        <x:v>PASS</x:v>
      </x:c>
      <x:c r="R499" s="70" t="s">
        <x:v>28</x:v>
      </x:c>
      <x:c r="S499" s="70" t="str">
        <x:v>Verified FY-end share basis; see Share Basis and Corporate Actions for source excerpts and normalization. Original source metadata superseded where the basis changed.</x:v>
      </x:c>
    </x:row>
    <x:row r="500" ht="15" hidden="0">
      <x:c r="A500" s="70" t="s">
        <x:v>1645</x:v>
      </x:c>
      <x:c r="B500" s="70" t="s">
        <x:v>25</x:v>
      </x:c>
      <x:c r="C500" s="70" t="s">
        <x:v>75</x:v>
      </x:c>
      <x:c r="D500" s="70" t="s">
        <x:v>502</x:v>
      </x:c>
      <x:c r="E500" s="70" t="s">
        <x:v>1221</x:v>
      </x:c>
      <x:c r="F500" s="70" t="s">
        <x:v>1643</x:v>
      </x:c>
      <x:c r="G500" s="70" t="s">
        <x:v>1214</x:v>
      </x:c>
      <x:c r="H500" s="70" t="s">
        <x:v>1215</x:v>
      </x:c>
      <x:c r="I500" s="70" t="s">
        <x:v>1199</x:v>
      </x:c>
      <x:c r="J500" s="70" t="n">
        <x:v>53</x:v>
      </x:c>
      <x:c r="K500" s="70" t="s">
        <x:v>1200</x:v>
      </x:c>
      <x:c r="L500" s="70"/>
      <x:c r="M500" s="70" t="s">
        <x:v>158</x:v>
      </x:c>
      <x:c r="N500" s="70" t="n">
        <x:v>0</x:v>
      </x:c>
      <x:c r="O500" s="70" t="n">
        <x:f aca="0">N500</x:f>
        <x:v>0</x:v>
      </x:c>
      <x:c r="P500" s="74" t="n">
        <x:f aca="0">KOHC!F131</x:f>
        <x:v>0</x:v>
      </x:c>
      <x:c r="Q500" s="70" t="str">
        <x:f aca="0">IF(ABS(O500-P500)&lt;0.000001,"PASS","FAIL")</x:f>
        <x:v>PASS</x:v>
      </x:c>
      <x:c r="R500" s="70" t="s">
        <x:v>28</x:v>
      </x:c>
      <x:c r="S500" s="70" t="str">
        <x:v>Verified FY-end share basis; see Share Basis and Corporate Actions for source excerpts and normalization. Original source metadata superseded where the basis changed.</x:v>
      </x:c>
    </x:row>
    <x:row r="501" ht="15" hidden="0">
      <x:c r="A501" s="70" t="s">
        <x:v>1646</x:v>
      </x:c>
      <x:c r="B501" s="70" t="s">
        <x:v>25</x:v>
      </x:c>
      <x:c r="C501" s="70" t="s">
        <x:v>76</x:v>
      </x:c>
      <x:c r="D501" s="70" t="s">
        <x:v>502</x:v>
      </x:c>
      <x:c r="E501" s="70" t="s">
        <x:v>1221</x:v>
      </x:c>
      <x:c r="F501" s="70" t="s">
        <x:v>1643</x:v>
      </x:c>
      <x:c r="G501" s="70" t="s">
        <x:v>1214</x:v>
      </x:c>
      <x:c r="H501" s="70" t="s">
        <x:v>1215</x:v>
      </x:c>
      <x:c r="I501" s="70" t="s">
        <x:v>1199</x:v>
      </x:c>
      <x:c r="J501" s="70" t="n">
        <x:v>53</x:v>
      </x:c>
      <x:c r="K501" s="70" t="s">
        <x:v>1200</x:v>
      </x:c>
      <x:c r="L501" s="70"/>
      <x:c r="M501" s="70" t="s">
        <x:v>158</x:v>
      </x:c>
      <x:c r="N501" s="70" t="n">
        <x:v>0</x:v>
      </x:c>
      <x:c r="O501" s="70" t="n">
        <x:f aca="0">N501</x:f>
        <x:v>0</x:v>
      </x:c>
      <x:c r="P501" s="74" t="n">
        <x:f aca="0">KOHC!G131</x:f>
        <x:v>0</x:v>
      </x:c>
      <x:c r="Q501" s="70" t="str">
        <x:f aca="0">IF(ABS(O501-P501)&lt;0.000001,"PASS","FAIL")</x:f>
        <x:v>PASS</x:v>
      </x:c>
      <x:c r="R501" s="70" t="s">
        <x:v>28</x:v>
      </x:c>
      <x:c r="S501" s="70" t="str">
        <x:v>Verified FY-end share basis; see Share Basis and Corporate Actions for source excerpts and normalization. Original source metadata superseded where the basis changed.</x:v>
      </x:c>
    </x:row>
    <x:row r="502" ht="15" hidden="0">
      <x:c r="A502" s="70" t="s">
        <x:v>1647</x:v>
      </x:c>
      <x:c r="B502" s="70" t="s">
        <x:v>25</x:v>
      </x:c>
      <x:c r="C502" s="70" t="s">
        <x:v>77</x:v>
      </x:c>
      <x:c r="D502" s="70" t="s">
        <x:v>502</x:v>
      </x:c>
      <x:c r="E502" s="70" t="s">
        <x:v>1221</x:v>
      </x:c>
      <x:c r="F502" s="70" t="s">
        <x:v>1643</x:v>
      </x:c>
      <x:c r="G502" s="70" t="s">
        <x:v>1214</x:v>
      </x:c>
      <x:c r="H502" s="70" t="s">
        <x:v>1215</x:v>
      </x:c>
      <x:c r="I502" s="70" t="s">
        <x:v>1218</x:v>
      </x:c>
      <x:c r="J502" s="70" t="n">
        <x:v>53</x:v>
      </x:c>
      <x:c r="K502" s="70" t="s">
        <x:v>1200</x:v>
      </x:c>
      <x:c r="L502" s="70"/>
      <x:c r="M502" s="70" t="s">
        <x:v>158</x:v>
      </x:c>
      <x:c r="N502" s="70" t="n">
        <x:v>0</x:v>
      </x:c>
      <x:c r="O502" s="70" t="n">
        <x:f aca="0">N502</x:f>
        <x:v>0</x:v>
      </x:c>
      <x:c r="P502" s="74" t="n">
        <x:f aca="0">KOHC!H131</x:f>
        <x:v>0</x:v>
      </x:c>
      <x:c r="Q502" s="70" t="str">
        <x:f aca="0">IF(ABS(O502-P502)&lt;0.000001,"PASS","FAIL")</x:f>
        <x:v>PASS</x:v>
      </x:c>
      <x:c r="R502" s="70" t="s">
        <x:v>28</x:v>
      </x:c>
      <x:c r="S502" s="70" t="str">
        <x:v>Verified FY-end share basis; see Share Basis and Corporate Actions for source excerpts and normalization. Original source metadata superseded where the basis changed.</x:v>
      </x:c>
    </x:row>
    <x:row r="503" ht="15" hidden="0">
      <x:c r="A503" s="70" t="s">
        <x:v>1648</x:v>
      </x:c>
      <x:c r="B503" s="70" t="s">
        <x:v>25</x:v>
      </x:c>
      <x:c r="C503" s="70" t="s">
        <x:v>73</x:v>
      </x:c>
      <x:c r="D503" s="70" t="s">
        <x:v>1649</x:v>
      </x:c>
      <x:c r="E503" s="70" t="s">
        <x:v>1472</x:v>
      </x:c>
      <x:c r="F503" s="70" t="s">
        <x:v>1650</x:v>
      </x:c>
      <x:c r="G503" s="70" t="str">
        <x:v>KOHC_AR_2021.pdf</x:v>
      </x:c>
      <x:c r="H503" s="70" t="s">
        <x:v>1198</x:v>
      </x:c>
      <x:c r="I503" s="70" t="s">
        <x:v>1218</x:v>
      </x:c>
      <x:c r="J503" s="70" t="n">
        <x:v>86</x:v>
      </x:c>
      <x:c r="K503" s="70" t="s">
        <x:v>1230</x:v>
      </x:c>
      <x:c r="L503" s="70"/>
      <x:c r="M503" s="70" t="s">
        <x:v>158</x:v>
      </x:c>
      <x:c r="N503" s="70" t="n">
        <x:v>17.41</x:v>
      </x:c>
      <x:c r="O503" s="70" t="n">
        <x:f aca="0">N503</x:f>
        <x:v>17.41</x:v>
      </x:c>
      <x:c r="P503" s="74" t="n">
        <x:f aca="0">KOHC!D132</x:f>
        <x:v>17.41</x:v>
      </x:c>
      <x:c r="Q503" s="70" t="str">
        <x:f aca="0">IF(ABS(O503-P503)&lt;0.000001,"PASS","FAIL")</x:f>
        <x:v>PASS</x:v>
      </x:c>
      <x:c r="R503" s="70" t="s">
        <x:v>28</x:v>
      </x:c>
      <x:c r="S503" s="70" t="str">
        <x:v>Verified FY-end share basis; see Share Basis and Corporate Actions for source excerpts and normalization. Original source metadata superseded where the basis changed.</x:v>
      </x:c>
    </x:row>
    <x:row r="504" ht="15" hidden="0">
      <x:c r="A504" s="70" t="s">
        <x:v>1651</x:v>
      </x:c>
      <x:c r="B504" s="70" t="s">
        <x:v>25</x:v>
      </x:c>
      <x:c r="C504" s="70" t="s">
        <x:v>74</x:v>
      </x:c>
      <x:c r="D504" s="70" t="s">
        <x:v>1649</x:v>
      </x:c>
      <x:c r="E504" s="70" t="s">
        <x:v>1472</x:v>
      </x:c>
      <x:c r="F504" s="70" t="s">
        <x:v>1650</x:v>
      </x:c>
      <x:c r="G504" s="70" t="str">
        <x:v>Kohat_Cement_AR_2022.pdf</x:v>
      </x:c>
      <x:c r="H504" s="70" t="s">
        <x:v>1204</x:v>
      </x:c>
      <x:c r="I504" s="70" t="s">
        <x:v>1218</x:v>
      </x:c>
      <x:c r="J504" s="70" t="n">
        <x:v>94</x:v>
      </x:c>
      <x:c r="K504" s="70" t="s">
        <x:v>1230</x:v>
      </x:c>
      <x:c r="L504" s="70"/>
      <x:c r="M504" s="70" t="s">
        <x:v>158</x:v>
      </x:c>
      <x:c r="N504" s="70" t="n">
        <x:v>25.01</x:v>
      </x:c>
      <x:c r="O504" s="70" t="n">
        <x:f aca="0">N504</x:f>
        <x:v>25.01</x:v>
      </x:c>
      <x:c r="P504" s="74" t="n">
        <x:f aca="0">KOHC!E132</x:f>
        <x:v>25.01</x:v>
      </x:c>
      <x:c r="Q504" s="70" t="str">
        <x:f aca="0">IF(ABS(O504-P504)&lt;0.000001,"PASS","FAIL")</x:f>
        <x:v>PASS</x:v>
      </x:c>
      <x:c r="R504" s="70" t="s">
        <x:v>28</x:v>
      </x:c>
      <x:c r="S504" s="70" t="str">
        <x:v>Verified FY-end share basis; see Share Basis and Corporate Actions for source excerpts and normalization. Original source metadata superseded where the basis changed.</x:v>
      </x:c>
    </x:row>
    <x:row r="505" ht="15" hidden="0">
      <x:c r="A505" s="70" t="s">
        <x:v>1652</x:v>
      </x:c>
      <x:c r="B505" s="70" t="s">
        <x:v>25</x:v>
      </x:c>
      <x:c r="C505" s="70" t="s">
        <x:v>75</x:v>
      </x:c>
      <x:c r="D505" s="70" t="s">
        <x:v>1649</x:v>
      </x:c>
      <x:c r="E505" s="70" t="s">
        <x:v>1472</x:v>
      </x:c>
      <x:c r="F505" s="70" t="s">
        <x:v>1650</x:v>
      </x:c>
      <x:c r="G505" s="70" t="str">
        <x:v>Financial_Statements-30-06-2023.pdf</x:v>
      </x:c>
      <x:c r="H505" s="70" t="s">
        <x:v>1208</x:v>
      </x:c>
      <x:c r="I505" s="70" t="s">
        <x:v>1218</x:v>
      </x:c>
      <x:c r="J505" s="70" t="n">
        <x:v>92</x:v>
      </x:c>
      <x:c r="K505" s="70" t="s">
        <x:v>1230</x:v>
      </x:c>
      <x:c r="L505" s="70"/>
      <x:c r="M505" s="70" t="s">
        <x:v>158</x:v>
      </x:c>
      <x:c r="N505" s="70" t="n">
        <x:v>28.98</x:v>
      </x:c>
      <x:c r="O505" s="70" t="n">
        <x:f aca="0">N505</x:f>
        <x:v>28.98</x:v>
      </x:c>
      <x:c r="P505" s="74" t="n">
        <x:f aca="0">KOHC!F132</x:f>
        <x:v>28.98</x:v>
      </x:c>
      <x:c r="Q505" s="70" t="str">
        <x:f aca="0">IF(ABS(O505-P505)&lt;0.000001,"PASS","FAIL")</x:f>
        <x:v>PASS</x:v>
      </x:c>
      <x:c r="R505" s="70" t="s">
        <x:v>28</x:v>
      </x:c>
      <x:c r="S505" s="70" t="str">
        <x:v>Verified FY-end share basis; see Share Basis and Corporate Actions for source excerpts and normalization. Original source metadata superseded where the basis changed.</x:v>
      </x:c>
    </x:row>
    <x:row r="506" ht="15" hidden="0">
      <x:c r="A506" s="70" t="s">
        <x:v>1653</x:v>
      </x:c>
      <x:c r="B506" s="70" t="s">
        <x:v>25</x:v>
      </x:c>
      <x:c r="C506" s="70" t="s">
        <x:v>76</x:v>
      </x:c>
      <x:c r="D506" s="70" t="s">
        <x:v>1649</x:v>
      </x:c>
      <x:c r="E506" s="70" t="s">
        <x:v>1472</x:v>
      </x:c>
      <x:c r="F506" s="70" t="s">
        <x:v>1650</x:v>
      </x:c>
      <x:c r="G506" s="70" t="str">
        <x:v>Kohat_Cement_Annual_Report-2024.pdf</x:v>
      </x:c>
      <x:c r="H506" s="70" t="s">
        <x:v>1211</x:v>
      </x:c>
      <x:c r="I506" s="70" t="s">
        <x:v>1218</x:v>
      </x:c>
      <x:c r="J506" s="70" t="n">
        <x:v>101</x:v>
      </x:c>
      <x:c r="K506" s="70" t="s">
        <x:v>1230</x:v>
      </x:c>
      <x:c r="L506" s="70"/>
      <x:c r="M506" s="70" t="s">
        <x:v>158</x:v>
      </x:c>
      <x:c r="N506" s="70" t="n">
        <x:v>45.27</x:v>
      </x:c>
      <x:c r="O506" s="70" t="n">
        <x:f aca="0">N506</x:f>
        <x:v>45.27</x:v>
      </x:c>
      <x:c r="P506" s="74" t="n">
        <x:f aca="0">KOHC!G132</x:f>
        <x:v>45.27</x:v>
      </x:c>
      <x:c r="Q506" s="70" t="str">
        <x:f aca="0">IF(ABS(O506-P506)&lt;0.000001,"PASS","FAIL")</x:f>
        <x:v>PASS</x:v>
      </x:c>
      <x:c r="R506" s="70" t="s">
        <x:v>28</x:v>
      </x:c>
      <x:c r="S506" s="70" t="str">
        <x:v>Verified FY-end share basis; see Share Basis and Corporate Actions for source excerpts and normalization. Original source metadata superseded where the basis changed.</x:v>
      </x:c>
    </x:row>
    <x:row r="507" ht="15" hidden="0">
      <x:c r="A507" s="70" t="s">
        <x:v>1654</x:v>
      </x:c>
      <x:c r="B507" s="70" t="s">
        <x:v>25</x:v>
      </x:c>
      <x:c r="C507" s="70" t="s">
        <x:v>77</x:v>
      </x:c>
      <x:c r="D507" s="70" t="s">
        <x:v>1649</x:v>
      </x:c>
      <x:c r="E507" s="70" t="s">
        <x:v>1472</x:v>
      </x:c>
      <x:c r="F507" s="70" t="s">
        <x:v>1650</x:v>
      </x:c>
      <x:c r="G507" s="70" t="str">
        <x:v>Kohat_Cement_Annual_Report_2025.pdf</x:v>
      </x:c>
      <x:c r="H507" s="70" t="s">
        <x:v>1215</x:v>
      </x:c>
      <x:c r="I507" s="70" t="s">
        <x:v>1218</x:v>
      </x:c>
      <x:c r="J507" s="70" t="n">
        <x:v>109</x:v>
      </x:c>
      <x:c r="K507" s="70" t="s">
        <x:v>1477</x:v>
      </x:c>
      <x:c r="L507" s="70"/>
      <x:c r="M507" s="70" t="s">
        <x:v>158</x:v>
      </x:c>
      <x:c r="N507" s="70" t="n">
        <x:v>11.97</x:v>
      </x:c>
      <x:c r="O507" s="70" t="n">
        <x:f aca="0">N507</x:f>
        <x:v>11.97</x:v>
      </x:c>
      <x:c r="P507" s="74" t="n">
        <x:f aca="0">KOHC!H132</x:f>
        <x:v>11.97</x:v>
      </x:c>
      <x:c r="Q507" s="70" t="str">
        <x:f aca="0">IF(ABS(O507-P507)&lt;0.000001,"PASS","FAIL")</x:f>
        <x:v>PASS</x:v>
      </x:c>
      <x:c r="R507" s="70" t="s">
        <x:v>28</x:v>
      </x:c>
      <x:c r="S507" s="70" t="str">
        <x:v>Verified FY-end share basis; see Share Basis and Corporate Actions for source excerpts and normalization. Original source metadata superseded where the basis changed.</x:v>
      </x:c>
    </x:row>
    <x:row r="508" ht="15" hidden="0">
      <x:c r="A508" s="70" t="s">
        <x:v>1655</x:v>
      </x:c>
      <x:c r="B508" s="70" t="s">
        <x:v>25</x:v>
      </x:c>
      <x:c r="C508" s="70" t="s">
        <x:v>73</x:v>
      </x:c>
      <x:c r="D508" s="70" t="s">
        <x:v>1656</x:v>
      </x:c>
      <x:c r="E508" s="70" t="s">
        <x:v>1221</x:v>
      </x:c>
      <x:c r="F508" s="70" t="s">
        <x:v>1657</x:v>
      </x:c>
      <x:c r="G508" s="70" t="s">
        <x:v>1214</x:v>
      </x:c>
      <x:c r="H508" s="70" t="s">
        <x:v>1215</x:v>
      </x:c>
      <x:c r="I508" s="70" t="s">
        <x:v>1199</x:v>
      </x:c>
      <x:c r="J508" s="70" t="n">
        <x:v>53</x:v>
      </x:c>
      <x:c r="K508" s="70" t="s">
        <x:v>1200</x:v>
      </x:c>
      <x:c r="L508" s="70"/>
      <x:c r="M508" s="70" t="s">
        <x:v>508</x:v>
      </x:c>
      <x:c r="N508" s="70" t="n">
        <x:v>5</x:v>
      </x:c>
      <x:c r="O508" s="70" t="n">
        <x:f aca="0">N508</x:f>
        <x:v>5</x:v>
      </x:c>
      <x:c r="P508" s="74" t="n">
        <x:f aca="0">KOHC!D134</x:f>
        <x:v>5</x:v>
      </x:c>
      <x:c r="Q508" s="70" t="str">
        <x:f aca="0">IF(ABS(O508-P508)&lt;0.000001,"PASS","FAIL")</x:f>
        <x:v>PASS</x:v>
      </x:c>
      <x:c r="R508" s="70" t="s">
        <x:v>28</x:v>
      </x:c>
      <x:c r="S508" s="70" t="str">
        <x:v>Verified FY-end share basis; see Share Basis and Corporate Actions for source excerpts and normalization. Original source metadata superseded where the basis changed.</x:v>
      </x:c>
    </x:row>
    <x:row r="509" ht="15" hidden="0">
      <x:c r="A509" s="70" t="s">
        <x:v>1658</x:v>
      </x:c>
      <x:c r="B509" s="70" t="s">
        <x:v>25</x:v>
      </x:c>
      <x:c r="C509" s="70" t="s">
        <x:v>74</x:v>
      </x:c>
      <x:c r="D509" s="70" t="s">
        <x:v>1656</x:v>
      </x:c>
      <x:c r="E509" s="70" t="s">
        <x:v>1221</x:v>
      </x:c>
      <x:c r="F509" s="70" t="s">
        <x:v>1657</x:v>
      </x:c>
      <x:c r="G509" s="70" t="s">
        <x:v>1214</x:v>
      </x:c>
      <x:c r="H509" s="70" t="s">
        <x:v>1215</x:v>
      </x:c>
      <x:c r="I509" s="70" t="s">
        <x:v>1199</x:v>
      </x:c>
      <x:c r="J509" s="70" t="n">
        <x:v>53</x:v>
      </x:c>
      <x:c r="K509" s="70" t="s">
        <x:v>1200</x:v>
      </x:c>
      <x:c r="L509" s="70"/>
      <x:c r="M509" s="70" t="s">
        <x:v>508</x:v>
      </x:c>
      <x:c r="N509" s="70" t="n">
        <x:v>5</x:v>
      </x:c>
      <x:c r="O509" s="70" t="n">
        <x:f aca="0">N509</x:f>
        <x:v>5</x:v>
      </x:c>
      <x:c r="P509" s="74" t="n">
        <x:f aca="0">KOHC!E134</x:f>
        <x:v>5</x:v>
      </x:c>
      <x:c r="Q509" s="70" t="str">
        <x:f aca="0">IF(ABS(O509-P509)&lt;0.000001,"PASS","FAIL")</x:f>
        <x:v>PASS</x:v>
      </x:c>
      <x:c r="R509" s="70" t="s">
        <x:v>28</x:v>
      </x:c>
      <x:c r="S509" s="70" t="str">
        <x:v>Verified FY-end share basis; see Share Basis and Corporate Actions for source excerpts and normalization. Original source metadata superseded where the basis changed.</x:v>
      </x:c>
    </x:row>
    <x:row r="510" ht="15" hidden="0">
      <x:c r="A510" s="70" t="s">
        <x:v>1659</x:v>
      </x:c>
      <x:c r="B510" s="70" t="s">
        <x:v>25</x:v>
      </x:c>
      <x:c r="C510" s="70" t="s">
        <x:v>75</x:v>
      </x:c>
      <x:c r="D510" s="70" t="s">
        <x:v>1656</x:v>
      </x:c>
      <x:c r="E510" s="70" t="s">
        <x:v>1221</x:v>
      </x:c>
      <x:c r="F510" s="70" t="s">
        <x:v>1657</x:v>
      </x:c>
      <x:c r="G510" s="70" t="s">
        <x:v>1214</x:v>
      </x:c>
      <x:c r="H510" s="70" t="s">
        <x:v>1215</x:v>
      </x:c>
      <x:c r="I510" s="70" t="s">
        <x:v>1199</x:v>
      </x:c>
      <x:c r="J510" s="70" t="n">
        <x:v>53</x:v>
      </x:c>
      <x:c r="K510" s="70" t="s">
        <x:v>1200</x:v>
      </x:c>
      <x:c r="L510" s="70"/>
      <x:c r="M510" s="70" t="s">
        <x:v>508</x:v>
      </x:c>
      <x:c r="N510" s="70" t="n">
        <x:v>5</x:v>
      </x:c>
      <x:c r="O510" s="70" t="n">
        <x:f aca="0">N510</x:f>
        <x:v>5</x:v>
      </x:c>
      <x:c r="P510" s="74" t="n">
        <x:f aca="0">KOHC!F134</x:f>
        <x:v>5</x:v>
      </x:c>
      <x:c r="Q510" s="70" t="str">
        <x:f aca="0">IF(ABS(O510-P510)&lt;0.000001,"PASS","FAIL")</x:f>
        <x:v>PASS</x:v>
      </x:c>
      <x:c r="R510" s="70" t="s">
        <x:v>28</x:v>
      </x:c>
      <x:c r="S510" s="70" t="str">
        <x:v>Verified FY-end share basis; see Share Basis and Corporate Actions for source excerpts and normalization. Original source metadata superseded where the basis changed.</x:v>
      </x:c>
    </x:row>
    <x:row r="511" ht="15" hidden="0">
      <x:c r="A511" s="70" t="s">
        <x:v>1660</x:v>
      </x:c>
      <x:c r="B511" s="70" t="s">
        <x:v>25</x:v>
      </x:c>
      <x:c r="C511" s="70" t="s">
        <x:v>76</x:v>
      </x:c>
      <x:c r="D511" s="70" t="s">
        <x:v>1656</x:v>
      </x:c>
      <x:c r="E511" s="70" t="s">
        <x:v>1221</x:v>
      </x:c>
      <x:c r="F511" s="70" t="s">
        <x:v>1657</x:v>
      </x:c>
      <x:c r="G511" s="70" t="s">
        <x:v>1214</x:v>
      </x:c>
      <x:c r="H511" s="70" t="s">
        <x:v>1215</x:v>
      </x:c>
      <x:c r="I511" s="70" t="s">
        <x:v>1199</x:v>
      </x:c>
      <x:c r="J511" s="70" t="n">
        <x:v>53</x:v>
      </x:c>
      <x:c r="K511" s="70" t="s">
        <x:v>1200</x:v>
      </x:c>
      <x:c r="L511" s="70"/>
      <x:c r="M511" s="70" t="s">
        <x:v>508</x:v>
      </x:c>
      <x:c r="N511" s="70" t="n">
        <x:v>5</x:v>
      </x:c>
      <x:c r="O511" s="70" t="n">
        <x:f aca="0">N511</x:f>
        <x:v>5</x:v>
      </x:c>
      <x:c r="P511" s="74" t="n">
        <x:f aca="0">KOHC!G134</x:f>
        <x:v>5</x:v>
      </x:c>
      <x:c r="Q511" s="70" t="str">
        <x:f aca="0">IF(ABS(O511-P511)&lt;0.000001,"PASS","FAIL")</x:f>
        <x:v>PASS</x:v>
      </x:c>
      <x:c r="R511" s="70" t="s">
        <x:v>28</x:v>
      </x:c>
      <x:c r="S511" s="70" t="str">
        <x:v>Verified FY-end share basis; see Share Basis and Corporate Actions for source excerpts and normalization. Original source metadata superseded where the basis changed.</x:v>
      </x:c>
    </x:row>
    <x:row r="512" ht="15" hidden="0">
      <x:c r="A512" s="70" t="s">
        <x:v>1661</x:v>
      </x:c>
      <x:c r="B512" s="70" t="s">
        <x:v>25</x:v>
      </x:c>
      <x:c r="C512" s="70" t="s">
        <x:v>77</x:v>
      </x:c>
      <x:c r="D512" s="70" t="s">
        <x:v>1656</x:v>
      </x:c>
      <x:c r="E512" s="70" t="s">
        <x:v>1221</x:v>
      </x:c>
      <x:c r="F512" s="70" t="s">
        <x:v>1657</x:v>
      </x:c>
      <x:c r="G512" s="70" t="s">
        <x:v>1214</x:v>
      </x:c>
      <x:c r="H512" s="70" t="s">
        <x:v>1215</x:v>
      </x:c>
      <x:c r="I512" s="70" t="s">
        <x:v>1218</x:v>
      </x:c>
      <x:c r="J512" s="70" t="n">
        <x:v>53</x:v>
      </x:c>
      <x:c r="K512" s="70" t="s">
        <x:v>1200</x:v>
      </x:c>
      <x:c r="L512" s="70"/>
      <x:c r="M512" s="70" t="s">
        <x:v>508</x:v>
      </x:c>
      <x:c r="N512" s="70" t="n">
        <x:v>5</x:v>
      </x:c>
      <x:c r="O512" s="70" t="n">
        <x:f aca="0">N512</x:f>
        <x:v>5</x:v>
      </x:c>
      <x:c r="P512" s="74" t="n">
        <x:f aca="0">KOHC!H134</x:f>
        <x:v>5</x:v>
      </x:c>
      <x:c r="Q512" s="70" t="str">
        <x:f aca="0">IF(ABS(O512-P512)&lt;0.000001,"PASS","FAIL")</x:f>
        <x:v>PASS</x:v>
      </x:c>
      <x:c r="R512" s="70" t="s">
        <x:v>28</x:v>
      </x:c>
      <x:c r="S512" s="70" t="str">
        <x:v>Verified FY-end share basis; see Share Basis and Corporate Actions for source excerpts and normalization. Original source metadata superseded where the basis changed.</x:v>
      </x:c>
    </x:row>
    <x:row r="513" ht="15" hidden="0">
      <x:c r="A513" s="70" t="s">
        <x:v>1662</x:v>
      </x:c>
      <x:c r="B513" s="70" t="s">
        <x:v>31</x:v>
      </x:c>
      <x:c r="C513" s="70" t="s">
        <x:v>1076</x:v>
      </x:c>
      <x:c r="D513" s="70" t="s">
        <x:v>296</x:v>
      </x:c>
      <x:c r="E513" s="70" t="s">
        <x:v>1129</x:v>
      </x:c>
      <x:c r="F513" s="70" t="s">
        <x:v>1196</x:v>
      </x:c>
      <x:c r="G513" s="70" t="s">
        <x:v>1663</x:v>
      </x:c>
      <x:c r="H513" s="70" t="s">
        <x:v>1198</x:v>
      </x:c>
      <x:c r="I513" s="70" t="s">
        <x:v>1199</x:v>
      </x:c>
      <x:c r="J513" s="70" t="n">
        <x:v>191</x:v>
      </x:c>
      <x:c r="K513" s="70" t="s">
        <x:v>1200</x:v>
      </x:c>
      <x:c r="L513" s="70" t="s">
        <x:v>1664</x:v>
      </x:c>
      <x:c r="M513" s="70" t="s">
        <x:v>35</x:v>
      </x:c>
      <x:c r="N513" s="71" t="n">
        <x:v>60247570</x:v>
      </x:c>
      <x:c r="O513" s="72" t="n">
        <x:f aca="0">N513/1000</x:f>
        <x:v>60247.57</x:v>
      </x:c>
      <x:c r="P513" s="73" t="n">
        <x:f aca="0">LUCK!C20</x:f>
        <x:v>60247.57</x:v>
      </x:c>
      <x:c r="Q513" s="70" t="str">
        <x:f aca="0">IF(ABS(O513-P513)&lt;0.000001,"PASS","FAIL")</x:f>
        <x:v>PASS</x:v>
      </x:c>
      <x:c r="R513" s="70" t="s">
        <x:v>34</x:v>
      </x:c>
      <x:c r="S513" s="70"/>
    </x:row>
    <x:row r="514" ht="15" hidden="0">
      <x:c r="A514" s="70" t="s">
        <x:v>1665</x:v>
      </x:c>
      <x:c r="B514" s="70" t="s">
        <x:v>31</x:v>
      </x:c>
      <x:c r="C514" s="70" t="s">
        <x:v>73</x:v>
      </x:c>
      <x:c r="D514" s="70" t="s">
        <x:v>296</x:v>
      </x:c>
      <x:c r="E514" s="70" t="s">
        <x:v>1129</x:v>
      </x:c>
      <x:c r="F514" s="70" t="s">
        <x:v>1196</x:v>
      </x:c>
      <x:c r="G514" s="70" t="s">
        <x:v>1666</x:v>
      </x:c>
      <x:c r="H514" s="70" t="s">
        <x:v>1204</x:v>
      </x:c>
      <x:c r="I514" s="70" t="s">
        <x:v>1199</x:v>
      </x:c>
      <x:c r="J514" s="70" t="n">
        <x:v>226</x:v>
      </x:c>
      <x:c r="K514" s="70" t="s">
        <x:v>1667</x:v>
      </x:c>
      <x:c r="L514" s="70" t="s">
        <x:v>1664</x:v>
      </x:c>
      <x:c r="M514" s="70" t="s">
        <x:v>35</x:v>
      </x:c>
      <x:c r="N514" s="71" t="n">
        <x:v>62389947</x:v>
      </x:c>
      <x:c r="O514" s="72" t="n">
        <x:f aca="0">N514/1000</x:f>
        <x:v>62389.947</x:v>
      </x:c>
      <x:c r="P514" s="73" t="n">
        <x:f aca="0">LUCK!D20</x:f>
        <x:v>62389.947</x:v>
      </x:c>
      <x:c r="Q514" s="70" t="str">
        <x:f aca="0">IF(ABS(O514-P514)&lt;0.000001,"PASS","FAIL")</x:f>
        <x:v>PASS</x:v>
      </x:c>
      <x:c r="R514" s="70" t="s">
        <x:v>34</x:v>
      </x:c>
      <x:c r="S514" s="70"/>
    </x:row>
    <x:row r="515" ht="15" hidden="0">
      <x:c r="A515" s="70" t="s">
        <x:v>1668</x:v>
      </x:c>
      <x:c r="B515" s="70" t="s">
        <x:v>31</x:v>
      </x:c>
      <x:c r="C515" s="70" t="s">
        <x:v>74</x:v>
      </x:c>
      <x:c r="D515" s="70" t="s">
        <x:v>296</x:v>
      </x:c>
      <x:c r="E515" s="70" t="s">
        <x:v>1129</x:v>
      </x:c>
      <x:c r="F515" s="70" t="s">
        <x:v>1196</x:v>
      </x:c>
      <x:c r="G515" s="70" t="s">
        <x:v>1669</x:v>
      </x:c>
      <x:c r="H515" s="70" t="s">
        <x:v>1208</x:v>
      </x:c>
      <x:c r="I515" s="70" t="s">
        <x:v>1199</x:v>
      </x:c>
      <x:c r="J515" s="70" t="n">
        <x:v>234</x:v>
      </x:c>
      <x:c r="K515" s="70" t="s">
        <x:v>1670</x:v>
      </x:c>
      <x:c r="L515" s="70" t="s">
        <x:v>1664</x:v>
      </x:c>
      <x:c r="M515" s="70" t="s">
        <x:v>35</x:v>
      </x:c>
      <x:c r="N515" s="71" t="n">
        <x:v>82301050</x:v>
      </x:c>
      <x:c r="O515" s="72" t="n">
        <x:f aca="0">N515/1000</x:f>
        <x:v>82301.05</x:v>
      </x:c>
      <x:c r="P515" s="73" t="n">
        <x:f aca="0">LUCK!E20</x:f>
        <x:v>82301.05</x:v>
      </x:c>
      <x:c r="Q515" s="70" t="str">
        <x:f aca="0">IF(ABS(O515-P515)&lt;0.000001,"PASS","FAIL")</x:f>
        <x:v>PASS</x:v>
      </x:c>
      <x:c r="R515" s="70" t="s">
        <x:v>34</x:v>
      </x:c>
      <x:c r="S515" s="70"/>
    </x:row>
    <x:row r="516" ht="15" hidden="0">
      <x:c r="A516" s="70" t="s">
        <x:v>1671</x:v>
      </x:c>
      <x:c r="B516" s="70" t="s">
        <x:v>31</x:v>
      </x:c>
      <x:c r="C516" s="70" t="s">
        <x:v>75</x:v>
      </x:c>
      <x:c r="D516" s="70" t="s">
        <x:v>296</x:v>
      </x:c>
      <x:c r="E516" s="70" t="s">
        <x:v>1129</x:v>
      </x:c>
      <x:c r="F516" s="70" t="s">
        <x:v>1196</x:v>
      </x:c>
      <x:c r="G516" s="70" t="s">
        <x:v>1672</x:v>
      </x:c>
      <x:c r="H516" s="70" t="s">
        <x:v>1211</x:v>
      </x:c>
      <x:c r="I516" s="70" t="s">
        <x:v>1199</x:v>
      </x:c>
      <x:c r="J516" s="70" t="n">
        <x:v>238</x:v>
      </x:c>
      <x:c r="K516" s="70" t="s">
        <x:v>1673</x:v>
      </x:c>
      <x:c r="L516" s="70" t="s">
        <x:v>1664</x:v>
      </x:c>
      <x:c r="M516" s="70" t="s">
        <x:v>35</x:v>
      </x:c>
      <x:c r="N516" s="71" t="n">
        <x:v>95620306</x:v>
      </x:c>
      <x:c r="O516" s="72" t="n">
        <x:f aca="0">N516/1000</x:f>
        <x:v>95620.306</x:v>
      </x:c>
      <x:c r="P516" s="73" t="n">
        <x:f aca="0">LUCK!F20</x:f>
        <x:v>95620.306</x:v>
      </x:c>
      <x:c r="Q516" s="70" t="str">
        <x:f aca="0">IF(ABS(O516-P516)&lt;0.000001,"PASS","FAIL")</x:f>
        <x:v>PASS</x:v>
      </x:c>
      <x:c r="R516" s="70" t="s">
        <x:v>34</x:v>
      </x:c>
      <x:c r="S516" s="70"/>
    </x:row>
    <x:row r="517" ht="15" hidden="0">
      <x:c r="A517" s="70" t="s">
        <x:v>1674</x:v>
      </x:c>
      <x:c r="B517" s="70" t="s">
        <x:v>31</x:v>
      </x:c>
      <x:c r="C517" s="70" t="s">
        <x:v>76</x:v>
      </x:c>
      <x:c r="D517" s="70" t="s">
        <x:v>296</x:v>
      </x:c>
      <x:c r="E517" s="70" t="s">
        <x:v>1129</x:v>
      </x:c>
      <x:c r="F517" s="70" t="s">
        <x:v>1196</x:v>
      </x:c>
      <x:c r="G517" s="70" t="s">
        <x:v>1675</x:v>
      </x:c>
      <x:c r="H517" s="70" t="s">
        <x:v>1215</x:v>
      </x:c>
      <x:c r="I517" s="70" t="s">
        <x:v>1199</x:v>
      </x:c>
      <x:c r="J517" s="70" t="n">
        <x:v>240</x:v>
      </x:c>
      <x:c r="K517" s="70" t="s">
        <x:v>1676</x:v>
      </x:c>
      <x:c r="L517" s="70" t="s">
        <x:v>1664</x:v>
      </x:c>
      <x:c r="M517" s="70" t="s">
        <x:v>35</x:v>
      </x:c>
      <x:c r="N517" s="71" t="n">
        <x:v>107258973</x:v>
      </x:c>
      <x:c r="O517" s="72" t="n">
        <x:f aca="0">N517/1000</x:f>
        <x:v>107258.973</x:v>
      </x:c>
      <x:c r="P517" s="73" t="n">
        <x:f aca="0">LUCK!G20</x:f>
        <x:v>107258.973</x:v>
      </x:c>
      <x:c r="Q517" s="70" t="str">
        <x:f aca="0">IF(ABS(O517-P517)&lt;0.000001,"PASS","FAIL")</x:f>
        <x:v>PASS</x:v>
      </x:c>
      <x:c r="R517" s="70" t="s">
        <x:v>34</x:v>
      </x:c>
      <x:c r="S517" s="70"/>
    </x:row>
    <x:row r="518" ht="15" hidden="0">
      <x:c r="A518" s="70" t="s">
        <x:v>1677</x:v>
      </x:c>
      <x:c r="B518" s="70" t="s">
        <x:v>31</x:v>
      </x:c>
      <x:c r="C518" s="70" t="s">
        <x:v>77</x:v>
      </x:c>
      <x:c r="D518" s="70" t="s">
        <x:v>296</x:v>
      </x:c>
      <x:c r="E518" s="70" t="s">
        <x:v>1129</x:v>
      </x:c>
      <x:c r="F518" s="70" t="s">
        <x:v>1196</x:v>
      </x:c>
      <x:c r="G518" s="70" t="s">
        <x:v>1675</x:v>
      </x:c>
      <x:c r="H518" s="70" t="s">
        <x:v>1215</x:v>
      </x:c>
      <x:c r="I518" s="70" t="s">
        <x:v>1218</x:v>
      </x:c>
      <x:c r="J518" s="70" t="n">
        <x:v>240</x:v>
      </x:c>
      <x:c r="K518" s="70" t="s">
        <x:v>1676</x:v>
      </x:c>
      <x:c r="L518" s="70" t="s">
        <x:v>1664</x:v>
      </x:c>
      <x:c r="M518" s="70" t="s">
        <x:v>35</x:v>
      </x:c>
      <x:c r="N518" s="71" t="n">
        <x:v>107409588</x:v>
      </x:c>
      <x:c r="O518" s="72" t="n">
        <x:f aca="0">N518/1000</x:f>
        <x:v>107409.588</x:v>
      </x:c>
      <x:c r="P518" s="73" t="n">
        <x:f aca="0">LUCK!H20</x:f>
        <x:v>107409.588</x:v>
      </x:c>
      <x:c r="Q518" s="70" t="str">
        <x:f aca="0">IF(ABS(O518-P518)&lt;0.000001,"PASS","FAIL")</x:f>
        <x:v>PASS</x:v>
      </x:c>
      <x:c r="R518" s="70" t="s">
        <x:v>34</x:v>
      </x:c>
      <x:c r="S518" s="70"/>
    </x:row>
    <x:row r="519" ht="15" hidden="0">
      <x:c r="A519" s="70" t="s">
        <x:v>1678</x:v>
      </x:c>
      <x:c r="B519" s="70" t="s">
        <x:v>31</x:v>
      </x:c>
      <x:c r="C519" s="70" t="s">
        <x:v>1076</x:v>
      </x:c>
      <x:c r="D519" s="70" t="s">
        <x:v>1220</x:v>
      </x:c>
      <x:c r="E519" s="70" t="s">
        <x:v>1221</x:v>
      </x:c>
      <x:c r="F519" s="70" t="s">
        <x:v>533</x:v>
      </x:c>
      <x:c r="G519" s="70" t="s">
        <x:v>1663</x:v>
      </x:c>
      <x:c r="H519" s="70" t="s">
        <x:v>1198</x:v>
      </x:c>
      <x:c r="I519" s="70" t="s">
        <x:v>1199</x:v>
      </x:c>
      <x:c r="J519" s="70" t="n">
        <x:v>202</x:v>
      </x:c>
      <x:c r="K519" s="70" t="s">
        <x:v>1200</x:v>
      </x:c>
      <x:c r="L519" s="70"/>
      <x:c r="M519" s="70" t="s">
        <x:v>35</x:v>
      </x:c>
      <x:c r="N519" s="71" t="n">
        <x:v>334191</x:v>
      </x:c>
      <x:c r="O519" s="72" t="n">
        <x:f aca="0">N519/1000</x:f>
        <x:v>334.191</x:v>
      </x:c>
      <x:c r="P519" s="73" t="n">
        <x:f aca="0">LUCK!C21</x:f>
        <x:v>334.191</x:v>
      </x:c>
      <x:c r="Q519" s="70" t="str">
        <x:f aca="0">IF(ABS(O519-P519)&lt;0.000001,"PASS","FAIL")</x:f>
        <x:v>PASS</x:v>
      </x:c>
      <x:c r="R519" s="70" t="s">
        <x:v>34</x:v>
      </x:c>
      <x:c r="S519" s="70"/>
    </x:row>
    <x:row r="520" ht="15" hidden="0">
      <x:c r="A520" s="70" t="s">
        <x:v>1679</x:v>
      </x:c>
      <x:c r="B520" s="70" t="s">
        <x:v>31</x:v>
      </x:c>
      <x:c r="C520" s="70" t="s">
        <x:v>73</x:v>
      </x:c>
      <x:c r="D520" s="70" t="s">
        <x:v>1220</x:v>
      </x:c>
      <x:c r="E520" s="70" t="s">
        <x:v>1221</x:v>
      </x:c>
      <x:c r="F520" s="70" t="s">
        <x:v>533</x:v>
      </x:c>
      <x:c r="G520" s="70" t="s">
        <x:v>1666</x:v>
      </x:c>
      <x:c r="H520" s="70" t="s">
        <x:v>1204</x:v>
      </x:c>
      <x:c r="I520" s="70" t="s">
        <x:v>1199</x:v>
      </x:c>
      <x:c r="J520" s="70" t="n">
        <x:v>237</x:v>
      </x:c>
      <x:c r="K520" s="70" t="s">
        <x:v>1680</x:v>
      </x:c>
      <x:c r="L520" s="70"/>
      <x:c r="M520" s="70" t="s">
        <x:v>35</x:v>
      </x:c>
      <x:c r="N520" s="71" t="n">
        <x:v>4015044</x:v>
      </x:c>
      <x:c r="O520" s="72" t="n">
        <x:f aca="0">N520/1000</x:f>
        <x:v>4015.044</x:v>
      </x:c>
      <x:c r="P520" s="73" t="n">
        <x:f aca="0">LUCK!D21</x:f>
        <x:v>4015.044</x:v>
      </x:c>
      <x:c r="Q520" s="70" t="str">
        <x:f aca="0">IF(ABS(O520-P520)&lt;0.000001,"PASS","FAIL")</x:f>
        <x:v>PASS</x:v>
      </x:c>
      <x:c r="R520" s="70" t="s">
        <x:v>34</x:v>
      </x:c>
      <x:c r="S520" s="70"/>
    </x:row>
    <x:row r="521" ht="15" hidden="0">
      <x:c r="A521" s="70" t="s">
        <x:v>1681</x:v>
      </x:c>
      <x:c r="B521" s="70" t="s">
        <x:v>31</x:v>
      </x:c>
      <x:c r="C521" s="70" t="s">
        <x:v>74</x:v>
      </x:c>
      <x:c r="D521" s="70" t="s">
        <x:v>1220</x:v>
      </x:c>
      <x:c r="E521" s="70" t="s">
        <x:v>1221</x:v>
      </x:c>
      <x:c r="F521" s="70" t="s">
        <x:v>533</x:v>
      </x:c>
      <x:c r="G521" s="70" t="s">
        <x:v>1669</x:v>
      </x:c>
      <x:c r="H521" s="70" t="s">
        <x:v>1208</x:v>
      </x:c>
      <x:c r="I521" s="70" t="s">
        <x:v>1199</x:v>
      </x:c>
      <x:c r="J521" s="70" t="n">
        <x:v>245</x:v>
      </x:c>
      <x:c r="K521" s="70" t="s">
        <x:v>1682</x:v>
      </x:c>
      <x:c r="L521" s="70"/>
      <x:c r="M521" s="70" t="s">
        <x:v>35</x:v>
      </x:c>
      <x:c r="N521" s="71" t="n">
        <x:v>21911214</x:v>
      </x:c>
      <x:c r="O521" s="72" t="n">
        <x:f aca="0">N521/1000</x:f>
        <x:v>21911.214</x:v>
      </x:c>
      <x:c r="P521" s="73" t="n">
        <x:f aca="0">LUCK!E21</x:f>
        <x:v>21911.214</x:v>
      </x:c>
      <x:c r="Q521" s="70" t="str">
        <x:f aca="0">IF(ABS(O521-P521)&lt;0.000001,"PASS","FAIL")</x:f>
        <x:v>PASS</x:v>
      </x:c>
      <x:c r="R521" s="70" t="s">
        <x:v>34</x:v>
      </x:c>
      <x:c r="S521" s="70"/>
    </x:row>
    <x:row r="522" ht="15" hidden="0">
      <x:c r="A522" s="70" t="s">
        <x:v>1683</x:v>
      </x:c>
      <x:c r="B522" s="70" t="s">
        <x:v>31</x:v>
      </x:c>
      <x:c r="C522" s="70" t="s">
        <x:v>75</x:v>
      </x:c>
      <x:c r="D522" s="70" t="s">
        <x:v>1220</x:v>
      </x:c>
      <x:c r="E522" s="70" t="s">
        <x:v>1221</x:v>
      </x:c>
      <x:c r="F522" s="70" t="s">
        <x:v>533</x:v>
      </x:c>
      <x:c r="G522" s="70" t="s">
        <x:v>1672</x:v>
      </x:c>
      <x:c r="H522" s="70" t="s">
        <x:v>1211</x:v>
      </x:c>
      <x:c r="I522" s="70" t="s">
        <x:v>1199</x:v>
      </x:c>
      <x:c r="J522" s="70" t="n">
        <x:v>250</x:v>
      </x:c>
      <x:c r="K522" s="70" t="s">
        <x:v>1684</x:v>
      </x:c>
      <x:c r="L522" s="70"/>
      <x:c r="M522" s="70" t="s">
        <x:v>35</x:v>
      </x:c>
      <x:c r="N522" s="71" t="n">
        <x:v>5562145</x:v>
      </x:c>
      <x:c r="O522" s="72" t="n">
        <x:f aca="0">N522/1000</x:f>
        <x:v>5562.145</x:v>
      </x:c>
      <x:c r="P522" s="73" t="n">
        <x:f aca="0">LUCK!F21</x:f>
        <x:v>5562.145</x:v>
      </x:c>
      <x:c r="Q522" s="70" t="str">
        <x:f aca="0">IF(ABS(O522-P522)&lt;0.000001,"PASS","FAIL")</x:f>
        <x:v>PASS</x:v>
      </x:c>
      <x:c r="R522" s="70" t="s">
        <x:v>34</x:v>
      </x:c>
      <x:c r="S522" s="70"/>
    </x:row>
    <x:row r="523" ht="15" hidden="0">
      <x:c r="A523" s="70" t="s">
        <x:v>1685</x:v>
      </x:c>
      <x:c r="B523" s="70" t="s">
        <x:v>31</x:v>
      </x:c>
      <x:c r="C523" s="70" t="s">
        <x:v>76</x:v>
      </x:c>
      <x:c r="D523" s="70" t="s">
        <x:v>1220</x:v>
      </x:c>
      <x:c r="E523" s="70" t="s">
        <x:v>1221</x:v>
      </x:c>
      <x:c r="F523" s="70" t="s">
        <x:v>533</x:v>
      </x:c>
      <x:c r="G523" s="70" t="s">
        <x:v>1675</x:v>
      </x:c>
      <x:c r="H523" s="70" t="s">
        <x:v>1215</x:v>
      </x:c>
      <x:c r="I523" s="70" t="s">
        <x:v>1199</x:v>
      </x:c>
      <x:c r="J523" s="70" t="n">
        <x:v>252</x:v>
      </x:c>
      <x:c r="K523" s="70" t="s">
        <x:v>1686</x:v>
      </x:c>
      <x:c r="L523" s="70"/>
      <x:c r="M523" s="70" t="s">
        <x:v>35</x:v>
      </x:c>
      <x:c r="N523" s="71" t="n">
        <x:v>11633303</x:v>
      </x:c>
      <x:c r="O523" s="72" t="n">
        <x:f aca="0">N523/1000</x:f>
        <x:v>11633.303</x:v>
      </x:c>
      <x:c r="P523" s="73" t="n">
        <x:f aca="0">LUCK!G21</x:f>
        <x:v>11633.303</x:v>
      </x:c>
      <x:c r="Q523" s="70" t="str">
        <x:f aca="0">IF(ABS(O523-P523)&lt;0.000001,"PASS","FAIL")</x:f>
        <x:v>PASS</x:v>
      </x:c>
      <x:c r="R523" s="70" t="s">
        <x:v>34</x:v>
      </x:c>
      <x:c r="S523" s="70"/>
    </x:row>
    <x:row r="524" ht="15" hidden="0">
      <x:c r="A524" s="70" t="s">
        <x:v>1687</x:v>
      </x:c>
      <x:c r="B524" s="70" t="s">
        <x:v>31</x:v>
      </x:c>
      <x:c r="C524" s="70" t="s">
        <x:v>77</x:v>
      </x:c>
      <x:c r="D524" s="70" t="s">
        <x:v>1220</x:v>
      </x:c>
      <x:c r="E524" s="70" t="s">
        <x:v>1221</x:v>
      </x:c>
      <x:c r="F524" s="70" t="s">
        <x:v>533</x:v>
      </x:c>
      <x:c r="G524" s="70" t="s">
        <x:v>1675</x:v>
      </x:c>
      <x:c r="H524" s="70" t="s">
        <x:v>1215</x:v>
      </x:c>
      <x:c r="I524" s="70" t="s">
        <x:v>1218</x:v>
      </x:c>
      <x:c r="J524" s="70" t="n">
        <x:v>252</x:v>
      </x:c>
      <x:c r="K524" s="70" t="s">
        <x:v>1686</x:v>
      </x:c>
      <x:c r="L524" s="70"/>
      <x:c r="M524" s="70" t="s">
        <x:v>35</x:v>
      </x:c>
      <x:c r="N524" s="71" t="n">
        <x:v>5420742</x:v>
      </x:c>
      <x:c r="O524" s="72" t="n">
        <x:f aca="0">N524/1000</x:f>
        <x:v>5420.742</x:v>
      </x:c>
      <x:c r="P524" s="73" t="n">
        <x:f aca="0">LUCK!H21</x:f>
        <x:v>5420.742</x:v>
      </x:c>
      <x:c r="Q524" s="70" t="str">
        <x:f aca="0">IF(ABS(O524-P524)&lt;0.000001,"PASS","FAIL")</x:f>
        <x:v>PASS</x:v>
      </x:c>
      <x:c r="R524" s="70" t="s">
        <x:v>34</x:v>
      </x:c>
      <x:c r="S524" s="70"/>
    </x:row>
    <x:row r="525" ht="15" hidden="0">
      <x:c r="A525" s="70" t="s">
        <x:v>1688</x:v>
      </x:c>
      <x:c r="B525" s="70" t="s">
        <x:v>31</x:v>
      </x:c>
      <x:c r="C525" s="70" t="s">
        <x:v>1076</x:v>
      </x:c>
      <x:c r="D525" s="70" t="s">
        <x:v>302</x:v>
      </x:c>
      <x:c r="E525" s="70" t="s">
        <x:v>1129</x:v>
      </x:c>
      <x:c r="F525" s="70"/>
      <x:c r="G525" s="70" t="s">
        <x:v>1663</x:v>
      </x:c>
      <x:c r="H525" s="70" t="s">
        <x:v>1198</x:v>
      </x:c>
      <x:c r="I525" s="70" t="s">
        <x:v>1199</x:v>
      </x:c>
      <x:c r="J525" s="70" t="n">
        <x:v>191</x:v>
      </x:c>
      <x:c r="K525" s="70" t="s">
        <x:v>1200</x:v>
      </x:c>
      <x:c r="L525" s="70"/>
      <x:c r="M525" s="70" t="s">
        <x:v>35</x:v>
      </x:c>
      <x:c r="N525" s="71" t="n">
        <x:v>0</x:v>
      </x:c>
      <x:c r="O525" s="72" t="n">
        <x:f aca="0">N525/1000</x:f>
        <x:v>0</x:v>
      </x:c>
      <x:c r="P525" s="73" t="n">
        <x:f aca="0">LUCK!C23</x:f>
        <x:v>0</x:v>
      </x:c>
      <x:c r="Q525" s="70" t="str">
        <x:f aca="0">IF(ABS(O525-P525)&lt;0.000001,"PASS","FAIL")</x:f>
        <x:v>PASS</x:v>
      </x:c>
      <x:c r="R525" s="70" t="s">
        <x:v>34</x:v>
      </x:c>
      <x:c r="S525" s="70"/>
    </x:row>
    <x:row r="526" ht="15" hidden="0">
      <x:c r="A526" s="70" t="s">
        <x:v>1689</x:v>
      </x:c>
      <x:c r="B526" s="70" t="s">
        <x:v>31</x:v>
      </x:c>
      <x:c r="C526" s="70" t="s">
        <x:v>73</x:v>
      </x:c>
      <x:c r="D526" s="70" t="s">
        <x:v>302</x:v>
      </x:c>
      <x:c r="E526" s="70" t="s">
        <x:v>1129</x:v>
      </x:c>
      <x:c r="F526" s="70"/>
      <x:c r="G526" s="70" t="s">
        <x:v>1666</x:v>
      </x:c>
      <x:c r="H526" s="70" t="s">
        <x:v>1204</x:v>
      </x:c>
      <x:c r="I526" s="70" t="s">
        <x:v>1199</x:v>
      </x:c>
      <x:c r="J526" s="70" t="n">
        <x:v>226</x:v>
      </x:c>
      <x:c r="K526" s="70" t="s">
        <x:v>1667</x:v>
      </x:c>
      <x:c r="L526" s="70"/>
      <x:c r="M526" s="70" t="s">
        <x:v>35</x:v>
      </x:c>
      <x:c r="N526" s="71" t="n">
        <x:v>0</x:v>
      </x:c>
      <x:c r="O526" s="72" t="n">
        <x:f aca="0">N526/1000</x:f>
        <x:v>0</x:v>
      </x:c>
      <x:c r="P526" s="73" t="n">
        <x:f aca="0">LUCK!D23</x:f>
        <x:v>0</x:v>
      </x:c>
      <x:c r="Q526" s="70" t="str">
        <x:f aca="0">IF(ABS(O526-P526)&lt;0.000001,"PASS","FAIL")</x:f>
        <x:v>PASS</x:v>
      </x:c>
      <x:c r="R526" s="70" t="s">
        <x:v>34</x:v>
      </x:c>
      <x:c r="S526" s="70"/>
    </x:row>
    <x:row r="527" ht="15" hidden="0">
      <x:c r="A527" s="70" t="s">
        <x:v>1690</x:v>
      </x:c>
      <x:c r="B527" s="70" t="s">
        <x:v>31</x:v>
      </x:c>
      <x:c r="C527" s="70" t="s">
        <x:v>74</x:v>
      </x:c>
      <x:c r="D527" s="70" t="s">
        <x:v>302</x:v>
      </x:c>
      <x:c r="E527" s="70" t="s">
        <x:v>1129</x:v>
      </x:c>
      <x:c r="F527" s="70"/>
      <x:c r="G527" s="70" t="s">
        <x:v>1669</x:v>
      </x:c>
      <x:c r="H527" s="70" t="s">
        <x:v>1208</x:v>
      </x:c>
      <x:c r="I527" s="70" t="s">
        <x:v>1199</x:v>
      </x:c>
      <x:c r="J527" s="70" t="n">
        <x:v>234</x:v>
      </x:c>
      <x:c r="K527" s="70" t="s">
        <x:v>1670</x:v>
      </x:c>
      <x:c r="L527" s="70"/>
      <x:c r="M527" s="70" t="s">
        <x:v>35</x:v>
      </x:c>
      <x:c r="N527" s="71" t="n">
        <x:v>0</x:v>
      </x:c>
      <x:c r="O527" s="72" t="n">
        <x:f aca="0">N527/1000</x:f>
        <x:v>0</x:v>
      </x:c>
      <x:c r="P527" s="73" t="n">
        <x:f aca="0">LUCK!E23</x:f>
        <x:v>0</x:v>
      </x:c>
      <x:c r="Q527" s="70" t="str">
        <x:f aca="0">IF(ABS(O527-P527)&lt;0.000001,"PASS","FAIL")</x:f>
        <x:v>PASS</x:v>
      </x:c>
      <x:c r="R527" s="70" t="s">
        <x:v>34</x:v>
      </x:c>
      <x:c r="S527" s="70"/>
    </x:row>
    <x:row r="528" ht="15" hidden="0">
      <x:c r="A528" s="70" t="s">
        <x:v>1691</x:v>
      </x:c>
      <x:c r="B528" s="70" t="s">
        <x:v>31</x:v>
      </x:c>
      <x:c r="C528" s="70" t="s">
        <x:v>75</x:v>
      </x:c>
      <x:c r="D528" s="70" t="s">
        <x:v>302</x:v>
      </x:c>
      <x:c r="E528" s="70" t="s">
        <x:v>1129</x:v>
      </x:c>
      <x:c r="F528" s="70"/>
      <x:c r="G528" s="70" t="s">
        <x:v>1672</x:v>
      </x:c>
      <x:c r="H528" s="70" t="s">
        <x:v>1211</x:v>
      </x:c>
      <x:c r="I528" s="70" t="s">
        <x:v>1199</x:v>
      </x:c>
      <x:c r="J528" s="70" t="n">
        <x:v>238</x:v>
      </x:c>
      <x:c r="K528" s="70" t="s">
        <x:v>1673</x:v>
      </x:c>
      <x:c r="L528" s="70"/>
      <x:c r="M528" s="70" t="s">
        <x:v>35</x:v>
      </x:c>
      <x:c r="N528" s="71" t="n">
        <x:v>0</x:v>
      </x:c>
      <x:c r="O528" s="72" t="n">
        <x:f aca="0">N528/1000</x:f>
        <x:v>0</x:v>
      </x:c>
      <x:c r="P528" s="73" t="n">
        <x:f aca="0">LUCK!F23</x:f>
        <x:v>0</x:v>
      </x:c>
      <x:c r="Q528" s="70" t="str">
        <x:f aca="0">IF(ABS(O528-P528)&lt;0.000001,"PASS","FAIL")</x:f>
        <x:v>PASS</x:v>
      </x:c>
      <x:c r="R528" s="70" t="s">
        <x:v>34</x:v>
      </x:c>
      <x:c r="S528" s="70"/>
    </x:row>
    <x:row r="529" ht="15" hidden="0">
      <x:c r="A529" s="70" t="s">
        <x:v>1692</x:v>
      </x:c>
      <x:c r="B529" s="70" t="s">
        <x:v>31</x:v>
      </x:c>
      <x:c r="C529" s="70" t="s">
        <x:v>76</x:v>
      </x:c>
      <x:c r="D529" s="70" t="s">
        <x:v>302</x:v>
      </x:c>
      <x:c r="E529" s="70" t="s">
        <x:v>1129</x:v>
      </x:c>
      <x:c r="F529" s="70"/>
      <x:c r="G529" s="70" t="s">
        <x:v>1675</x:v>
      </x:c>
      <x:c r="H529" s="70" t="s">
        <x:v>1215</x:v>
      </x:c>
      <x:c r="I529" s="70" t="s">
        <x:v>1199</x:v>
      </x:c>
      <x:c r="J529" s="70" t="n">
        <x:v>240</x:v>
      </x:c>
      <x:c r="K529" s="70" t="s">
        <x:v>1676</x:v>
      </x:c>
      <x:c r="L529" s="70"/>
      <x:c r="M529" s="70" t="s">
        <x:v>35</x:v>
      </x:c>
      <x:c r="N529" s="71" t="n">
        <x:v>0</x:v>
      </x:c>
      <x:c r="O529" s="72" t="n">
        <x:f aca="0">N529/1000</x:f>
        <x:v>0</x:v>
      </x:c>
      <x:c r="P529" s="73" t="n">
        <x:f aca="0">LUCK!G23</x:f>
        <x:v>0</x:v>
      </x:c>
      <x:c r="Q529" s="70" t="str">
        <x:f aca="0">IF(ABS(O529-P529)&lt;0.000001,"PASS","FAIL")</x:f>
        <x:v>PASS</x:v>
      </x:c>
      <x:c r="R529" s="70" t="s">
        <x:v>34</x:v>
      </x:c>
      <x:c r="S529" s="70"/>
    </x:row>
    <x:row r="530" ht="15" hidden="0">
      <x:c r="A530" s="70" t="s">
        <x:v>1693</x:v>
      </x:c>
      <x:c r="B530" s="70" t="s">
        <x:v>31</x:v>
      </x:c>
      <x:c r="C530" s="70" t="s">
        <x:v>77</x:v>
      </x:c>
      <x:c r="D530" s="70" t="s">
        <x:v>302</x:v>
      </x:c>
      <x:c r="E530" s="70" t="s">
        <x:v>1129</x:v>
      </x:c>
      <x:c r="F530" s="70"/>
      <x:c r="G530" s="70" t="s">
        <x:v>1675</x:v>
      </x:c>
      <x:c r="H530" s="70" t="s">
        <x:v>1215</x:v>
      </x:c>
      <x:c r="I530" s="70" t="s">
        <x:v>1218</x:v>
      </x:c>
      <x:c r="J530" s="70" t="n">
        <x:v>240</x:v>
      </x:c>
      <x:c r="K530" s="70" t="s">
        <x:v>1676</x:v>
      </x:c>
      <x:c r="L530" s="70"/>
      <x:c r="M530" s="70" t="s">
        <x:v>35</x:v>
      </x:c>
      <x:c r="N530" s="71" t="n">
        <x:v>0</x:v>
      </x:c>
      <x:c r="O530" s="72" t="n">
        <x:f aca="0">N530/1000</x:f>
        <x:v>0</x:v>
      </x:c>
      <x:c r="P530" s="73" t="n">
        <x:f aca="0">LUCK!H23</x:f>
        <x:v>0</x:v>
      </x:c>
      <x:c r="Q530" s="70" t="str">
        <x:f aca="0">IF(ABS(O530-P530)&lt;0.000001,"PASS","FAIL")</x:f>
        <x:v>PASS</x:v>
      </x:c>
      <x:c r="R530" s="70" t="s">
        <x:v>34</x:v>
      </x:c>
      <x:c r="S530" s="70"/>
    </x:row>
    <x:row r="531" ht="15" hidden="0">
      <x:c r="A531" s="70" t="s">
        <x:v>1694</x:v>
      </x:c>
      <x:c r="B531" s="70" t="s">
        <x:v>31</x:v>
      </x:c>
      <x:c r="C531" s="70" t="s">
        <x:v>1076</x:v>
      </x:c>
      <x:c r="D531" s="70" t="s">
        <x:v>304</x:v>
      </x:c>
      <x:c r="E531" s="70" t="s">
        <x:v>1129</x:v>
      </x:c>
      <x:c r="F531" s="70" t="s">
        <x:v>304</x:v>
      </x:c>
      <x:c r="G531" s="70" t="s">
        <x:v>1663</x:v>
      </x:c>
      <x:c r="H531" s="70" t="s">
        <x:v>1198</x:v>
      </x:c>
      <x:c r="I531" s="70" t="s">
        <x:v>1199</x:v>
      </x:c>
      <x:c r="J531" s="70" t="n">
        <x:v>191</x:v>
      </x:c>
      <x:c r="K531" s="70" t="s">
        <x:v>1200</x:v>
      </x:c>
      <x:c r="L531" s="70" t="s">
        <x:v>1332</x:v>
      </x:c>
      <x:c r="M531" s="70" t="s">
        <x:v>35</x:v>
      </x:c>
      <x:c r="N531" s="71" t="n">
        <x:v>11323</x:v>
      </x:c>
      <x:c r="O531" s="72" t="n">
        <x:f aca="0">N531/1000</x:f>
        <x:v>11.323</x:v>
      </x:c>
      <x:c r="P531" s="73" t="n">
        <x:f aca="0">LUCK!C24</x:f>
        <x:v>11.323</x:v>
      </x:c>
      <x:c r="Q531" s="70" t="str">
        <x:f aca="0">IF(ABS(O531-P531)&lt;0.000001,"PASS","FAIL")</x:f>
        <x:v>PASS</x:v>
      </x:c>
      <x:c r="R531" s="70" t="s">
        <x:v>34</x:v>
      </x:c>
      <x:c r="S531" s="70"/>
    </x:row>
    <x:row r="532" ht="15" hidden="0">
      <x:c r="A532" s="70" t="s">
        <x:v>1695</x:v>
      </x:c>
      <x:c r="B532" s="70" t="s">
        <x:v>31</x:v>
      </x:c>
      <x:c r="C532" s="70" t="s">
        <x:v>73</x:v>
      </x:c>
      <x:c r="D532" s="70" t="s">
        <x:v>304</x:v>
      </x:c>
      <x:c r="E532" s="70" t="s">
        <x:v>1129</x:v>
      </x:c>
      <x:c r="F532" s="70" t="s">
        <x:v>304</x:v>
      </x:c>
      <x:c r="G532" s="70" t="s">
        <x:v>1666</x:v>
      </x:c>
      <x:c r="H532" s="70" t="s">
        <x:v>1204</x:v>
      </x:c>
      <x:c r="I532" s="70" t="s">
        <x:v>1199</x:v>
      </x:c>
      <x:c r="J532" s="70" t="n">
        <x:v>226</x:v>
      </x:c>
      <x:c r="K532" s="70" t="s">
        <x:v>1667</x:v>
      </x:c>
      <x:c r="L532" s="70" t="s">
        <x:v>1332</x:v>
      </x:c>
      <x:c r="M532" s="70" t="s">
        <x:v>35</x:v>
      </x:c>
      <x:c r="N532" s="71" t="n">
        <x:v>670</x:v>
      </x:c>
      <x:c r="O532" s="72" t="n">
        <x:f aca="0">N532/1000</x:f>
        <x:v>0.67</x:v>
      </x:c>
      <x:c r="P532" s="73" t="n">
        <x:f aca="0">LUCK!D24</x:f>
        <x:v>0.67</x:v>
      </x:c>
      <x:c r="Q532" s="70" t="str">
        <x:f aca="0">IF(ABS(O532-P532)&lt;0.000001,"PASS","FAIL")</x:f>
        <x:v>PASS</x:v>
      </x:c>
      <x:c r="R532" s="70" t="s">
        <x:v>34</x:v>
      </x:c>
      <x:c r="S532" s="70"/>
    </x:row>
    <x:row r="533" ht="15" hidden="0">
      <x:c r="A533" s="70" t="s">
        <x:v>1696</x:v>
      </x:c>
      <x:c r="B533" s="70" t="s">
        <x:v>31</x:v>
      </x:c>
      <x:c r="C533" s="70" t="s">
        <x:v>74</x:v>
      </x:c>
      <x:c r="D533" s="70" t="s">
        <x:v>304</x:v>
      </x:c>
      <x:c r="E533" s="70" t="s">
        <x:v>1129</x:v>
      </x:c>
      <x:c r="F533" s="70" t="s">
        <x:v>304</x:v>
      </x:c>
      <x:c r="G533" s="70" t="s">
        <x:v>1669</x:v>
      </x:c>
      <x:c r="H533" s="70" t="s">
        <x:v>1208</x:v>
      </x:c>
      <x:c r="I533" s="70" t="s">
        <x:v>1199</x:v>
      </x:c>
      <x:c r="J533" s="70" t="n">
        <x:v>234</x:v>
      </x:c>
      <x:c r="K533" s="70" t="s">
        <x:v>1670</x:v>
      </x:c>
      <x:c r="L533" s="70" t="s">
        <x:v>1332</x:v>
      </x:c>
      <x:c r="M533" s="70" t="s">
        <x:v>35</x:v>
      </x:c>
      <x:c r="N533" s="71" t="n">
        <x:v>51352</x:v>
      </x:c>
      <x:c r="O533" s="72" t="n">
        <x:f aca="0">N533/1000</x:f>
        <x:v>51.352</x:v>
      </x:c>
      <x:c r="P533" s="73" t="n">
        <x:f aca="0">LUCK!E24</x:f>
        <x:v>51.352</x:v>
      </x:c>
      <x:c r="Q533" s="70" t="str">
        <x:f aca="0">IF(ABS(O533-P533)&lt;0.000001,"PASS","FAIL")</x:f>
        <x:v>PASS</x:v>
      </x:c>
      <x:c r="R533" s="70" t="s">
        <x:v>34</x:v>
      </x:c>
      <x:c r="S533" s="70"/>
    </x:row>
    <x:row r="534" ht="15" hidden="0">
      <x:c r="A534" s="70" t="s">
        <x:v>1697</x:v>
      </x:c>
      <x:c r="B534" s="70" t="s">
        <x:v>31</x:v>
      </x:c>
      <x:c r="C534" s="70" t="s">
        <x:v>75</x:v>
      </x:c>
      <x:c r="D534" s="70" t="s">
        <x:v>304</x:v>
      </x:c>
      <x:c r="E534" s="70" t="s">
        <x:v>1129</x:v>
      </x:c>
      <x:c r="F534" s="70" t="s">
        <x:v>304</x:v>
      </x:c>
      <x:c r="G534" s="70" t="s">
        <x:v>1672</x:v>
      </x:c>
      <x:c r="H534" s="70" t="s">
        <x:v>1211</x:v>
      </x:c>
      <x:c r="I534" s="70" t="s">
        <x:v>1199</x:v>
      </x:c>
      <x:c r="J534" s="70" t="n">
        <x:v>238</x:v>
      </x:c>
      <x:c r="K534" s="70" t="s">
        <x:v>1673</x:v>
      </x:c>
      <x:c r="L534" s="70" t="s">
        <x:v>1332</x:v>
      </x:c>
      <x:c r="M534" s="70" t="s">
        <x:v>35</x:v>
      </x:c>
      <x:c r="N534" s="71" t="n">
        <x:v>85588</x:v>
      </x:c>
      <x:c r="O534" s="72" t="n">
        <x:f aca="0">N534/1000</x:f>
        <x:v>85.588</x:v>
      </x:c>
      <x:c r="P534" s="73" t="n">
        <x:f aca="0">LUCK!F24</x:f>
        <x:v>85.588</x:v>
      </x:c>
      <x:c r="Q534" s="70" t="str">
        <x:f aca="0">IF(ABS(O534-P534)&lt;0.000001,"PASS","FAIL")</x:f>
        <x:v>PASS</x:v>
      </x:c>
      <x:c r="R534" s="70" t="s">
        <x:v>34</x:v>
      </x:c>
      <x:c r="S534" s="70"/>
    </x:row>
    <x:row r="535" ht="15" hidden="0">
      <x:c r="A535" s="70" t="s">
        <x:v>1698</x:v>
      </x:c>
      <x:c r="B535" s="70" t="s">
        <x:v>31</x:v>
      </x:c>
      <x:c r="C535" s="70" t="s">
        <x:v>76</x:v>
      </x:c>
      <x:c r="D535" s="70" t="s">
        <x:v>304</x:v>
      </x:c>
      <x:c r="E535" s="70" t="s">
        <x:v>1129</x:v>
      </x:c>
      <x:c r="F535" s="70" t="s">
        <x:v>304</x:v>
      </x:c>
      <x:c r="G535" s="70" t="s">
        <x:v>1675</x:v>
      </x:c>
      <x:c r="H535" s="70" t="s">
        <x:v>1215</x:v>
      </x:c>
      <x:c r="I535" s="70" t="s">
        <x:v>1199</x:v>
      </x:c>
      <x:c r="J535" s="70" t="n">
        <x:v>240</x:v>
      </x:c>
      <x:c r="K535" s="70" t="s">
        <x:v>1676</x:v>
      </x:c>
      <x:c r="L535" s="70" t="s">
        <x:v>1332</x:v>
      </x:c>
      <x:c r="M535" s="70" t="s">
        <x:v>35</x:v>
      </x:c>
      <x:c r="N535" s="71" t="n">
        <x:v>69394</x:v>
      </x:c>
      <x:c r="O535" s="72" t="n">
        <x:f aca="0">N535/1000</x:f>
        <x:v>69.394</x:v>
      </x:c>
      <x:c r="P535" s="73" t="n">
        <x:f aca="0">LUCK!G24</x:f>
        <x:v>69.394</x:v>
      </x:c>
      <x:c r="Q535" s="70" t="str">
        <x:f aca="0">IF(ABS(O535-P535)&lt;0.000001,"PASS","FAIL")</x:f>
        <x:v>PASS</x:v>
      </x:c>
      <x:c r="R535" s="70" t="s">
        <x:v>34</x:v>
      </x:c>
      <x:c r="S535" s="70"/>
    </x:row>
    <x:row r="536" ht="15" hidden="0">
      <x:c r="A536" s="70" t="s">
        <x:v>1699</x:v>
      </x:c>
      <x:c r="B536" s="70" t="s">
        <x:v>31</x:v>
      </x:c>
      <x:c r="C536" s="70" t="s">
        <x:v>77</x:v>
      </x:c>
      <x:c r="D536" s="70" t="s">
        <x:v>304</x:v>
      </x:c>
      <x:c r="E536" s="70" t="s">
        <x:v>1129</x:v>
      </x:c>
      <x:c r="F536" s="70" t="s">
        <x:v>304</x:v>
      </x:c>
      <x:c r="G536" s="70" t="s">
        <x:v>1675</x:v>
      </x:c>
      <x:c r="H536" s="70" t="s">
        <x:v>1215</x:v>
      </x:c>
      <x:c r="I536" s="70" t="s">
        <x:v>1218</x:v>
      </x:c>
      <x:c r="J536" s="70" t="n">
        <x:v>240</x:v>
      </x:c>
      <x:c r="K536" s="70" t="s">
        <x:v>1676</x:v>
      </x:c>
      <x:c r="L536" s="70" t="s">
        <x:v>1332</x:v>
      </x:c>
      <x:c r="M536" s="70" t="s">
        <x:v>35</x:v>
      </x:c>
      <x:c r="N536" s="71" t="n">
        <x:v>46229</x:v>
      </x:c>
      <x:c r="O536" s="72" t="n">
        <x:f aca="0">N536/1000</x:f>
        <x:v>46.229</x:v>
      </x:c>
      <x:c r="P536" s="73" t="n">
        <x:f aca="0">LUCK!H24</x:f>
        <x:v>46.229</x:v>
      </x:c>
      <x:c r="Q536" s="70" t="str">
        <x:f aca="0">IF(ABS(O536-P536)&lt;0.000001,"PASS","FAIL")</x:f>
        <x:v>PASS</x:v>
      </x:c>
      <x:c r="R536" s="70" t="s">
        <x:v>34</x:v>
      </x:c>
      <x:c r="S536" s="70"/>
    </x:row>
    <x:row r="537" ht="15" hidden="0">
      <x:c r="A537" s="70" t="s">
        <x:v>1700</x:v>
      </x:c>
      <x:c r="B537" s="70" t="s">
        <x:v>31</x:v>
      </x:c>
      <x:c r="C537" s="70" t="s">
        <x:v>1076</x:v>
      </x:c>
      <x:c r="D537" s="70" t="s">
        <x:v>306</x:v>
      </x:c>
      <x:c r="E537" s="70" t="s">
        <x:v>1129</x:v>
      </x:c>
      <x:c r="F537" s="70"/>
      <x:c r="G537" s="70" t="s">
        <x:v>1663</x:v>
      </x:c>
      <x:c r="H537" s="70" t="s">
        <x:v>1198</x:v>
      </x:c>
      <x:c r="I537" s="70" t="s">
        <x:v>1199</x:v>
      </x:c>
      <x:c r="J537" s="70" t="n">
        <x:v>191</x:v>
      </x:c>
      <x:c r="K537" s="70" t="s">
        <x:v>1200</x:v>
      </x:c>
      <x:c r="L537" s="70"/>
      <x:c r="M537" s="70" t="s">
        <x:v>35</x:v>
      </x:c>
      <x:c r="N537" s="71" t="n">
        <x:v>0</x:v>
      </x:c>
      <x:c r="O537" s="72" t="n">
        <x:f aca="0">N537/1000</x:f>
        <x:v>0</x:v>
      </x:c>
      <x:c r="P537" s="73" t="n">
        <x:f aca="0">LUCK!C25</x:f>
        <x:v>0</x:v>
      </x:c>
      <x:c r="Q537" s="70" t="str">
        <x:f aca="0">IF(ABS(O537-P537)&lt;0.000001,"PASS","FAIL")</x:f>
        <x:v>PASS</x:v>
      </x:c>
      <x:c r="R537" s="70" t="s">
        <x:v>34</x:v>
      </x:c>
      <x:c r="S537" s="70"/>
    </x:row>
    <x:row r="538" ht="15" hidden="0">
      <x:c r="A538" s="70" t="s">
        <x:v>1701</x:v>
      </x:c>
      <x:c r="B538" s="70" t="s">
        <x:v>31</x:v>
      </x:c>
      <x:c r="C538" s="70" t="s">
        <x:v>73</x:v>
      </x:c>
      <x:c r="D538" s="70" t="s">
        <x:v>306</x:v>
      </x:c>
      <x:c r="E538" s="70" t="s">
        <x:v>1129</x:v>
      </x:c>
      <x:c r="F538" s="70"/>
      <x:c r="G538" s="70" t="s">
        <x:v>1666</x:v>
      </x:c>
      <x:c r="H538" s="70" t="s">
        <x:v>1204</x:v>
      </x:c>
      <x:c r="I538" s="70" t="s">
        <x:v>1199</x:v>
      </x:c>
      <x:c r="J538" s="70" t="n">
        <x:v>226</x:v>
      </x:c>
      <x:c r="K538" s="70" t="s">
        <x:v>1667</x:v>
      </x:c>
      <x:c r="L538" s="70"/>
      <x:c r="M538" s="70" t="s">
        <x:v>35</x:v>
      </x:c>
      <x:c r="N538" s="71" t="n">
        <x:v>0</x:v>
      </x:c>
      <x:c r="O538" s="72" t="n">
        <x:f aca="0">N538/1000</x:f>
        <x:v>0</x:v>
      </x:c>
      <x:c r="P538" s="73" t="n">
        <x:f aca="0">LUCK!D25</x:f>
        <x:v>0</x:v>
      </x:c>
      <x:c r="Q538" s="70" t="str">
        <x:f aca="0">IF(ABS(O538-P538)&lt;0.000001,"PASS","FAIL")</x:f>
        <x:v>PASS</x:v>
      </x:c>
      <x:c r="R538" s="70" t="s">
        <x:v>34</x:v>
      </x:c>
      <x:c r="S538" s="70"/>
    </x:row>
    <x:row r="539" ht="15" hidden="0">
      <x:c r="A539" s="70" t="s">
        <x:v>1702</x:v>
      </x:c>
      <x:c r="B539" s="70" t="s">
        <x:v>31</x:v>
      </x:c>
      <x:c r="C539" s="70" t="s">
        <x:v>74</x:v>
      </x:c>
      <x:c r="D539" s="70" t="s">
        <x:v>306</x:v>
      </x:c>
      <x:c r="E539" s="70" t="s">
        <x:v>1129</x:v>
      </x:c>
      <x:c r="F539" s="70"/>
      <x:c r="G539" s="70" t="s">
        <x:v>1669</x:v>
      </x:c>
      <x:c r="H539" s="70" t="s">
        <x:v>1208</x:v>
      </x:c>
      <x:c r="I539" s="70" t="s">
        <x:v>1199</x:v>
      </x:c>
      <x:c r="J539" s="70" t="n">
        <x:v>234</x:v>
      </x:c>
      <x:c r="K539" s="70" t="s">
        <x:v>1670</x:v>
      </x:c>
      <x:c r="L539" s="70"/>
      <x:c r="M539" s="70" t="s">
        <x:v>35</x:v>
      </x:c>
      <x:c r="N539" s="71" t="n">
        <x:v>0</x:v>
      </x:c>
      <x:c r="O539" s="72" t="n">
        <x:f aca="0">N539/1000</x:f>
        <x:v>0</x:v>
      </x:c>
      <x:c r="P539" s="73" t="n">
        <x:f aca="0">LUCK!E25</x:f>
        <x:v>0</x:v>
      </x:c>
      <x:c r="Q539" s="70" t="str">
        <x:f aca="0">IF(ABS(O539-P539)&lt;0.000001,"PASS","FAIL")</x:f>
        <x:v>PASS</x:v>
      </x:c>
      <x:c r="R539" s="70" t="s">
        <x:v>34</x:v>
      </x:c>
      <x:c r="S539" s="70"/>
    </x:row>
    <x:row r="540" ht="15" hidden="0">
      <x:c r="A540" s="70" t="s">
        <x:v>1703</x:v>
      </x:c>
      <x:c r="B540" s="70" t="s">
        <x:v>31</x:v>
      </x:c>
      <x:c r="C540" s="70" t="s">
        <x:v>75</x:v>
      </x:c>
      <x:c r="D540" s="70" t="s">
        <x:v>306</x:v>
      </x:c>
      <x:c r="E540" s="70" t="s">
        <x:v>1129</x:v>
      </x:c>
      <x:c r="F540" s="70"/>
      <x:c r="G540" s="70" t="s">
        <x:v>1672</x:v>
      </x:c>
      <x:c r="H540" s="70" t="s">
        <x:v>1211</x:v>
      </x:c>
      <x:c r="I540" s="70" t="s">
        <x:v>1199</x:v>
      </x:c>
      <x:c r="J540" s="70" t="n">
        <x:v>238</x:v>
      </x:c>
      <x:c r="K540" s="70" t="s">
        <x:v>1673</x:v>
      </x:c>
      <x:c r="L540" s="70"/>
      <x:c r="M540" s="70" t="s">
        <x:v>35</x:v>
      </x:c>
      <x:c r="N540" s="71" t="n">
        <x:v>0</x:v>
      </x:c>
      <x:c r="O540" s="72" t="n">
        <x:f aca="0">N540/1000</x:f>
        <x:v>0</x:v>
      </x:c>
      <x:c r="P540" s="73" t="n">
        <x:f aca="0">LUCK!F25</x:f>
        <x:v>0</x:v>
      </x:c>
      <x:c r="Q540" s="70" t="str">
        <x:f aca="0">IF(ABS(O540-P540)&lt;0.000001,"PASS","FAIL")</x:f>
        <x:v>PASS</x:v>
      </x:c>
      <x:c r="R540" s="70" t="s">
        <x:v>34</x:v>
      </x:c>
      <x:c r="S540" s="70"/>
    </x:row>
    <x:row r="541" ht="15" hidden="0">
      <x:c r="A541" s="70" t="s">
        <x:v>1704</x:v>
      </x:c>
      <x:c r="B541" s="70" t="s">
        <x:v>31</x:v>
      </x:c>
      <x:c r="C541" s="70" t="s">
        <x:v>76</x:v>
      </x:c>
      <x:c r="D541" s="70" t="s">
        <x:v>306</x:v>
      </x:c>
      <x:c r="E541" s="70" t="s">
        <x:v>1129</x:v>
      </x:c>
      <x:c r="F541" s="70"/>
      <x:c r="G541" s="70" t="s">
        <x:v>1675</x:v>
      </x:c>
      <x:c r="H541" s="70" t="s">
        <x:v>1215</x:v>
      </x:c>
      <x:c r="I541" s="70" t="s">
        <x:v>1199</x:v>
      </x:c>
      <x:c r="J541" s="70" t="n">
        <x:v>240</x:v>
      </x:c>
      <x:c r="K541" s="70" t="s">
        <x:v>1676</x:v>
      </x:c>
      <x:c r="L541" s="70"/>
      <x:c r="M541" s="70" t="s">
        <x:v>35</x:v>
      </x:c>
      <x:c r="N541" s="71" t="n">
        <x:v>0</x:v>
      </x:c>
      <x:c r="O541" s="72" t="n">
        <x:f aca="0">N541/1000</x:f>
        <x:v>0</x:v>
      </x:c>
      <x:c r="P541" s="73" t="n">
        <x:f aca="0">LUCK!G25</x:f>
        <x:v>0</x:v>
      </x:c>
      <x:c r="Q541" s="70" t="str">
        <x:f aca="0">IF(ABS(O541-P541)&lt;0.000001,"PASS","FAIL")</x:f>
        <x:v>PASS</x:v>
      </x:c>
      <x:c r="R541" s="70" t="s">
        <x:v>34</x:v>
      </x:c>
      <x:c r="S541" s="70"/>
    </x:row>
    <x:row r="542" ht="15" hidden="0">
      <x:c r="A542" s="70" t="s">
        <x:v>1705</x:v>
      </x:c>
      <x:c r="B542" s="70" t="s">
        <x:v>31</x:v>
      </x:c>
      <x:c r="C542" s="70" t="s">
        <x:v>77</x:v>
      </x:c>
      <x:c r="D542" s="70" t="s">
        <x:v>306</x:v>
      </x:c>
      <x:c r="E542" s="70" t="s">
        <x:v>1129</x:v>
      </x:c>
      <x:c r="F542" s="70"/>
      <x:c r="G542" s="70" t="s">
        <x:v>1675</x:v>
      </x:c>
      <x:c r="H542" s="70" t="s">
        <x:v>1215</x:v>
      </x:c>
      <x:c r="I542" s="70" t="s">
        <x:v>1218</x:v>
      </x:c>
      <x:c r="J542" s="70" t="n">
        <x:v>240</x:v>
      </x:c>
      <x:c r="K542" s="70" t="s">
        <x:v>1676</x:v>
      </x:c>
      <x:c r="L542" s="70"/>
      <x:c r="M542" s="70" t="s">
        <x:v>35</x:v>
      </x:c>
      <x:c r="N542" s="71" t="n">
        <x:v>0</x:v>
      </x:c>
      <x:c r="O542" s="72" t="n">
        <x:f aca="0">N542/1000</x:f>
        <x:v>0</x:v>
      </x:c>
      <x:c r="P542" s="73" t="n">
        <x:f aca="0">LUCK!H25</x:f>
        <x:v>0</x:v>
      </x:c>
      <x:c r="Q542" s="70" t="str">
        <x:f aca="0">IF(ABS(O542-P542)&lt;0.000001,"PASS","FAIL")</x:f>
        <x:v>PASS</x:v>
      </x:c>
      <x:c r="R542" s="70" t="s">
        <x:v>34</x:v>
      </x:c>
      <x:c r="S542" s="70"/>
    </x:row>
    <x:row r="543" ht="15" hidden="0">
      <x:c r="A543" s="70" t="s">
        <x:v>1706</x:v>
      </x:c>
      <x:c r="B543" s="70" t="s">
        <x:v>31</x:v>
      </x:c>
      <x:c r="C543" s="70" t="s">
        <x:v>1076</x:v>
      </x:c>
      <x:c r="D543" s="70" t="s">
        <x:v>308</x:v>
      </x:c>
      <x:c r="E543" s="70" t="s">
        <x:v>1129</x:v>
      </x:c>
      <x:c r="F543" s="70" t="s">
        <x:v>308</x:v>
      </x:c>
      <x:c r="G543" s="70" t="s">
        <x:v>1663</x:v>
      </x:c>
      <x:c r="H543" s="70" t="s">
        <x:v>1198</x:v>
      </x:c>
      <x:c r="I543" s="70" t="s">
        <x:v>1199</x:v>
      </x:c>
      <x:c r="J543" s="70" t="n">
        <x:v>191</x:v>
      </x:c>
      <x:c r="K543" s="70" t="s">
        <x:v>1200</x:v>
      </x:c>
      <x:c r="L543" s="70" t="s">
        <x:v>1707</x:v>
      </x:c>
      <x:c r="M543" s="70" t="s">
        <x:v>35</x:v>
      </x:c>
      <x:c r="N543" s="71" t="n">
        <x:v>47144485</x:v>
      </x:c>
      <x:c r="O543" s="72" t="n">
        <x:f aca="0">N543/1000</x:f>
        <x:v>47144.485</x:v>
      </x:c>
      <x:c r="P543" s="73" t="n">
        <x:f aca="0">LUCK!C26</x:f>
        <x:v>47144.485</x:v>
      </x:c>
      <x:c r="Q543" s="70" t="str">
        <x:f aca="0">IF(ABS(O543-P543)&lt;0.000001,"PASS","FAIL")</x:f>
        <x:v>PASS</x:v>
      </x:c>
      <x:c r="R543" s="70" t="s">
        <x:v>34</x:v>
      </x:c>
      <x:c r="S543" s="70"/>
    </x:row>
    <x:row r="544" ht="15" hidden="0">
      <x:c r="A544" s="70" t="s">
        <x:v>1708</x:v>
      </x:c>
      <x:c r="B544" s="70" t="s">
        <x:v>31</x:v>
      </x:c>
      <x:c r="C544" s="70" t="s">
        <x:v>73</x:v>
      </x:c>
      <x:c r="D544" s="70" t="s">
        <x:v>308</x:v>
      </x:c>
      <x:c r="E544" s="70" t="s">
        <x:v>1129</x:v>
      </x:c>
      <x:c r="F544" s="70" t="s">
        <x:v>308</x:v>
      </x:c>
      <x:c r="G544" s="70" t="s">
        <x:v>1666</x:v>
      </x:c>
      <x:c r="H544" s="70" t="s">
        <x:v>1204</x:v>
      </x:c>
      <x:c r="I544" s="70" t="s">
        <x:v>1199</x:v>
      </x:c>
      <x:c r="J544" s="70" t="n">
        <x:v>226</x:v>
      </x:c>
      <x:c r="K544" s="70" t="s">
        <x:v>1667</x:v>
      </x:c>
      <x:c r="L544" s="70" t="s">
        <x:v>1707</x:v>
      </x:c>
      <x:c r="M544" s="70" t="s">
        <x:v>35</x:v>
      </x:c>
      <x:c r="N544" s="71" t="n">
        <x:v>53194485</x:v>
      </x:c>
      <x:c r="O544" s="72" t="n">
        <x:f aca="0">N544/1000</x:f>
        <x:v>53194.485</x:v>
      </x:c>
      <x:c r="P544" s="73" t="n">
        <x:f aca="0">LUCK!D26</x:f>
        <x:v>53194.485</x:v>
      </x:c>
      <x:c r="Q544" s="70" t="str">
        <x:f aca="0">IF(ABS(O544-P544)&lt;0.000001,"PASS","FAIL")</x:f>
        <x:v>PASS</x:v>
      </x:c>
      <x:c r="R544" s="70" t="s">
        <x:v>34</x:v>
      </x:c>
      <x:c r="S544" s="70"/>
    </x:row>
    <x:row r="545" ht="15" hidden="0">
      <x:c r="A545" s="70" t="s">
        <x:v>1709</x:v>
      </x:c>
      <x:c r="B545" s="70" t="s">
        <x:v>31</x:v>
      </x:c>
      <x:c r="C545" s="70" t="s">
        <x:v>74</x:v>
      </x:c>
      <x:c r="D545" s="70" t="s">
        <x:v>308</x:v>
      </x:c>
      <x:c r="E545" s="70" t="s">
        <x:v>1129</x:v>
      </x:c>
      <x:c r="F545" s="70" t="s">
        <x:v>308</x:v>
      </x:c>
      <x:c r="G545" s="70" t="s">
        <x:v>1669</x:v>
      </x:c>
      <x:c r="H545" s="70" t="s">
        <x:v>1208</x:v>
      </x:c>
      <x:c r="I545" s="70" t="s">
        <x:v>1199</x:v>
      </x:c>
      <x:c r="J545" s="70" t="n">
        <x:v>234</x:v>
      </x:c>
      <x:c r="K545" s="70" t="s">
        <x:v>1670</x:v>
      </x:c>
      <x:c r="L545" s="70" t="s">
        <x:v>1707</x:v>
      </x:c>
      <x:c r="M545" s="70" t="s">
        <x:v>35</x:v>
      </x:c>
      <x:c r="N545" s="71" t="n">
        <x:v>57594485</x:v>
      </x:c>
      <x:c r="O545" s="72" t="n">
        <x:f aca="0">N545/1000</x:f>
        <x:v>57594.485</x:v>
      </x:c>
      <x:c r="P545" s="73" t="n">
        <x:f aca="0">LUCK!E26</x:f>
        <x:v>57594.485</x:v>
      </x:c>
      <x:c r="Q545" s="70" t="str">
        <x:f aca="0">IF(ABS(O545-P545)&lt;0.000001,"PASS","FAIL")</x:f>
        <x:v>PASS</x:v>
      </x:c>
      <x:c r="R545" s="70" t="s">
        <x:v>34</x:v>
      </x:c>
      <x:c r="S545" s="70"/>
    </x:row>
    <x:row r="546" ht="15" hidden="0">
      <x:c r="A546" s="70" t="s">
        <x:v>1710</x:v>
      </x:c>
      <x:c r="B546" s="70" t="s">
        <x:v>31</x:v>
      </x:c>
      <x:c r="C546" s="70" t="s">
        <x:v>75</x:v>
      </x:c>
      <x:c r="D546" s="70" t="s">
        <x:v>308</x:v>
      </x:c>
      <x:c r="E546" s="70" t="s">
        <x:v>1129</x:v>
      </x:c>
      <x:c r="F546" s="70" t="s">
        <x:v>308</x:v>
      </x:c>
      <x:c r="G546" s="70" t="s">
        <x:v>1672</x:v>
      </x:c>
      <x:c r="H546" s="70" t="s">
        <x:v>1211</x:v>
      </x:c>
      <x:c r="I546" s="70" t="s">
        <x:v>1199</x:v>
      </x:c>
      <x:c r="J546" s="70" t="n">
        <x:v>238</x:v>
      </x:c>
      <x:c r="K546" s="70" t="s">
        <x:v>1673</x:v>
      </x:c>
      <x:c r="L546" s="70" t="s">
        <x:v>1707</x:v>
      </x:c>
      <x:c r="M546" s="70" t="s">
        <x:v>35</x:v>
      </x:c>
      <x:c r="N546" s="71" t="n">
        <x:v>57594485</x:v>
      </x:c>
      <x:c r="O546" s="72" t="n">
        <x:f aca="0">N546/1000</x:f>
        <x:v>57594.485</x:v>
      </x:c>
      <x:c r="P546" s="73" t="n">
        <x:f aca="0">LUCK!F26</x:f>
        <x:v>57594.485</x:v>
      </x:c>
      <x:c r="Q546" s="70" t="str">
        <x:f aca="0">IF(ABS(O546-P546)&lt;0.000001,"PASS","FAIL")</x:f>
        <x:v>PASS</x:v>
      </x:c>
      <x:c r="R546" s="70" t="s">
        <x:v>34</x:v>
      </x:c>
      <x:c r="S546" s="70"/>
    </x:row>
    <x:row r="547" ht="15" hidden="0">
      <x:c r="A547" s="70" t="s">
        <x:v>1711</x:v>
      </x:c>
      <x:c r="B547" s="70" t="s">
        <x:v>31</x:v>
      </x:c>
      <x:c r="C547" s="70" t="s">
        <x:v>76</x:v>
      </x:c>
      <x:c r="D547" s="70" t="s">
        <x:v>308</x:v>
      </x:c>
      <x:c r="E547" s="70" t="s">
        <x:v>1129</x:v>
      </x:c>
      <x:c r="F547" s="70" t="s">
        <x:v>308</x:v>
      </x:c>
      <x:c r="G547" s="70" t="s">
        <x:v>1675</x:v>
      </x:c>
      <x:c r="H547" s="70" t="s">
        <x:v>1215</x:v>
      </x:c>
      <x:c r="I547" s="70" t="s">
        <x:v>1199</x:v>
      </x:c>
      <x:c r="J547" s="70" t="n">
        <x:v>240</x:v>
      </x:c>
      <x:c r="K547" s="70" t="s">
        <x:v>1676</x:v>
      </x:c>
      <x:c r="L547" s="70" t="s">
        <x:v>1707</x:v>
      </x:c>
      <x:c r="M547" s="70" t="s">
        <x:v>35</x:v>
      </x:c>
      <x:c r="N547" s="71" t="n">
        <x:v>58072373</x:v>
      </x:c>
      <x:c r="O547" s="72" t="n">
        <x:f aca="0">N547/1000</x:f>
        <x:v>58072.373</x:v>
      </x:c>
      <x:c r="P547" s="73" t="n">
        <x:f aca="0">LUCK!G26</x:f>
        <x:v>58072.373</x:v>
      </x:c>
      <x:c r="Q547" s="70" t="str">
        <x:f aca="0">IF(ABS(O547-P547)&lt;0.000001,"PASS","FAIL")</x:f>
        <x:v>PASS</x:v>
      </x:c>
      <x:c r="R547" s="70" t="s">
        <x:v>34</x:v>
      </x:c>
      <x:c r="S547" s="70"/>
    </x:row>
    <x:row r="548" ht="15" hidden="0">
      <x:c r="A548" s="70" t="s">
        <x:v>1712</x:v>
      </x:c>
      <x:c r="B548" s="70" t="s">
        <x:v>31</x:v>
      </x:c>
      <x:c r="C548" s="70" t="s">
        <x:v>77</x:v>
      </x:c>
      <x:c r="D548" s="70" t="s">
        <x:v>308</x:v>
      </x:c>
      <x:c r="E548" s="70" t="s">
        <x:v>1129</x:v>
      </x:c>
      <x:c r="F548" s="70" t="s">
        <x:v>308</x:v>
      </x:c>
      <x:c r="G548" s="70" t="s">
        <x:v>1675</x:v>
      </x:c>
      <x:c r="H548" s="70" t="s">
        <x:v>1215</x:v>
      </x:c>
      <x:c r="I548" s="70" t="s">
        <x:v>1218</x:v>
      </x:c>
      <x:c r="J548" s="70" t="n">
        <x:v>240</x:v>
      </x:c>
      <x:c r="K548" s="70" t="s">
        <x:v>1676</x:v>
      </x:c>
      <x:c r="L548" s="70" t="s">
        <x:v>1707</x:v>
      </x:c>
      <x:c r="M548" s="70" t="s">
        <x:v>35</x:v>
      </x:c>
      <x:c r="N548" s="71" t="n">
        <x:v>58555707</x:v>
      </x:c>
      <x:c r="O548" s="72" t="n">
        <x:f aca="0">N548/1000</x:f>
        <x:v>58555.707</x:v>
      </x:c>
      <x:c r="P548" s="73" t="n">
        <x:f aca="0">LUCK!H26</x:f>
        <x:v>58555.707</x:v>
      </x:c>
      <x:c r="Q548" s="70" t="str">
        <x:f aca="0">IF(ABS(O548-P548)&lt;0.000001,"PASS","FAIL")</x:f>
        <x:v>PASS</x:v>
      </x:c>
      <x:c r="R548" s="70" t="s">
        <x:v>34</x:v>
      </x:c>
      <x:c r="S548" s="70"/>
    </x:row>
    <x:row r="549" ht="15" hidden="0">
      <x:c r="A549" s="70" t="s">
        <x:v>1713</x:v>
      </x:c>
      <x:c r="B549" s="70" t="s">
        <x:v>31</x:v>
      </x:c>
      <x:c r="C549" s="70" t="s">
        <x:v>1076</x:v>
      </x:c>
      <x:c r="D549" s="70" t="s">
        <x:v>310</x:v>
      </x:c>
      <x:c r="E549" s="70" t="s">
        <x:v>1129</x:v>
      </x:c>
      <x:c r="F549" s="70" t="s">
        <x:v>1714</x:v>
      </x:c>
      <x:c r="G549" s="70" t="s">
        <x:v>1663</x:v>
      </x:c>
      <x:c r="H549" s="70" t="s">
        <x:v>1198</x:v>
      </x:c>
      <x:c r="I549" s="70" t="s">
        <x:v>1199</x:v>
      </x:c>
      <x:c r="J549" s="70" t="n">
        <x:v>191</x:v>
      </x:c>
      <x:c r="K549" s="70" t="s">
        <x:v>1200</x:v>
      </x:c>
      <x:c r="L549" s="70" t="s">
        <x:v>1368</x:v>
      </x:c>
      <x:c r="M549" s="70" t="s">
        <x:v>35</x:v>
      </x:c>
      <x:c r="N549" s="71" t="n">
        <x:v>90183</x:v>
      </x:c>
      <x:c r="O549" s="72" t="n">
        <x:f aca="0">N549/1000</x:f>
        <x:v>90.183</x:v>
      </x:c>
      <x:c r="P549" s="73" t="n">
        <x:f aca="0">LUCK!C27</x:f>
        <x:v>90.183</x:v>
      </x:c>
      <x:c r="Q549" s="70" t="str">
        <x:f aca="0">IF(ABS(O549-P549)&lt;0.000001,"PASS","FAIL")</x:f>
        <x:v>PASS</x:v>
      </x:c>
      <x:c r="R549" s="70" t="s">
        <x:v>34</x:v>
      </x:c>
      <x:c r="S549" s="70"/>
    </x:row>
    <x:row r="550" ht="15" hidden="0">
      <x:c r="A550" s="70" t="s">
        <x:v>1715</x:v>
      </x:c>
      <x:c r="B550" s="70" t="s">
        <x:v>31</x:v>
      </x:c>
      <x:c r="C550" s="70" t="s">
        <x:v>73</x:v>
      </x:c>
      <x:c r="D550" s="70" t="s">
        <x:v>310</x:v>
      </x:c>
      <x:c r="E550" s="70" t="s">
        <x:v>1129</x:v>
      </x:c>
      <x:c r="F550" s="70" t="s">
        <x:v>1714</x:v>
      </x:c>
      <x:c r="G550" s="70" t="s">
        <x:v>1666</x:v>
      </x:c>
      <x:c r="H550" s="70" t="s">
        <x:v>1204</x:v>
      </x:c>
      <x:c r="I550" s="70" t="s">
        <x:v>1199</x:v>
      </x:c>
      <x:c r="J550" s="70" t="n">
        <x:v>226</x:v>
      </x:c>
      <x:c r="K550" s="70" t="s">
        <x:v>1667</x:v>
      </x:c>
      <x:c r="L550" s="70" t="s">
        <x:v>1368</x:v>
      </x:c>
      <x:c r="M550" s="70" t="s">
        <x:v>35</x:v>
      </x:c>
      <x:c r="N550" s="71" t="n">
        <x:v>106592</x:v>
      </x:c>
      <x:c r="O550" s="72" t="n">
        <x:f aca="0">N550/1000</x:f>
        <x:v>106.592</x:v>
      </x:c>
      <x:c r="P550" s="73" t="n">
        <x:f aca="0">LUCK!D27</x:f>
        <x:v>106.592</x:v>
      </x:c>
      <x:c r="Q550" s="70" t="str">
        <x:f aca="0">IF(ABS(O550-P550)&lt;0.000001,"PASS","FAIL")</x:f>
        <x:v>PASS</x:v>
      </x:c>
      <x:c r="R550" s="70" t="s">
        <x:v>34</x:v>
      </x:c>
      <x:c r="S550" s="70"/>
    </x:row>
    <x:row r="551" ht="15" hidden="0">
      <x:c r="A551" s="70" t="s">
        <x:v>1716</x:v>
      </x:c>
      <x:c r="B551" s="70" t="s">
        <x:v>31</x:v>
      </x:c>
      <x:c r="C551" s="70" t="s">
        <x:v>74</x:v>
      </x:c>
      <x:c r="D551" s="70" t="s">
        <x:v>310</x:v>
      </x:c>
      <x:c r="E551" s="70" t="s">
        <x:v>1129</x:v>
      </x:c>
      <x:c r="F551" s="70" t="s">
        <x:v>1714</x:v>
      </x:c>
      <x:c r="G551" s="70" t="s">
        <x:v>1669</x:v>
      </x:c>
      <x:c r="H551" s="70" t="s">
        <x:v>1208</x:v>
      </x:c>
      <x:c r="I551" s="70" t="s">
        <x:v>1199</x:v>
      </x:c>
      <x:c r="J551" s="70" t="n">
        <x:v>234</x:v>
      </x:c>
      <x:c r="K551" s="70" t="s">
        <x:v>1670</x:v>
      </x:c>
      <x:c r="L551" s="70" t="s">
        <x:v>1368</x:v>
      </x:c>
      <x:c r="M551" s="70" t="s">
        <x:v>35</x:v>
      </x:c>
      <x:c r="N551" s="71" t="n">
        <x:v>199790</x:v>
      </x:c>
      <x:c r="O551" s="72" t="n">
        <x:f aca="0">N551/1000</x:f>
        <x:v>199.79</x:v>
      </x:c>
      <x:c r="P551" s="73" t="n">
        <x:f aca="0">LUCK!E27</x:f>
        <x:v>199.79</x:v>
      </x:c>
      <x:c r="Q551" s="70" t="str">
        <x:f aca="0">IF(ABS(O551-P551)&lt;0.000001,"PASS","FAIL")</x:f>
        <x:v>PASS</x:v>
      </x:c>
      <x:c r="R551" s="70" t="s">
        <x:v>34</x:v>
      </x:c>
      <x:c r="S551" s="70"/>
    </x:row>
    <x:row r="552" ht="15" hidden="0">
      <x:c r="A552" s="70" t="s">
        <x:v>1717</x:v>
      </x:c>
      <x:c r="B552" s="70" t="s">
        <x:v>31</x:v>
      </x:c>
      <x:c r="C552" s="70" t="s">
        <x:v>75</x:v>
      </x:c>
      <x:c r="D552" s="70" t="s">
        <x:v>310</x:v>
      </x:c>
      <x:c r="E552" s="70" t="s">
        <x:v>1129</x:v>
      </x:c>
      <x:c r="F552" s="70" t="s">
        <x:v>1714</x:v>
      </x:c>
      <x:c r="G552" s="70" t="s">
        <x:v>1672</x:v>
      </x:c>
      <x:c r="H552" s="70" t="s">
        <x:v>1211</x:v>
      </x:c>
      <x:c r="I552" s="70" t="s">
        <x:v>1199</x:v>
      </x:c>
      <x:c r="J552" s="70" t="n">
        <x:v>238</x:v>
      </x:c>
      <x:c r="K552" s="70" t="s">
        <x:v>1673</x:v>
      </x:c>
      <x:c r="L552" s="70" t="s">
        <x:v>1368</x:v>
      </x:c>
      <x:c r="M552" s="70" t="s">
        <x:v>35</x:v>
      </x:c>
      <x:c r="N552" s="71" t="n">
        <x:v>202046</x:v>
      </x:c>
      <x:c r="O552" s="72" t="n">
        <x:f aca="0">N552/1000</x:f>
        <x:v>202.046</x:v>
      </x:c>
      <x:c r="P552" s="73" t="n">
        <x:f aca="0">LUCK!F27</x:f>
        <x:v>202.046</x:v>
      </x:c>
      <x:c r="Q552" s="70" t="str">
        <x:f aca="0">IF(ABS(O552-P552)&lt;0.000001,"PASS","FAIL")</x:f>
        <x:v>PASS</x:v>
      </x:c>
      <x:c r="R552" s="70" t="s">
        <x:v>34</x:v>
      </x:c>
      <x:c r="S552" s="70"/>
    </x:row>
    <x:row r="553" ht="15" hidden="0">
      <x:c r="A553" s="70" t="s">
        <x:v>1718</x:v>
      </x:c>
      <x:c r="B553" s="70" t="s">
        <x:v>31</x:v>
      </x:c>
      <x:c r="C553" s="70" t="s">
        <x:v>76</x:v>
      </x:c>
      <x:c r="D553" s="70" t="s">
        <x:v>310</x:v>
      </x:c>
      <x:c r="E553" s="70" t="s">
        <x:v>1129</x:v>
      </x:c>
      <x:c r="F553" s="70" t="s">
        <x:v>1719</x:v>
      </x:c>
      <x:c r="G553" s="70" t="s">
        <x:v>1675</x:v>
      </x:c>
      <x:c r="H553" s="70" t="s">
        <x:v>1215</x:v>
      </x:c>
      <x:c r="I553" s="70" t="s">
        <x:v>1199</x:v>
      </x:c>
      <x:c r="J553" s="70" t="n">
        <x:v>240</x:v>
      </x:c>
      <x:c r="K553" s="70" t="s">
        <x:v>1676</x:v>
      </x:c>
      <x:c r="L553" s="70" t="s">
        <x:v>1720</x:v>
      </x:c>
      <x:c r="M553" s="70" t="s">
        <x:v>35</x:v>
      </x:c>
      <x:c r="N553" s="71" t="n">
        <x:v>165266</x:v>
      </x:c>
      <x:c r="O553" s="72" t="n">
        <x:f aca="0">N553/1000</x:f>
        <x:v>165.266</x:v>
      </x:c>
      <x:c r="P553" s="73" t="n">
        <x:f aca="0">LUCK!G27</x:f>
        <x:v>165.266</x:v>
      </x:c>
      <x:c r="Q553" s="70" t="str">
        <x:f aca="0">IF(ABS(O553-P553)&lt;0.000001,"PASS","FAIL")</x:f>
        <x:v>PASS</x:v>
      </x:c>
      <x:c r="R553" s="70" t="s">
        <x:v>34</x:v>
      </x:c>
      <x:c r="S553" s="70"/>
    </x:row>
    <x:row r="554" ht="15" hidden="0">
      <x:c r="A554" s="70" t="s">
        <x:v>1721</x:v>
      </x:c>
      <x:c r="B554" s="70" t="s">
        <x:v>31</x:v>
      </x:c>
      <x:c r="C554" s="70" t="s">
        <x:v>77</x:v>
      </x:c>
      <x:c r="D554" s="70" t="s">
        <x:v>310</x:v>
      </x:c>
      <x:c r="E554" s="70" t="s">
        <x:v>1129</x:v>
      </x:c>
      <x:c r="F554" s="70" t="s">
        <x:v>1719</x:v>
      </x:c>
      <x:c r="G554" s="70" t="s">
        <x:v>1675</x:v>
      </x:c>
      <x:c r="H554" s="70" t="s">
        <x:v>1215</x:v>
      </x:c>
      <x:c r="I554" s="70" t="s">
        <x:v>1218</x:v>
      </x:c>
      <x:c r="J554" s="70" t="n">
        <x:v>240</x:v>
      </x:c>
      <x:c r="K554" s="70" t="s">
        <x:v>1676</x:v>
      </x:c>
      <x:c r="L554" s="70" t="s">
        <x:v>1720</x:v>
      </x:c>
      <x:c r="M554" s="70" t="s">
        <x:v>35</x:v>
      </x:c>
      <x:c r="N554" s="71" t="n">
        <x:v>189147</x:v>
      </x:c>
      <x:c r="O554" s="72" t="n">
        <x:f aca="0">N554/1000</x:f>
        <x:v>189.147</x:v>
      </x:c>
      <x:c r="P554" s="73" t="n">
        <x:f aca="0">LUCK!H27</x:f>
        <x:v>189.147</x:v>
      </x:c>
      <x:c r="Q554" s="70" t="str">
        <x:f aca="0">IF(ABS(O554-P554)&lt;0.000001,"PASS","FAIL")</x:f>
        <x:v>PASS</x:v>
      </x:c>
      <x:c r="R554" s="70" t="s">
        <x:v>34</x:v>
      </x:c>
      <x:c r="S554" s="70"/>
    </x:row>
    <x:row r="555" ht="15" hidden="0">
      <x:c r="A555" s="70" t="s">
        <x:v>1722</x:v>
      </x:c>
      <x:c r="B555" s="70" t="s">
        <x:v>31</x:v>
      </x:c>
      <x:c r="C555" s="70" t="s">
        <x:v>1076</x:v>
      </x:c>
      <x:c r="D555" s="70" t="s">
        <x:v>315</x:v>
      </x:c>
      <x:c r="E555" s="70" t="s">
        <x:v>1129</x:v>
      </x:c>
      <x:c r="F555" s="70" t="s">
        <x:v>1723</x:v>
      </x:c>
      <x:c r="G555" s="70" t="s">
        <x:v>1663</x:v>
      </x:c>
      <x:c r="H555" s="70" t="s">
        <x:v>1198</x:v>
      </x:c>
      <x:c r="I555" s="70" t="s">
        <x:v>1199</x:v>
      </x:c>
      <x:c r="J555" s="70" t="n">
        <x:v>191</x:v>
      </x:c>
      <x:c r="K555" s="70" t="s">
        <x:v>1200</x:v>
      </x:c>
      <x:c r="L555" s="70" t="s">
        <x:v>1385</x:v>
      </x:c>
      <x:c r="M555" s="70" t="s">
        <x:v>35</x:v>
      </x:c>
      <x:c r="N555" s="71" t="n">
        <x:v>6520170</x:v>
      </x:c>
      <x:c r="O555" s="72" t="n">
        <x:f aca="0">N555/1000</x:f>
        <x:v>6520.17</x:v>
      </x:c>
      <x:c r="P555" s="73" t="n">
        <x:f aca="0">LUCK!C30</x:f>
        <x:v>6520.17</x:v>
      </x:c>
      <x:c r="Q555" s="70" t="str">
        <x:f aca="0">IF(ABS(O555-P555)&lt;0.000001,"PASS","FAIL")</x:f>
        <x:v>PASS</x:v>
      </x:c>
      <x:c r="R555" s="70" t="s">
        <x:v>34</x:v>
      </x:c>
      <x:c r="S555" s="70"/>
    </x:row>
    <x:row r="556" ht="15" hidden="0">
      <x:c r="A556" s="70" t="s">
        <x:v>1724</x:v>
      </x:c>
      <x:c r="B556" s="70" t="s">
        <x:v>31</x:v>
      </x:c>
      <x:c r="C556" s="70" t="s">
        <x:v>73</x:v>
      </x:c>
      <x:c r="D556" s="70" t="s">
        <x:v>315</x:v>
      </x:c>
      <x:c r="E556" s="70" t="s">
        <x:v>1129</x:v>
      </x:c>
      <x:c r="F556" s="70" t="s">
        <x:v>1723</x:v>
      </x:c>
      <x:c r="G556" s="70" t="s">
        <x:v>1666</x:v>
      </x:c>
      <x:c r="H556" s="70" t="s">
        <x:v>1204</x:v>
      </x:c>
      <x:c r="I556" s="70" t="s">
        <x:v>1199</x:v>
      </x:c>
      <x:c r="J556" s="70" t="n">
        <x:v>226</x:v>
      </x:c>
      <x:c r="K556" s="70" t="s">
        <x:v>1667</x:v>
      </x:c>
      <x:c r="L556" s="70" t="s">
        <x:v>1385</x:v>
      </x:c>
      <x:c r="M556" s="70" t="s">
        <x:v>35</x:v>
      </x:c>
      <x:c r="N556" s="71" t="n">
        <x:v>10526573</x:v>
      </x:c>
      <x:c r="O556" s="72" t="n">
        <x:f aca="0">N556/1000</x:f>
        <x:v>10526.573</x:v>
      </x:c>
      <x:c r="P556" s="73" t="n">
        <x:f aca="0">LUCK!D30</x:f>
        <x:v>10526.573</x:v>
      </x:c>
      <x:c r="Q556" s="70" t="str">
        <x:f aca="0">IF(ABS(O556-P556)&lt;0.000001,"PASS","FAIL")</x:f>
        <x:v>PASS</x:v>
      </x:c>
      <x:c r="R556" s="70" t="s">
        <x:v>34</x:v>
      </x:c>
      <x:c r="S556" s="70"/>
    </x:row>
    <x:row r="557" ht="15" hidden="0">
      <x:c r="A557" s="70" t="s">
        <x:v>1725</x:v>
      </x:c>
      <x:c r="B557" s="70" t="s">
        <x:v>31</x:v>
      </x:c>
      <x:c r="C557" s="70" t="s">
        <x:v>74</x:v>
      </x:c>
      <x:c r="D557" s="70" t="s">
        <x:v>315</x:v>
      </x:c>
      <x:c r="E557" s="70" t="s">
        <x:v>1129</x:v>
      </x:c>
      <x:c r="F557" s="70" t="s">
        <x:v>1723</x:v>
      </x:c>
      <x:c r="G557" s="70" t="s">
        <x:v>1669</x:v>
      </x:c>
      <x:c r="H557" s="70" t="s">
        <x:v>1208</x:v>
      </x:c>
      <x:c r="I557" s="70" t="s">
        <x:v>1199</x:v>
      </x:c>
      <x:c r="J557" s="70" t="n">
        <x:v>234</x:v>
      </x:c>
      <x:c r="K557" s="70" t="s">
        <x:v>1670</x:v>
      </x:c>
      <x:c r="L557" s="70" t="s">
        <x:v>1385</x:v>
      </x:c>
      <x:c r="M557" s="70" t="s">
        <x:v>35</x:v>
      </x:c>
      <x:c r="N557" s="71" t="n">
        <x:v>11206843</x:v>
      </x:c>
      <x:c r="O557" s="72" t="n">
        <x:f aca="0">N557/1000</x:f>
        <x:v>11206.843</x:v>
      </x:c>
      <x:c r="P557" s="73" t="n">
        <x:f aca="0">LUCK!E30</x:f>
        <x:v>11206.843</x:v>
      </x:c>
      <x:c r="Q557" s="70" t="str">
        <x:f aca="0">IF(ABS(O557-P557)&lt;0.000001,"PASS","FAIL")</x:f>
        <x:v>PASS</x:v>
      </x:c>
      <x:c r="R557" s="70" t="s">
        <x:v>34</x:v>
      </x:c>
      <x:c r="S557" s="70"/>
    </x:row>
    <x:row r="558" ht="15" hidden="0">
      <x:c r="A558" s="70" t="s">
        <x:v>1726</x:v>
      </x:c>
      <x:c r="B558" s="70" t="s">
        <x:v>31</x:v>
      </x:c>
      <x:c r="C558" s="70" t="s">
        <x:v>75</x:v>
      </x:c>
      <x:c r="D558" s="70" t="s">
        <x:v>315</x:v>
      </x:c>
      <x:c r="E558" s="70" t="s">
        <x:v>1129</x:v>
      </x:c>
      <x:c r="F558" s="70" t="s">
        <x:v>1723</x:v>
      </x:c>
      <x:c r="G558" s="70" t="s">
        <x:v>1672</x:v>
      </x:c>
      <x:c r="H558" s="70" t="s">
        <x:v>1211</x:v>
      </x:c>
      <x:c r="I558" s="70" t="s">
        <x:v>1199</x:v>
      </x:c>
      <x:c r="J558" s="70" t="n">
        <x:v>238</x:v>
      </x:c>
      <x:c r="K558" s="70" t="s">
        <x:v>1673</x:v>
      </x:c>
      <x:c r="L558" s="70" t="s">
        <x:v>1385</x:v>
      </x:c>
      <x:c r="M558" s="70" t="s">
        <x:v>35</x:v>
      </x:c>
      <x:c r="N558" s="71" t="n">
        <x:v>14084018</x:v>
      </x:c>
      <x:c r="O558" s="72" t="n">
        <x:f aca="0">N558/1000</x:f>
        <x:v>14084.018</x:v>
      </x:c>
      <x:c r="P558" s="73" t="n">
        <x:f aca="0">LUCK!F30</x:f>
        <x:v>14084.018</x:v>
      </x:c>
      <x:c r="Q558" s="70" t="str">
        <x:f aca="0">IF(ABS(O558-P558)&lt;0.000001,"PASS","FAIL")</x:f>
        <x:v>PASS</x:v>
      </x:c>
      <x:c r="R558" s="70" t="s">
        <x:v>34</x:v>
      </x:c>
      <x:c r="S558" s="70"/>
    </x:row>
    <x:row r="559" ht="15" hidden="0">
      <x:c r="A559" s="70" t="s">
        <x:v>1727</x:v>
      </x:c>
      <x:c r="B559" s="70" t="s">
        <x:v>31</x:v>
      </x:c>
      <x:c r="C559" s="70" t="s">
        <x:v>76</x:v>
      </x:c>
      <x:c r="D559" s="70" t="s">
        <x:v>315</x:v>
      </x:c>
      <x:c r="E559" s="70" t="s">
        <x:v>1129</x:v>
      </x:c>
      <x:c r="F559" s="70" t="s">
        <x:v>1723</x:v>
      </x:c>
      <x:c r="G559" s="70" t="s">
        <x:v>1675</x:v>
      </x:c>
      <x:c r="H559" s="70" t="s">
        <x:v>1215</x:v>
      </x:c>
      <x:c r="I559" s="70" t="s">
        <x:v>1199</x:v>
      </x:c>
      <x:c r="J559" s="70" t="n">
        <x:v>240</x:v>
      </x:c>
      <x:c r="K559" s="70" t="s">
        <x:v>1676</x:v>
      </x:c>
      <x:c r="L559" s="70" t="s">
        <x:v>1368</x:v>
      </x:c>
      <x:c r="M559" s="70" t="s">
        <x:v>35</x:v>
      </x:c>
      <x:c r="N559" s="71" t="n">
        <x:v>14591821</x:v>
      </x:c>
      <x:c r="O559" s="72" t="n">
        <x:f aca="0">N559/1000</x:f>
        <x:v>14591.821</x:v>
      </x:c>
      <x:c r="P559" s="73" t="n">
        <x:f aca="0">LUCK!G30</x:f>
        <x:v>14591.821</x:v>
      </x:c>
      <x:c r="Q559" s="70" t="str">
        <x:f aca="0">IF(ABS(O559-P559)&lt;0.000001,"PASS","FAIL")</x:f>
        <x:v>PASS</x:v>
      </x:c>
      <x:c r="R559" s="70" t="s">
        <x:v>34</x:v>
      </x:c>
      <x:c r="S559" s="70"/>
    </x:row>
    <x:row r="560" ht="15" hidden="0">
      <x:c r="A560" s="70" t="s">
        <x:v>1728</x:v>
      </x:c>
      <x:c r="B560" s="70" t="s">
        <x:v>31</x:v>
      </x:c>
      <x:c r="C560" s="70" t="s">
        <x:v>77</x:v>
      </x:c>
      <x:c r="D560" s="70" t="s">
        <x:v>315</x:v>
      </x:c>
      <x:c r="E560" s="70" t="s">
        <x:v>1129</x:v>
      </x:c>
      <x:c r="F560" s="70" t="s">
        <x:v>1723</x:v>
      </x:c>
      <x:c r="G560" s="70" t="s">
        <x:v>1675</x:v>
      </x:c>
      <x:c r="H560" s="70" t="s">
        <x:v>1215</x:v>
      </x:c>
      <x:c r="I560" s="70" t="s">
        <x:v>1218</x:v>
      </x:c>
      <x:c r="J560" s="70" t="n">
        <x:v>240</x:v>
      </x:c>
      <x:c r="K560" s="70" t="s">
        <x:v>1676</x:v>
      </x:c>
      <x:c r="L560" s="70" t="s">
        <x:v>1368</x:v>
      </x:c>
      <x:c r="M560" s="70" t="s">
        <x:v>35</x:v>
      </x:c>
      <x:c r="N560" s="71" t="n">
        <x:v>19895130</x:v>
      </x:c>
      <x:c r="O560" s="72" t="n">
        <x:f aca="0">N560/1000</x:f>
        <x:v>19895.13</x:v>
      </x:c>
      <x:c r="P560" s="73" t="n">
        <x:f aca="0">LUCK!H30</x:f>
        <x:v>19895.13</x:v>
      </x:c>
      <x:c r="Q560" s="70" t="str">
        <x:f aca="0">IF(ABS(O560-P560)&lt;0.000001,"PASS","FAIL")</x:f>
        <x:v>PASS</x:v>
      </x:c>
      <x:c r="R560" s="70" t="s">
        <x:v>34</x:v>
      </x:c>
      <x:c r="S560" s="70"/>
    </x:row>
    <x:row r="561" ht="15" hidden="0">
      <x:c r="A561" s="70" t="s">
        <x:v>1729</x:v>
      </x:c>
      <x:c r="B561" s="70" t="s">
        <x:v>31</x:v>
      </x:c>
      <x:c r="C561" s="70" t="s">
        <x:v>1076</x:v>
      </x:c>
      <x:c r="D561" s="70" t="s">
        <x:v>317</x:v>
      </x:c>
      <x:c r="E561" s="70" t="s">
        <x:v>1129</x:v>
      </x:c>
      <x:c r="F561" s="70" t="s">
        <x:v>317</x:v>
      </x:c>
      <x:c r="G561" s="70" t="s">
        <x:v>1663</x:v>
      </x:c>
      <x:c r="H561" s="70" t="s">
        <x:v>1198</x:v>
      </x:c>
      <x:c r="I561" s="70" t="s">
        <x:v>1199</x:v>
      </x:c>
      <x:c r="J561" s="70" t="n">
        <x:v>191</x:v>
      </x:c>
      <x:c r="K561" s="70" t="s">
        <x:v>1200</x:v>
      </x:c>
      <x:c r="L561" s="70" t="s">
        <x:v>1406</x:v>
      </x:c>
      <x:c r="M561" s="70" t="s">
        <x:v>35</x:v>
      </x:c>
      <x:c r="N561" s="71" t="n">
        <x:v>2915552</x:v>
      </x:c>
      <x:c r="O561" s="72" t="n">
        <x:f aca="0">N561/1000</x:f>
        <x:v>2915.552</x:v>
      </x:c>
      <x:c r="P561" s="73" t="n">
        <x:f aca="0">LUCK!C31</x:f>
        <x:v>2915.552</x:v>
      </x:c>
      <x:c r="Q561" s="70" t="str">
        <x:f aca="0">IF(ABS(O561-P561)&lt;0.000001,"PASS","FAIL")</x:f>
        <x:v>PASS</x:v>
      </x:c>
      <x:c r="R561" s="70" t="s">
        <x:v>34</x:v>
      </x:c>
      <x:c r="S561" s="70"/>
    </x:row>
    <x:row r="562" ht="15" hidden="0">
      <x:c r="A562" s="70" t="s">
        <x:v>1730</x:v>
      </x:c>
      <x:c r="B562" s="70" t="s">
        <x:v>31</x:v>
      </x:c>
      <x:c r="C562" s="70" t="s">
        <x:v>73</x:v>
      </x:c>
      <x:c r="D562" s="70" t="s">
        <x:v>317</x:v>
      </x:c>
      <x:c r="E562" s="70" t="s">
        <x:v>1129</x:v>
      </x:c>
      <x:c r="F562" s="70" t="s">
        <x:v>317</x:v>
      </x:c>
      <x:c r="G562" s="70" t="s">
        <x:v>1666</x:v>
      </x:c>
      <x:c r="H562" s="70" t="s">
        <x:v>1204</x:v>
      </x:c>
      <x:c r="I562" s="70" t="s">
        <x:v>1199</x:v>
      </x:c>
      <x:c r="J562" s="70" t="n">
        <x:v>226</x:v>
      </x:c>
      <x:c r="K562" s="70" t="s">
        <x:v>1667</x:v>
      </x:c>
      <x:c r="L562" s="70" t="s">
        <x:v>1406</x:v>
      </x:c>
      <x:c r="M562" s="70" t="s">
        <x:v>35</x:v>
      </x:c>
      <x:c r="N562" s="71" t="n">
        <x:v>3105037</x:v>
      </x:c>
      <x:c r="O562" s="72" t="n">
        <x:f aca="0">N562/1000</x:f>
        <x:v>3105.037</x:v>
      </x:c>
      <x:c r="P562" s="73" t="n">
        <x:f aca="0">LUCK!D31</x:f>
        <x:v>3105.037</x:v>
      </x:c>
      <x:c r="Q562" s="70" t="str">
        <x:f aca="0">IF(ABS(O562-P562)&lt;0.000001,"PASS","FAIL")</x:f>
        <x:v>PASS</x:v>
      </x:c>
      <x:c r="R562" s="70" t="s">
        <x:v>34</x:v>
      </x:c>
      <x:c r="S562" s="70"/>
    </x:row>
    <x:row r="563" ht="15" hidden="0">
      <x:c r="A563" s="70" t="s">
        <x:v>1731</x:v>
      </x:c>
      <x:c r="B563" s="70" t="s">
        <x:v>31</x:v>
      </x:c>
      <x:c r="C563" s="70" t="s">
        <x:v>74</x:v>
      </x:c>
      <x:c r="D563" s="70" t="s">
        <x:v>317</x:v>
      </x:c>
      <x:c r="E563" s="70" t="s">
        <x:v>1129</x:v>
      </x:c>
      <x:c r="F563" s="70" t="s">
        <x:v>317</x:v>
      </x:c>
      <x:c r="G563" s="70" t="s">
        <x:v>1669</x:v>
      </x:c>
      <x:c r="H563" s="70" t="s">
        <x:v>1208</x:v>
      </x:c>
      <x:c r="I563" s="70" t="s">
        <x:v>1199</x:v>
      </x:c>
      <x:c r="J563" s="70" t="n">
        <x:v>234</x:v>
      </x:c>
      <x:c r="K563" s="70" t="s">
        <x:v>1670</x:v>
      </x:c>
      <x:c r="L563" s="70" t="s">
        <x:v>1406</x:v>
      </x:c>
      <x:c r="M563" s="70" t="s">
        <x:v>35</x:v>
      </x:c>
      <x:c r="N563" s="71" t="n">
        <x:v>7171364</x:v>
      </x:c>
      <x:c r="O563" s="72" t="n">
        <x:f aca="0">N563/1000</x:f>
        <x:v>7171.364</x:v>
      </x:c>
      <x:c r="P563" s="73" t="n">
        <x:f aca="0">LUCK!E31</x:f>
        <x:v>7171.364</x:v>
      </x:c>
      <x:c r="Q563" s="70" t="str">
        <x:f aca="0">IF(ABS(O563-P563)&lt;0.000001,"PASS","FAIL")</x:f>
        <x:v>PASS</x:v>
      </x:c>
      <x:c r="R563" s="70" t="s">
        <x:v>34</x:v>
      </x:c>
      <x:c r="S563" s="70"/>
    </x:row>
    <x:row r="564" ht="15" hidden="0">
      <x:c r="A564" s="70" t="s">
        <x:v>1732</x:v>
      </x:c>
      <x:c r="B564" s="70" t="s">
        <x:v>31</x:v>
      </x:c>
      <x:c r="C564" s="70" t="s">
        <x:v>75</x:v>
      </x:c>
      <x:c r="D564" s="70" t="s">
        <x:v>317</x:v>
      </x:c>
      <x:c r="E564" s="70" t="s">
        <x:v>1129</x:v>
      </x:c>
      <x:c r="F564" s="70" t="s">
        <x:v>317</x:v>
      </x:c>
      <x:c r="G564" s="70" t="s">
        <x:v>1672</x:v>
      </x:c>
      <x:c r="H564" s="70" t="s">
        <x:v>1211</x:v>
      </x:c>
      <x:c r="I564" s="70" t="s">
        <x:v>1199</x:v>
      </x:c>
      <x:c r="J564" s="70" t="n">
        <x:v>238</x:v>
      </x:c>
      <x:c r="K564" s="70" t="s">
        <x:v>1673</x:v>
      </x:c>
      <x:c r="L564" s="70" t="s">
        <x:v>1406</x:v>
      </x:c>
      <x:c r="M564" s="70" t="s">
        <x:v>35</x:v>
      </x:c>
      <x:c r="N564" s="71" t="n">
        <x:v>6048507</x:v>
      </x:c>
      <x:c r="O564" s="72" t="n">
        <x:f aca="0">N564/1000</x:f>
        <x:v>6048.507</x:v>
      </x:c>
      <x:c r="P564" s="73" t="n">
        <x:f aca="0">LUCK!F31</x:f>
        <x:v>6048.507</x:v>
      </x:c>
      <x:c r="Q564" s="70" t="str">
        <x:f aca="0">IF(ABS(O564-P564)&lt;0.000001,"PASS","FAIL")</x:f>
        <x:v>PASS</x:v>
      </x:c>
      <x:c r="R564" s="70" t="s">
        <x:v>34</x:v>
      </x:c>
      <x:c r="S564" s="70"/>
    </x:row>
    <x:row r="565" ht="15" hidden="0">
      <x:c r="A565" s="70" t="s">
        <x:v>1733</x:v>
      </x:c>
      <x:c r="B565" s="70" t="s">
        <x:v>31</x:v>
      </x:c>
      <x:c r="C565" s="70" t="s">
        <x:v>76</x:v>
      </x:c>
      <x:c r="D565" s="70" t="s">
        <x:v>317</x:v>
      </x:c>
      <x:c r="E565" s="70" t="s">
        <x:v>1129</x:v>
      </x:c>
      <x:c r="F565" s="70" t="s">
        <x:v>317</x:v>
      </x:c>
      <x:c r="G565" s="70" t="s">
        <x:v>1675</x:v>
      </x:c>
      <x:c r="H565" s="70" t="s">
        <x:v>1215</x:v>
      </x:c>
      <x:c r="I565" s="70" t="s">
        <x:v>1199</x:v>
      </x:c>
      <x:c r="J565" s="70" t="n">
        <x:v>240</x:v>
      </x:c>
      <x:c r="K565" s="70" t="s">
        <x:v>1676</x:v>
      </x:c>
      <x:c r="L565" s="70" t="s">
        <x:v>1385</x:v>
      </x:c>
      <x:c r="M565" s="70" t="s">
        <x:v>35</x:v>
      </x:c>
      <x:c r="N565" s="71" t="n">
        <x:v>8505426</x:v>
      </x:c>
      <x:c r="O565" s="72" t="n">
        <x:f aca="0">N565/1000</x:f>
        <x:v>8505.426</x:v>
      </x:c>
      <x:c r="P565" s="73" t="n">
        <x:f aca="0">LUCK!G31</x:f>
        <x:v>8505.426</x:v>
      </x:c>
      <x:c r="Q565" s="70" t="str">
        <x:f aca="0">IF(ABS(O565-P565)&lt;0.000001,"PASS","FAIL")</x:f>
        <x:v>PASS</x:v>
      </x:c>
      <x:c r="R565" s="70" t="s">
        <x:v>34</x:v>
      </x:c>
      <x:c r="S565" s="70"/>
    </x:row>
    <x:row r="566" ht="15" hidden="0">
      <x:c r="A566" s="70" t="s">
        <x:v>1734</x:v>
      </x:c>
      <x:c r="B566" s="70" t="s">
        <x:v>31</x:v>
      </x:c>
      <x:c r="C566" s="70" t="s">
        <x:v>77</x:v>
      </x:c>
      <x:c r="D566" s="70" t="s">
        <x:v>317</x:v>
      </x:c>
      <x:c r="E566" s="70" t="s">
        <x:v>1129</x:v>
      </x:c>
      <x:c r="F566" s="70" t="s">
        <x:v>317</x:v>
      </x:c>
      <x:c r="G566" s="70" t="s">
        <x:v>1675</x:v>
      </x:c>
      <x:c r="H566" s="70" t="s">
        <x:v>1215</x:v>
      </x:c>
      <x:c r="I566" s="70" t="s">
        <x:v>1218</x:v>
      </x:c>
      <x:c r="J566" s="70" t="n">
        <x:v>240</x:v>
      </x:c>
      <x:c r="K566" s="70" t="s">
        <x:v>1676</x:v>
      </x:c>
      <x:c r="L566" s="70" t="s">
        <x:v>1385</x:v>
      </x:c>
      <x:c r="M566" s="70" t="s">
        <x:v>35</x:v>
      </x:c>
      <x:c r="N566" s="71" t="n">
        <x:v>4774577</x:v>
      </x:c>
      <x:c r="O566" s="72" t="n">
        <x:f aca="0">N566/1000</x:f>
        <x:v>4774.577</x:v>
      </x:c>
      <x:c r="P566" s="73" t="n">
        <x:f aca="0">LUCK!H31</x:f>
        <x:v>4774.577</x:v>
      </x:c>
      <x:c r="Q566" s="70" t="str">
        <x:f aca="0">IF(ABS(O566-P566)&lt;0.000001,"PASS","FAIL")</x:f>
        <x:v>PASS</x:v>
      </x:c>
      <x:c r="R566" s="70" t="s">
        <x:v>34</x:v>
      </x:c>
      <x:c r="S566" s="70"/>
    </x:row>
    <x:row r="567" ht="15" hidden="0">
      <x:c r="A567" s="70" t="s">
        <x:v>1735</x:v>
      </x:c>
      <x:c r="B567" s="70" t="s">
        <x:v>31</x:v>
      </x:c>
      <x:c r="C567" s="70" t="s">
        <x:v>1076</x:v>
      </x:c>
      <x:c r="D567" s="70" t="s">
        <x:v>319</x:v>
      </x:c>
      <x:c r="E567" s="70" t="s">
        <x:v>1129</x:v>
      </x:c>
      <x:c r="F567" s="70" t="s">
        <x:v>319</x:v>
      </x:c>
      <x:c r="G567" s="70" t="s">
        <x:v>1663</x:v>
      </x:c>
      <x:c r="H567" s="70" t="s">
        <x:v>1198</x:v>
      </x:c>
      <x:c r="I567" s="70" t="s">
        <x:v>1199</x:v>
      </x:c>
      <x:c r="J567" s="70" t="n">
        <x:v>191</x:v>
      </x:c>
      <x:c r="K567" s="70" t="s">
        <x:v>1200</x:v>
      </x:c>
      <x:c r="L567" s="70" t="s">
        <x:v>1397</x:v>
      </x:c>
      <x:c r="M567" s="70" t="s">
        <x:v>35</x:v>
      </x:c>
      <x:c r="N567" s="71" t="n">
        <x:v>3422767</x:v>
      </x:c>
      <x:c r="O567" s="72" t="n">
        <x:f aca="0">N567/1000</x:f>
        <x:v>3422.767</x:v>
      </x:c>
      <x:c r="P567" s="73" t="n">
        <x:f aca="0">LUCK!C32</x:f>
        <x:v>3422.767</x:v>
      </x:c>
      <x:c r="Q567" s="70" t="str">
        <x:f aca="0">IF(ABS(O567-P567)&lt;0.000001,"PASS","FAIL")</x:f>
        <x:v>PASS</x:v>
      </x:c>
      <x:c r="R567" s="70" t="s">
        <x:v>34</x:v>
      </x:c>
      <x:c r="S567" s="70"/>
    </x:row>
    <x:row r="568" ht="15" hidden="0">
      <x:c r="A568" s="70" t="s">
        <x:v>1736</x:v>
      </x:c>
      <x:c r="B568" s="70" t="s">
        <x:v>31</x:v>
      </x:c>
      <x:c r="C568" s="70" t="s">
        <x:v>73</x:v>
      </x:c>
      <x:c r="D568" s="70" t="s">
        <x:v>319</x:v>
      </x:c>
      <x:c r="E568" s="70" t="s">
        <x:v>1129</x:v>
      </x:c>
      <x:c r="F568" s="70" t="s">
        <x:v>319</x:v>
      </x:c>
      <x:c r="G568" s="70" t="s">
        <x:v>1666</x:v>
      </x:c>
      <x:c r="H568" s="70" t="s">
        <x:v>1204</x:v>
      </x:c>
      <x:c r="I568" s="70" t="s">
        <x:v>1199</x:v>
      </x:c>
      <x:c r="J568" s="70" t="n">
        <x:v>226</x:v>
      </x:c>
      <x:c r="K568" s="70" t="s">
        <x:v>1667</x:v>
      </x:c>
      <x:c r="L568" s="70" t="s">
        <x:v>1397</x:v>
      </x:c>
      <x:c r="M568" s="70" t="s">
        <x:v>35</x:v>
      </x:c>
      <x:c r="N568" s="71" t="n">
        <x:v>2710081</x:v>
      </x:c>
      <x:c r="O568" s="72" t="n">
        <x:f aca="0">N568/1000</x:f>
        <x:v>2710.081</x:v>
      </x:c>
      <x:c r="P568" s="73" t="n">
        <x:f aca="0">LUCK!D32</x:f>
        <x:v>2710.081</x:v>
      </x:c>
      <x:c r="Q568" s="70" t="str">
        <x:f aca="0">IF(ABS(O568-P568)&lt;0.000001,"PASS","FAIL")</x:f>
        <x:v>PASS</x:v>
      </x:c>
      <x:c r="R568" s="70" t="s">
        <x:v>34</x:v>
      </x:c>
      <x:c r="S568" s="70"/>
    </x:row>
    <x:row r="569" ht="15" hidden="0">
      <x:c r="A569" s="70" t="s">
        <x:v>1737</x:v>
      </x:c>
      <x:c r="B569" s="70" t="s">
        <x:v>31</x:v>
      </x:c>
      <x:c r="C569" s="70" t="s">
        <x:v>74</x:v>
      </x:c>
      <x:c r="D569" s="70" t="s">
        <x:v>319</x:v>
      </x:c>
      <x:c r="E569" s="70" t="s">
        <x:v>1129</x:v>
      </x:c>
      <x:c r="F569" s="70" t="s">
        <x:v>319</x:v>
      </x:c>
      <x:c r="G569" s="70" t="s">
        <x:v>1669</x:v>
      </x:c>
      <x:c r="H569" s="70" t="s">
        <x:v>1208</x:v>
      </x:c>
      <x:c r="I569" s="70" t="s">
        <x:v>1199</x:v>
      </x:c>
      <x:c r="J569" s="70" t="n">
        <x:v>234</x:v>
      </x:c>
      <x:c r="K569" s="70" t="s">
        <x:v>1670</x:v>
      </x:c>
      <x:c r="L569" s="70" t="s">
        <x:v>1397</x:v>
      </x:c>
      <x:c r="M569" s="70" t="s">
        <x:v>35</x:v>
      </x:c>
      <x:c r="N569" s="71" t="n">
        <x:v>3522931</x:v>
      </x:c>
      <x:c r="O569" s="72" t="n">
        <x:f aca="0">N569/1000</x:f>
        <x:v>3522.931</x:v>
      </x:c>
      <x:c r="P569" s="73" t="n">
        <x:f aca="0">LUCK!E32</x:f>
        <x:v>3522.931</x:v>
      </x:c>
      <x:c r="Q569" s="70" t="str">
        <x:f aca="0">IF(ABS(O569-P569)&lt;0.000001,"PASS","FAIL")</x:f>
        <x:v>PASS</x:v>
      </x:c>
      <x:c r="R569" s="70" t="s">
        <x:v>34</x:v>
      </x:c>
      <x:c r="S569" s="70"/>
    </x:row>
    <x:row r="570" ht="15" hidden="0">
      <x:c r="A570" s="70" t="s">
        <x:v>1738</x:v>
      </x:c>
      <x:c r="B570" s="70" t="s">
        <x:v>31</x:v>
      </x:c>
      <x:c r="C570" s="70" t="s">
        <x:v>75</x:v>
      </x:c>
      <x:c r="D570" s="70" t="s">
        <x:v>319</x:v>
      </x:c>
      <x:c r="E570" s="70" t="s">
        <x:v>1129</x:v>
      </x:c>
      <x:c r="F570" s="70" t="s">
        <x:v>319</x:v>
      </x:c>
      <x:c r="G570" s="70" t="s">
        <x:v>1672</x:v>
      </x:c>
      <x:c r="H570" s="70" t="s">
        <x:v>1211</x:v>
      </x:c>
      <x:c r="I570" s="70" t="s">
        <x:v>1199</x:v>
      </x:c>
      <x:c r="J570" s="70" t="n">
        <x:v>238</x:v>
      </x:c>
      <x:c r="K570" s="70" t="s">
        <x:v>1673</x:v>
      </x:c>
      <x:c r="L570" s="70" t="s">
        <x:v>1397</x:v>
      </x:c>
      <x:c r="M570" s="70" t="s">
        <x:v>35</x:v>
      </x:c>
      <x:c r="N570" s="71" t="n">
        <x:v>5089667</x:v>
      </x:c>
      <x:c r="O570" s="72" t="n">
        <x:f aca="0">N570/1000</x:f>
        <x:v>5089.667</x:v>
      </x:c>
      <x:c r="P570" s="73" t="n">
        <x:f aca="0">LUCK!F32</x:f>
        <x:v>5089.667</x:v>
      </x:c>
      <x:c r="Q570" s="70" t="str">
        <x:f aca="0">IF(ABS(O570-P570)&lt;0.000001,"PASS","FAIL")</x:f>
        <x:v>PASS</x:v>
      </x:c>
      <x:c r="R570" s="70" t="s">
        <x:v>34</x:v>
      </x:c>
      <x:c r="S570" s="70"/>
    </x:row>
    <x:row r="571" ht="15" hidden="0">
      <x:c r="A571" s="70" t="s">
        <x:v>1739</x:v>
      </x:c>
      <x:c r="B571" s="70" t="s">
        <x:v>31</x:v>
      </x:c>
      <x:c r="C571" s="70" t="s">
        <x:v>76</x:v>
      </x:c>
      <x:c r="D571" s="70" t="s">
        <x:v>319</x:v>
      </x:c>
      <x:c r="E571" s="70" t="s">
        <x:v>1129</x:v>
      </x:c>
      <x:c r="F571" s="70" t="s">
        <x:v>319</x:v>
      </x:c>
      <x:c r="G571" s="70" t="s">
        <x:v>1675</x:v>
      </x:c>
      <x:c r="H571" s="70" t="s">
        <x:v>1215</x:v>
      </x:c>
      <x:c r="I571" s="70" t="s">
        <x:v>1199</x:v>
      </x:c>
      <x:c r="J571" s="70" t="n">
        <x:v>240</x:v>
      </x:c>
      <x:c r="K571" s="70" t="s">
        <x:v>1676</x:v>
      </x:c>
      <x:c r="L571" s="70" t="s">
        <x:v>1406</x:v>
      </x:c>
      <x:c r="M571" s="70" t="s">
        <x:v>35</x:v>
      </x:c>
      <x:c r="N571" s="71" t="n">
        <x:v>6932479</x:v>
      </x:c>
      <x:c r="O571" s="72" t="n">
        <x:f aca="0">N571/1000</x:f>
        <x:v>6932.479</x:v>
      </x:c>
      <x:c r="P571" s="73" t="n">
        <x:f aca="0">LUCK!G32</x:f>
        <x:v>6932.479</x:v>
      </x:c>
      <x:c r="Q571" s="70" t="str">
        <x:f aca="0">IF(ABS(O571-P571)&lt;0.000001,"PASS","FAIL")</x:f>
        <x:v>PASS</x:v>
      </x:c>
      <x:c r="R571" s="70" t="s">
        <x:v>34</x:v>
      </x:c>
      <x:c r="S571" s="70"/>
    </x:row>
    <x:row r="572" ht="15" hidden="0">
      <x:c r="A572" s="70" t="s">
        <x:v>1740</x:v>
      </x:c>
      <x:c r="B572" s="70" t="s">
        <x:v>31</x:v>
      </x:c>
      <x:c r="C572" s="70" t="s">
        <x:v>77</x:v>
      </x:c>
      <x:c r="D572" s="70" t="s">
        <x:v>319</x:v>
      </x:c>
      <x:c r="E572" s="70" t="s">
        <x:v>1129</x:v>
      </x:c>
      <x:c r="F572" s="70" t="s">
        <x:v>319</x:v>
      </x:c>
      <x:c r="G572" s="70" t="s">
        <x:v>1675</x:v>
      </x:c>
      <x:c r="H572" s="70" t="s">
        <x:v>1215</x:v>
      </x:c>
      <x:c r="I572" s="70" t="s">
        <x:v>1218</x:v>
      </x:c>
      <x:c r="J572" s="70" t="n">
        <x:v>240</x:v>
      </x:c>
      <x:c r="K572" s="70" t="s">
        <x:v>1676</x:v>
      </x:c>
      <x:c r="L572" s="70" t="s">
        <x:v>1406</x:v>
      </x:c>
      <x:c r="M572" s="70" t="s">
        <x:v>35</x:v>
      </x:c>
      <x:c r="N572" s="71" t="n">
        <x:v>6353194</x:v>
      </x:c>
      <x:c r="O572" s="72" t="n">
        <x:f aca="0">N572/1000</x:f>
        <x:v>6353.194</x:v>
      </x:c>
      <x:c r="P572" s="73" t="n">
        <x:f aca="0">LUCK!H32</x:f>
        <x:v>6353.194</x:v>
      </x:c>
      <x:c r="Q572" s="70" t="str">
        <x:f aca="0">IF(ABS(O572-P572)&lt;0.000001,"PASS","FAIL")</x:f>
        <x:v>PASS</x:v>
      </x:c>
      <x:c r="R572" s="70" t="s">
        <x:v>34</x:v>
      </x:c>
      <x:c r="S572" s="70"/>
    </x:row>
    <x:row r="573" ht="15" hidden="0">
      <x:c r="A573" s="70" t="s">
        <x:v>1741</x:v>
      </x:c>
      <x:c r="B573" s="70" t="s">
        <x:v>31</x:v>
      </x:c>
      <x:c r="C573" s="70" t="s">
        <x:v>1076</x:v>
      </x:c>
      <x:c r="D573" s="70" t="s">
        <x:v>321</x:v>
      </x:c>
      <x:c r="E573" s="70" t="s">
        <x:v>1129</x:v>
      </x:c>
      <x:c r="F573" s="70" t="s">
        <x:v>1291</x:v>
      </x:c>
      <x:c r="G573" s="70" t="s">
        <x:v>1663</x:v>
      </x:c>
      <x:c r="H573" s="70" t="s">
        <x:v>1198</x:v>
      </x:c>
      <x:c r="I573" s="70" t="s">
        <x:v>1199</x:v>
      </x:c>
      <x:c r="J573" s="70" t="n">
        <x:v>191</x:v>
      </x:c>
      <x:c r="K573" s="70" t="s">
        <x:v>1200</x:v>
      </x:c>
      <x:c r="L573" s="70" t="s">
        <x:v>1252</x:v>
      </x:c>
      <x:c r="M573" s="70" t="s">
        <x:v>35</x:v>
      </x:c>
      <x:c r="N573" s="71" t="n">
        <x:v>2970999</x:v>
      </x:c>
      <x:c r="O573" s="72" t="n">
        <x:f aca="0">N573/1000</x:f>
        <x:v>2970.999</x:v>
      </x:c>
      <x:c r="P573" s="73" t="n">
        <x:f aca="0">LUCK!C33</x:f>
        <x:v>2970.999</x:v>
      </x:c>
      <x:c r="Q573" s="70" t="str">
        <x:f aca="0">IF(ABS(O573-P573)&lt;0.000001,"PASS","FAIL")</x:f>
        <x:v>PASS</x:v>
      </x:c>
      <x:c r="R573" s="70" t="s">
        <x:v>34</x:v>
      </x:c>
      <x:c r="S573" s="70"/>
    </x:row>
    <x:row r="574" ht="15" hidden="0">
      <x:c r="A574" s="70" t="s">
        <x:v>1742</x:v>
      </x:c>
      <x:c r="B574" s="70" t="s">
        <x:v>31</x:v>
      </x:c>
      <x:c r="C574" s="70" t="s">
        <x:v>73</x:v>
      </x:c>
      <x:c r="D574" s="70" t="s">
        <x:v>321</x:v>
      </x:c>
      <x:c r="E574" s="70" t="s">
        <x:v>1129</x:v>
      </x:c>
      <x:c r="F574" s="70" t="s">
        <x:v>321</x:v>
      </x:c>
      <x:c r="G574" s="70" t="s">
        <x:v>1666</x:v>
      </x:c>
      <x:c r="H574" s="70" t="s">
        <x:v>1204</x:v>
      </x:c>
      <x:c r="I574" s="70" t="s">
        <x:v>1199</x:v>
      </x:c>
      <x:c r="J574" s="70" t="n">
        <x:v>226</x:v>
      </x:c>
      <x:c r="K574" s="70" t="s">
        <x:v>1667</x:v>
      </x:c>
      <x:c r="L574" s="70" t="s">
        <x:v>1252</x:v>
      </x:c>
      <x:c r="M574" s="70" t="s">
        <x:v>35</x:v>
      </x:c>
      <x:c r="N574" s="71" t="n">
        <x:v>16227103</x:v>
      </x:c>
      <x:c r="O574" s="72" t="n">
        <x:f aca="0">N574/1000</x:f>
        <x:v>16227.103</x:v>
      </x:c>
      <x:c r="P574" s="73" t="n">
        <x:f aca="0">LUCK!D33</x:f>
        <x:v>16227.103</x:v>
      </x:c>
      <x:c r="Q574" s="70" t="str">
        <x:f aca="0">IF(ABS(O574-P574)&lt;0.000001,"PASS","FAIL")</x:f>
        <x:v>PASS</x:v>
      </x:c>
      <x:c r="R574" s="70" t="s">
        <x:v>34</x:v>
      </x:c>
      <x:c r="S574" s="70"/>
    </x:row>
    <x:row r="575" ht="15" hidden="0">
      <x:c r="A575" s="70" t="s">
        <x:v>1743</x:v>
      </x:c>
      <x:c r="B575" s="70" t="s">
        <x:v>31</x:v>
      </x:c>
      <x:c r="C575" s="70" t="s">
        <x:v>74</x:v>
      </x:c>
      <x:c r="D575" s="70" t="s">
        <x:v>321</x:v>
      </x:c>
      <x:c r="E575" s="70" t="s">
        <x:v>1129</x:v>
      </x:c>
      <x:c r="F575" s="70" t="s">
        <x:v>321</x:v>
      </x:c>
      <x:c r="G575" s="70" t="s">
        <x:v>1669</x:v>
      </x:c>
      <x:c r="H575" s="70" t="s">
        <x:v>1208</x:v>
      </x:c>
      <x:c r="I575" s="70" t="s">
        <x:v>1199</x:v>
      </x:c>
      <x:c r="J575" s="70" t="n">
        <x:v>234</x:v>
      </x:c>
      <x:c r="K575" s="70" t="s">
        <x:v>1670</x:v>
      </x:c>
      <x:c r="L575" s="70" t="s">
        <x:v>1252</x:v>
      </x:c>
      <x:c r="M575" s="70" t="s">
        <x:v>35</x:v>
      </x:c>
      <x:c r="N575" s="71" t="n">
        <x:v>12751155</x:v>
      </x:c>
      <x:c r="O575" s="72" t="n">
        <x:f aca="0">N575/1000</x:f>
        <x:v>12751.155</x:v>
      </x:c>
      <x:c r="P575" s="73" t="n">
        <x:f aca="0">LUCK!E33</x:f>
        <x:v>12751.155</x:v>
      </x:c>
      <x:c r="Q575" s="70" t="str">
        <x:f aca="0">IF(ABS(O575-P575)&lt;0.000001,"PASS","FAIL")</x:f>
        <x:v>PASS</x:v>
      </x:c>
      <x:c r="R575" s="70" t="s">
        <x:v>34</x:v>
      </x:c>
      <x:c r="S575" s="70"/>
    </x:row>
    <x:row r="576" ht="15" hidden="0">
      <x:c r="A576" s="70" t="s">
        <x:v>1744</x:v>
      </x:c>
      <x:c r="B576" s="70" t="s">
        <x:v>31</x:v>
      </x:c>
      <x:c r="C576" s="70" t="s">
        <x:v>75</x:v>
      </x:c>
      <x:c r="D576" s="70" t="s">
        <x:v>321</x:v>
      </x:c>
      <x:c r="E576" s="70" t="s">
        <x:v>1129</x:v>
      </x:c>
      <x:c r="F576" s="70" t="s">
        <x:v>321</x:v>
      </x:c>
      <x:c r="G576" s="70" t="s">
        <x:v>1672</x:v>
      </x:c>
      <x:c r="H576" s="70" t="s">
        <x:v>1211</x:v>
      </x:c>
      <x:c r="I576" s="70" t="s">
        <x:v>1199</x:v>
      </x:c>
      <x:c r="J576" s="70" t="n">
        <x:v>238</x:v>
      </x:c>
      <x:c r="K576" s="70" t="s">
        <x:v>1673</x:v>
      </x:c>
      <x:c r="L576" s="70" t="s">
        <x:v>1252</x:v>
      </x:c>
      <x:c r="M576" s="70" t="s">
        <x:v>35</x:v>
      </x:c>
      <x:c r="N576" s="71" t="n">
        <x:v>21898496</x:v>
      </x:c>
      <x:c r="O576" s="72" t="n">
        <x:f aca="0">N576/1000</x:f>
        <x:v>21898.496</x:v>
      </x:c>
      <x:c r="P576" s="73" t="n">
        <x:f aca="0">LUCK!F33</x:f>
        <x:v>21898.496</x:v>
      </x:c>
      <x:c r="Q576" s="70" t="str">
        <x:f aca="0">IF(ABS(O576-P576)&lt;0.000001,"PASS","FAIL")</x:f>
        <x:v>PASS</x:v>
      </x:c>
      <x:c r="R576" s="70" t="s">
        <x:v>34</x:v>
      </x:c>
      <x:c r="S576" s="70"/>
    </x:row>
    <x:row r="577" ht="15" hidden="0">
      <x:c r="A577" s="70" t="s">
        <x:v>1745</x:v>
      </x:c>
      <x:c r="B577" s="70" t="s">
        <x:v>31</x:v>
      </x:c>
      <x:c r="C577" s="70" t="s">
        <x:v>76</x:v>
      </x:c>
      <x:c r="D577" s="70" t="s">
        <x:v>321</x:v>
      </x:c>
      <x:c r="E577" s="70" t="s">
        <x:v>1129</x:v>
      </x:c>
      <x:c r="F577" s="70" t="s">
        <x:v>321</x:v>
      </x:c>
      <x:c r="G577" s="70" t="s">
        <x:v>1675</x:v>
      </x:c>
      <x:c r="H577" s="70" t="s">
        <x:v>1215</x:v>
      </x:c>
      <x:c r="I577" s="70" t="s">
        <x:v>1199</x:v>
      </x:c>
      <x:c r="J577" s="70" t="n">
        <x:v>240</x:v>
      </x:c>
      <x:c r="K577" s="70" t="s">
        <x:v>1676</x:v>
      </x:c>
      <x:c r="L577" s="70" t="s">
        <x:v>1239</x:v>
      </x:c>
      <x:c r="M577" s="70" t="s">
        <x:v>35</x:v>
      </x:c>
      <x:c r="N577" s="71" t="n">
        <x:v>29837628</x:v>
      </x:c>
      <x:c r="O577" s="72" t="n">
        <x:f aca="0">N577/1000</x:f>
        <x:v>29837.628</x:v>
      </x:c>
      <x:c r="P577" s="73" t="n">
        <x:f aca="0">LUCK!G33</x:f>
        <x:v>29837.628</x:v>
      </x:c>
      <x:c r="Q577" s="70" t="str">
        <x:f aca="0">IF(ABS(O577-P577)&lt;0.000001,"PASS","FAIL")</x:f>
        <x:v>PASS</x:v>
      </x:c>
      <x:c r="R577" s="70" t="s">
        <x:v>34</x:v>
      </x:c>
      <x:c r="S577" s="70"/>
    </x:row>
    <x:row r="578" ht="15" hidden="0">
      <x:c r="A578" s="70" t="s">
        <x:v>1746</x:v>
      </x:c>
      <x:c r="B578" s="70" t="s">
        <x:v>31</x:v>
      </x:c>
      <x:c r="C578" s="70" t="s">
        <x:v>77</x:v>
      </x:c>
      <x:c r="D578" s="70" t="s">
        <x:v>321</x:v>
      </x:c>
      <x:c r="E578" s="70" t="s">
        <x:v>1129</x:v>
      </x:c>
      <x:c r="F578" s="70" t="s">
        <x:v>321</x:v>
      </x:c>
      <x:c r="G578" s="70" t="s">
        <x:v>1675</x:v>
      </x:c>
      <x:c r="H578" s="70" t="s">
        <x:v>1215</x:v>
      </x:c>
      <x:c r="I578" s="70" t="s">
        <x:v>1218</x:v>
      </x:c>
      <x:c r="J578" s="70" t="n">
        <x:v>240</x:v>
      </x:c>
      <x:c r="K578" s="70" t="s">
        <x:v>1676</x:v>
      </x:c>
      <x:c r="L578" s="70" t="s">
        <x:v>1239</x:v>
      </x:c>
      <x:c r="M578" s="70" t="s">
        <x:v>35</x:v>
      </x:c>
      <x:c r="N578" s="71" t="n">
        <x:v>61298052</x:v>
      </x:c>
      <x:c r="O578" s="72" t="n">
        <x:f aca="0">N578/1000</x:f>
        <x:v>61298.052</x:v>
      </x:c>
      <x:c r="P578" s="73" t="n">
        <x:f aca="0">LUCK!H33</x:f>
        <x:v>61298.052</x:v>
      </x:c>
      <x:c r="Q578" s="70" t="str">
        <x:f aca="0">IF(ABS(O578-P578)&lt;0.000001,"PASS","FAIL")</x:f>
        <x:v>PASS</x:v>
      </x:c>
      <x:c r="R578" s="70" t="s">
        <x:v>34</x:v>
      </x:c>
      <x:c r="S578" s="70"/>
    </x:row>
    <x:row r="579" ht="15" hidden="0">
      <x:c r="A579" s="70" t="s">
        <x:v>1747</x:v>
      </x:c>
      <x:c r="B579" s="70" t="s">
        <x:v>31</x:v>
      </x:c>
      <x:c r="C579" s="70" t="s">
        <x:v>1076</x:v>
      </x:c>
      <x:c r="D579" s="70" t="s">
        <x:v>323</x:v>
      </x:c>
      <x:c r="E579" s="70" t="s">
        <x:v>1129</x:v>
      </x:c>
      <x:c r="F579" s="70" t="s">
        <x:v>323</x:v>
      </x:c>
      <x:c r="G579" s="70" t="s">
        <x:v>1663</x:v>
      </x:c>
      <x:c r="H579" s="70" t="s">
        <x:v>1198</x:v>
      </x:c>
      <x:c r="I579" s="70" t="s">
        <x:v>1199</x:v>
      </x:c>
      <x:c r="J579" s="70" t="n">
        <x:v>191</x:v>
      </x:c>
      <x:c r="K579" s="70" t="s">
        <x:v>1200</x:v>
      </x:c>
      <x:c r="L579" s="70" t="s">
        <x:v>1246</x:v>
      </x:c>
      <x:c r="M579" s="70" t="s">
        <x:v>35</x:v>
      </x:c>
      <x:c r="N579" s="71" t="n">
        <x:v>7816606</x:v>
      </x:c>
      <x:c r="O579" s="72" t="n">
        <x:f aca="0">N579/1000</x:f>
        <x:v>7816.606</x:v>
      </x:c>
      <x:c r="P579" s="73" t="n">
        <x:f aca="0">LUCK!C34</x:f>
        <x:v>7816.606</x:v>
      </x:c>
      <x:c r="Q579" s="70" t="str">
        <x:f aca="0">IF(ABS(O579-P579)&lt;0.000001,"PASS","FAIL")</x:f>
        <x:v>PASS</x:v>
      </x:c>
      <x:c r="R579" s="70" t="s">
        <x:v>34</x:v>
      </x:c>
      <x:c r="S579" s="70"/>
    </x:row>
    <x:row r="580" ht="15" hidden="0">
      <x:c r="A580" s="70" t="s">
        <x:v>1748</x:v>
      </x:c>
      <x:c r="B580" s="70" t="s">
        <x:v>31</x:v>
      </x:c>
      <x:c r="C580" s="70" t="s">
        <x:v>73</x:v>
      </x:c>
      <x:c r="D580" s="70" t="s">
        <x:v>323</x:v>
      </x:c>
      <x:c r="E580" s="70" t="s">
        <x:v>1129</x:v>
      </x:c>
      <x:c r="F580" s="70" t="s">
        <x:v>323</x:v>
      </x:c>
      <x:c r="G580" s="70" t="s">
        <x:v>1666</x:v>
      </x:c>
      <x:c r="H580" s="70" t="s">
        <x:v>1204</x:v>
      </x:c>
      <x:c r="I580" s="70" t="s">
        <x:v>1199</x:v>
      </x:c>
      <x:c r="J580" s="70" t="n">
        <x:v>226</x:v>
      </x:c>
      <x:c r="K580" s="70" t="s">
        <x:v>1667</x:v>
      </x:c>
      <x:c r="L580" s="70" t="s">
        <x:v>1246</x:v>
      </x:c>
      <x:c r="M580" s="70" t="s">
        <x:v>35</x:v>
      </x:c>
      <x:c r="N580" s="71" t="n">
        <x:v>2825424</x:v>
      </x:c>
      <x:c r="O580" s="72" t="n">
        <x:f aca="0">N580/1000</x:f>
        <x:v>2825.424</x:v>
      </x:c>
      <x:c r="P580" s="73" t="n">
        <x:f aca="0">LUCK!D34</x:f>
        <x:v>2825.424</x:v>
      </x:c>
      <x:c r="Q580" s="70" t="str">
        <x:f aca="0">IF(ABS(O580-P580)&lt;0.000001,"PASS","FAIL")</x:f>
        <x:v>PASS</x:v>
      </x:c>
      <x:c r="R580" s="70" t="s">
        <x:v>34</x:v>
      </x:c>
      <x:c r="S580" s="70"/>
    </x:row>
    <x:row r="581" ht="15" hidden="0">
      <x:c r="A581" s="70" t="s">
        <x:v>1749</x:v>
      </x:c>
      <x:c r="B581" s="70" t="s">
        <x:v>31</x:v>
      </x:c>
      <x:c r="C581" s="70" t="s">
        <x:v>74</x:v>
      </x:c>
      <x:c r="D581" s="70" t="s">
        <x:v>323</x:v>
      </x:c>
      <x:c r="E581" s="70" t="s">
        <x:v>1129</x:v>
      </x:c>
      <x:c r="F581" s="70" t="s">
        <x:v>323</x:v>
      </x:c>
      <x:c r="G581" s="70" t="s">
        <x:v>1669</x:v>
      </x:c>
      <x:c r="H581" s="70" t="s">
        <x:v>1208</x:v>
      </x:c>
      <x:c r="I581" s="70" t="s">
        <x:v>1199</x:v>
      </x:c>
      <x:c r="J581" s="70" t="n">
        <x:v>234</x:v>
      </x:c>
      <x:c r="K581" s="70" t="s">
        <x:v>1670</x:v>
      </x:c>
      <x:c r="L581" s="70" t="s">
        <x:v>1246</x:v>
      </x:c>
      <x:c r="M581" s="70" t="s">
        <x:v>35</x:v>
      </x:c>
      <x:c r="N581" s="71" t="n">
        <x:v>3871078</x:v>
      </x:c>
      <x:c r="O581" s="72" t="n">
        <x:f aca="0">N581/1000</x:f>
        <x:v>3871.078</x:v>
      </x:c>
      <x:c r="P581" s="73" t="n">
        <x:f aca="0">LUCK!E34</x:f>
        <x:v>3871.078</x:v>
      </x:c>
      <x:c r="Q581" s="70" t="str">
        <x:f aca="0">IF(ABS(O581-P581)&lt;0.000001,"PASS","FAIL")</x:f>
        <x:v>PASS</x:v>
      </x:c>
      <x:c r="R581" s="70" t="s">
        <x:v>34</x:v>
      </x:c>
      <x:c r="S581" s="70"/>
    </x:row>
    <x:row r="582" ht="15" hidden="0">
      <x:c r="A582" s="70" t="s">
        <x:v>1750</x:v>
      </x:c>
      <x:c r="B582" s="70" t="s">
        <x:v>31</x:v>
      </x:c>
      <x:c r="C582" s="70" t="s">
        <x:v>75</x:v>
      </x:c>
      <x:c r="D582" s="70" t="s">
        <x:v>323</x:v>
      </x:c>
      <x:c r="E582" s="70" t="s">
        <x:v>1129</x:v>
      </x:c>
      <x:c r="F582" s="70" t="s">
        <x:v>323</x:v>
      </x:c>
      <x:c r="G582" s="70" t="s">
        <x:v>1672</x:v>
      </x:c>
      <x:c r="H582" s="70" t="s">
        <x:v>1211</x:v>
      </x:c>
      <x:c r="I582" s="70" t="s">
        <x:v>1199</x:v>
      </x:c>
      <x:c r="J582" s="70" t="n">
        <x:v>238</x:v>
      </x:c>
      <x:c r="K582" s="70" t="s">
        <x:v>1673</x:v>
      </x:c>
      <x:c r="L582" s="70" t="s">
        <x:v>1246</x:v>
      </x:c>
      <x:c r="M582" s="70" t="s">
        <x:v>35</x:v>
      </x:c>
      <x:c r="N582" s="71" t="n">
        <x:v>4116181</x:v>
      </x:c>
      <x:c r="O582" s="72" t="n">
        <x:f aca="0">N582/1000</x:f>
        <x:v>4116.181</x:v>
      </x:c>
      <x:c r="P582" s="73" t="n">
        <x:f aca="0">LUCK!F34</x:f>
        <x:v>4116.181</x:v>
      </x:c>
      <x:c r="Q582" s="70" t="str">
        <x:f aca="0">IF(ABS(O582-P582)&lt;0.000001,"PASS","FAIL")</x:f>
        <x:v>PASS</x:v>
      </x:c>
      <x:c r="R582" s="70" t="s">
        <x:v>34</x:v>
      </x:c>
      <x:c r="S582" s="70"/>
    </x:row>
    <x:row r="583" ht="15" hidden="0">
      <x:c r="A583" s="70" t="s">
        <x:v>1751</x:v>
      </x:c>
      <x:c r="B583" s="70" t="s">
        <x:v>31</x:v>
      </x:c>
      <x:c r="C583" s="70" t="s">
        <x:v>76</x:v>
      </x:c>
      <x:c r="D583" s="70" t="s">
        <x:v>323</x:v>
      </x:c>
      <x:c r="E583" s="70" t="s">
        <x:v>1129</x:v>
      </x:c>
      <x:c r="F583" s="70" t="s">
        <x:v>323</x:v>
      </x:c>
      <x:c r="G583" s="70" t="s">
        <x:v>1675</x:v>
      </x:c>
      <x:c r="H583" s="70" t="s">
        <x:v>1215</x:v>
      </x:c>
      <x:c r="I583" s="70" t="s">
        <x:v>1199</x:v>
      </x:c>
      <x:c r="J583" s="70" t="n">
        <x:v>240</x:v>
      </x:c>
      <x:c r="K583" s="70" t="s">
        <x:v>1676</x:v>
      </x:c>
      <x:c r="L583" s="70" t="s">
        <x:v>1252</x:v>
      </x:c>
      <x:c r="M583" s="70" t="s">
        <x:v>35</x:v>
      </x:c>
      <x:c r="N583" s="71" t="n">
        <x:v>2567176</x:v>
      </x:c>
      <x:c r="O583" s="72" t="n">
        <x:f aca="0">N583/1000</x:f>
        <x:v>2567.176</x:v>
      </x:c>
      <x:c r="P583" s="73" t="n">
        <x:f aca="0">LUCK!G34</x:f>
        <x:v>2567.176</x:v>
      </x:c>
      <x:c r="Q583" s="70" t="str">
        <x:f aca="0">IF(ABS(O583-P583)&lt;0.000001,"PASS","FAIL")</x:f>
        <x:v>PASS</x:v>
      </x:c>
      <x:c r="R583" s="70" t="s">
        <x:v>34</x:v>
      </x:c>
      <x:c r="S583" s="70"/>
    </x:row>
    <x:row r="584" ht="15" hidden="0">
      <x:c r="A584" s="70" t="s">
        <x:v>1752</x:v>
      </x:c>
      <x:c r="B584" s="70" t="s">
        <x:v>31</x:v>
      </x:c>
      <x:c r="C584" s="70" t="s">
        <x:v>77</x:v>
      </x:c>
      <x:c r="D584" s="70" t="s">
        <x:v>323</x:v>
      </x:c>
      <x:c r="E584" s="70" t="s">
        <x:v>1129</x:v>
      </x:c>
      <x:c r="F584" s="70" t="s">
        <x:v>323</x:v>
      </x:c>
      <x:c r="G584" s="70" t="s">
        <x:v>1675</x:v>
      </x:c>
      <x:c r="H584" s="70" t="s">
        <x:v>1215</x:v>
      </x:c>
      <x:c r="I584" s="70" t="s">
        <x:v>1218</x:v>
      </x:c>
      <x:c r="J584" s="70" t="n">
        <x:v>240</x:v>
      </x:c>
      <x:c r="K584" s="70" t="s">
        <x:v>1676</x:v>
      </x:c>
      <x:c r="L584" s="70" t="s">
        <x:v>1252</x:v>
      </x:c>
      <x:c r="M584" s="70" t="s">
        <x:v>35</x:v>
      </x:c>
      <x:c r="N584" s="71" t="n">
        <x:v>2790323</x:v>
      </x:c>
      <x:c r="O584" s="72" t="n">
        <x:f aca="0">N584/1000</x:f>
        <x:v>2790.323</x:v>
      </x:c>
      <x:c r="P584" s="73" t="n">
        <x:f aca="0">LUCK!H34</x:f>
        <x:v>2790.323</x:v>
      </x:c>
      <x:c r="Q584" s="70" t="str">
        <x:f aca="0">IF(ABS(O584-P584)&lt;0.000001,"PASS","FAIL")</x:f>
        <x:v>PASS</x:v>
      </x:c>
      <x:c r="R584" s="70" t="s">
        <x:v>34</x:v>
      </x:c>
      <x:c r="S584" s="70"/>
    </x:row>
    <x:row r="585" ht="15" hidden="0">
      <x:c r="A585" s="70" t="s">
        <x:v>1753</x:v>
      </x:c>
      <x:c r="B585" s="70" t="s">
        <x:v>31</x:v>
      </x:c>
      <x:c r="C585" s="70" t="s">
        <x:v>1076</x:v>
      </x:c>
      <x:c r="D585" s="70" t="s">
        <x:v>325</x:v>
      </x:c>
      <x:c r="E585" s="70" t="s">
        <x:v>1129</x:v>
      </x:c>
      <x:c r="F585" s="70" t="s">
        <x:v>1754</x:v>
      </x:c>
      <x:c r="G585" s="70" t="s">
        <x:v>1663</x:v>
      </x:c>
      <x:c r="H585" s="70" t="s">
        <x:v>1198</x:v>
      </x:c>
      <x:c r="I585" s="70" t="s">
        <x:v>1199</x:v>
      </x:c>
      <x:c r="J585" s="70" t="n">
        <x:v>191</x:v>
      </x:c>
      <x:c r="K585" s="70" t="s">
        <x:v>1200</x:v>
      </x:c>
      <x:c r="L585" s="70"/>
      <x:c r="M585" s="70" t="s">
        <x:v>35</x:v>
      </x:c>
      <x:c r="N585" s="71" t="n">
        <x:v>4728819</x:v>
      </x:c>
      <x:c r="O585" s="72" t="n">
        <x:f aca="0">N585/1000</x:f>
        <x:v>4728.819</x:v>
      </x:c>
      <x:c r="P585" s="73" t="n">
        <x:f aca="0">LUCK!C35</x:f>
        <x:v>4728.819</x:v>
      </x:c>
      <x:c r="Q585" s="70" t="str">
        <x:f aca="0">IF(ABS(O585-P585)&lt;0.000001,"PASS","FAIL")</x:f>
        <x:v>PASS</x:v>
      </x:c>
      <x:c r="R585" s="70" t="s">
        <x:v>34</x:v>
      </x:c>
      <x:c r="S585" s="70"/>
    </x:row>
    <x:row r="586" ht="15" hidden="0">
      <x:c r="A586" s="70" t="s">
        <x:v>1755</x:v>
      </x:c>
      <x:c r="B586" s="70" t="s">
        <x:v>31</x:v>
      </x:c>
      <x:c r="C586" s="70" t="s">
        <x:v>73</x:v>
      </x:c>
      <x:c r="D586" s="70" t="s">
        <x:v>325</x:v>
      </x:c>
      <x:c r="E586" s="70" t="s">
        <x:v>1129</x:v>
      </x:c>
      <x:c r="F586" s="70" t="s">
        <x:v>1754</x:v>
      </x:c>
      <x:c r="G586" s="70" t="s">
        <x:v>1666</x:v>
      </x:c>
      <x:c r="H586" s="70" t="s">
        <x:v>1204</x:v>
      </x:c>
      <x:c r="I586" s="70" t="s">
        <x:v>1199</x:v>
      </x:c>
      <x:c r="J586" s="70" t="n">
        <x:v>226</x:v>
      </x:c>
      <x:c r="K586" s="70" t="s">
        <x:v>1667</x:v>
      </x:c>
      <x:c r="L586" s="70"/>
      <x:c r="M586" s="70" t="s">
        <x:v>35</x:v>
      </x:c>
      <x:c r="N586" s="71" t="n">
        <x:v>5282150</x:v>
      </x:c>
      <x:c r="O586" s="72" t="n">
        <x:f aca="0">N586/1000</x:f>
        <x:v>5282.15</x:v>
      </x:c>
      <x:c r="P586" s="73" t="n">
        <x:f aca="0">LUCK!D35</x:f>
        <x:v>5282.15</x:v>
      </x:c>
      <x:c r="Q586" s="70" t="str">
        <x:f aca="0">IF(ABS(O586-P586)&lt;0.000001,"PASS","FAIL")</x:f>
        <x:v>PASS</x:v>
      </x:c>
      <x:c r="R586" s="70" t="s">
        <x:v>34</x:v>
      </x:c>
      <x:c r="S586" s="70"/>
    </x:row>
    <x:row r="587" ht="15" hidden="0">
      <x:c r="A587" s="70" t="s">
        <x:v>1756</x:v>
      </x:c>
      <x:c r="B587" s="70" t="s">
        <x:v>31</x:v>
      </x:c>
      <x:c r="C587" s="70" t="s">
        <x:v>74</x:v>
      </x:c>
      <x:c r="D587" s="70" t="s">
        <x:v>325</x:v>
      </x:c>
      <x:c r="E587" s="70" t="s">
        <x:v>1129</x:v>
      </x:c>
      <x:c r="F587" s="70" t="s">
        <x:v>1754</x:v>
      </x:c>
      <x:c r="G587" s="70" t="s">
        <x:v>1669</x:v>
      </x:c>
      <x:c r="H587" s="70" t="s">
        <x:v>1208</x:v>
      </x:c>
      <x:c r="I587" s="70" t="s">
        <x:v>1199</x:v>
      </x:c>
      <x:c r="J587" s="70" t="n">
        <x:v>234</x:v>
      </x:c>
      <x:c r="K587" s="70" t="s">
        <x:v>1670</x:v>
      </x:c>
      <x:c r="L587" s="70"/>
      <x:c r="M587" s="70" t="s">
        <x:v>35</x:v>
      </x:c>
      <x:c r="N587" s="71" t="n">
        <x:v>6292320</x:v>
      </x:c>
      <x:c r="O587" s="72" t="n">
        <x:f aca="0">N587/1000</x:f>
        <x:v>6292.32</x:v>
      </x:c>
      <x:c r="P587" s="73" t="n">
        <x:f aca="0">LUCK!E35</x:f>
        <x:v>6292.32</x:v>
      </x:c>
      <x:c r="Q587" s="70" t="str">
        <x:f aca="0">IF(ABS(O587-P587)&lt;0.000001,"PASS","FAIL")</x:f>
        <x:v>PASS</x:v>
      </x:c>
      <x:c r="R587" s="70" t="s">
        <x:v>34</x:v>
      </x:c>
      <x:c r="S587" s="70"/>
    </x:row>
    <x:row r="588" ht="15" hidden="0">
      <x:c r="A588" s="70" t="s">
        <x:v>1757</x:v>
      </x:c>
      <x:c r="B588" s="70" t="s">
        <x:v>31</x:v>
      </x:c>
      <x:c r="C588" s="70" t="s">
        <x:v>75</x:v>
      </x:c>
      <x:c r="D588" s="70" t="s">
        <x:v>325</x:v>
      </x:c>
      <x:c r="E588" s="70" t="s">
        <x:v>1129</x:v>
      </x:c>
      <x:c r="F588" s="70" t="s">
        <x:v>1754</x:v>
      </x:c>
      <x:c r="G588" s="70" t="s">
        <x:v>1672</x:v>
      </x:c>
      <x:c r="H588" s="70" t="s">
        <x:v>1211</x:v>
      </x:c>
      <x:c r="I588" s="70" t="s">
        <x:v>1199</x:v>
      </x:c>
      <x:c r="J588" s="70" t="n">
        <x:v>238</x:v>
      </x:c>
      <x:c r="K588" s="70" t="s">
        <x:v>1673</x:v>
      </x:c>
      <x:c r="L588" s="70"/>
      <x:c r="M588" s="70" t="s">
        <x:v>35</x:v>
      </x:c>
      <x:c r="N588" s="71" t="n">
        <x:v>8339773</x:v>
      </x:c>
      <x:c r="O588" s="72" t="n">
        <x:f aca="0">N588/1000</x:f>
        <x:v>8339.773</x:v>
      </x:c>
      <x:c r="P588" s="73" t="n">
        <x:f aca="0">LUCK!F35</x:f>
        <x:v>8339.773</x:v>
      </x:c>
      <x:c r="Q588" s="70" t="str">
        <x:f aca="0">IF(ABS(O588-P588)&lt;0.000001,"PASS","FAIL")</x:f>
        <x:v>PASS</x:v>
      </x:c>
      <x:c r="R588" s="70" t="s">
        <x:v>34</x:v>
      </x:c>
      <x:c r="S588" s="70"/>
    </x:row>
    <x:row r="589" ht="15" hidden="0">
      <x:c r="A589" s="70" t="s">
        <x:v>1758</x:v>
      </x:c>
      <x:c r="B589" s="70" t="s">
        <x:v>31</x:v>
      </x:c>
      <x:c r="C589" s="70" t="s">
        <x:v>76</x:v>
      </x:c>
      <x:c r="D589" s="70" t="s">
        <x:v>325</x:v>
      </x:c>
      <x:c r="E589" s="70" t="s">
        <x:v>1129</x:v>
      </x:c>
      <x:c r="F589" s="70" t="s">
        <x:v>1759</x:v>
      </x:c>
      <x:c r="G589" s="70" t="s">
        <x:v>1675</x:v>
      </x:c>
      <x:c r="H589" s="70" t="s">
        <x:v>1215</x:v>
      </x:c>
      <x:c r="I589" s="70" t="s">
        <x:v>1199</x:v>
      </x:c>
      <x:c r="J589" s="70" t="n">
        <x:v>240</x:v>
      </x:c>
      <x:c r="K589" s="70" t="s">
        <x:v>1676</x:v>
      </x:c>
      <x:c r="L589" s="70" t="s">
        <x:v>1216</x:v>
      </x:c>
      <x:c r="M589" s="70" t="s">
        <x:v>35</x:v>
      </x:c>
      <x:c r="N589" s="71" t="n">
        <x:v>6017554</x:v>
      </x:c>
      <x:c r="O589" s="72" t="n">
        <x:f aca="0">N589/1000</x:f>
        <x:v>6017.554</x:v>
      </x:c>
      <x:c r="P589" s="73" t="n">
        <x:f aca="0">LUCK!G35</x:f>
        <x:v>6017.554</x:v>
      </x:c>
      <x:c r="Q589" s="70" t="str">
        <x:f aca="0">IF(ABS(O589-P589)&lt;0.000001,"PASS","FAIL")</x:f>
        <x:v>PASS</x:v>
      </x:c>
      <x:c r="R589" s="70" t="s">
        <x:v>34</x:v>
      </x:c>
      <x:c r="S589" s="70"/>
    </x:row>
    <x:row r="590" ht="15" hidden="0">
      <x:c r="A590" s="70" t="s">
        <x:v>1760</x:v>
      </x:c>
      <x:c r="B590" s="70" t="s">
        <x:v>31</x:v>
      </x:c>
      <x:c r="C590" s="70" t="s">
        <x:v>77</x:v>
      </x:c>
      <x:c r="D590" s="70" t="s">
        <x:v>325</x:v>
      </x:c>
      <x:c r="E590" s="70" t="s">
        <x:v>1129</x:v>
      </x:c>
      <x:c r="F590" s="70" t="s">
        <x:v>1759</x:v>
      </x:c>
      <x:c r="G590" s="70" t="s">
        <x:v>1675</x:v>
      </x:c>
      <x:c r="H590" s="70" t="s">
        <x:v>1215</x:v>
      </x:c>
      <x:c r="I590" s="70" t="s">
        <x:v>1218</x:v>
      </x:c>
      <x:c r="J590" s="70" t="n">
        <x:v>240</x:v>
      </x:c>
      <x:c r="K590" s="70" t="s">
        <x:v>1676</x:v>
      </x:c>
      <x:c r="L590" s="70" t="s">
        <x:v>1216</x:v>
      </x:c>
      <x:c r="M590" s="70" t="s">
        <x:v>35</x:v>
      </x:c>
      <x:c r="N590" s="71" t="n">
        <x:v>5436083</x:v>
      </x:c>
      <x:c r="O590" s="72" t="n">
        <x:f aca="0">N590/1000</x:f>
        <x:v>5436.083</x:v>
      </x:c>
      <x:c r="P590" s="73" t="n">
        <x:f aca="0">LUCK!H35</x:f>
        <x:v>5436.083</x:v>
      </x:c>
      <x:c r="Q590" s="70" t="str">
        <x:f aca="0">IF(ABS(O590-P590)&lt;0.000001,"PASS","FAIL")</x:f>
        <x:v>PASS</x:v>
      </x:c>
      <x:c r="R590" s="70" t="s">
        <x:v>34</x:v>
      </x:c>
      <x:c r="S590" s="70"/>
    </x:row>
    <x:row r="591" ht="15" hidden="0">
      <x:c r="A591" s="70" t="s">
        <x:v>1761</x:v>
      </x:c>
      <x:c r="B591" s="70" t="s">
        <x:v>31</x:v>
      </x:c>
      <x:c r="C591" s="70" t="s">
        <x:v>1076</x:v>
      </x:c>
      <x:c r="D591" s="70" t="s">
        <x:v>332</x:v>
      </x:c>
      <x:c r="E591" s="70" t="s">
        <x:v>1129</x:v>
      </x:c>
      <x:c r="F591" s="70" t="s">
        <x:v>1762</x:v>
      </x:c>
      <x:c r="G591" s="70" t="s">
        <x:v>1663</x:v>
      </x:c>
      <x:c r="H591" s="70" t="s">
        <x:v>1198</x:v>
      </x:c>
      <x:c r="I591" s="70" t="s">
        <x:v>1199</x:v>
      </x:c>
      <x:c r="J591" s="70" t="n">
        <x:v>191</x:v>
      </x:c>
      <x:c r="K591" s="70" t="s">
        <x:v>1200</x:v>
      </x:c>
      <x:c r="L591" s="70" t="s">
        <x:v>1248</x:v>
      </x:c>
      <x:c r="M591" s="70" t="s">
        <x:v>35</x:v>
      </x:c>
      <x:c r="N591" s="71" t="n">
        <x:v>3233750</x:v>
      </x:c>
      <x:c r="O591" s="72" t="n">
        <x:f aca="0">N591/1000</x:f>
        <x:v>3233.75</x:v>
      </x:c>
      <x:c r="P591" s="73" t="n">
        <x:f aca="0">LUCK!C39</x:f>
        <x:v>3233.75</x:v>
      </x:c>
      <x:c r="Q591" s="70" t="str">
        <x:f aca="0">IF(ABS(O591-P591)&lt;0.000001,"PASS","FAIL")</x:f>
        <x:v>PASS</x:v>
      </x:c>
      <x:c r="R591" s="70" t="s">
        <x:v>34</x:v>
      </x:c>
      <x:c r="S591" s="70"/>
    </x:row>
    <x:row r="592" ht="15" hidden="0">
      <x:c r="A592" s="70" t="s">
        <x:v>1763</x:v>
      </x:c>
      <x:c r="B592" s="70" t="s">
        <x:v>31</x:v>
      </x:c>
      <x:c r="C592" s="70" t="s">
        <x:v>73</x:v>
      </x:c>
      <x:c r="D592" s="70" t="s">
        <x:v>332</x:v>
      </x:c>
      <x:c r="E592" s="70" t="s">
        <x:v>1129</x:v>
      </x:c>
      <x:c r="F592" s="70" t="s">
        <x:v>1762</x:v>
      </x:c>
      <x:c r="G592" s="70" t="s">
        <x:v>1666</x:v>
      </x:c>
      <x:c r="H592" s="70" t="s">
        <x:v>1204</x:v>
      </x:c>
      <x:c r="I592" s="70" t="s">
        <x:v>1199</x:v>
      </x:c>
      <x:c r="J592" s="70" t="n">
        <x:v>226</x:v>
      </x:c>
      <x:c r="K592" s="70" t="s">
        <x:v>1667</x:v>
      </x:c>
      <x:c r="L592" s="70" t="s">
        <x:v>1248</x:v>
      </x:c>
      <x:c r="M592" s="70" t="s">
        <x:v>35</x:v>
      </x:c>
      <x:c r="N592" s="71" t="n">
        <x:v>3233750</x:v>
      </x:c>
      <x:c r="O592" s="72" t="n">
        <x:f aca="0">N592/1000</x:f>
        <x:v>3233.75</x:v>
      </x:c>
      <x:c r="P592" s="73" t="n">
        <x:f aca="0">LUCK!D39</x:f>
        <x:v>3233.75</x:v>
      </x:c>
      <x:c r="Q592" s="70" t="str">
        <x:f aca="0">IF(ABS(O592-P592)&lt;0.000001,"PASS","FAIL")</x:f>
        <x:v>PASS</x:v>
      </x:c>
      <x:c r="R592" s="70" t="s">
        <x:v>34</x:v>
      </x:c>
      <x:c r="S592" s="70"/>
    </x:row>
    <x:row r="593" ht="15" hidden="0">
      <x:c r="A593" s="70" t="s">
        <x:v>1764</x:v>
      </x:c>
      <x:c r="B593" s="70" t="s">
        <x:v>31</x:v>
      </x:c>
      <x:c r="C593" s="70" t="s">
        <x:v>74</x:v>
      </x:c>
      <x:c r="D593" s="70" t="s">
        <x:v>332</x:v>
      </x:c>
      <x:c r="E593" s="70" t="s">
        <x:v>1129</x:v>
      </x:c>
      <x:c r="F593" s="70" t="s">
        <x:v>1762</x:v>
      </x:c>
      <x:c r="G593" s="70" t="s">
        <x:v>1669</x:v>
      </x:c>
      <x:c r="H593" s="70" t="s">
        <x:v>1208</x:v>
      </x:c>
      <x:c r="I593" s="70" t="s">
        <x:v>1199</x:v>
      </x:c>
      <x:c r="J593" s="70" t="n">
        <x:v>234</x:v>
      </x:c>
      <x:c r="K593" s="70" t="s">
        <x:v>1670</x:v>
      </x:c>
      <x:c r="L593" s="70" t="s">
        <x:v>1248</x:v>
      </x:c>
      <x:c r="M593" s="70" t="s">
        <x:v>35</x:v>
      </x:c>
      <x:c r="N593" s="71" t="n">
        <x:v>3233750</x:v>
      </x:c>
      <x:c r="O593" s="72" t="n">
        <x:f aca="0">N593/1000</x:f>
        <x:v>3233.75</x:v>
      </x:c>
      <x:c r="P593" s="73" t="n">
        <x:f aca="0">LUCK!E39</x:f>
        <x:v>3233.75</x:v>
      </x:c>
      <x:c r="Q593" s="70" t="str">
        <x:f aca="0">IF(ABS(O593-P593)&lt;0.000001,"PASS","FAIL")</x:f>
        <x:v>PASS</x:v>
      </x:c>
      <x:c r="R593" s="70" t="s">
        <x:v>34</x:v>
      </x:c>
      <x:c r="S593" s="70"/>
    </x:row>
    <x:row r="594" ht="15" hidden="0">
      <x:c r="A594" s="70" t="s">
        <x:v>1765</x:v>
      </x:c>
      <x:c r="B594" s="70" t="s">
        <x:v>31</x:v>
      </x:c>
      <x:c r="C594" s="70" t="s">
        <x:v>75</x:v>
      </x:c>
      <x:c r="D594" s="70" t="s">
        <x:v>332</x:v>
      </x:c>
      <x:c r="E594" s="70" t="s">
        <x:v>1129</x:v>
      </x:c>
      <x:c r="F594" s="70" t="s">
        <x:v>1766</x:v>
      </x:c>
      <x:c r="G594" s="70" t="s">
        <x:v>1672</x:v>
      </x:c>
      <x:c r="H594" s="70" t="s">
        <x:v>1211</x:v>
      </x:c>
      <x:c r="I594" s="70" t="s">
        <x:v>1199</x:v>
      </x:c>
      <x:c r="J594" s="70" t="n">
        <x:v>238</x:v>
      </x:c>
      <x:c r="K594" s="70" t="s">
        <x:v>1673</x:v>
      </x:c>
      <x:c r="L594" s="70" t="s">
        <x:v>1248</x:v>
      </x:c>
      <x:c r="M594" s="70" t="s">
        <x:v>35</x:v>
      </x:c>
      <x:c r="N594" s="71" t="n">
        <x:v>3118386</x:v>
      </x:c>
      <x:c r="O594" s="72" t="n">
        <x:f aca="0">N594/1000</x:f>
        <x:v>3118.386</x:v>
      </x:c>
      <x:c r="P594" s="73" t="n">
        <x:f aca="0">LUCK!F39</x:f>
        <x:v>3118.386</x:v>
      </x:c>
      <x:c r="Q594" s="70" t="str">
        <x:f aca="0">IF(ABS(O594-P594)&lt;0.000001,"PASS","FAIL")</x:f>
        <x:v>PASS</x:v>
      </x:c>
      <x:c r="R594" s="70" t="s">
        <x:v>34</x:v>
      </x:c>
      <x:c r="S594" s="70"/>
    </x:row>
    <x:row r="595" ht="15" hidden="0">
      <x:c r="A595" s="70" t="s">
        <x:v>1767</x:v>
      </x:c>
      <x:c r="B595" s="70" t="s">
        <x:v>31</x:v>
      </x:c>
      <x:c r="C595" s="70" t="s">
        <x:v>76</x:v>
      </x:c>
      <x:c r="D595" s="70" t="s">
        <x:v>332</x:v>
      </x:c>
      <x:c r="E595" s="70" t="s">
        <x:v>1129</x:v>
      </x:c>
      <x:c r="F595" s="70" t="s">
        <x:v>1766</x:v>
      </x:c>
      <x:c r="G595" s="70" t="s">
        <x:v>1675</x:v>
      </x:c>
      <x:c r="H595" s="70" t="s">
        <x:v>1215</x:v>
      </x:c>
      <x:c r="I595" s="70" t="s">
        <x:v>1199</x:v>
      </x:c>
      <x:c r="J595" s="70" t="n">
        <x:v>240</x:v>
      </x:c>
      <x:c r="K595" s="70" t="s">
        <x:v>1676</x:v>
      </x:c>
      <x:c r="L595" s="70" t="s">
        <x:v>1246</x:v>
      </x:c>
      <x:c r="M595" s="70" t="s">
        <x:v>35</x:v>
      </x:c>
      <x:c r="N595" s="71" t="n">
        <x:v>2930000</x:v>
      </x:c>
      <x:c r="O595" s="72" t="n">
        <x:f aca="0">N595/1000</x:f>
        <x:v>2930</x:v>
      </x:c>
      <x:c r="P595" s="73" t="n">
        <x:f aca="0">LUCK!G39</x:f>
        <x:v>2930</x:v>
      </x:c>
      <x:c r="Q595" s="70" t="str">
        <x:f aca="0">IF(ABS(O595-P595)&lt;0.000001,"PASS","FAIL")</x:f>
        <x:v>PASS</x:v>
      </x:c>
      <x:c r="R595" s="70" t="s">
        <x:v>34</x:v>
      </x:c>
      <x:c r="S595" s="70"/>
    </x:row>
    <x:row r="596" ht="15" hidden="0">
      <x:c r="A596" s="70" t="s">
        <x:v>1768</x:v>
      </x:c>
      <x:c r="B596" s="70" t="s">
        <x:v>31</x:v>
      </x:c>
      <x:c r="C596" s="70" t="s">
        <x:v>77</x:v>
      </x:c>
      <x:c r="D596" s="70" t="s">
        <x:v>332</x:v>
      </x:c>
      <x:c r="E596" s="70" t="s">
        <x:v>1129</x:v>
      </x:c>
      <x:c r="F596" s="70" t="s">
        <x:v>1766</x:v>
      </x:c>
      <x:c r="G596" s="70" t="s">
        <x:v>1675</x:v>
      </x:c>
      <x:c r="H596" s="70" t="s">
        <x:v>1215</x:v>
      </x:c>
      <x:c r="I596" s="70" t="s">
        <x:v>1218</x:v>
      </x:c>
      <x:c r="J596" s="70" t="n">
        <x:v>240</x:v>
      </x:c>
      <x:c r="K596" s="70" t="s">
        <x:v>1676</x:v>
      </x:c>
      <x:c r="L596" s="70" t="s">
        <x:v>1246</x:v>
      </x:c>
      <x:c r="M596" s="70" t="s">
        <x:v>35</x:v>
      </x:c>
      <x:c r="N596" s="71" t="n">
        <x:v>2930000</x:v>
      </x:c>
      <x:c r="O596" s="72" t="n">
        <x:f aca="0">N596/1000</x:f>
        <x:v>2930</x:v>
      </x:c>
      <x:c r="P596" s="73" t="n">
        <x:f aca="0">LUCK!H39</x:f>
        <x:v>2930</x:v>
      </x:c>
      <x:c r="Q596" s="70" t="str">
        <x:f aca="0">IF(ABS(O596-P596)&lt;0.000001,"PASS","FAIL")</x:f>
        <x:v>PASS</x:v>
      </x:c>
      <x:c r="R596" s="70" t="s">
        <x:v>34</x:v>
      </x:c>
      <x:c r="S596" s="70"/>
    </x:row>
    <x:row r="597" ht="15" hidden="0">
      <x:c r="A597" s="70" t="s">
        <x:v>1769</x:v>
      </x:c>
      <x:c r="B597" s="70" t="s">
        <x:v>31</x:v>
      </x:c>
      <x:c r="C597" s="70" t="s">
        <x:v>1076</x:v>
      </x:c>
      <x:c r="D597" s="70" t="s">
        <x:v>334</x:v>
      </x:c>
      <x:c r="E597" s="70" t="s">
        <x:v>1129</x:v>
      </x:c>
      <x:c r="F597" s="70" t="s">
        <x:v>1770</x:v>
      </x:c>
      <x:c r="G597" s="70" t="s">
        <x:v>1663</x:v>
      </x:c>
      <x:c r="H597" s="70" t="s">
        <x:v>1198</x:v>
      </x:c>
      <x:c r="I597" s="70" t="s">
        <x:v>1199</x:v>
      </x:c>
      <x:c r="J597" s="70" t="n">
        <x:v>191</x:v>
      </x:c>
      <x:c r="K597" s="70" t="s">
        <x:v>1200</x:v>
      </x:c>
      <x:c r="L597" s="70" t="s">
        <x:v>1270</x:v>
      </x:c>
      <x:c r="M597" s="70" t="s">
        <x:v>35</x:v>
      </x:c>
      <x:c r="N597" s="71" t="n">
        <x:v>95950111</x:v>
      </x:c>
      <x:c r="O597" s="72" t="n">
        <x:f aca="0">N597/1000</x:f>
        <x:v>95950.111</x:v>
      </x:c>
      <x:c r="P597" s="73" t="n">
        <x:f aca="0">LUCK!C40</x:f>
        <x:v>95950.111</x:v>
      </x:c>
      <x:c r="Q597" s="70" t="str">
        <x:f aca="0">IF(ABS(O597-P597)&lt;0.000001,"PASS","FAIL")</x:f>
        <x:v>PASS</x:v>
      </x:c>
      <x:c r="R597" s="70" t="s">
        <x:v>34</x:v>
      </x:c>
      <x:c r="S597" s="70"/>
    </x:row>
    <x:row r="598" ht="15" hidden="0">
      <x:c r="A598" s="70" t="s">
        <x:v>1771</x:v>
      </x:c>
      <x:c r="B598" s="70" t="s">
        <x:v>31</x:v>
      </x:c>
      <x:c r="C598" s="70" t="s">
        <x:v>73</x:v>
      </x:c>
      <x:c r="D598" s="70" t="s">
        <x:v>334</x:v>
      </x:c>
      <x:c r="E598" s="70" t="s">
        <x:v>1129</x:v>
      </x:c>
      <x:c r="F598" s="70" t="s">
        <x:v>1770</x:v>
      </x:c>
      <x:c r="G598" s="70" t="s">
        <x:v>1666</x:v>
      </x:c>
      <x:c r="H598" s="70" t="s">
        <x:v>1204</x:v>
      </x:c>
      <x:c r="I598" s="70" t="s">
        <x:v>1199</x:v>
      </x:c>
      <x:c r="J598" s="70" t="n">
        <x:v>226</x:v>
      </x:c>
      <x:c r="K598" s="70" t="s">
        <x:v>1667</x:v>
      </x:c>
      <x:c r="L598" s="70" t="s">
        <x:v>1270</x:v>
      </x:c>
      <x:c r="M598" s="70" t="s">
        <x:v>35</x:v>
      </x:c>
      <x:c r="N598" s="71" t="n">
        <x:v>109966508</x:v>
      </x:c>
      <x:c r="O598" s="72" t="n">
        <x:f aca="0">N598/1000</x:f>
        <x:v>109966.508</x:v>
      </x:c>
      <x:c r="P598" s="73" t="n">
        <x:f aca="0">LUCK!D40</x:f>
        <x:v>109966.508</x:v>
      </x:c>
      <x:c r="Q598" s="70" t="str">
        <x:f aca="0">IF(ABS(O598-P598)&lt;0.000001,"PASS","FAIL")</x:f>
        <x:v>PASS</x:v>
      </x:c>
      <x:c r="R598" s="70" t="s">
        <x:v>34</x:v>
      </x:c>
      <x:c r="S598" s="70"/>
    </x:row>
    <x:row r="599" ht="15" hidden="0">
      <x:c r="A599" s="70" t="s">
        <x:v>1772</x:v>
      </x:c>
      <x:c r="B599" s="70" t="s">
        <x:v>31</x:v>
      </x:c>
      <x:c r="C599" s="70" t="s">
        <x:v>74</x:v>
      </x:c>
      <x:c r="D599" s="70" t="s">
        <x:v>334</x:v>
      </x:c>
      <x:c r="E599" s="70" t="s">
        <x:v>1129</x:v>
      </x:c>
      <x:c r="F599" s="70" t="s">
        <x:v>1770</x:v>
      </x:c>
      <x:c r="G599" s="70" t="s">
        <x:v>1669</x:v>
      </x:c>
      <x:c r="H599" s="70" t="s">
        <x:v>1208</x:v>
      </x:c>
      <x:c r="I599" s="70" t="s">
        <x:v>1199</x:v>
      </x:c>
      <x:c r="J599" s="70" t="n">
        <x:v>234</x:v>
      </x:c>
      <x:c r="K599" s="70" t="s">
        <x:v>1670</x:v>
      </x:c>
      <x:c r="L599" s="70" t="s">
        <x:v>1270</x:v>
      </x:c>
      <x:c r="M599" s="70" t="s">
        <x:v>35</x:v>
      </x:c>
      <x:c r="N599" s="71" t="n">
        <x:v>125306574</x:v>
      </x:c>
      <x:c r="O599" s="72" t="n">
        <x:f aca="0">N599/1000</x:f>
        <x:v>125306.574</x:v>
      </x:c>
      <x:c r="P599" s="73" t="n">
        <x:f aca="0">LUCK!E40</x:f>
        <x:v>125306.574</x:v>
      </x:c>
      <x:c r="Q599" s="70" t="str">
        <x:f aca="0">IF(ABS(O599-P599)&lt;0.000001,"PASS","FAIL")</x:f>
        <x:v>PASS</x:v>
      </x:c>
      <x:c r="R599" s="70" t="s">
        <x:v>34</x:v>
      </x:c>
      <x:c r="S599" s="70"/>
    </x:row>
    <x:row r="600" ht="15" hidden="0">
      <x:c r="A600" s="70" t="s">
        <x:v>1773</x:v>
      </x:c>
      <x:c r="B600" s="70" t="s">
        <x:v>31</x:v>
      </x:c>
      <x:c r="C600" s="70" t="s">
        <x:v>75</x:v>
      </x:c>
      <x:c r="D600" s="70" t="s">
        <x:v>334</x:v>
      </x:c>
      <x:c r="E600" s="70" t="s">
        <x:v>1129</x:v>
      </x:c>
      <x:c r="F600" s="70" t="s">
        <x:v>1770</x:v>
      </x:c>
      <x:c r="G600" s="70" t="s">
        <x:v>1672</x:v>
      </x:c>
      <x:c r="H600" s="70" t="s">
        <x:v>1211</x:v>
      </x:c>
      <x:c r="I600" s="70" t="s">
        <x:v>1199</x:v>
      </x:c>
      <x:c r="J600" s="70" t="n">
        <x:v>238</x:v>
      </x:c>
      <x:c r="K600" s="70" t="s">
        <x:v>1673</x:v>
      </x:c>
      <x:c r="L600" s="70" t="s">
        <x:v>1270</x:v>
      </x:c>
      <x:c r="M600" s="70" t="s">
        <x:v>35</x:v>
      </x:c>
      <x:c r="N600" s="71" t="n">
        <x:v>134247940</x:v>
      </x:c>
      <x:c r="O600" s="72" t="n">
        <x:f aca="0">N600/1000</x:f>
        <x:v>134247.94</x:v>
      </x:c>
      <x:c r="P600" s="73" t="n">
        <x:f aca="0">LUCK!F40</x:f>
        <x:v>134247.94</x:v>
      </x:c>
      <x:c r="Q600" s="70" t="str">
        <x:f aca="0">IF(ABS(O600-P600)&lt;0.000001,"PASS","FAIL")</x:f>
        <x:v>PASS</x:v>
      </x:c>
      <x:c r="R600" s="70" t="s">
        <x:v>34</x:v>
      </x:c>
      <x:c r="S600" s="70"/>
    </x:row>
    <x:row r="601" ht="15" hidden="0">
      <x:c r="A601" s="70" t="s">
        <x:v>1774</x:v>
      </x:c>
      <x:c r="B601" s="70" t="s">
        <x:v>31</x:v>
      </x:c>
      <x:c r="C601" s="70" t="s">
        <x:v>76</x:v>
      </x:c>
      <x:c r="D601" s="70" t="s">
        <x:v>334</x:v>
      </x:c>
      <x:c r="E601" s="70" t="s">
        <x:v>1129</x:v>
      </x:c>
      <x:c r="F601" s="70" t="s">
        <x:v>1770</x:v>
      </x:c>
      <x:c r="G601" s="70" t="s">
        <x:v>1675</x:v>
      </x:c>
      <x:c r="H601" s="70" t="s">
        <x:v>1215</x:v>
      </x:c>
      <x:c r="I601" s="70" t="s">
        <x:v>1199</x:v>
      </x:c>
      <x:c r="J601" s="70" t="n">
        <x:v>240</x:v>
      </x:c>
      <x:c r="K601" s="70" t="s">
        <x:v>1676</x:v>
      </x:c>
      <x:c r="L601" s="70" t="s">
        <x:v>1248</x:v>
      </x:c>
      <x:c r="M601" s="70" t="s">
        <x:v>35</x:v>
      </x:c>
      <x:c r="N601" s="71" t="n">
        <x:v>144831277</x:v>
      </x:c>
      <x:c r="O601" s="72" t="n">
        <x:f aca="0">N601/1000</x:f>
        <x:v>144831.277</x:v>
      </x:c>
      <x:c r="P601" s="73" t="n">
        <x:f aca="0">LUCK!G40</x:f>
        <x:v>144831.277</x:v>
      </x:c>
      <x:c r="Q601" s="70" t="str">
        <x:f aca="0">IF(ABS(O601-P601)&lt;0.000001,"PASS","FAIL")</x:f>
        <x:v>PASS</x:v>
      </x:c>
      <x:c r="R601" s="70" t="s">
        <x:v>34</x:v>
      </x:c>
      <x:c r="S601" s="70"/>
    </x:row>
    <x:row r="602" ht="15" hidden="0">
      <x:c r="A602" s="70" t="s">
        <x:v>1775</x:v>
      </x:c>
      <x:c r="B602" s="70" t="s">
        <x:v>31</x:v>
      </x:c>
      <x:c r="C602" s="70" t="s">
        <x:v>77</x:v>
      </x:c>
      <x:c r="D602" s="70" t="s">
        <x:v>334</x:v>
      </x:c>
      <x:c r="E602" s="70" t="s">
        <x:v>1129</x:v>
      </x:c>
      <x:c r="F602" s="70" t="s">
        <x:v>1770</x:v>
      </x:c>
      <x:c r="G602" s="70" t="s">
        <x:v>1675</x:v>
      </x:c>
      <x:c r="H602" s="70" t="s">
        <x:v>1215</x:v>
      </x:c>
      <x:c r="I602" s="70" t="s">
        <x:v>1218</x:v>
      </x:c>
      <x:c r="J602" s="70" t="n">
        <x:v>240</x:v>
      </x:c>
      <x:c r="K602" s="70" t="s">
        <x:v>1676</x:v>
      </x:c>
      <x:c r="L602" s="70" t="s">
        <x:v>1248</x:v>
      </x:c>
      <x:c r="M602" s="70" t="s">
        <x:v>35</x:v>
      </x:c>
      <x:c r="N602" s="71" t="n">
        <x:v>172980400</x:v>
      </x:c>
      <x:c r="O602" s="72" t="n">
        <x:f aca="0">N602/1000</x:f>
        <x:v>172980.4</x:v>
      </x:c>
      <x:c r="P602" s="73" t="n">
        <x:f aca="0">LUCK!H40</x:f>
        <x:v>172980.4</x:v>
      </x:c>
      <x:c r="Q602" s="70" t="str">
        <x:f aca="0">IF(ABS(O602-P602)&lt;0.000001,"PASS","FAIL")</x:f>
        <x:v>PASS</x:v>
      </x:c>
      <x:c r="R602" s="70" t="s">
        <x:v>34</x:v>
      </x:c>
      <x:c r="S602" s="70"/>
    </x:row>
    <x:row r="603" ht="15" hidden="0">
      <x:c r="A603" s="70" t="s">
        <x:v>1776</x:v>
      </x:c>
      <x:c r="B603" s="70" t="s">
        <x:v>31</x:v>
      </x:c>
      <x:c r="C603" s="70" t="s">
        <x:v>1076</x:v>
      </x:c>
      <x:c r="D603" s="70" t="s">
        <x:v>339</x:v>
      </x:c>
      <x:c r="E603" s="70" t="s">
        <x:v>1129</x:v>
      </x:c>
      <x:c r="F603" s="70" t="s">
        <x:v>1777</x:v>
      </x:c>
      <x:c r="G603" s="70" t="s">
        <x:v>1663</x:v>
      </x:c>
      <x:c r="H603" s="70" t="s">
        <x:v>1198</x:v>
      </x:c>
      <x:c r="I603" s="70" t="s">
        <x:v>1199</x:v>
      </x:c>
      <x:c r="J603" s="70" t="n">
        <x:v>191</x:v>
      </x:c>
      <x:c r="K603" s="70" t="s">
        <x:v>1200</x:v>
      </x:c>
      <x:c r="L603" s="70" t="s">
        <x:v>1720</x:v>
      </x:c>
      <x:c r="M603" s="70" t="s">
        <x:v>35</x:v>
      </x:c>
      <x:c r="N603" s="71" t="n">
        <x:v>320461</x:v>
      </x:c>
      <x:c r="O603" s="72" t="n">
        <x:f aca="0">N603/1000</x:f>
        <x:v>320.461</x:v>
      </x:c>
      <x:c r="P603" s="73" t="n">
        <x:f aca="0">LUCK!C43</x:f>
        <x:v>320.461</x:v>
      </x:c>
      <x:c r="Q603" s="70" t="str">
        <x:f aca="0">IF(ABS(O603-P603)&lt;0.000001,"PASS","FAIL")</x:f>
        <x:v>PASS</x:v>
      </x:c>
      <x:c r="R603" s="70" t="s">
        <x:v>34</x:v>
      </x:c>
      <x:c r="S603" s="70"/>
    </x:row>
    <x:row r="604" ht="15" hidden="0">
      <x:c r="A604" s="70" t="s">
        <x:v>1778</x:v>
      </x:c>
      <x:c r="B604" s="70" t="s">
        <x:v>31</x:v>
      </x:c>
      <x:c r="C604" s="70" t="s">
        <x:v>73</x:v>
      </x:c>
      <x:c r="D604" s="70" t="s">
        <x:v>339</x:v>
      </x:c>
      <x:c r="E604" s="70" t="s">
        <x:v>1129</x:v>
      </x:c>
      <x:c r="F604" s="70" t="s">
        <x:v>1777</x:v>
      </x:c>
      <x:c r="G604" s="70" t="s">
        <x:v>1666</x:v>
      </x:c>
      <x:c r="H604" s="70" t="s">
        <x:v>1204</x:v>
      </x:c>
      <x:c r="I604" s="70" t="s">
        <x:v>1199</x:v>
      </x:c>
      <x:c r="J604" s="70" t="n">
        <x:v>226</x:v>
      </x:c>
      <x:c r="K604" s="70" t="s">
        <x:v>1667</x:v>
      </x:c>
      <x:c r="L604" s="70" t="s">
        <x:v>1720</x:v>
      </x:c>
      <x:c r="M604" s="70" t="s">
        <x:v>35</x:v>
      </x:c>
      <x:c r="N604" s="71" t="n">
        <x:v>2934044</x:v>
      </x:c>
      <x:c r="O604" s="72" t="n">
        <x:f aca="0">N604/1000</x:f>
        <x:v>2934.044</x:v>
      </x:c>
      <x:c r="P604" s="73" t="n">
        <x:f aca="0">LUCK!D43</x:f>
        <x:v>2934.044</x:v>
      </x:c>
      <x:c r="Q604" s="70" t="str">
        <x:f aca="0">IF(ABS(O604-P604)&lt;0.000001,"PASS","FAIL")</x:f>
        <x:v>PASS</x:v>
      </x:c>
      <x:c r="R604" s="70" t="s">
        <x:v>34</x:v>
      </x:c>
      <x:c r="S604" s="70"/>
    </x:row>
    <x:row r="605" ht="15" hidden="0">
      <x:c r="A605" s="70" t="s">
        <x:v>1779</x:v>
      </x:c>
      <x:c r="B605" s="70" t="s">
        <x:v>31</x:v>
      </x:c>
      <x:c r="C605" s="70" t="s">
        <x:v>74</x:v>
      </x:c>
      <x:c r="D605" s="70" t="s">
        <x:v>339</x:v>
      </x:c>
      <x:c r="E605" s="70" t="s">
        <x:v>1129</x:v>
      </x:c>
      <x:c r="F605" s="70" t="s">
        <x:v>1777</x:v>
      </x:c>
      <x:c r="G605" s="70" t="s">
        <x:v>1669</x:v>
      </x:c>
      <x:c r="H605" s="70" t="s">
        <x:v>1208</x:v>
      </x:c>
      <x:c r="I605" s="70" t="s">
        <x:v>1199</x:v>
      </x:c>
      <x:c r="J605" s="70" t="n">
        <x:v>234</x:v>
      </x:c>
      <x:c r="K605" s="70" t="s">
        <x:v>1670</x:v>
      </x:c>
      <x:c r="L605" s="70" t="s">
        <x:v>1720</x:v>
      </x:c>
      <x:c r="M605" s="70" t="s">
        <x:v>35</x:v>
      </x:c>
      <x:c r="N605" s="71" t="n">
        <x:v>14108446</x:v>
      </x:c>
      <x:c r="O605" s="72" t="n">
        <x:f aca="0">N605/1000</x:f>
        <x:v>14108.446</x:v>
      </x:c>
      <x:c r="P605" s="73" t="n">
        <x:f aca="0">LUCK!E43</x:f>
        <x:v>14108.446</x:v>
      </x:c>
      <x:c r="Q605" s="70" t="str">
        <x:f aca="0">IF(ABS(O605-P605)&lt;0.000001,"PASS","FAIL")</x:f>
        <x:v>PASS</x:v>
      </x:c>
      <x:c r="R605" s="70" t="s">
        <x:v>34</x:v>
      </x:c>
      <x:c r="S605" s="70"/>
    </x:row>
    <x:row r="606" ht="15" hidden="0">
      <x:c r="A606" s="70" t="s">
        <x:v>1780</x:v>
      </x:c>
      <x:c r="B606" s="70" t="s">
        <x:v>31</x:v>
      </x:c>
      <x:c r="C606" s="70" t="s">
        <x:v>75</x:v>
      </x:c>
      <x:c r="D606" s="70" t="s">
        <x:v>339</x:v>
      </x:c>
      <x:c r="E606" s="70" t="s">
        <x:v>1129</x:v>
      </x:c>
      <x:c r="F606" s="70" t="s">
        <x:v>1777</x:v>
      </x:c>
      <x:c r="G606" s="70" t="s">
        <x:v>1672</x:v>
      </x:c>
      <x:c r="H606" s="70" t="s">
        <x:v>1211</x:v>
      </x:c>
      <x:c r="I606" s="70" t="s">
        <x:v>1199</x:v>
      </x:c>
      <x:c r="J606" s="70" t="n">
        <x:v>238</x:v>
      </x:c>
      <x:c r="K606" s="70" t="s">
        <x:v>1673</x:v>
      </x:c>
      <x:c r="L606" s="70" t="s">
        <x:v>1720</x:v>
      </x:c>
      <x:c r="M606" s="70" t="s">
        <x:v>35</x:v>
      </x:c>
      <x:c r="N606" s="71" t="n">
        <x:v>14557294</x:v>
      </x:c>
      <x:c r="O606" s="72" t="n">
        <x:f aca="0">N606/1000</x:f>
        <x:v>14557.294</x:v>
      </x:c>
      <x:c r="P606" s="73" t="n">
        <x:f aca="0">LUCK!F43</x:f>
        <x:v>14557.294</x:v>
      </x:c>
      <x:c r="Q606" s="70" t="str">
        <x:f aca="0">IF(ABS(O606-P606)&lt;0.000001,"PASS","FAIL")</x:f>
        <x:v>PASS</x:v>
      </x:c>
      <x:c r="R606" s="70" t="s">
        <x:v>34</x:v>
      </x:c>
      <x:c r="S606" s="70"/>
    </x:row>
    <x:row r="607" ht="15" hidden="0">
      <x:c r="A607" s="70" t="s">
        <x:v>1781</x:v>
      </x:c>
      <x:c r="B607" s="70" t="s">
        <x:v>31</x:v>
      </x:c>
      <x:c r="C607" s="70" t="s">
        <x:v>76</x:v>
      </x:c>
      <x:c r="D607" s="70" t="s">
        <x:v>339</x:v>
      </x:c>
      <x:c r="E607" s="70" t="s">
        <x:v>1129</x:v>
      </x:c>
      <x:c r="F607" s="70" t="s">
        <x:v>1782</x:v>
      </x:c>
      <x:c r="G607" s="70" t="s">
        <x:v>1675</x:v>
      </x:c>
      <x:c r="H607" s="70" t="s">
        <x:v>1215</x:v>
      </x:c>
      <x:c r="I607" s="70" t="s">
        <x:v>1199</x:v>
      </x:c>
      <x:c r="J607" s="70" t="n">
        <x:v>240</x:v>
      </x:c>
      <x:c r="K607" s="70" t="s">
        <x:v>1676</x:v>
      </x:c>
      <x:c r="L607" s="70" t="s">
        <x:v>1277</x:v>
      </x:c>
      <x:c r="M607" s="70" t="s">
        <x:v>35</x:v>
      </x:c>
      <x:c r="N607" s="71" t="n">
        <x:v>12760637</x:v>
      </x:c>
      <x:c r="O607" s="72" t="n">
        <x:f aca="0">N607/1000</x:f>
        <x:v>12760.637</x:v>
      </x:c>
      <x:c r="P607" s="73" t="n">
        <x:f aca="0">LUCK!G43</x:f>
        <x:v>12760.637</x:v>
      </x:c>
      <x:c r="Q607" s="70" t="str">
        <x:f aca="0">IF(ABS(O607-P607)&lt;0.000001,"PASS","FAIL")</x:f>
        <x:v>PASS</x:v>
      </x:c>
      <x:c r="R607" s="70" t="s">
        <x:v>34</x:v>
      </x:c>
      <x:c r="S607" s="70"/>
    </x:row>
    <x:row r="608" ht="15" hidden="0">
      <x:c r="A608" s="70" t="s">
        <x:v>1783</x:v>
      </x:c>
      <x:c r="B608" s="70" t="s">
        <x:v>31</x:v>
      </x:c>
      <x:c r="C608" s="70" t="s">
        <x:v>77</x:v>
      </x:c>
      <x:c r="D608" s="70" t="s">
        <x:v>339</x:v>
      </x:c>
      <x:c r="E608" s="70" t="s">
        <x:v>1129</x:v>
      </x:c>
      <x:c r="F608" s="70" t="s">
        <x:v>1782</x:v>
      </x:c>
      <x:c r="G608" s="70" t="s">
        <x:v>1675</x:v>
      </x:c>
      <x:c r="H608" s="70" t="s">
        <x:v>1215</x:v>
      </x:c>
      <x:c r="I608" s="70" t="s">
        <x:v>1218</x:v>
      </x:c>
      <x:c r="J608" s="70" t="n">
        <x:v>240</x:v>
      </x:c>
      <x:c r="K608" s="70" t="s">
        <x:v>1676</x:v>
      </x:c>
      <x:c r="L608" s="70" t="s">
        <x:v>1277</x:v>
      </x:c>
      <x:c r="M608" s="70" t="s">
        <x:v>35</x:v>
      </x:c>
      <x:c r="N608" s="71" t="n">
        <x:v>9184522</x:v>
      </x:c>
      <x:c r="O608" s="72" t="n">
        <x:f aca="0">N608/1000</x:f>
        <x:v>9184.522</x:v>
      </x:c>
      <x:c r="P608" s="73" t="n">
        <x:f aca="0">LUCK!H43</x:f>
        <x:v>9184.522</x:v>
      </x:c>
      <x:c r="Q608" s="70" t="str">
        <x:f aca="0">IF(ABS(O608-P608)&lt;0.000001,"PASS","FAIL")</x:f>
        <x:v>PASS</x:v>
      </x:c>
      <x:c r="R608" s="70" t="s">
        <x:v>34</x:v>
      </x:c>
      <x:c r="S608" s="70"/>
    </x:row>
    <x:row r="609" ht="15" hidden="0">
      <x:c r="A609" s="70" t="s">
        <x:v>1784</x:v>
      </x:c>
      <x:c r="B609" s="70" t="s">
        <x:v>31</x:v>
      </x:c>
      <x:c r="C609" s="70" t="s">
        <x:v>1076</x:v>
      </x:c>
      <x:c r="D609" s="70" t="s">
        <x:v>341</x:v>
      </x:c>
      <x:c r="E609" s="70" t="s">
        <x:v>1129</x:v>
      </x:c>
      <x:c r="F609" s="70"/>
      <x:c r="G609" s="70" t="s">
        <x:v>1663</x:v>
      </x:c>
      <x:c r="H609" s="70" t="s">
        <x:v>1198</x:v>
      </x:c>
      <x:c r="I609" s="70" t="s">
        <x:v>1199</x:v>
      </x:c>
      <x:c r="J609" s="70" t="n">
        <x:v>191</x:v>
      </x:c>
      <x:c r="K609" s="70" t="s">
        <x:v>1200</x:v>
      </x:c>
      <x:c r="L609" s="70"/>
      <x:c r="M609" s="70" t="s">
        <x:v>35</x:v>
      </x:c>
      <x:c r="N609" s="71" t="n">
        <x:v>0</x:v>
      </x:c>
      <x:c r="O609" s="72" t="n">
        <x:f aca="0">N609/1000</x:f>
        <x:v>0</x:v>
      </x:c>
      <x:c r="P609" s="73" t="n">
        <x:f aca="0">LUCK!C44</x:f>
        <x:v>0</x:v>
      </x:c>
      <x:c r="Q609" s="70" t="str">
        <x:f aca="0">IF(ABS(O609-P609)&lt;0.000001,"PASS","FAIL")</x:f>
        <x:v>PASS</x:v>
      </x:c>
      <x:c r="R609" s="70" t="s">
        <x:v>34</x:v>
      </x:c>
      <x:c r="S609" s="70"/>
    </x:row>
    <x:row r="610" ht="15" hidden="0">
      <x:c r="A610" s="70" t="s">
        <x:v>1785</x:v>
      </x:c>
      <x:c r="B610" s="70" t="s">
        <x:v>31</x:v>
      </x:c>
      <x:c r="C610" s="70" t="s">
        <x:v>73</x:v>
      </x:c>
      <x:c r="D610" s="70" t="s">
        <x:v>341</x:v>
      </x:c>
      <x:c r="E610" s="70" t="s">
        <x:v>1129</x:v>
      </x:c>
      <x:c r="F610" s="70"/>
      <x:c r="G610" s="70" t="s">
        <x:v>1666</x:v>
      </x:c>
      <x:c r="H610" s="70" t="s">
        <x:v>1204</x:v>
      </x:c>
      <x:c r="I610" s="70" t="s">
        <x:v>1199</x:v>
      </x:c>
      <x:c r="J610" s="70" t="n">
        <x:v>226</x:v>
      </x:c>
      <x:c r="K610" s="70" t="s">
        <x:v>1667</x:v>
      </x:c>
      <x:c r="L610" s="70"/>
      <x:c r="M610" s="70" t="s">
        <x:v>35</x:v>
      </x:c>
      <x:c r="N610" s="71" t="n">
        <x:v>0</x:v>
      </x:c>
      <x:c r="O610" s="72" t="n">
        <x:f aca="0">N610/1000</x:f>
        <x:v>0</x:v>
      </x:c>
      <x:c r="P610" s="73" t="n">
        <x:f aca="0">LUCK!D44</x:f>
        <x:v>0</x:v>
      </x:c>
      <x:c r="Q610" s="70" t="str">
        <x:f aca="0">IF(ABS(O610-P610)&lt;0.000001,"PASS","FAIL")</x:f>
        <x:v>PASS</x:v>
      </x:c>
      <x:c r="R610" s="70" t="s">
        <x:v>34</x:v>
      </x:c>
      <x:c r="S610" s="70"/>
    </x:row>
    <x:row r="611" ht="15" hidden="0">
      <x:c r="A611" s="70" t="s">
        <x:v>1786</x:v>
      </x:c>
      <x:c r="B611" s="70" t="s">
        <x:v>31</x:v>
      </x:c>
      <x:c r="C611" s="70" t="s">
        <x:v>74</x:v>
      </x:c>
      <x:c r="D611" s="70" t="s">
        <x:v>341</x:v>
      </x:c>
      <x:c r="E611" s="70" t="s">
        <x:v>1129</x:v>
      </x:c>
      <x:c r="F611" s="70"/>
      <x:c r="G611" s="70" t="s">
        <x:v>1669</x:v>
      </x:c>
      <x:c r="H611" s="70" t="s">
        <x:v>1208</x:v>
      </x:c>
      <x:c r="I611" s="70" t="s">
        <x:v>1199</x:v>
      </x:c>
      <x:c r="J611" s="70" t="n">
        <x:v>234</x:v>
      </x:c>
      <x:c r="K611" s="70" t="s">
        <x:v>1670</x:v>
      </x:c>
      <x:c r="L611" s="70"/>
      <x:c r="M611" s="70" t="s">
        <x:v>35</x:v>
      </x:c>
      <x:c r="N611" s="71" t="n">
        <x:v>0</x:v>
      </x:c>
      <x:c r="O611" s="72" t="n">
        <x:f aca="0">N611/1000</x:f>
        <x:v>0</x:v>
      </x:c>
      <x:c r="P611" s="73" t="n">
        <x:f aca="0">LUCK!E44</x:f>
        <x:v>0</x:v>
      </x:c>
      <x:c r="Q611" s="70" t="str">
        <x:f aca="0">IF(ABS(O611-P611)&lt;0.000001,"PASS","FAIL")</x:f>
        <x:v>PASS</x:v>
      </x:c>
      <x:c r="R611" s="70" t="s">
        <x:v>34</x:v>
      </x:c>
      <x:c r="S611" s="70"/>
    </x:row>
    <x:row r="612" ht="15" hidden="0">
      <x:c r="A612" s="70" t="s">
        <x:v>1787</x:v>
      </x:c>
      <x:c r="B612" s="70" t="s">
        <x:v>31</x:v>
      </x:c>
      <x:c r="C612" s="70" t="s">
        <x:v>75</x:v>
      </x:c>
      <x:c r="D612" s="70" t="s">
        <x:v>341</x:v>
      </x:c>
      <x:c r="E612" s="70" t="s">
        <x:v>1129</x:v>
      </x:c>
      <x:c r="F612" s="70"/>
      <x:c r="G612" s="70" t="s">
        <x:v>1672</x:v>
      </x:c>
      <x:c r="H612" s="70" t="s">
        <x:v>1211</x:v>
      </x:c>
      <x:c r="I612" s="70" t="s">
        <x:v>1199</x:v>
      </x:c>
      <x:c r="J612" s="70" t="n">
        <x:v>238</x:v>
      </x:c>
      <x:c r="K612" s="70" t="s">
        <x:v>1673</x:v>
      </x:c>
      <x:c r="L612" s="70"/>
      <x:c r="M612" s="70" t="s">
        <x:v>35</x:v>
      </x:c>
      <x:c r="N612" s="71" t="n">
        <x:v>0</x:v>
      </x:c>
      <x:c r="O612" s="72" t="n">
        <x:f aca="0">N612/1000</x:f>
        <x:v>0</x:v>
      </x:c>
      <x:c r="P612" s="73" t="n">
        <x:f aca="0">LUCK!F44</x:f>
        <x:v>0</x:v>
      </x:c>
      <x:c r="Q612" s="70" t="str">
        <x:f aca="0">IF(ABS(O612-P612)&lt;0.000001,"PASS","FAIL")</x:f>
        <x:v>PASS</x:v>
      </x:c>
      <x:c r="R612" s="70" t="s">
        <x:v>34</x:v>
      </x:c>
      <x:c r="S612" s="70"/>
    </x:row>
    <x:row r="613" ht="15" hidden="0">
      <x:c r="A613" s="70" t="s">
        <x:v>1788</x:v>
      </x:c>
      <x:c r="B613" s="70" t="s">
        <x:v>31</x:v>
      </x:c>
      <x:c r="C613" s="70" t="s">
        <x:v>76</x:v>
      </x:c>
      <x:c r="D613" s="70" t="s">
        <x:v>341</x:v>
      </x:c>
      <x:c r="E613" s="70" t="s">
        <x:v>1129</x:v>
      </x:c>
      <x:c r="F613" s="70"/>
      <x:c r="G613" s="70" t="s">
        <x:v>1675</x:v>
      </x:c>
      <x:c r="H613" s="70" t="s">
        <x:v>1215</x:v>
      </x:c>
      <x:c r="I613" s="70" t="s">
        <x:v>1199</x:v>
      </x:c>
      <x:c r="J613" s="70" t="n">
        <x:v>240</x:v>
      </x:c>
      <x:c r="K613" s="70" t="s">
        <x:v>1676</x:v>
      </x:c>
      <x:c r="L613" s="70"/>
      <x:c r="M613" s="70" t="s">
        <x:v>35</x:v>
      </x:c>
      <x:c r="N613" s="71" t="n">
        <x:v>0</x:v>
      </x:c>
      <x:c r="O613" s="72" t="n">
        <x:f aca="0">N613/1000</x:f>
        <x:v>0</x:v>
      </x:c>
      <x:c r="P613" s="73" t="n">
        <x:f aca="0">LUCK!G44</x:f>
        <x:v>0</x:v>
      </x:c>
      <x:c r="Q613" s="70" t="str">
        <x:f aca="0">IF(ABS(O613-P613)&lt;0.000001,"PASS","FAIL")</x:f>
        <x:v>PASS</x:v>
      </x:c>
      <x:c r="R613" s="70" t="s">
        <x:v>34</x:v>
      </x:c>
      <x:c r="S613" s="70"/>
    </x:row>
    <x:row r="614" ht="15" hidden="0">
      <x:c r="A614" s="70" t="s">
        <x:v>1789</x:v>
      </x:c>
      <x:c r="B614" s="70" t="s">
        <x:v>31</x:v>
      </x:c>
      <x:c r="C614" s="70" t="s">
        <x:v>77</x:v>
      </x:c>
      <x:c r="D614" s="70" t="s">
        <x:v>341</x:v>
      </x:c>
      <x:c r="E614" s="70" t="s">
        <x:v>1129</x:v>
      </x:c>
      <x:c r="F614" s="70"/>
      <x:c r="G614" s="70" t="s">
        <x:v>1675</x:v>
      </x:c>
      <x:c r="H614" s="70" t="s">
        <x:v>1215</x:v>
      </x:c>
      <x:c r="I614" s="70" t="s">
        <x:v>1218</x:v>
      </x:c>
      <x:c r="J614" s="70" t="n">
        <x:v>240</x:v>
      </x:c>
      <x:c r="K614" s="70" t="s">
        <x:v>1676</x:v>
      </x:c>
      <x:c r="L614" s="70"/>
      <x:c r="M614" s="70" t="s">
        <x:v>35</x:v>
      </x:c>
      <x:c r="N614" s="71" t="n">
        <x:v>0</x:v>
      </x:c>
      <x:c r="O614" s="72" t="n">
        <x:f aca="0">N614/1000</x:f>
        <x:v>0</x:v>
      </x:c>
      <x:c r="P614" s="73" t="n">
        <x:f aca="0">LUCK!H44</x:f>
        <x:v>0</x:v>
      </x:c>
      <x:c r="Q614" s="70" t="str">
        <x:f aca="0">IF(ABS(O614-P614)&lt;0.000001,"PASS","FAIL")</x:f>
        <x:v>PASS</x:v>
      </x:c>
      <x:c r="R614" s="70" t="s">
        <x:v>34</x:v>
      </x:c>
      <x:c r="S614" s="70"/>
    </x:row>
    <x:row r="615" ht="15" hidden="0">
      <x:c r="A615" s="70" t="s">
        <x:v>1790</x:v>
      </x:c>
      <x:c r="B615" s="70" t="s">
        <x:v>31</x:v>
      </x:c>
      <x:c r="C615" s="70" t="s">
        <x:v>1076</x:v>
      </x:c>
      <x:c r="D615" s="70" t="s">
        <x:v>343</x:v>
      </x:c>
      <x:c r="E615" s="70" t="s">
        <x:v>1129</x:v>
      </x:c>
      <x:c r="F615" s="70" t="s">
        <x:v>1791</x:v>
      </x:c>
      <x:c r="G615" s="70" t="s">
        <x:v>1663</x:v>
      </x:c>
      <x:c r="H615" s="70" t="s">
        <x:v>1198</x:v>
      </x:c>
      <x:c r="I615" s="70" t="s">
        <x:v>1199</x:v>
      </x:c>
      <x:c r="J615" s="70" t="n">
        <x:v>191</x:v>
      </x:c>
      <x:c r="K615" s="70" t="s">
        <x:v>1200</x:v>
      </x:c>
      <x:c r="L615" s="70" t="s">
        <x:v>1293</x:v>
      </x:c>
      <x:c r="M615" s="70" t="s">
        <x:v>35</x:v>
      </x:c>
      <x:c r="N615" s="71" t="n">
        <x:v>59720</x:v>
      </x:c>
      <x:c r="O615" s="72" t="n">
        <x:f aca="0">N615/1000</x:f>
        <x:v>59.72</x:v>
      </x:c>
      <x:c r="P615" s="73" t="n">
        <x:f aca="0">LUCK!C45</x:f>
        <x:v>59.72</x:v>
      </x:c>
      <x:c r="Q615" s="70" t="str">
        <x:f aca="0">IF(ABS(O615-P615)&lt;0.000001,"PASS","FAIL")</x:f>
        <x:v>PASS</x:v>
      </x:c>
      <x:c r="R615" s="70" t="s">
        <x:v>34</x:v>
      </x:c>
      <x:c r="S615" s="70"/>
    </x:row>
    <x:row r="616" ht="15" hidden="0">
      <x:c r="A616" s="70" t="s">
        <x:v>1792</x:v>
      </x:c>
      <x:c r="B616" s="70" t="s">
        <x:v>31</x:v>
      </x:c>
      <x:c r="C616" s="70" t="s">
        <x:v>73</x:v>
      </x:c>
      <x:c r="D616" s="70" t="s">
        <x:v>343</x:v>
      </x:c>
      <x:c r="E616" s="70" t="s">
        <x:v>1129</x:v>
      </x:c>
      <x:c r="F616" s="70" t="s">
        <x:v>1791</x:v>
      </x:c>
      <x:c r="G616" s="70" t="s">
        <x:v>1666</x:v>
      </x:c>
      <x:c r="H616" s="70" t="s">
        <x:v>1204</x:v>
      </x:c>
      <x:c r="I616" s="70" t="s">
        <x:v>1199</x:v>
      </x:c>
      <x:c r="J616" s="70" t="n">
        <x:v>226</x:v>
      </x:c>
      <x:c r="K616" s="70" t="s">
        <x:v>1667</x:v>
      </x:c>
      <x:c r="L616" s="70" t="s">
        <x:v>1293</x:v>
      </x:c>
      <x:c r="M616" s="70" t="s">
        <x:v>35</x:v>
      </x:c>
      <x:c r="N616" s="71" t="n">
        <x:v>1107940</x:v>
      </x:c>
      <x:c r="O616" s="72" t="n">
        <x:f aca="0">N616/1000</x:f>
        <x:v>1107.94</x:v>
      </x:c>
      <x:c r="P616" s="73" t="n">
        <x:f aca="0">LUCK!D45</x:f>
        <x:v>1107.94</x:v>
      </x:c>
      <x:c r="Q616" s="70" t="str">
        <x:f aca="0">IF(ABS(O616-P616)&lt;0.000001,"PASS","FAIL")</x:f>
        <x:v>PASS</x:v>
      </x:c>
      <x:c r="R616" s="70" t="s">
        <x:v>34</x:v>
      </x:c>
      <x:c r="S616" s="70"/>
    </x:row>
    <x:row r="617" ht="15" hidden="0">
      <x:c r="A617" s="70" t="s">
        <x:v>1793</x:v>
      </x:c>
      <x:c r="B617" s="70" t="s">
        <x:v>31</x:v>
      </x:c>
      <x:c r="C617" s="70" t="s">
        <x:v>74</x:v>
      </x:c>
      <x:c r="D617" s="70" t="s">
        <x:v>343</x:v>
      </x:c>
      <x:c r="E617" s="70" t="s">
        <x:v>1129</x:v>
      </x:c>
      <x:c r="F617" s="70" t="s">
        <x:v>1791</x:v>
      </x:c>
      <x:c r="G617" s="70" t="s">
        <x:v>1669</x:v>
      </x:c>
      <x:c r="H617" s="70" t="s">
        <x:v>1208</x:v>
      </x:c>
      <x:c r="I617" s="70" t="s">
        <x:v>1199</x:v>
      </x:c>
      <x:c r="J617" s="70" t="n">
        <x:v>234</x:v>
      </x:c>
      <x:c r="K617" s="70" t="s">
        <x:v>1670</x:v>
      </x:c>
      <x:c r="L617" s="70" t="s">
        <x:v>1293</x:v>
      </x:c>
      <x:c r="M617" s="70" t="s">
        <x:v>35</x:v>
      </x:c>
      <x:c r="N617" s="71" t="n">
        <x:v>2164455</x:v>
      </x:c>
      <x:c r="O617" s="72" t="n">
        <x:f aca="0">N617/1000</x:f>
        <x:v>2164.455</x:v>
      </x:c>
      <x:c r="P617" s="73" t="n">
        <x:f aca="0">LUCK!E45</x:f>
        <x:v>2164.455</x:v>
      </x:c>
      <x:c r="Q617" s="70" t="str">
        <x:f aca="0">IF(ABS(O617-P617)&lt;0.000001,"PASS","FAIL")</x:f>
        <x:v>PASS</x:v>
      </x:c>
      <x:c r="R617" s="70" t="s">
        <x:v>34</x:v>
      </x:c>
      <x:c r="S617" s="70"/>
    </x:row>
    <x:row r="618" ht="15" hidden="0">
      <x:c r="A618" s="70" t="s">
        <x:v>1794</x:v>
      </x:c>
      <x:c r="B618" s="70" t="s">
        <x:v>31</x:v>
      </x:c>
      <x:c r="C618" s="70" t="s">
        <x:v>75</x:v>
      </x:c>
      <x:c r="D618" s="70" t="s">
        <x:v>343</x:v>
      </x:c>
      <x:c r="E618" s="70" t="s">
        <x:v>1129</x:v>
      </x:c>
      <x:c r="F618" s="70" t="s">
        <x:v>1791</x:v>
      </x:c>
      <x:c r="G618" s="70" t="s">
        <x:v>1672</x:v>
      </x:c>
      <x:c r="H618" s="70" t="s">
        <x:v>1211</x:v>
      </x:c>
      <x:c r="I618" s="70" t="s">
        <x:v>1199</x:v>
      </x:c>
      <x:c r="J618" s="70" t="n">
        <x:v>238</x:v>
      </x:c>
      <x:c r="K618" s="70" t="s">
        <x:v>1673</x:v>
      </x:c>
      <x:c r="L618" s="70" t="s">
        <x:v>1293</x:v>
      </x:c>
      <x:c r="M618" s="70" t="s">
        <x:v>35</x:v>
      </x:c>
      <x:c r="N618" s="71" t="n">
        <x:v>2121307</x:v>
      </x:c>
      <x:c r="O618" s="72" t="n">
        <x:f aca="0">N618/1000</x:f>
        <x:v>2121.307</x:v>
      </x:c>
      <x:c r="P618" s="73" t="n">
        <x:f aca="0">LUCK!F45</x:f>
        <x:v>2121.307</x:v>
      </x:c>
      <x:c r="Q618" s="70" t="str">
        <x:f aca="0">IF(ABS(O618-P618)&lt;0.000001,"PASS","FAIL")</x:f>
        <x:v>PASS</x:v>
      </x:c>
      <x:c r="R618" s="70" t="s">
        <x:v>34</x:v>
      </x:c>
      <x:c r="S618" s="70"/>
    </x:row>
    <x:row r="619" ht="15" hidden="0">
      <x:c r="A619" s="70" t="s">
        <x:v>1795</x:v>
      </x:c>
      <x:c r="B619" s="70" t="s">
        <x:v>31</x:v>
      </x:c>
      <x:c r="C619" s="70" t="s">
        <x:v>76</x:v>
      </x:c>
      <x:c r="D619" s="70" t="s">
        <x:v>343</x:v>
      </x:c>
      <x:c r="E619" s="70" t="s">
        <x:v>1129</x:v>
      </x:c>
      <x:c r="F619" s="70" t="s">
        <x:v>1791</x:v>
      </x:c>
      <x:c r="G619" s="70" t="s">
        <x:v>1675</x:v>
      </x:c>
      <x:c r="H619" s="70" t="s">
        <x:v>1215</x:v>
      </x:c>
      <x:c r="I619" s="70" t="s">
        <x:v>1199</x:v>
      </x:c>
      <x:c r="J619" s="70" t="n">
        <x:v>240</x:v>
      </x:c>
      <x:c r="K619" s="70" t="s">
        <x:v>1676</x:v>
      </x:c>
      <x:c r="L619" s="70" t="s">
        <x:v>1285</x:v>
      </x:c>
      <x:c r="M619" s="70" t="s">
        <x:v>35</x:v>
      </x:c>
      <x:c r="N619" s="71" t="n">
        <x:v>1766055</x:v>
      </x:c>
      <x:c r="O619" s="72" t="n">
        <x:f aca="0">N619/1000</x:f>
        <x:v>1766.055</x:v>
      </x:c>
      <x:c r="P619" s="73" t="n">
        <x:f aca="0">LUCK!G45</x:f>
        <x:v>1766.055</x:v>
      </x:c>
      <x:c r="Q619" s="70" t="str">
        <x:f aca="0">IF(ABS(O619-P619)&lt;0.000001,"PASS","FAIL")</x:f>
        <x:v>PASS</x:v>
      </x:c>
      <x:c r="R619" s="70" t="s">
        <x:v>34</x:v>
      </x:c>
      <x:c r="S619" s="70"/>
    </x:row>
    <x:row r="620" ht="15" hidden="0">
      <x:c r="A620" s="70" t="s">
        <x:v>1796</x:v>
      </x:c>
      <x:c r="B620" s="70" t="s">
        <x:v>31</x:v>
      </x:c>
      <x:c r="C620" s="70" t="s">
        <x:v>77</x:v>
      </x:c>
      <x:c r="D620" s="70" t="s">
        <x:v>343</x:v>
      </x:c>
      <x:c r="E620" s="70" t="s">
        <x:v>1129</x:v>
      </x:c>
      <x:c r="F620" s="70" t="s">
        <x:v>1791</x:v>
      </x:c>
      <x:c r="G620" s="70" t="s">
        <x:v>1675</x:v>
      </x:c>
      <x:c r="H620" s="70" t="s">
        <x:v>1215</x:v>
      </x:c>
      <x:c r="I620" s="70" t="s">
        <x:v>1218</x:v>
      </x:c>
      <x:c r="J620" s="70" t="n">
        <x:v>240</x:v>
      </x:c>
      <x:c r="K620" s="70" t="s">
        <x:v>1676</x:v>
      </x:c>
      <x:c r="L620" s="70" t="s">
        <x:v>1285</x:v>
      </x:c>
      <x:c r="M620" s="70" t="s">
        <x:v>35</x:v>
      </x:c>
      <x:c r="N620" s="71" t="n">
        <x:v>1382651</x:v>
      </x:c>
      <x:c r="O620" s="72" t="n">
        <x:f aca="0">N620/1000</x:f>
        <x:v>1382.651</x:v>
      </x:c>
      <x:c r="P620" s="73" t="n">
        <x:f aca="0">LUCK!H45</x:f>
        <x:v>1382.651</x:v>
      </x:c>
      <x:c r="Q620" s="70" t="str">
        <x:f aca="0">IF(ABS(O620-P620)&lt;0.000001,"PASS","FAIL")</x:f>
        <x:v>PASS</x:v>
      </x:c>
      <x:c r="R620" s="70" t="s">
        <x:v>34</x:v>
      </x:c>
      <x:c r="S620" s="70"/>
    </x:row>
    <x:row r="621" ht="15" hidden="0">
      <x:c r="A621" s="70" t="s">
        <x:v>1797</x:v>
      </x:c>
      <x:c r="B621" s="70" t="s">
        <x:v>31</x:v>
      </x:c>
      <x:c r="C621" s="70" t="s">
        <x:v>1076</x:v>
      </x:c>
      <x:c r="D621" s="70" t="s">
        <x:v>345</x:v>
      </x:c>
      <x:c r="E621" s="70" t="s">
        <x:v>1129</x:v>
      </x:c>
      <x:c r="F621" s="70" t="s">
        <x:v>1798</x:v>
      </x:c>
      <x:c r="G621" s="70" t="s">
        <x:v>1663</x:v>
      </x:c>
      <x:c r="H621" s="70" t="s">
        <x:v>1198</x:v>
      </x:c>
      <x:c r="I621" s="70" t="s">
        <x:v>1199</x:v>
      </x:c>
      <x:c r="J621" s="70" t="n">
        <x:v>191</x:v>
      </x:c>
      <x:c r="K621" s="70" t="s">
        <x:v>1200</x:v>
      </x:c>
      <x:c r="L621" s="70"/>
      <x:c r="M621" s="70" t="s">
        <x:v>35</x:v>
      </x:c>
      <x:c r="N621" s="71" t="n">
        <x:v>5167161</x:v>
      </x:c>
      <x:c r="O621" s="72" t="n">
        <x:f aca="0">N621/1000</x:f>
        <x:v>5167.161</x:v>
      </x:c>
      <x:c r="P621" s="73" t="n">
        <x:f aca="0">LUCK!C46</x:f>
        <x:v>5167.161</x:v>
      </x:c>
      <x:c r="Q621" s="70" t="str">
        <x:f aca="0">IF(ABS(O621-P621)&lt;0.000001,"PASS","FAIL")</x:f>
        <x:v>PASS</x:v>
      </x:c>
      <x:c r="R621" s="70" t="s">
        <x:v>34</x:v>
      </x:c>
      <x:c r="S621" s="70"/>
    </x:row>
    <x:row r="622" ht="15" hidden="0">
      <x:c r="A622" s="70" t="s">
        <x:v>1799</x:v>
      </x:c>
      <x:c r="B622" s="70" t="s">
        <x:v>31</x:v>
      </x:c>
      <x:c r="C622" s="70" t="s">
        <x:v>73</x:v>
      </x:c>
      <x:c r="D622" s="70" t="s">
        <x:v>345</x:v>
      </x:c>
      <x:c r="E622" s="70" t="s">
        <x:v>1129</x:v>
      </x:c>
      <x:c r="F622" s="70" t="s">
        <x:v>1798</x:v>
      </x:c>
      <x:c r="G622" s="70" t="s">
        <x:v>1666</x:v>
      </x:c>
      <x:c r="H622" s="70" t="s">
        <x:v>1204</x:v>
      </x:c>
      <x:c r="I622" s="70" t="s">
        <x:v>1199</x:v>
      </x:c>
      <x:c r="J622" s="70" t="n">
        <x:v>226</x:v>
      </x:c>
      <x:c r="K622" s="70" t="s">
        <x:v>1667</x:v>
      </x:c>
      <x:c r="L622" s="70"/>
      <x:c r="M622" s="70" t="s">
        <x:v>35</x:v>
      </x:c>
      <x:c r="N622" s="71" t="n">
        <x:v>6157224</x:v>
      </x:c>
      <x:c r="O622" s="72" t="n">
        <x:f aca="0">N622/1000</x:f>
        <x:v>6157.224</x:v>
      </x:c>
      <x:c r="P622" s="73" t="n">
        <x:f aca="0">LUCK!D46</x:f>
        <x:v>6157.224</x:v>
      </x:c>
      <x:c r="Q622" s="70" t="str">
        <x:f aca="0">IF(ABS(O622-P622)&lt;0.000001,"PASS","FAIL")</x:f>
        <x:v>PASS</x:v>
      </x:c>
      <x:c r="R622" s="70" t="s">
        <x:v>34</x:v>
      </x:c>
      <x:c r="S622" s="70"/>
    </x:row>
    <x:row r="623" ht="15" hidden="0">
      <x:c r="A623" s="70" t="s">
        <x:v>1800</x:v>
      </x:c>
      <x:c r="B623" s="70" t="s">
        <x:v>31</x:v>
      </x:c>
      <x:c r="C623" s="70" t="s">
        <x:v>74</x:v>
      </x:c>
      <x:c r="D623" s="70" t="s">
        <x:v>345</x:v>
      </x:c>
      <x:c r="E623" s="70" t="s">
        <x:v>1129</x:v>
      </x:c>
      <x:c r="F623" s="70" t="s">
        <x:v>1798</x:v>
      </x:c>
      <x:c r="G623" s="70" t="s">
        <x:v>1669</x:v>
      </x:c>
      <x:c r="H623" s="70" t="s">
        <x:v>1208</x:v>
      </x:c>
      <x:c r="I623" s="70" t="s">
        <x:v>1199</x:v>
      </x:c>
      <x:c r="J623" s="70" t="n">
        <x:v>234</x:v>
      </x:c>
      <x:c r="K623" s="70" t="s">
        <x:v>1670</x:v>
      </x:c>
      <x:c r="L623" s="70"/>
      <x:c r="M623" s="70" t="s">
        <x:v>35</x:v>
      </x:c>
      <x:c r="N623" s="71" t="n">
        <x:v>6941172</x:v>
      </x:c>
      <x:c r="O623" s="72" t="n">
        <x:f aca="0">N623/1000</x:f>
        <x:v>6941.172</x:v>
      </x:c>
      <x:c r="P623" s="73" t="n">
        <x:f aca="0">LUCK!E46</x:f>
        <x:v>6941.172</x:v>
      </x:c>
      <x:c r="Q623" s="70" t="str">
        <x:f aca="0">IF(ABS(O623-P623)&lt;0.000001,"PASS","FAIL")</x:f>
        <x:v>PASS</x:v>
      </x:c>
      <x:c r="R623" s="70" t="s">
        <x:v>34</x:v>
      </x:c>
      <x:c r="S623" s="70"/>
    </x:row>
    <x:row r="624" ht="15" hidden="0">
      <x:c r="A624" s="70" t="s">
        <x:v>1801</x:v>
      </x:c>
      <x:c r="B624" s="70" t="s">
        <x:v>31</x:v>
      </x:c>
      <x:c r="C624" s="70" t="s">
        <x:v>75</x:v>
      </x:c>
      <x:c r="D624" s="70" t="s">
        <x:v>345</x:v>
      </x:c>
      <x:c r="E624" s="70" t="s">
        <x:v>1129</x:v>
      </x:c>
      <x:c r="F624" s="70" t="s">
        <x:v>1798</x:v>
      </x:c>
      <x:c r="G624" s="70" t="s">
        <x:v>1672</x:v>
      </x:c>
      <x:c r="H624" s="70" t="s">
        <x:v>1211</x:v>
      </x:c>
      <x:c r="I624" s="70" t="s">
        <x:v>1199</x:v>
      </x:c>
      <x:c r="J624" s="70" t="n">
        <x:v>238</x:v>
      </x:c>
      <x:c r="K624" s="70" t="s">
        <x:v>1673</x:v>
      </x:c>
      <x:c r="L624" s="70"/>
      <x:c r="M624" s="70" t="s">
        <x:v>35</x:v>
      </x:c>
      <x:c r="N624" s="71" t="n">
        <x:v>10025499</x:v>
      </x:c>
      <x:c r="O624" s="72" t="n">
        <x:f aca="0">N624/1000</x:f>
        <x:v>10025.499</x:v>
      </x:c>
      <x:c r="P624" s="73" t="n">
        <x:f aca="0">LUCK!F46</x:f>
        <x:v>10025.499</x:v>
      </x:c>
      <x:c r="Q624" s="70" t="str">
        <x:f aca="0">IF(ABS(O624-P624)&lt;0.000001,"PASS","FAIL")</x:f>
        <x:v>PASS</x:v>
      </x:c>
      <x:c r="R624" s="70" t="s">
        <x:v>34</x:v>
      </x:c>
      <x:c r="S624" s="70"/>
    </x:row>
    <x:row r="625" ht="15" hidden="0">
      <x:c r="A625" s="70" t="s">
        <x:v>1802</x:v>
      </x:c>
      <x:c r="B625" s="70" t="s">
        <x:v>31</x:v>
      </x:c>
      <x:c r="C625" s="70" t="s">
        <x:v>76</x:v>
      </x:c>
      <x:c r="D625" s="70" t="s">
        <x:v>345</x:v>
      </x:c>
      <x:c r="E625" s="70" t="s">
        <x:v>1129</x:v>
      </x:c>
      <x:c r="F625" s="70"/>
      <x:c r="G625" s="70" t="s">
        <x:v>1675</x:v>
      </x:c>
      <x:c r="H625" s="70" t="s">
        <x:v>1215</x:v>
      </x:c>
      <x:c r="I625" s="70" t="s">
        <x:v>1199</x:v>
      </x:c>
      <x:c r="J625" s="70" t="n">
        <x:v>240</x:v>
      </x:c>
      <x:c r="K625" s="70" t="s">
        <x:v>1676</x:v>
      </x:c>
      <x:c r="L625" s="70"/>
      <x:c r="M625" s="70" t="s">
        <x:v>35</x:v>
      </x:c>
      <x:c r="N625" s="71" t="n">
        <x:v>0</x:v>
      </x:c>
      <x:c r="O625" s="72" t="n">
        <x:f aca="0">N625/1000</x:f>
        <x:v>0</x:v>
      </x:c>
      <x:c r="P625" s="73" t="n">
        <x:f aca="0">LUCK!G46</x:f>
        <x:v>0</x:v>
      </x:c>
      <x:c r="Q625" s="70" t="str">
        <x:f aca="0">IF(ABS(O625-P625)&lt;0.000001,"PASS","FAIL")</x:f>
        <x:v>PASS</x:v>
      </x:c>
      <x:c r="R625" s="70" t="s">
        <x:v>34</x:v>
      </x:c>
      <x:c r="S625" s="70" t="s">
        <x:v>1205</x:v>
      </x:c>
    </x:row>
    <x:row r="626" ht="15" hidden="0">
      <x:c r="A626" s="70" t="s">
        <x:v>1803</x:v>
      </x:c>
      <x:c r="B626" s="70" t="s">
        <x:v>31</x:v>
      </x:c>
      <x:c r="C626" s="70" t="s">
        <x:v>77</x:v>
      </x:c>
      <x:c r="D626" s="70" t="s">
        <x:v>345</x:v>
      </x:c>
      <x:c r="E626" s="70" t="s">
        <x:v>1129</x:v>
      </x:c>
      <x:c r="F626" s="70"/>
      <x:c r="G626" s="70" t="s">
        <x:v>1675</x:v>
      </x:c>
      <x:c r="H626" s="70" t="s">
        <x:v>1215</x:v>
      </x:c>
      <x:c r="I626" s="70" t="s">
        <x:v>1218</x:v>
      </x:c>
      <x:c r="J626" s="70" t="n">
        <x:v>240</x:v>
      </x:c>
      <x:c r="K626" s="70" t="s">
        <x:v>1676</x:v>
      </x:c>
      <x:c r="L626" s="70"/>
      <x:c r="M626" s="70" t="s">
        <x:v>35</x:v>
      </x:c>
      <x:c r="N626" s="71" t="n">
        <x:v>0</x:v>
      </x:c>
      <x:c r="O626" s="72" t="n">
        <x:f aca="0">N626/1000</x:f>
        <x:v>0</x:v>
      </x:c>
      <x:c r="P626" s="73" t="n">
        <x:f aca="0">LUCK!H46</x:f>
        <x:v>0</x:v>
      </x:c>
      <x:c r="Q626" s="70" t="str">
        <x:f aca="0">IF(ABS(O626-P626)&lt;0.000001,"PASS","FAIL")</x:f>
        <x:v>PASS</x:v>
      </x:c>
      <x:c r="R626" s="70" t="s">
        <x:v>34</x:v>
      </x:c>
      <x:c r="S626" s="70"/>
    </x:row>
    <x:row r="627" ht="15" hidden="0">
      <x:c r="A627" s="70" t="s">
        <x:v>1804</x:v>
      </x:c>
      <x:c r="B627" s="70" t="s">
        <x:v>31</x:v>
      </x:c>
      <x:c r="C627" s="70" t="s">
        <x:v>1076</x:v>
      </x:c>
      <x:c r="D627" s="70" t="s">
        <x:v>347</x:v>
      </x:c>
      <x:c r="E627" s="70" t="s">
        <x:v>1129</x:v>
      </x:c>
      <x:c r="F627" s="70" t="s">
        <x:v>1805</x:v>
      </x:c>
      <x:c r="G627" s="70" t="s">
        <x:v>1663</x:v>
      </x:c>
      <x:c r="H627" s="70" t="s">
        <x:v>1198</x:v>
      </x:c>
      <x:c r="I627" s="70" t="s">
        <x:v>1199</x:v>
      </x:c>
      <x:c r="J627" s="70" t="n">
        <x:v>191</x:v>
      </x:c>
      <x:c r="K627" s="70" t="s">
        <x:v>1200</x:v>
      </x:c>
      <x:c r="L627" s="70"/>
      <x:c r="M627" s="70" t="s">
        <x:v>35</x:v>
      </x:c>
      <x:c r="N627" s="71" t="n">
        <x:v>2181919</x:v>
      </x:c>
      <x:c r="O627" s="72" t="n">
        <x:f aca="0">N627/1000</x:f>
        <x:v>2181.919</x:v>
      </x:c>
      <x:c r="P627" s="73" t="n">
        <x:f aca="0">LUCK!C47</x:f>
        <x:v>2181.919</x:v>
      </x:c>
      <x:c r="Q627" s="70" t="str">
        <x:f aca="0">IF(ABS(O627-P627)&lt;0.000001,"PASS","FAIL")</x:f>
        <x:v>PASS</x:v>
      </x:c>
      <x:c r="R627" s="70" t="s">
        <x:v>34</x:v>
      </x:c>
      <x:c r="S627" s="70"/>
    </x:row>
    <x:row r="628" ht="15" hidden="0">
      <x:c r="A628" s="70" t="s">
        <x:v>1806</x:v>
      </x:c>
      <x:c r="B628" s="70" t="s">
        <x:v>31</x:v>
      </x:c>
      <x:c r="C628" s="70" t="s">
        <x:v>73</x:v>
      </x:c>
      <x:c r="D628" s="70" t="s">
        <x:v>347</x:v>
      </x:c>
      <x:c r="E628" s="70" t="s">
        <x:v>1129</x:v>
      </x:c>
      <x:c r="F628" s="70" t="s">
        <x:v>1807</x:v>
      </x:c>
      <x:c r="G628" s="70" t="s">
        <x:v>1666</x:v>
      </x:c>
      <x:c r="H628" s="70" t="s">
        <x:v>1204</x:v>
      </x:c>
      <x:c r="I628" s="70" t="s">
        <x:v>1199</x:v>
      </x:c>
      <x:c r="J628" s="70" t="n">
        <x:v>226</x:v>
      </x:c>
      <x:c r="K628" s="70" t="s">
        <x:v>1667</x:v>
      </x:c>
      <x:c r="L628" s="70"/>
      <x:c r="M628" s="70" t="s">
        <x:v>35</x:v>
      </x:c>
      <x:c r="N628" s="71" t="n">
        <x:v>2581530</x:v>
      </x:c>
      <x:c r="O628" s="72" t="n">
        <x:f aca="0">N628/1000</x:f>
        <x:v>2581.53</x:v>
      </x:c>
      <x:c r="P628" s="73" t="n">
        <x:f aca="0">LUCK!D47</x:f>
        <x:v>2581.53</x:v>
      </x:c>
      <x:c r="Q628" s="70" t="str">
        <x:f aca="0">IF(ABS(O628-P628)&lt;0.000001,"PASS","FAIL")</x:f>
        <x:v>PASS</x:v>
      </x:c>
      <x:c r="R628" s="70" t="s">
        <x:v>34</x:v>
      </x:c>
      <x:c r="S628" s="70"/>
    </x:row>
    <x:row r="629" ht="15" hidden="0">
      <x:c r="A629" s="70" t="s">
        <x:v>1808</x:v>
      </x:c>
      <x:c r="B629" s="70" t="s">
        <x:v>31</x:v>
      </x:c>
      <x:c r="C629" s="70" t="s">
        <x:v>74</x:v>
      </x:c>
      <x:c r="D629" s="70" t="s">
        <x:v>347</x:v>
      </x:c>
      <x:c r="E629" s="70" t="s">
        <x:v>1129</x:v>
      </x:c>
      <x:c r="F629" s="70" t="s">
        <x:v>1807</x:v>
      </x:c>
      <x:c r="G629" s="70" t="s">
        <x:v>1669</x:v>
      </x:c>
      <x:c r="H629" s="70" t="s">
        <x:v>1208</x:v>
      </x:c>
      <x:c r="I629" s="70" t="s">
        <x:v>1199</x:v>
      </x:c>
      <x:c r="J629" s="70" t="n">
        <x:v>234</x:v>
      </x:c>
      <x:c r="K629" s="70" t="s">
        <x:v>1670</x:v>
      </x:c>
      <x:c r="L629" s="70"/>
      <x:c r="M629" s="70" t="s">
        <x:v>35</x:v>
      </x:c>
      <x:c r="N629" s="71" t="n">
        <x:v>2846613</x:v>
      </x:c>
      <x:c r="O629" s="72" t="n">
        <x:f aca="0">N629/1000</x:f>
        <x:v>2846.613</x:v>
      </x:c>
      <x:c r="P629" s="73" t="n">
        <x:f aca="0">LUCK!E47</x:f>
        <x:v>2846.613</x:v>
      </x:c>
      <x:c r="Q629" s="70" t="str">
        <x:f aca="0">IF(ABS(O629-P629)&lt;0.000001,"PASS","FAIL")</x:f>
        <x:v>PASS</x:v>
      </x:c>
      <x:c r="R629" s="70" t="s">
        <x:v>34</x:v>
      </x:c>
      <x:c r="S629" s="70"/>
    </x:row>
    <x:row r="630" ht="15" hidden="0">
      <x:c r="A630" s="70" t="s">
        <x:v>1809</x:v>
      </x:c>
      <x:c r="B630" s="70" t="s">
        <x:v>31</x:v>
      </x:c>
      <x:c r="C630" s="70" t="s">
        <x:v>75</x:v>
      </x:c>
      <x:c r="D630" s="70" t="s">
        <x:v>347</x:v>
      </x:c>
      <x:c r="E630" s="70" t="s">
        <x:v>1129</x:v>
      </x:c>
      <x:c r="F630" s="70" t="s">
        <x:v>1810</x:v>
      </x:c>
      <x:c r="G630" s="70" t="s">
        <x:v>1672</x:v>
      </x:c>
      <x:c r="H630" s="70" t="s">
        <x:v>1211</x:v>
      </x:c>
      <x:c r="I630" s="70" t="s">
        <x:v>1199</x:v>
      </x:c>
      <x:c r="J630" s="70" t="n">
        <x:v>238</x:v>
      </x:c>
      <x:c r="K630" s="70" t="s">
        <x:v>1673</x:v>
      </x:c>
      <x:c r="L630" s="70"/>
      <x:c r="M630" s="70" t="s">
        <x:v>35</x:v>
      </x:c>
      <x:c r="N630" s="71" t="n">
        <x:v>2827762</x:v>
      </x:c>
      <x:c r="O630" s="72" t="n">
        <x:f aca="0">N630/1000</x:f>
        <x:v>2827.762</x:v>
      </x:c>
      <x:c r="P630" s="73" t="n">
        <x:f aca="0">LUCK!F47</x:f>
        <x:v>2827.762</x:v>
      </x:c>
      <x:c r="Q630" s="70" t="str">
        <x:f aca="0">IF(ABS(O630-P630)&lt;0.000001,"PASS","FAIL")</x:f>
        <x:v>PASS</x:v>
      </x:c>
      <x:c r="R630" s="70" t="s">
        <x:v>34</x:v>
      </x:c>
      <x:c r="S630" s="70"/>
    </x:row>
    <x:row r="631" ht="15" hidden="0">
      <x:c r="A631" s="70" t="s">
        <x:v>1811</x:v>
      </x:c>
      <x:c r="B631" s="70" t="s">
        <x:v>31</x:v>
      </x:c>
      <x:c r="C631" s="70" t="s">
        <x:v>76</x:v>
      </x:c>
      <x:c r="D631" s="70" t="s">
        <x:v>347</x:v>
      </x:c>
      <x:c r="E631" s="70" t="s">
        <x:v>1129</x:v>
      </x:c>
      <x:c r="F631" s="70" t="s">
        <x:v>1812</x:v>
      </x:c>
      <x:c r="G631" s="70" t="s">
        <x:v>1675</x:v>
      </x:c>
      <x:c r="H631" s="70" t="s">
        <x:v>1215</x:v>
      </x:c>
      <x:c r="I631" s="70" t="s">
        <x:v>1199</x:v>
      </x:c>
      <x:c r="J631" s="70" t="n">
        <x:v>240</x:v>
      </x:c>
      <x:c r="K631" s="70" t="s">
        <x:v>1676</x:v>
      </x:c>
      <x:c r="L631" s="70" t="s">
        <x:v>1293</x:v>
      </x:c>
      <x:c r="M631" s="70" t="s">
        <x:v>35</x:v>
      </x:c>
      <x:c r="N631" s="71" t="n">
        <x:v>17541648</x:v>
      </x:c>
      <x:c r="O631" s="72" t="n">
        <x:f aca="0">N631/1000</x:f>
        <x:v>17541.648</x:v>
      </x:c>
      <x:c r="P631" s="73" t="n">
        <x:f aca="0">LUCK!G47</x:f>
        <x:v>17541.648</x:v>
      </x:c>
      <x:c r="Q631" s="70" t="str">
        <x:f aca="0">IF(ABS(O631-P631)&lt;0.000001,"PASS","FAIL")</x:f>
        <x:v>PASS</x:v>
      </x:c>
      <x:c r="R631" s="70" t="s">
        <x:v>34</x:v>
      </x:c>
      <x:c r="S631" s="70" t="s">
        <x:v>1205</x:v>
      </x:c>
    </x:row>
    <x:row r="632" ht="15" hidden="0">
      <x:c r="A632" s="70" t="s">
        <x:v>1813</x:v>
      </x:c>
      <x:c r="B632" s="70" t="s">
        <x:v>31</x:v>
      </x:c>
      <x:c r="C632" s="70" t="s">
        <x:v>77</x:v>
      </x:c>
      <x:c r="D632" s="70" t="s">
        <x:v>347</x:v>
      </x:c>
      <x:c r="E632" s="70" t="s">
        <x:v>1129</x:v>
      </x:c>
      <x:c r="F632" s="70" t="s">
        <x:v>1812</x:v>
      </x:c>
      <x:c r="G632" s="70" t="s">
        <x:v>1675</x:v>
      </x:c>
      <x:c r="H632" s="70" t="s">
        <x:v>1215</x:v>
      </x:c>
      <x:c r="I632" s="70" t="s">
        <x:v>1218</x:v>
      </x:c>
      <x:c r="J632" s="70" t="n">
        <x:v>240</x:v>
      </x:c>
      <x:c r="K632" s="70" t="s">
        <x:v>1676</x:v>
      </x:c>
      <x:c r="L632" s="70" t="s">
        <x:v>1293</x:v>
      </x:c>
      <x:c r="M632" s="70" t="s">
        <x:v>35</x:v>
      </x:c>
      <x:c r="N632" s="71" t="n">
        <x:v>21629074</x:v>
      </x:c>
      <x:c r="O632" s="72" t="n">
        <x:f aca="0">N632/1000</x:f>
        <x:v>21629.074</x:v>
      </x:c>
      <x:c r="P632" s="73" t="n">
        <x:f aca="0">LUCK!H47</x:f>
        <x:v>21629.074</x:v>
      </x:c>
      <x:c r="Q632" s="70" t="str">
        <x:f aca="0">IF(ABS(O632-P632)&lt;0.000001,"PASS","FAIL")</x:f>
        <x:v>PASS</x:v>
      </x:c>
      <x:c r="R632" s="70" t="s">
        <x:v>34</x:v>
      </x:c>
      <x:c r="S632" s="70"/>
    </x:row>
    <x:row r="633" ht="15" hidden="0">
      <x:c r="A633" s="70" t="s">
        <x:v>1814</x:v>
      </x:c>
      <x:c r="B633" s="70" t="s">
        <x:v>31</x:v>
      </x:c>
      <x:c r="C633" s="70" t="s">
        <x:v>1076</x:v>
      </x:c>
      <x:c r="D633" s="70" t="s">
        <x:v>352</x:v>
      </x:c>
      <x:c r="E633" s="70" t="s">
        <x:v>1129</x:v>
      </x:c>
      <x:c r="F633" s="70" t="s">
        <x:v>352</x:v>
      </x:c>
      <x:c r="G633" s="70" t="s">
        <x:v>1663</x:v>
      </x:c>
      <x:c r="H633" s="70" t="s">
        <x:v>1198</x:v>
      </x:c>
      <x:c r="I633" s="70" t="s">
        <x:v>1199</x:v>
      </x:c>
      <x:c r="J633" s="70" t="n">
        <x:v>191</x:v>
      </x:c>
      <x:c r="K633" s="70" t="s">
        <x:v>1200</x:v>
      </x:c>
      <x:c r="L633" s="70" t="s">
        <x:v>1301</x:v>
      </x:c>
      <x:c r="M633" s="70" t="s">
        <x:v>35</x:v>
      </x:c>
      <x:c r="N633" s="71" t="n">
        <x:v>19354794</x:v>
      </x:c>
      <x:c r="O633" s="72" t="n">
        <x:f aca="0">N633/1000</x:f>
        <x:v>19354.794</x:v>
      </x:c>
      <x:c r="P633" s="73" t="n">
        <x:f aca="0">LUCK!C50</x:f>
        <x:v>19354.794</x:v>
      </x:c>
      <x:c r="Q633" s="70" t="str">
        <x:f aca="0">IF(ABS(O633-P633)&lt;0.000001,"PASS","FAIL")</x:f>
        <x:v>PASS</x:v>
      </x:c>
      <x:c r="R633" s="70" t="s">
        <x:v>34</x:v>
      </x:c>
      <x:c r="S633" s="70"/>
    </x:row>
    <x:row r="634" ht="15" hidden="0">
      <x:c r="A634" s="70" t="s">
        <x:v>1815</x:v>
      </x:c>
      <x:c r="B634" s="70" t="s">
        <x:v>31</x:v>
      </x:c>
      <x:c r="C634" s="70" t="s">
        <x:v>73</x:v>
      </x:c>
      <x:c r="D634" s="70" t="s">
        <x:v>352</x:v>
      </x:c>
      <x:c r="E634" s="70" t="s">
        <x:v>1129</x:v>
      </x:c>
      <x:c r="F634" s="70" t="s">
        <x:v>352</x:v>
      </x:c>
      <x:c r="G634" s="70" t="s">
        <x:v>1666</x:v>
      </x:c>
      <x:c r="H634" s="70" t="s">
        <x:v>1204</x:v>
      </x:c>
      <x:c r="I634" s="70" t="s">
        <x:v>1199</x:v>
      </x:c>
      <x:c r="J634" s="70" t="n">
        <x:v>226</x:v>
      </x:c>
      <x:c r="K634" s="70" t="s">
        <x:v>1667</x:v>
      </x:c>
      <x:c r="L634" s="70" t="s">
        <x:v>1301</x:v>
      </x:c>
      <x:c r="M634" s="70" t="s">
        <x:v>35</x:v>
      </x:c>
      <x:c r="N634" s="71" t="n">
        <x:v>20789760</x:v>
      </x:c>
      <x:c r="O634" s="72" t="n">
        <x:f aca="0">N634/1000</x:f>
        <x:v>20789.76</x:v>
      </x:c>
      <x:c r="P634" s="73" t="n">
        <x:f aca="0">LUCK!D50</x:f>
        <x:v>20789.76</x:v>
      </x:c>
      <x:c r="Q634" s="70" t="str">
        <x:f aca="0">IF(ABS(O634-P634)&lt;0.000001,"PASS","FAIL")</x:f>
        <x:v>PASS</x:v>
      </x:c>
      <x:c r="R634" s="70" t="s">
        <x:v>34</x:v>
      </x:c>
      <x:c r="S634" s="70"/>
    </x:row>
    <x:row r="635" ht="15" hidden="0">
      <x:c r="A635" s="70" t="s">
        <x:v>1816</x:v>
      </x:c>
      <x:c r="B635" s="70" t="s">
        <x:v>31</x:v>
      </x:c>
      <x:c r="C635" s="70" t="s">
        <x:v>74</x:v>
      </x:c>
      <x:c r="D635" s="70" t="s">
        <x:v>352</x:v>
      </x:c>
      <x:c r="E635" s="70" t="s">
        <x:v>1129</x:v>
      </x:c>
      <x:c r="F635" s="70" t="s">
        <x:v>352</x:v>
      </x:c>
      <x:c r="G635" s="70" t="s">
        <x:v>1669</x:v>
      </x:c>
      <x:c r="H635" s="70" t="s">
        <x:v>1208</x:v>
      </x:c>
      <x:c r="I635" s="70" t="s">
        <x:v>1199</x:v>
      </x:c>
      <x:c r="J635" s="70" t="n">
        <x:v>234</x:v>
      </x:c>
      <x:c r="K635" s="70" t="s">
        <x:v>1670</x:v>
      </x:c>
      <x:c r="L635" s="70" t="s">
        <x:v>1301</x:v>
      </x:c>
      <x:c r="M635" s="70" t="s">
        <x:v>35</x:v>
      </x:c>
      <x:c r="N635" s="71" t="n">
        <x:v>23191483</x:v>
      </x:c>
      <x:c r="O635" s="72" t="n">
        <x:f aca="0">N635/1000</x:f>
        <x:v>23191.483</x:v>
      </x:c>
      <x:c r="P635" s="73" t="n">
        <x:f aca="0">LUCK!E50</x:f>
        <x:v>23191.483</x:v>
      </x:c>
      <x:c r="Q635" s="70" t="str">
        <x:f aca="0">IF(ABS(O635-P635)&lt;0.000001,"PASS","FAIL")</x:f>
        <x:v>PASS</x:v>
      </x:c>
      <x:c r="R635" s="70" t="s">
        <x:v>34</x:v>
      </x:c>
      <x:c r="S635" s="70"/>
    </x:row>
    <x:row r="636" ht="15" hidden="0">
      <x:c r="A636" s="70" t="s">
        <x:v>1817</x:v>
      </x:c>
      <x:c r="B636" s="70" t="s">
        <x:v>31</x:v>
      </x:c>
      <x:c r="C636" s="70" t="s">
        <x:v>75</x:v>
      </x:c>
      <x:c r="D636" s="70" t="s">
        <x:v>352</x:v>
      </x:c>
      <x:c r="E636" s="70" t="s">
        <x:v>1129</x:v>
      </x:c>
      <x:c r="F636" s="70" t="s">
        <x:v>352</x:v>
      </x:c>
      <x:c r="G636" s="70" t="s">
        <x:v>1672</x:v>
      </x:c>
      <x:c r="H636" s="70" t="s">
        <x:v>1211</x:v>
      </x:c>
      <x:c r="I636" s="70" t="s">
        <x:v>1199</x:v>
      </x:c>
      <x:c r="J636" s="70" t="n">
        <x:v>238</x:v>
      </x:c>
      <x:c r="K636" s="70" t="s">
        <x:v>1673</x:v>
      </x:c>
      <x:c r="L636" s="70" t="s">
        <x:v>1301</x:v>
      </x:c>
      <x:c r="M636" s="70" t="s">
        <x:v>35</x:v>
      </x:c>
      <x:c r="N636" s="71" t="n">
        <x:v>29918702</x:v>
      </x:c>
      <x:c r="O636" s="72" t="n">
        <x:f aca="0">N636/1000</x:f>
        <x:v>29918.702</x:v>
      </x:c>
      <x:c r="P636" s="73" t="n">
        <x:f aca="0">LUCK!F50</x:f>
        <x:v>29918.702</x:v>
      </x:c>
      <x:c r="Q636" s="70" t="str">
        <x:f aca="0">IF(ABS(O636-P636)&lt;0.000001,"PASS","FAIL")</x:f>
        <x:v>PASS</x:v>
      </x:c>
      <x:c r="R636" s="70" t="s">
        <x:v>34</x:v>
      </x:c>
      <x:c r="S636" s="70"/>
    </x:row>
    <x:row r="637" ht="15" hidden="0">
      <x:c r="A637" s="70" t="s">
        <x:v>1818</x:v>
      </x:c>
      <x:c r="B637" s="70" t="s">
        <x:v>31</x:v>
      </x:c>
      <x:c r="C637" s="70" t="s">
        <x:v>76</x:v>
      </x:c>
      <x:c r="D637" s="70" t="s">
        <x:v>352</x:v>
      </x:c>
      <x:c r="E637" s="70" t="s">
        <x:v>1129</x:v>
      </x:c>
      <x:c r="F637" s="70" t="s">
        <x:v>352</x:v>
      </x:c>
      <x:c r="G637" s="70" t="s">
        <x:v>1675</x:v>
      </x:c>
      <x:c r="H637" s="70" t="s">
        <x:v>1215</x:v>
      </x:c>
      <x:c r="I637" s="70" t="s">
        <x:v>1199</x:v>
      </x:c>
      <x:c r="J637" s="70" t="n">
        <x:v>240</x:v>
      </x:c>
      <x:c r="K637" s="70" t="s">
        <x:v>1676</x:v>
      </x:c>
      <x:c r="L637" s="70" t="s">
        <x:v>1299</x:v>
      </x:c>
      <x:c r="M637" s="70" t="s">
        <x:v>35</x:v>
      </x:c>
      <x:c r="N637" s="71" t="n">
        <x:v>30006625</x:v>
      </x:c>
      <x:c r="O637" s="72" t="n">
        <x:f aca="0">N637/1000</x:f>
        <x:v>30006.625</x:v>
      </x:c>
      <x:c r="P637" s="73" t="n">
        <x:f aca="0">LUCK!G50</x:f>
        <x:v>30006.625</x:v>
      </x:c>
      <x:c r="Q637" s="70" t="str">
        <x:f aca="0">IF(ABS(O637-P637)&lt;0.000001,"PASS","FAIL")</x:f>
        <x:v>PASS</x:v>
      </x:c>
      <x:c r="R637" s="70" t="s">
        <x:v>34</x:v>
      </x:c>
      <x:c r="S637" s="70"/>
    </x:row>
    <x:row r="638" ht="15" hidden="0">
      <x:c r="A638" s="70" t="s">
        <x:v>1819</x:v>
      </x:c>
      <x:c r="B638" s="70" t="s">
        <x:v>31</x:v>
      </x:c>
      <x:c r="C638" s="70" t="s">
        <x:v>77</x:v>
      </x:c>
      <x:c r="D638" s="70" t="s">
        <x:v>352</x:v>
      </x:c>
      <x:c r="E638" s="70" t="s">
        <x:v>1129</x:v>
      </x:c>
      <x:c r="F638" s="70" t="s">
        <x:v>352</x:v>
      </x:c>
      <x:c r="G638" s="70" t="s">
        <x:v>1675</x:v>
      </x:c>
      <x:c r="H638" s="70" t="s">
        <x:v>1215</x:v>
      </x:c>
      <x:c r="I638" s="70" t="s">
        <x:v>1218</x:v>
      </x:c>
      <x:c r="J638" s="70" t="n">
        <x:v>240</x:v>
      </x:c>
      <x:c r="K638" s="70" t="s">
        <x:v>1676</x:v>
      </x:c>
      <x:c r="L638" s="70" t="s">
        <x:v>1299</x:v>
      </x:c>
      <x:c r="M638" s="70" t="s">
        <x:v>35</x:v>
      </x:c>
      <x:c r="N638" s="71" t="n">
        <x:v>27300919</x:v>
      </x:c>
      <x:c r="O638" s="72" t="n">
        <x:f aca="0">N638/1000</x:f>
        <x:v>27300.919</x:v>
      </x:c>
      <x:c r="P638" s="73" t="n">
        <x:f aca="0">LUCK!H50</x:f>
        <x:v>27300.919</x:v>
      </x:c>
      <x:c r="Q638" s="70" t="str">
        <x:f aca="0">IF(ABS(O638-P638)&lt;0.000001,"PASS","FAIL")</x:f>
        <x:v>PASS</x:v>
      </x:c>
      <x:c r="R638" s="70" t="s">
        <x:v>34</x:v>
      </x:c>
      <x:c r="S638" s="70"/>
    </x:row>
    <x:row r="639" ht="15" hidden="0">
      <x:c r="A639" s="70" t="s">
        <x:v>1820</x:v>
      </x:c>
      <x:c r="B639" s="70" t="s">
        <x:v>31</x:v>
      </x:c>
      <x:c r="C639" s="70" t="s">
        <x:v>1076</x:v>
      </x:c>
      <x:c r="D639" s="70" t="s">
        <x:v>1375</x:v>
      </x:c>
      <x:c r="E639" s="70" t="s">
        <x:v>1221</x:v>
      </x:c>
      <x:c r="F639" s="70" t="s">
        <x:v>1821</x:v>
      </x:c>
      <x:c r="G639" s="70" t="s">
        <x:v>1663</x:v>
      </x:c>
      <x:c r="H639" s="70" t="s">
        <x:v>1198</x:v>
      </x:c>
      <x:c r="I639" s="70" t="s">
        <x:v>1199</x:v>
      </x:c>
      <x:c r="J639" s="70" t="n">
        <x:v>216</x:v>
      </x:c>
      <x:c r="K639" s="70" t="s">
        <x:v>1200</x:v>
      </x:c>
      <x:c r="L639" s="70"/>
      <x:c r="M639" s="70" t="s">
        <x:v>35</x:v>
      </x:c>
      <x:c r="N639" s="71" t="n">
        <x:v>2599290</x:v>
      </x:c>
      <x:c r="O639" s="72" t="n">
        <x:f aca="0">N639/1000</x:f>
        <x:v>2599.29</x:v>
      </x:c>
      <x:c r="P639" s="73" t="n">
        <x:f aca="0">LUCK!C51</x:f>
        <x:v>2599.29</x:v>
      </x:c>
      <x:c r="Q639" s="70" t="str">
        <x:f aca="0">IF(ABS(O639-P639)&lt;0.000001,"PASS","FAIL")</x:f>
        <x:v>PASS</x:v>
      </x:c>
      <x:c r="R639" s="70" t="s">
        <x:v>34</x:v>
      </x:c>
      <x:c r="S639" s="70"/>
    </x:row>
    <x:row r="640" ht="15" hidden="0">
      <x:c r="A640" s="70" t="s">
        <x:v>1822</x:v>
      </x:c>
      <x:c r="B640" s="70" t="s">
        <x:v>31</x:v>
      </x:c>
      <x:c r="C640" s="70" t="s">
        <x:v>73</x:v>
      </x:c>
      <x:c r="D640" s="70" t="s">
        <x:v>1375</x:v>
      </x:c>
      <x:c r="E640" s="70" t="s">
        <x:v>1221</x:v>
      </x:c>
      <x:c r="F640" s="70" t="s">
        <x:v>1821</x:v>
      </x:c>
      <x:c r="G640" s="70" t="s">
        <x:v>1666</x:v>
      </x:c>
      <x:c r="H640" s="70" t="s">
        <x:v>1204</x:v>
      </x:c>
      <x:c r="I640" s="70" t="s">
        <x:v>1199</x:v>
      </x:c>
      <x:c r="J640" s="70" t="n">
        <x:v>252</x:v>
      </x:c>
      <x:c r="K640" s="70" t="s">
        <x:v>1686</x:v>
      </x:c>
      <x:c r="L640" s="70"/>
      <x:c r="M640" s="70" t="s">
        <x:v>35</x:v>
      </x:c>
      <x:c r="N640" s="71" t="n">
        <x:v>2882434</x:v>
      </x:c>
      <x:c r="O640" s="72" t="n">
        <x:f aca="0">N640/1000</x:f>
        <x:v>2882.434</x:v>
      </x:c>
      <x:c r="P640" s="73" t="n">
        <x:f aca="0">LUCK!D51</x:f>
        <x:v>2882.434</x:v>
      </x:c>
      <x:c r="Q640" s="70" t="str">
        <x:f aca="0">IF(ABS(O640-P640)&lt;0.000001,"PASS","FAIL")</x:f>
        <x:v>PASS</x:v>
      </x:c>
      <x:c r="R640" s="70" t="s">
        <x:v>34</x:v>
      </x:c>
      <x:c r="S640" s="70"/>
    </x:row>
    <x:row r="641" ht="15" hidden="0">
      <x:c r="A641" s="70" t="s">
        <x:v>1823</x:v>
      </x:c>
      <x:c r="B641" s="70" t="s">
        <x:v>31</x:v>
      </x:c>
      <x:c r="C641" s="70" t="s">
        <x:v>74</x:v>
      </x:c>
      <x:c r="D641" s="70" t="s">
        <x:v>1375</x:v>
      </x:c>
      <x:c r="E641" s="70" t="s">
        <x:v>1221</x:v>
      </x:c>
      <x:c r="F641" s="70" t="s">
        <x:v>1821</x:v>
      </x:c>
      <x:c r="G641" s="70" t="s">
        <x:v>1669</x:v>
      </x:c>
      <x:c r="H641" s="70" t="s">
        <x:v>1208</x:v>
      </x:c>
      <x:c r="I641" s="70" t="s">
        <x:v>1199</x:v>
      </x:c>
      <x:c r="J641" s="70" t="n">
        <x:v>260</x:v>
      </x:c>
      <x:c r="K641" s="70" t="s">
        <x:v>1824</x:v>
      </x:c>
      <x:c r="L641" s="70"/>
      <x:c r="M641" s="70" t="s">
        <x:v>35</x:v>
      </x:c>
      <x:c r="N641" s="71" t="n">
        <x:v>3352998</x:v>
      </x:c>
      <x:c r="O641" s="72" t="n">
        <x:f aca="0">N641/1000</x:f>
        <x:v>3352.998</x:v>
      </x:c>
      <x:c r="P641" s="73" t="n">
        <x:f aca="0">LUCK!E51</x:f>
        <x:v>3352.998</x:v>
      </x:c>
      <x:c r="Q641" s="70" t="str">
        <x:f aca="0">IF(ABS(O641-P641)&lt;0.000001,"PASS","FAIL")</x:f>
        <x:v>PASS</x:v>
      </x:c>
      <x:c r="R641" s="70" t="s">
        <x:v>34</x:v>
      </x:c>
      <x:c r="S641" s="70"/>
    </x:row>
    <x:row r="642" ht="15" hidden="0">
      <x:c r="A642" s="70" t="s">
        <x:v>1825</x:v>
      </x:c>
      <x:c r="B642" s="70" t="s">
        <x:v>31</x:v>
      </x:c>
      <x:c r="C642" s="70" t="s">
        <x:v>75</x:v>
      </x:c>
      <x:c r="D642" s="70" t="s">
        <x:v>1375</x:v>
      </x:c>
      <x:c r="E642" s="70" t="s">
        <x:v>1221</x:v>
      </x:c>
      <x:c r="F642" s="70" t="s">
        <x:v>1821</x:v>
      </x:c>
      <x:c r="G642" s="70" t="s">
        <x:v>1672</x:v>
      </x:c>
      <x:c r="H642" s="70" t="s">
        <x:v>1211</x:v>
      </x:c>
      <x:c r="I642" s="70" t="s">
        <x:v>1199</x:v>
      </x:c>
      <x:c r="J642" s="70" t="n">
        <x:v>265</x:v>
      </x:c>
      <x:c r="K642" s="70" t="s">
        <x:v>1826</x:v>
      </x:c>
      <x:c r="L642" s="70"/>
      <x:c r="M642" s="70" t="s">
        <x:v>35</x:v>
      </x:c>
      <x:c r="N642" s="71" t="n">
        <x:v>5030546</x:v>
      </x:c>
      <x:c r="O642" s="72" t="n">
        <x:f aca="0">N642/1000</x:f>
        <x:v>5030.546</x:v>
      </x:c>
      <x:c r="P642" s="73" t="n">
        <x:f aca="0">LUCK!F51</x:f>
        <x:v>5030.546</x:v>
      </x:c>
      <x:c r="Q642" s="70" t="str">
        <x:f aca="0">IF(ABS(O642-P642)&lt;0.000001,"PASS","FAIL")</x:f>
        <x:v>PASS</x:v>
      </x:c>
      <x:c r="R642" s="70" t="s">
        <x:v>34</x:v>
      </x:c>
      <x:c r="S642" s="70"/>
    </x:row>
    <x:row r="643" ht="15" hidden="0">
      <x:c r="A643" s="70" t="s">
        <x:v>1827</x:v>
      </x:c>
      <x:c r="B643" s="70" t="s">
        <x:v>31</x:v>
      </x:c>
      <x:c r="C643" s="70" t="s">
        <x:v>76</x:v>
      </x:c>
      <x:c r="D643" s="70" t="s">
        <x:v>1375</x:v>
      </x:c>
      <x:c r="E643" s="70" t="s">
        <x:v>1221</x:v>
      </x:c>
      <x:c r="F643" s="70" t="s">
        <x:v>1821</x:v>
      </x:c>
      <x:c r="G643" s="70" t="s">
        <x:v>1675</x:v>
      </x:c>
      <x:c r="H643" s="70" t="s">
        <x:v>1215</x:v>
      </x:c>
      <x:c r="I643" s="70" t="s">
        <x:v>1199</x:v>
      </x:c>
      <x:c r="J643" s="70" t="n">
        <x:v>267</x:v>
      </x:c>
      <x:c r="K643" s="70" t="s">
        <x:v>1200</x:v>
      </x:c>
      <x:c r="L643" s="70"/>
      <x:c r="M643" s="70" t="s">
        <x:v>35</x:v>
      </x:c>
      <x:c r="N643" s="71" t="n">
        <x:v>7172144</x:v>
      </x:c>
      <x:c r="O643" s="72" t="n">
        <x:f aca="0">N643/1000</x:f>
        <x:v>7172.144</x:v>
      </x:c>
      <x:c r="P643" s="73" t="n">
        <x:f aca="0">LUCK!G51</x:f>
        <x:v>7172.144</x:v>
      </x:c>
      <x:c r="Q643" s="70" t="str">
        <x:f aca="0">IF(ABS(O643-P643)&lt;0.000001,"PASS","FAIL")</x:f>
        <x:v>PASS</x:v>
      </x:c>
      <x:c r="R643" s="70" t="s">
        <x:v>34</x:v>
      </x:c>
      <x:c r="S643" s="70"/>
    </x:row>
    <x:row r="644" ht="15" hidden="0">
      <x:c r="A644" s="70" t="s">
        <x:v>1828</x:v>
      </x:c>
      <x:c r="B644" s="70" t="s">
        <x:v>31</x:v>
      </x:c>
      <x:c r="C644" s="70" t="s">
        <x:v>77</x:v>
      </x:c>
      <x:c r="D644" s="70" t="s">
        <x:v>1375</x:v>
      </x:c>
      <x:c r="E644" s="70" t="s">
        <x:v>1221</x:v>
      </x:c>
      <x:c r="F644" s="70" t="s">
        <x:v>1821</x:v>
      </x:c>
      <x:c r="G644" s="70" t="s">
        <x:v>1675</x:v>
      </x:c>
      <x:c r="H644" s="70" t="s">
        <x:v>1215</x:v>
      </x:c>
      <x:c r="I644" s="70" t="s">
        <x:v>1218</x:v>
      </x:c>
      <x:c r="J644" s="70" t="n">
        <x:v>267</x:v>
      </x:c>
      <x:c r="K644" s="70" t="s">
        <x:v>1200</x:v>
      </x:c>
      <x:c r="L644" s="70"/>
      <x:c r="M644" s="70" t="s">
        <x:v>35</x:v>
      </x:c>
      <x:c r="N644" s="71" t="n">
        <x:v>6426975</x:v>
      </x:c>
      <x:c r="O644" s="72" t="n">
        <x:f aca="0">N644/1000</x:f>
        <x:v>6426.975</x:v>
      </x:c>
      <x:c r="P644" s="73" t="n">
        <x:f aca="0">LUCK!H51</x:f>
        <x:v>6426.975</x:v>
      </x:c>
      <x:c r="Q644" s="70" t="str">
        <x:f aca="0">IF(ABS(O644-P644)&lt;0.000001,"PASS","FAIL")</x:f>
        <x:v>PASS</x:v>
      </x:c>
      <x:c r="R644" s="70" t="s">
        <x:v>34</x:v>
      </x:c>
      <x:c r="S644" s="70"/>
    </x:row>
    <x:row r="645" ht="15" hidden="0">
      <x:c r="A645" s="70" t="s">
        <x:v>1829</x:v>
      </x:c>
      <x:c r="B645" s="70" t="s">
        <x:v>31</x:v>
      </x:c>
      <x:c r="C645" s="70" t="s">
        <x:v>1076</x:v>
      </x:c>
      <x:c r="D645" s="70" t="s">
        <x:v>356</x:v>
      </x:c>
      <x:c r="E645" s="70" t="s">
        <x:v>1129</x:v>
      </x:c>
      <x:c r="F645" s="70"/>
      <x:c r="G645" s="70" t="s">
        <x:v>1663</x:v>
      </x:c>
      <x:c r="H645" s="70" t="s">
        <x:v>1198</x:v>
      </x:c>
      <x:c r="I645" s="70" t="s">
        <x:v>1199</x:v>
      </x:c>
      <x:c r="J645" s="70" t="n">
        <x:v>191</x:v>
      </x:c>
      <x:c r="K645" s="70" t="s">
        <x:v>1200</x:v>
      </x:c>
      <x:c r="L645" s="70"/>
      <x:c r="M645" s="70" t="s">
        <x:v>35</x:v>
      </x:c>
      <x:c r="N645" s="71" t="n">
        <x:v>0</x:v>
      </x:c>
      <x:c r="O645" s="72" t="n">
        <x:f aca="0">N645/1000</x:f>
        <x:v>0</x:v>
      </x:c>
      <x:c r="P645" s="73" t="n">
        <x:f aca="0">LUCK!C52</x:f>
        <x:v>0</x:v>
      </x:c>
      <x:c r="Q645" s="70" t="str">
        <x:f aca="0">IF(ABS(O645-P645)&lt;0.000001,"PASS","FAIL")</x:f>
        <x:v>PASS</x:v>
      </x:c>
      <x:c r="R645" s="70" t="s">
        <x:v>34</x:v>
      </x:c>
      <x:c r="S645" s="70"/>
    </x:row>
    <x:row r="646" ht="15" hidden="0">
      <x:c r="A646" s="70" t="s">
        <x:v>1830</x:v>
      </x:c>
      <x:c r="B646" s="70" t="s">
        <x:v>31</x:v>
      </x:c>
      <x:c r="C646" s="70" t="s">
        <x:v>73</x:v>
      </x:c>
      <x:c r="D646" s="70" t="s">
        <x:v>356</x:v>
      </x:c>
      <x:c r="E646" s="70" t="s">
        <x:v>1129</x:v>
      </x:c>
      <x:c r="F646" s="70"/>
      <x:c r="G646" s="70" t="s">
        <x:v>1666</x:v>
      </x:c>
      <x:c r="H646" s="70" t="s">
        <x:v>1204</x:v>
      </x:c>
      <x:c r="I646" s="70" t="s">
        <x:v>1199</x:v>
      </x:c>
      <x:c r="J646" s="70" t="n">
        <x:v>226</x:v>
      </x:c>
      <x:c r="K646" s="70" t="s">
        <x:v>1667</x:v>
      </x:c>
      <x:c r="L646" s="70"/>
      <x:c r="M646" s="70" t="s">
        <x:v>35</x:v>
      </x:c>
      <x:c r="N646" s="71" t="n">
        <x:v>0</x:v>
      </x:c>
      <x:c r="O646" s="72" t="n">
        <x:f aca="0">N646/1000</x:f>
        <x:v>0</x:v>
      </x:c>
      <x:c r="P646" s="73" t="n">
        <x:f aca="0">LUCK!D52</x:f>
        <x:v>0</x:v>
      </x:c>
      <x:c r="Q646" s="70" t="str">
        <x:f aca="0">IF(ABS(O646-P646)&lt;0.000001,"PASS","FAIL")</x:f>
        <x:v>PASS</x:v>
      </x:c>
      <x:c r="R646" s="70" t="s">
        <x:v>34</x:v>
      </x:c>
      <x:c r="S646" s="70"/>
    </x:row>
    <x:row r="647" ht="15" hidden="0">
      <x:c r="A647" s="70" t="s">
        <x:v>1831</x:v>
      </x:c>
      <x:c r="B647" s="70" t="s">
        <x:v>31</x:v>
      </x:c>
      <x:c r="C647" s="70" t="s">
        <x:v>74</x:v>
      </x:c>
      <x:c r="D647" s="70" t="s">
        <x:v>356</x:v>
      </x:c>
      <x:c r="E647" s="70" t="s">
        <x:v>1129</x:v>
      </x:c>
      <x:c r="F647" s="70"/>
      <x:c r="G647" s="70" t="s">
        <x:v>1669</x:v>
      </x:c>
      <x:c r="H647" s="70" t="s">
        <x:v>1208</x:v>
      </x:c>
      <x:c r="I647" s="70" t="s">
        <x:v>1199</x:v>
      </x:c>
      <x:c r="J647" s="70" t="n">
        <x:v>234</x:v>
      </x:c>
      <x:c r="K647" s="70" t="s">
        <x:v>1670</x:v>
      </x:c>
      <x:c r="L647" s="70"/>
      <x:c r="M647" s="70" t="s">
        <x:v>35</x:v>
      </x:c>
      <x:c r="N647" s="71" t="n">
        <x:v>0</x:v>
      </x:c>
      <x:c r="O647" s="72" t="n">
        <x:f aca="0">N647/1000</x:f>
        <x:v>0</x:v>
      </x:c>
      <x:c r="P647" s="73" t="n">
        <x:f aca="0">LUCK!E52</x:f>
        <x:v>0</x:v>
      </x:c>
      <x:c r="Q647" s="70" t="str">
        <x:f aca="0">IF(ABS(O647-P647)&lt;0.000001,"PASS","FAIL")</x:f>
        <x:v>PASS</x:v>
      </x:c>
      <x:c r="R647" s="70" t="s">
        <x:v>34</x:v>
      </x:c>
      <x:c r="S647" s="70"/>
    </x:row>
    <x:row r="648" ht="15" hidden="0">
      <x:c r="A648" s="70" t="s">
        <x:v>1832</x:v>
      </x:c>
      <x:c r="B648" s="70" t="s">
        <x:v>31</x:v>
      </x:c>
      <x:c r="C648" s="70" t="s">
        <x:v>75</x:v>
      </x:c>
      <x:c r="D648" s="70" t="s">
        <x:v>356</x:v>
      </x:c>
      <x:c r="E648" s="70" t="s">
        <x:v>1129</x:v>
      </x:c>
      <x:c r="F648" s="70"/>
      <x:c r="G648" s="70" t="s">
        <x:v>1672</x:v>
      </x:c>
      <x:c r="H648" s="70" t="s">
        <x:v>1211</x:v>
      </x:c>
      <x:c r="I648" s="70" t="s">
        <x:v>1199</x:v>
      </x:c>
      <x:c r="J648" s="70" t="n">
        <x:v>238</x:v>
      </x:c>
      <x:c r="K648" s="70" t="s">
        <x:v>1673</x:v>
      </x:c>
      <x:c r="L648" s="70"/>
      <x:c r="M648" s="70" t="s">
        <x:v>35</x:v>
      </x:c>
      <x:c r="N648" s="71" t="n">
        <x:v>0</x:v>
      </x:c>
      <x:c r="O648" s="72" t="n">
        <x:f aca="0">N648/1000</x:f>
        <x:v>0</x:v>
      </x:c>
      <x:c r="P648" s="73" t="n">
        <x:f aca="0">LUCK!F52</x:f>
        <x:v>0</x:v>
      </x:c>
      <x:c r="Q648" s="70" t="str">
        <x:f aca="0">IF(ABS(O648-P648)&lt;0.000001,"PASS","FAIL")</x:f>
        <x:v>PASS</x:v>
      </x:c>
      <x:c r="R648" s="70" t="s">
        <x:v>34</x:v>
      </x:c>
      <x:c r="S648" s="70"/>
    </x:row>
    <x:row r="649" ht="15" hidden="0">
      <x:c r="A649" s="70" t="s">
        <x:v>1833</x:v>
      </x:c>
      <x:c r="B649" s="70" t="s">
        <x:v>31</x:v>
      </x:c>
      <x:c r="C649" s="70" t="s">
        <x:v>76</x:v>
      </x:c>
      <x:c r="D649" s="70" t="s">
        <x:v>356</x:v>
      </x:c>
      <x:c r="E649" s="70" t="s">
        <x:v>1129</x:v>
      </x:c>
      <x:c r="F649" s="70"/>
      <x:c r="G649" s="70" t="s">
        <x:v>1675</x:v>
      </x:c>
      <x:c r="H649" s="70" t="s">
        <x:v>1215</x:v>
      </x:c>
      <x:c r="I649" s="70" t="s">
        <x:v>1199</x:v>
      </x:c>
      <x:c r="J649" s="70" t="n">
        <x:v>240</x:v>
      </x:c>
      <x:c r="K649" s="70" t="s">
        <x:v>1676</x:v>
      </x:c>
      <x:c r="L649" s="70"/>
      <x:c r="M649" s="70" t="s">
        <x:v>35</x:v>
      </x:c>
      <x:c r="N649" s="71" t="n">
        <x:v>0</x:v>
      </x:c>
      <x:c r="O649" s="72" t="n">
        <x:f aca="0">N649/1000</x:f>
        <x:v>0</x:v>
      </x:c>
      <x:c r="P649" s="73" t="n">
        <x:f aca="0">LUCK!G52</x:f>
        <x:v>0</x:v>
      </x:c>
      <x:c r="Q649" s="70" t="str">
        <x:f aca="0">IF(ABS(O649-P649)&lt;0.000001,"PASS","FAIL")</x:f>
        <x:v>PASS</x:v>
      </x:c>
      <x:c r="R649" s="70" t="s">
        <x:v>34</x:v>
      </x:c>
      <x:c r="S649" s="70"/>
    </x:row>
    <x:row r="650" ht="15" hidden="0">
      <x:c r="A650" s="70" t="s">
        <x:v>1834</x:v>
      </x:c>
      <x:c r="B650" s="70" t="s">
        <x:v>31</x:v>
      </x:c>
      <x:c r="C650" s="70" t="s">
        <x:v>77</x:v>
      </x:c>
      <x:c r="D650" s="70" t="s">
        <x:v>356</x:v>
      </x:c>
      <x:c r="E650" s="70" t="s">
        <x:v>1129</x:v>
      </x:c>
      <x:c r="F650" s="70"/>
      <x:c r="G650" s="70" t="s">
        <x:v>1675</x:v>
      </x:c>
      <x:c r="H650" s="70" t="s">
        <x:v>1215</x:v>
      </x:c>
      <x:c r="I650" s="70" t="s">
        <x:v>1218</x:v>
      </x:c>
      <x:c r="J650" s="70" t="n">
        <x:v>240</x:v>
      </x:c>
      <x:c r="K650" s="70" t="s">
        <x:v>1676</x:v>
      </x:c>
      <x:c r="L650" s="70"/>
      <x:c r="M650" s="70" t="s">
        <x:v>35</x:v>
      </x:c>
      <x:c r="N650" s="71" t="n">
        <x:v>0</x:v>
      </x:c>
      <x:c r="O650" s="72" t="n">
        <x:f aca="0">N650/1000</x:f>
        <x:v>0</x:v>
      </x:c>
      <x:c r="P650" s="73" t="n">
        <x:f aca="0">LUCK!H52</x:f>
        <x:v>0</x:v>
      </x:c>
      <x:c r="Q650" s="70" t="str">
        <x:f aca="0">IF(ABS(O650-P650)&lt;0.000001,"PASS","FAIL")</x:f>
        <x:v>PASS</x:v>
      </x:c>
      <x:c r="R650" s="70" t="s">
        <x:v>34</x:v>
      </x:c>
      <x:c r="S650" s="70"/>
    </x:row>
    <x:row r="651" ht="15" hidden="0">
      <x:c r="A651" s="70" t="s">
        <x:v>1835</x:v>
      </x:c>
      <x:c r="B651" s="70" t="s">
        <x:v>31</x:v>
      </x:c>
      <x:c r="C651" s="70" t="s">
        <x:v>1076</x:v>
      </x:c>
      <x:c r="D651" s="70" t="s">
        <x:v>358</x:v>
      </x:c>
      <x:c r="E651" s="70" t="s">
        <x:v>1129</x:v>
      </x:c>
      <x:c r="F651" s="70" t="s">
        <x:v>1836</x:v>
      </x:c>
      <x:c r="G651" s="70" t="s">
        <x:v>1663</x:v>
      </x:c>
      <x:c r="H651" s="70" t="s">
        <x:v>1198</x:v>
      </x:c>
      <x:c r="I651" s="70" t="s">
        <x:v>1199</x:v>
      </x:c>
      <x:c r="J651" s="70" t="n">
        <x:v>191</x:v>
      </x:c>
      <x:c r="K651" s="70" t="s">
        <x:v>1200</x:v>
      </x:c>
      <x:c r="L651" s="70"/>
      <x:c r="M651" s="70" t="s">
        <x:v>35</x:v>
      </x:c>
      <x:c r="N651" s="71" t="n">
        <x:v>46173</x:v>
      </x:c>
      <x:c r="O651" s="72" t="n">
        <x:f aca="0">N651/1000</x:f>
        <x:v>46.173</x:v>
      </x:c>
      <x:c r="P651" s="73" t="n">
        <x:f aca="0">LUCK!C53</x:f>
        <x:v>46.173</x:v>
      </x:c>
      <x:c r="Q651" s="70" t="str">
        <x:f aca="0">IF(ABS(O651-P651)&lt;0.000001,"PASS","FAIL")</x:f>
        <x:v>PASS</x:v>
      </x:c>
      <x:c r="R651" s="70" t="s">
        <x:v>34</x:v>
      </x:c>
      <x:c r="S651" s="70"/>
    </x:row>
    <x:row r="652" ht="15" hidden="0">
      <x:c r="A652" s="70" t="s">
        <x:v>1837</x:v>
      </x:c>
      <x:c r="B652" s="70" t="s">
        <x:v>31</x:v>
      </x:c>
      <x:c r="C652" s="70" t="s">
        <x:v>73</x:v>
      </x:c>
      <x:c r="D652" s="70" t="s">
        <x:v>358</x:v>
      </x:c>
      <x:c r="E652" s="70" t="s">
        <x:v>1129</x:v>
      </x:c>
      <x:c r="F652" s="70" t="s">
        <x:v>1836</x:v>
      </x:c>
      <x:c r="G652" s="70" t="s">
        <x:v>1666</x:v>
      </x:c>
      <x:c r="H652" s="70" t="s">
        <x:v>1204</x:v>
      </x:c>
      <x:c r="I652" s="70" t="s">
        <x:v>1199</x:v>
      </x:c>
      <x:c r="J652" s="70" t="n">
        <x:v>226</x:v>
      </x:c>
      <x:c r="K652" s="70" t="s">
        <x:v>1667</x:v>
      </x:c>
      <x:c r="L652" s="70"/>
      <x:c r="M652" s="70" t="s">
        <x:v>35</x:v>
      </x:c>
      <x:c r="N652" s="71" t="n">
        <x:v>70868</x:v>
      </x:c>
      <x:c r="O652" s="72" t="n">
        <x:f aca="0">N652/1000</x:f>
        <x:v>70.868</x:v>
      </x:c>
      <x:c r="P652" s="73" t="n">
        <x:f aca="0">LUCK!D53</x:f>
        <x:v>70.868</x:v>
      </x:c>
      <x:c r="Q652" s="70" t="str">
        <x:f aca="0">IF(ABS(O652-P652)&lt;0.000001,"PASS","FAIL")</x:f>
        <x:v>PASS</x:v>
      </x:c>
      <x:c r="R652" s="70" t="s">
        <x:v>34</x:v>
      </x:c>
      <x:c r="S652" s="70"/>
    </x:row>
    <x:row r="653" ht="15" hidden="0">
      <x:c r="A653" s="70" t="s">
        <x:v>1838</x:v>
      </x:c>
      <x:c r="B653" s="70" t="s">
        <x:v>31</x:v>
      </x:c>
      <x:c r="C653" s="70" t="s">
        <x:v>74</x:v>
      </x:c>
      <x:c r="D653" s="70" t="s">
        <x:v>358</x:v>
      </x:c>
      <x:c r="E653" s="70" t="s">
        <x:v>1129</x:v>
      </x:c>
      <x:c r="F653" s="70" t="s">
        <x:v>1836</x:v>
      </x:c>
      <x:c r="G653" s="70" t="s">
        <x:v>1669</x:v>
      </x:c>
      <x:c r="H653" s="70" t="s">
        <x:v>1208</x:v>
      </x:c>
      <x:c r="I653" s="70" t="s">
        <x:v>1199</x:v>
      </x:c>
      <x:c r="J653" s="70" t="n">
        <x:v>234</x:v>
      </x:c>
      <x:c r="K653" s="70" t="s">
        <x:v>1670</x:v>
      </x:c>
      <x:c r="L653" s="70"/>
      <x:c r="M653" s="70" t="s">
        <x:v>35</x:v>
      </x:c>
      <x:c r="N653" s="71" t="n">
        <x:v>135452</x:v>
      </x:c>
      <x:c r="O653" s="72" t="n">
        <x:f aca="0">N653/1000</x:f>
        <x:v>135.452</x:v>
      </x:c>
      <x:c r="P653" s="73" t="n">
        <x:f aca="0">LUCK!E53</x:f>
        <x:v>135.452</x:v>
      </x:c>
      <x:c r="Q653" s="70" t="str">
        <x:f aca="0">IF(ABS(O653-P653)&lt;0.000001,"PASS","FAIL")</x:f>
        <x:v>PASS</x:v>
      </x:c>
      <x:c r="R653" s="70" t="s">
        <x:v>34</x:v>
      </x:c>
      <x:c r="S653" s="70"/>
    </x:row>
    <x:row r="654" ht="15" hidden="0">
      <x:c r="A654" s="70" t="s">
        <x:v>1839</x:v>
      </x:c>
      <x:c r="B654" s="70" t="s">
        <x:v>31</x:v>
      </x:c>
      <x:c r="C654" s="70" t="s">
        <x:v>75</x:v>
      </x:c>
      <x:c r="D654" s="70" t="s">
        <x:v>358</x:v>
      </x:c>
      <x:c r="E654" s="70" t="s">
        <x:v>1129</x:v>
      </x:c>
      <x:c r="F654" s="70" t="s">
        <x:v>1836</x:v>
      </x:c>
      <x:c r="G654" s="70" t="s">
        <x:v>1672</x:v>
      </x:c>
      <x:c r="H654" s="70" t="s">
        <x:v>1211</x:v>
      </x:c>
      <x:c r="I654" s="70" t="s">
        <x:v>1199</x:v>
      </x:c>
      <x:c r="J654" s="70" t="n">
        <x:v>238</x:v>
      </x:c>
      <x:c r="K654" s="70" t="s">
        <x:v>1673</x:v>
      </x:c>
      <x:c r="L654" s="70"/>
      <x:c r="M654" s="70" t="s">
        <x:v>35</x:v>
      </x:c>
      <x:c r="N654" s="71" t="n">
        <x:v>497745</x:v>
      </x:c>
      <x:c r="O654" s="72" t="n">
        <x:f aca="0">N654/1000</x:f>
        <x:v>497.745</x:v>
      </x:c>
      <x:c r="P654" s="73" t="n">
        <x:f aca="0">LUCK!F53</x:f>
        <x:v>497.745</x:v>
      </x:c>
      <x:c r="Q654" s="70" t="str">
        <x:f aca="0">IF(ABS(O654-P654)&lt;0.000001,"PASS","FAIL")</x:f>
        <x:v>PASS</x:v>
      </x:c>
      <x:c r="R654" s="70" t="s">
        <x:v>34</x:v>
      </x:c>
      <x:c r="S654" s="70"/>
    </x:row>
    <x:row r="655" ht="15" hidden="0">
      <x:c r="A655" s="70" t="s">
        <x:v>1840</x:v>
      </x:c>
      <x:c r="B655" s="70" t="s">
        <x:v>31</x:v>
      </x:c>
      <x:c r="C655" s="70" t="s">
        <x:v>76</x:v>
      </x:c>
      <x:c r="D655" s="70" t="s">
        <x:v>358</x:v>
      </x:c>
      <x:c r="E655" s="70" t="s">
        <x:v>1129</x:v>
      </x:c>
      <x:c r="F655" s="70" t="s">
        <x:v>1836</x:v>
      </x:c>
      <x:c r="G655" s="70" t="s">
        <x:v>1675</x:v>
      </x:c>
      <x:c r="H655" s="70" t="s">
        <x:v>1215</x:v>
      </x:c>
      <x:c r="I655" s="70" t="s">
        <x:v>1199</x:v>
      </x:c>
      <x:c r="J655" s="70" t="n">
        <x:v>240</x:v>
      </x:c>
      <x:c r="K655" s="70" t="s">
        <x:v>1676</x:v>
      </x:c>
      <x:c r="L655" s="70"/>
      <x:c r="M655" s="70" t="s">
        <x:v>35</x:v>
      </x:c>
      <x:c r="N655" s="71" t="n">
        <x:v>342935</x:v>
      </x:c>
      <x:c r="O655" s="72" t="n">
        <x:f aca="0">N655/1000</x:f>
        <x:v>342.935</x:v>
      </x:c>
      <x:c r="P655" s="73" t="n">
        <x:f aca="0">LUCK!G53</x:f>
        <x:v>342.935</x:v>
      </x:c>
      <x:c r="Q655" s="70" t="str">
        <x:f aca="0">IF(ABS(O655-P655)&lt;0.000001,"PASS","FAIL")</x:f>
        <x:v>PASS</x:v>
      </x:c>
      <x:c r="R655" s="70" t="s">
        <x:v>34</x:v>
      </x:c>
      <x:c r="S655" s="70"/>
    </x:row>
    <x:row r="656" ht="15" hidden="0">
      <x:c r="A656" s="70" t="s">
        <x:v>1841</x:v>
      </x:c>
      <x:c r="B656" s="70" t="s">
        <x:v>31</x:v>
      </x:c>
      <x:c r="C656" s="70" t="s">
        <x:v>77</x:v>
      </x:c>
      <x:c r="D656" s="70" t="s">
        <x:v>358</x:v>
      </x:c>
      <x:c r="E656" s="70" t="s">
        <x:v>1129</x:v>
      </x:c>
      <x:c r="F656" s="70" t="s">
        <x:v>1836</x:v>
      </x:c>
      <x:c r="G656" s="70" t="s">
        <x:v>1675</x:v>
      </x:c>
      <x:c r="H656" s="70" t="s">
        <x:v>1215</x:v>
      </x:c>
      <x:c r="I656" s="70" t="s">
        <x:v>1218</x:v>
      </x:c>
      <x:c r="J656" s="70" t="n">
        <x:v>240</x:v>
      </x:c>
      <x:c r="K656" s="70" t="s">
        <x:v>1676</x:v>
      </x:c>
      <x:c r="L656" s="70"/>
      <x:c r="M656" s="70" t="s">
        <x:v>35</x:v>
      </x:c>
      <x:c r="N656" s="71" t="n">
        <x:v>185616</x:v>
      </x:c>
      <x:c r="O656" s="72" t="n">
        <x:f aca="0">N656/1000</x:f>
        <x:v>185.616</x:v>
      </x:c>
      <x:c r="P656" s="73" t="n">
        <x:f aca="0">LUCK!H53</x:f>
        <x:v>185.616</x:v>
      </x:c>
      <x:c r="Q656" s="70" t="str">
        <x:f aca="0">IF(ABS(O656-P656)&lt;0.000001,"PASS","FAIL")</x:f>
        <x:v>PASS</x:v>
      </x:c>
      <x:c r="R656" s="70" t="s">
        <x:v>34</x:v>
      </x:c>
      <x:c r="S656" s="70"/>
    </x:row>
    <x:row r="657" ht="15" hidden="0">
      <x:c r="A657" s="70" t="s">
        <x:v>1842</x:v>
      </x:c>
      <x:c r="B657" s="70" t="s">
        <x:v>31</x:v>
      </x:c>
      <x:c r="C657" s="70" t="s">
        <x:v>1076</x:v>
      </x:c>
      <x:c r="D657" s="70" t="s">
        <x:v>360</x:v>
      </x:c>
      <x:c r="E657" s="70" t="s">
        <x:v>1129</x:v>
      </x:c>
      <x:c r="F657" s="70" t="s">
        <x:v>1843</x:v>
      </x:c>
      <x:c r="G657" s="70" t="s">
        <x:v>1663</x:v>
      </x:c>
      <x:c r="H657" s="70" t="s">
        <x:v>1198</x:v>
      </x:c>
      <x:c r="I657" s="70" t="s">
        <x:v>1199</x:v>
      </x:c>
      <x:c r="J657" s="70" t="n">
        <x:v>191</x:v>
      </x:c>
      <x:c r="K657" s="70" t="s">
        <x:v>1200</x:v>
      </x:c>
      <x:c r="L657" s="70" t="s">
        <x:v>1844</x:v>
      </x:c>
      <x:c r="M657" s="70" t="s">
        <x:v>35</x:v>
      </x:c>
      <x:c r="N657" s="71" t="n">
        <x:v>7931444</x:v>
      </x:c>
      <x:c r="O657" s="72" t="n">
        <x:f aca="0">N657/1000</x:f>
        <x:v>7931.444</x:v>
      </x:c>
      <x:c r="P657" s="73" t="n">
        <x:f aca="0">LUCK!C54</x:f>
        <x:v>7931.444</x:v>
      </x:c>
      <x:c r="Q657" s="70" t="str">
        <x:f aca="0">IF(ABS(O657-P657)&lt;0.000001,"PASS","FAIL")</x:f>
        <x:v>PASS</x:v>
      </x:c>
      <x:c r="R657" s="70" t="s">
        <x:v>34</x:v>
      </x:c>
      <x:c r="S657" s="70"/>
    </x:row>
    <x:row r="658" ht="15" hidden="0">
      <x:c r="A658" s="70" t="s">
        <x:v>1845</x:v>
      </x:c>
      <x:c r="B658" s="70" t="s">
        <x:v>31</x:v>
      </x:c>
      <x:c r="C658" s="70" t="s">
        <x:v>73</x:v>
      </x:c>
      <x:c r="D658" s="70" t="s">
        <x:v>360</x:v>
      </x:c>
      <x:c r="E658" s="70" t="s">
        <x:v>1129</x:v>
      </x:c>
      <x:c r="F658" s="70" t="s">
        <x:v>1846</x:v>
      </x:c>
      <x:c r="G658" s="70" t="s">
        <x:v>1666</x:v>
      </x:c>
      <x:c r="H658" s="70" t="s">
        <x:v>1204</x:v>
      </x:c>
      <x:c r="I658" s="70" t="s">
        <x:v>1199</x:v>
      </x:c>
      <x:c r="J658" s="70" t="n">
        <x:v>226</x:v>
      </x:c>
      <x:c r="K658" s="70" t="s">
        <x:v>1667</x:v>
      </x:c>
      <x:c r="L658" s="70" t="s">
        <x:v>1844</x:v>
      </x:c>
      <x:c r="M658" s="70" t="s">
        <x:v>35</x:v>
      </x:c>
      <x:c r="N658" s="71" t="n">
        <x:v>7050000</x:v>
      </x:c>
      <x:c r="O658" s="72" t="n">
        <x:f aca="0">N658/1000</x:f>
        <x:v>7050</x:v>
      </x:c>
      <x:c r="P658" s="73" t="n">
        <x:f aca="0">LUCK!D54</x:f>
        <x:v>7050</x:v>
      </x:c>
      <x:c r="Q658" s="70" t="str">
        <x:f aca="0">IF(ABS(O658-P658)&lt;0.000001,"PASS","FAIL")</x:f>
        <x:v>PASS</x:v>
      </x:c>
      <x:c r="R658" s="70" t="s">
        <x:v>34</x:v>
      </x:c>
      <x:c r="S658" s="70"/>
    </x:row>
    <x:row r="659" ht="15" hidden="0">
      <x:c r="A659" s="70" t="s">
        <x:v>1847</x:v>
      </x:c>
      <x:c r="B659" s="70" t="s">
        <x:v>31</x:v>
      </x:c>
      <x:c r="C659" s="70" t="s">
        <x:v>74</x:v>
      </x:c>
      <x:c r="D659" s="70" t="s">
        <x:v>360</x:v>
      </x:c>
      <x:c r="E659" s="70" t="s">
        <x:v>1129</x:v>
      </x:c>
      <x:c r="F659" s="70" t="s">
        <x:v>1846</x:v>
      </x:c>
      <x:c r="G659" s="70" t="s">
        <x:v>1669</x:v>
      </x:c>
      <x:c r="H659" s="70" t="s">
        <x:v>1208</x:v>
      </x:c>
      <x:c r="I659" s="70" t="s">
        <x:v>1199</x:v>
      </x:c>
      <x:c r="J659" s="70" t="n">
        <x:v>234</x:v>
      </x:c>
      <x:c r="K659" s="70" t="s">
        <x:v>1670</x:v>
      </x:c>
      <x:c r="L659" s="70" t="s">
        <x:v>1844</x:v>
      </x:c>
      <x:c r="M659" s="70" t="s">
        <x:v>35</x:v>
      </x:c>
      <x:c r="N659" s="71" t="n">
        <x:v>1000000</x:v>
      </x:c>
      <x:c r="O659" s="72" t="n">
        <x:f aca="0">N659/1000</x:f>
        <x:v>1000</x:v>
      </x:c>
      <x:c r="P659" s="73" t="n">
        <x:f aca="0">LUCK!E54</x:f>
        <x:v>1000</x:v>
      </x:c>
      <x:c r="Q659" s="70" t="str">
        <x:f aca="0">IF(ABS(O659-P659)&lt;0.000001,"PASS","FAIL")</x:f>
        <x:v>PASS</x:v>
      </x:c>
      <x:c r="R659" s="70" t="s">
        <x:v>34</x:v>
      </x:c>
      <x:c r="S659" s="70"/>
    </x:row>
    <x:row r="660" ht="15" hidden="0">
      <x:c r="A660" s="70" t="s">
        <x:v>1848</x:v>
      </x:c>
      <x:c r="B660" s="70" t="s">
        <x:v>31</x:v>
      </x:c>
      <x:c r="C660" s="70" t="s">
        <x:v>75</x:v>
      </x:c>
      <x:c r="D660" s="70" t="s">
        <x:v>360</x:v>
      </x:c>
      <x:c r="E660" s="70" t="s">
        <x:v>1129</x:v>
      </x:c>
      <x:c r="F660" s="70" t="s">
        <x:v>1846</x:v>
      </x:c>
      <x:c r="G660" s="70" t="s">
        <x:v>1672</x:v>
      </x:c>
      <x:c r="H660" s="70" t="s">
        <x:v>1211</x:v>
      </x:c>
      <x:c r="I660" s="70" t="s">
        <x:v>1199</x:v>
      </x:c>
      <x:c r="J660" s="70" t="n">
        <x:v>238</x:v>
      </x:c>
      <x:c r="K660" s="70" t="s">
        <x:v>1673</x:v>
      </x:c>
      <x:c r="L660" s="70" t="s">
        <x:v>1844</x:v>
      </x:c>
      <x:c r="M660" s="70" t="s">
        <x:v>35</x:v>
      </x:c>
      <x:c r="N660" s="71" t="n">
        <x:v>5885000</x:v>
      </x:c>
      <x:c r="O660" s="72" t="n">
        <x:f aca="0">N660/1000</x:f>
        <x:v>5885</x:v>
      </x:c>
      <x:c r="P660" s="73" t="n">
        <x:f aca="0">LUCK!F54</x:f>
        <x:v>5885</x:v>
      </x:c>
      <x:c r="Q660" s="70" t="str">
        <x:f aca="0">IF(ABS(O660-P660)&lt;0.000001,"PASS","FAIL")</x:f>
        <x:v>PASS</x:v>
      </x:c>
      <x:c r="R660" s="70" t="s">
        <x:v>34</x:v>
      </x:c>
      <x:c r="S660" s="70"/>
    </x:row>
    <x:row r="661" ht="15" hidden="0">
      <x:c r="A661" s="70" t="s">
        <x:v>1849</x:v>
      </x:c>
      <x:c r="B661" s="70" t="s">
        <x:v>31</x:v>
      </x:c>
      <x:c r="C661" s="70" t="s">
        <x:v>76</x:v>
      </x:c>
      <x:c r="D661" s="70" t="s">
        <x:v>360</x:v>
      </x:c>
      <x:c r="E661" s="70" t="s">
        <x:v>1129</x:v>
      </x:c>
      <x:c r="F661" s="70" t="s">
        <x:v>1843</x:v>
      </x:c>
      <x:c r="G661" s="70" t="s">
        <x:v>1675</x:v>
      </x:c>
      <x:c r="H661" s="70" t="s">
        <x:v>1215</x:v>
      </x:c>
      <x:c r="I661" s="70" t="s">
        <x:v>1199</x:v>
      </x:c>
      <x:c r="J661" s="70" t="n">
        <x:v>240</x:v>
      </x:c>
      <x:c r="K661" s="70" t="s">
        <x:v>1676</x:v>
      </x:c>
      <x:c r="L661" s="70" t="s">
        <x:v>1301</x:v>
      </x:c>
      <x:c r="M661" s="70" t="s">
        <x:v>35</x:v>
      </x:c>
      <x:c r="N661" s="71" t="n">
        <x:v>5485000</x:v>
      </x:c>
      <x:c r="O661" s="72" t="n">
        <x:f aca="0">N661/1000</x:f>
        <x:v>5485</x:v>
      </x:c>
      <x:c r="P661" s="73" t="n">
        <x:f aca="0">LUCK!G54</x:f>
        <x:v>5485</x:v>
      </x:c>
      <x:c r="Q661" s="70" t="str">
        <x:f aca="0">IF(ABS(O661-P661)&lt;0.000001,"PASS","FAIL")</x:f>
        <x:v>PASS</x:v>
      </x:c>
      <x:c r="R661" s="70" t="s">
        <x:v>34</x:v>
      </x:c>
      <x:c r="S661" s="70"/>
    </x:row>
    <x:row r="662" ht="15" hidden="0">
      <x:c r="A662" s="70" t="s">
        <x:v>1850</x:v>
      </x:c>
      <x:c r="B662" s="70" t="s">
        <x:v>31</x:v>
      </x:c>
      <x:c r="C662" s="70" t="s">
        <x:v>77</x:v>
      </x:c>
      <x:c r="D662" s="70" t="s">
        <x:v>360</x:v>
      </x:c>
      <x:c r="E662" s="70" t="s">
        <x:v>1129</x:v>
      </x:c>
      <x:c r="F662" s="70" t="s">
        <x:v>1843</x:v>
      </x:c>
      <x:c r="G662" s="70" t="s">
        <x:v>1675</x:v>
      </x:c>
      <x:c r="H662" s="70" t="s">
        <x:v>1215</x:v>
      </x:c>
      <x:c r="I662" s="70" t="s">
        <x:v>1218</x:v>
      </x:c>
      <x:c r="J662" s="70" t="n">
        <x:v>240</x:v>
      </x:c>
      <x:c r="K662" s="70" t="s">
        <x:v>1676</x:v>
      </x:c>
      <x:c r="L662" s="70" t="s">
        <x:v>1301</x:v>
      </x:c>
      <x:c r="M662" s="70" t="s">
        <x:v>35</x:v>
      </x:c>
      <x:c r="N662" s="71" t="n">
        <x:v>6485000</x:v>
      </x:c>
      <x:c r="O662" s="72" t="n">
        <x:f aca="0">N662/1000</x:f>
        <x:v>6485</x:v>
      </x:c>
      <x:c r="P662" s="73" t="n">
        <x:f aca="0">LUCK!H54</x:f>
        <x:v>6485</x:v>
      </x:c>
      <x:c r="Q662" s="70" t="str">
        <x:f aca="0">IF(ABS(O662-P662)&lt;0.000001,"PASS","FAIL")</x:f>
        <x:v>PASS</x:v>
      </x:c>
      <x:c r="R662" s="70" t="s">
        <x:v>34</x:v>
      </x:c>
      <x:c r="S662" s="70"/>
    </x:row>
    <x:row r="663" ht="15" hidden="0">
      <x:c r="A663" s="70" t="s">
        <x:v>1851</x:v>
      </x:c>
      <x:c r="B663" s="70" t="s">
        <x:v>31</x:v>
      </x:c>
      <x:c r="C663" s="70" t="s">
        <x:v>1076</x:v>
      </x:c>
      <x:c r="D663" s="70" t="s">
        <x:v>362</x:v>
      </x:c>
      <x:c r="E663" s="70" t="s">
        <x:v>1129</x:v>
      </x:c>
      <x:c r="F663" s="70" t="s">
        <x:v>1852</x:v>
      </x:c>
      <x:c r="G663" s="70" t="s">
        <x:v>1663</x:v>
      </x:c>
      <x:c r="H663" s="70" t="s">
        <x:v>1198</x:v>
      </x:c>
      <x:c r="I663" s="70" t="s">
        <x:v>1199</x:v>
      </x:c>
      <x:c r="J663" s="70" t="n">
        <x:v>191</x:v>
      </x:c>
      <x:c r="K663" s="70" t="s">
        <x:v>1200</x:v>
      </x:c>
      <x:c r="L663" s="70" t="s">
        <x:v>1285</x:v>
      </x:c>
      <x:c r="M663" s="70" t="s">
        <x:v>35</x:v>
      </x:c>
      <x:c r="N663" s="71" t="n">
        <x:v>126727</x:v>
      </x:c>
      <x:c r="O663" s="72" t="n">
        <x:f aca="0">N663/1000</x:f>
        <x:v>126.727</x:v>
      </x:c>
      <x:c r="P663" s="73" t="n">
        <x:f aca="0">LUCK!C55</x:f>
        <x:v>126.727</x:v>
      </x:c>
      <x:c r="Q663" s="70" t="str">
        <x:f aca="0">IF(ABS(O663-P663)&lt;0.000001,"PASS","FAIL")</x:f>
        <x:v>PASS</x:v>
      </x:c>
      <x:c r="R663" s="70" t="s">
        <x:v>34</x:v>
      </x:c>
      <x:c r="S663" s="70"/>
    </x:row>
    <x:row r="664" ht="15" hidden="0">
      <x:c r="A664" s="70" t="s">
        <x:v>1853</x:v>
      </x:c>
      <x:c r="B664" s="70" t="s">
        <x:v>31</x:v>
      </x:c>
      <x:c r="C664" s="70" t="s">
        <x:v>73</x:v>
      </x:c>
      <x:c r="D664" s="70" t="s">
        <x:v>362</x:v>
      </x:c>
      <x:c r="E664" s="70" t="s">
        <x:v>1129</x:v>
      </x:c>
      <x:c r="F664" s="70" t="s">
        <x:v>1852</x:v>
      </x:c>
      <x:c r="G664" s="70" t="s">
        <x:v>1666</x:v>
      </x:c>
      <x:c r="H664" s="70" t="s">
        <x:v>1204</x:v>
      </x:c>
      <x:c r="I664" s="70" t="s">
        <x:v>1199</x:v>
      </x:c>
      <x:c r="J664" s="70" t="n">
        <x:v>226</x:v>
      </x:c>
      <x:c r="K664" s="70" t="s">
        <x:v>1667</x:v>
      </x:c>
      <x:c r="L664" s="70" t="s">
        <x:v>1285</x:v>
      </x:c>
      <x:c r="M664" s="70" t="s">
        <x:v>35</x:v>
      </x:c>
      <x:c r="N664" s="71" t="n">
        <x:v>506908</x:v>
      </x:c>
      <x:c r="O664" s="72" t="n">
        <x:f aca="0">N664/1000</x:f>
        <x:v>506.908</x:v>
      </x:c>
      <x:c r="P664" s="73" t="n">
        <x:f aca="0">LUCK!D55</x:f>
        <x:v>506.908</x:v>
      </x:c>
      <x:c r="Q664" s="70" t="str">
        <x:f aca="0">IF(ABS(O664-P664)&lt;0.000001,"PASS","FAIL")</x:f>
        <x:v>PASS</x:v>
      </x:c>
      <x:c r="R664" s="70" t="s">
        <x:v>34</x:v>
      </x:c>
      <x:c r="S664" s="70"/>
    </x:row>
    <x:row r="665" ht="15" hidden="0">
      <x:c r="A665" s="70" t="s">
        <x:v>1854</x:v>
      </x:c>
      <x:c r="B665" s="70" t="s">
        <x:v>31</x:v>
      </x:c>
      <x:c r="C665" s="70" t="s">
        <x:v>74</x:v>
      </x:c>
      <x:c r="D665" s="70" t="s">
        <x:v>362</x:v>
      </x:c>
      <x:c r="E665" s="70" t="s">
        <x:v>1129</x:v>
      </x:c>
      <x:c r="F665" s="70" t="s">
        <x:v>1852</x:v>
      </x:c>
      <x:c r="G665" s="70" t="s">
        <x:v>1669</x:v>
      </x:c>
      <x:c r="H665" s="70" t="s">
        <x:v>1208</x:v>
      </x:c>
      <x:c r="I665" s="70" t="s">
        <x:v>1199</x:v>
      </x:c>
      <x:c r="J665" s="70" t="n">
        <x:v>234</x:v>
      </x:c>
      <x:c r="K665" s="70" t="s">
        <x:v>1670</x:v>
      </x:c>
      <x:c r="L665" s="70" t="s">
        <x:v>1285</x:v>
      </x:c>
      <x:c r="M665" s="70" t="s">
        <x:v>35</x:v>
      </x:c>
      <x:c r="N665" s="71" t="n">
        <x:v>487202</x:v>
      </x:c>
      <x:c r="O665" s="72" t="n">
        <x:f aca="0">N665/1000</x:f>
        <x:v>487.202</x:v>
      </x:c>
      <x:c r="P665" s="73" t="n">
        <x:f aca="0">LUCK!E55</x:f>
        <x:v>487.202</x:v>
      </x:c>
      <x:c r="Q665" s="70" t="str">
        <x:f aca="0">IF(ABS(O665-P665)&lt;0.000001,"PASS","FAIL")</x:f>
        <x:v>PASS</x:v>
      </x:c>
      <x:c r="R665" s="70" t="s">
        <x:v>34</x:v>
      </x:c>
      <x:c r="S665" s="70"/>
    </x:row>
    <x:row r="666" ht="15" hidden="0">
      <x:c r="A666" s="70" t="s">
        <x:v>1855</x:v>
      </x:c>
      <x:c r="B666" s="70" t="s">
        <x:v>31</x:v>
      </x:c>
      <x:c r="C666" s="70" t="s">
        <x:v>75</x:v>
      </x:c>
      <x:c r="D666" s="70" t="s">
        <x:v>362</x:v>
      </x:c>
      <x:c r="E666" s="70" t="s">
        <x:v>1129</x:v>
      </x:c>
      <x:c r="F666" s="70" t="s">
        <x:v>1852</x:v>
      </x:c>
      <x:c r="G666" s="70" t="s">
        <x:v>1672</x:v>
      </x:c>
      <x:c r="H666" s="70" t="s">
        <x:v>1211</x:v>
      </x:c>
      <x:c r="I666" s="70" t="s">
        <x:v>1199</x:v>
      </x:c>
      <x:c r="J666" s="70" t="n">
        <x:v>238</x:v>
      </x:c>
      <x:c r="K666" s="70" t="s">
        <x:v>1673</x:v>
      </x:c>
      <x:c r="L666" s="70" t="s">
        <x:v>1285</x:v>
      </x:c>
      <x:c r="M666" s="70" t="s">
        <x:v>35</x:v>
      </x:c>
      <x:c r="N666" s="71" t="n">
        <x:v>599653</x:v>
      </x:c>
      <x:c r="O666" s="72" t="n">
        <x:f aca="0">N666/1000</x:f>
        <x:v>599.653</x:v>
      </x:c>
      <x:c r="P666" s="73" t="n">
        <x:f aca="0">LUCK!F55</x:f>
        <x:v>599.653</x:v>
      </x:c>
      <x:c r="Q666" s="70" t="str">
        <x:f aca="0">IF(ABS(O666-P666)&lt;0.000001,"PASS","FAIL")</x:f>
        <x:v>PASS</x:v>
      </x:c>
      <x:c r="R666" s="70" t="s">
        <x:v>34</x:v>
      </x:c>
      <x:c r="S666" s="70"/>
    </x:row>
    <x:row r="667" ht="15" hidden="0">
      <x:c r="A667" s="70" t="s">
        <x:v>1856</x:v>
      </x:c>
      <x:c r="B667" s="70" t="s">
        <x:v>31</x:v>
      </x:c>
      <x:c r="C667" s="70" t="s">
        <x:v>76</x:v>
      </x:c>
      <x:c r="D667" s="70" t="s">
        <x:v>362</x:v>
      </x:c>
      <x:c r="E667" s="70" t="s">
        <x:v>1129</x:v>
      </x:c>
      <x:c r="F667" s="70" t="s">
        <x:v>1857</x:v>
      </x:c>
      <x:c r="G667" s="70" t="s">
        <x:v>1675</x:v>
      </x:c>
      <x:c r="H667" s="70" t="s">
        <x:v>1215</x:v>
      </x:c>
      <x:c r="I667" s="70" t="s">
        <x:v>1199</x:v>
      </x:c>
      <x:c r="J667" s="70" t="n">
        <x:v>240</x:v>
      </x:c>
      <x:c r="K667" s="70" t="s">
        <x:v>1676</x:v>
      </x:c>
      <x:c r="L667" s="70" t="s">
        <x:v>1277</x:v>
      </x:c>
      <x:c r="M667" s="70" t="s">
        <x:v>35</x:v>
      </x:c>
      <x:c r="N667" s="71" t="n">
        <x:v>2099147</x:v>
      </x:c>
      <x:c r="O667" s="72" t="n">
        <x:f aca="0">N667/1000</x:f>
        <x:v>2099.147</x:v>
      </x:c>
      <x:c r="P667" s="73" t="n">
        <x:f aca="0">LUCK!G55</x:f>
        <x:v>2099.147</x:v>
      </x:c>
      <x:c r="Q667" s="70" t="str">
        <x:f aca="0">IF(ABS(O667-P667)&lt;0.000001,"PASS","FAIL")</x:f>
        <x:v>PASS</x:v>
      </x:c>
      <x:c r="R667" s="70" t="s">
        <x:v>34</x:v>
      </x:c>
      <x:c r="S667" s="70"/>
    </x:row>
    <x:row r="668" ht="15" hidden="0">
      <x:c r="A668" s="70" t="s">
        <x:v>1858</x:v>
      </x:c>
      <x:c r="B668" s="70" t="s">
        <x:v>31</x:v>
      </x:c>
      <x:c r="C668" s="70" t="s">
        <x:v>77</x:v>
      </x:c>
      <x:c r="D668" s="70" t="s">
        <x:v>362</x:v>
      </x:c>
      <x:c r="E668" s="70" t="s">
        <x:v>1129</x:v>
      </x:c>
      <x:c r="F668" s="70" t="s">
        <x:v>1857</x:v>
      </x:c>
      <x:c r="G668" s="70" t="s">
        <x:v>1675</x:v>
      </x:c>
      <x:c r="H668" s="70" t="s">
        <x:v>1215</x:v>
      </x:c>
      <x:c r="I668" s="70" t="s">
        <x:v>1218</x:v>
      </x:c>
      <x:c r="J668" s="70" t="n">
        <x:v>240</x:v>
      </x:c>
      <x:c r="K668" s="70" t="s">
        <x:v>1676</x:v>
      </x:c>
      <x:c r="L668" s="70" t="s">
        <x:v>1277</x:v>
      </x:c>
      <x:c r="M668" s="70" t="s">
        <x:v>35</x:v>
      </x:c>
      <x:c r="N668" s="71" t="n">
        <x:v>1866085</x:v>
      </x:c>
      <x:c r="O668" s="72" t="n">
        <x:f aca="0">N668/1000</x:f>
        <x:v>1866.085</x:v>
      </x:c>
      <x:c r="P668" s="73" t="n">
        <x:f aca="0">LUCK!H55</x:f>
        <x:v>1866.085</x:v>
      </x:c>
      <x:c r="Q668" s="70" t="str">
        <x:f aca="0">IF(ABS(O668-P668)&lt;0.000001,"PASS","FAIL")</x:f>
        <x:v>PASS</x:v>
      </x:c>
      <x:c r="R668" s="70" t="s">
        <x:v>34</x:v>
      </x:c>
      <x:c r="S668" s="70"/>
    </x:row>
    <x:row r="669" ht="15" hidden="0">
      <x:c r="A669" s="70" t="s">
        <x:v>1859</x:v>
      </x:c>
      <x:c r="B669" s="70" t="s">
        <x:v>31</x:v>
      </x:c>
      <x:c r="C669" s="70" t="s">
        <x:v>1076</x:v>
      </x:c>
      <x:c r="D669" s="70" t="s">
        <x:v>364</x:v>
      </x:c>
      <x:c r="E669" s="70" t="s">
        <x:v>1129</x:v>
      </x:c>
      <x:c r="F669" s="70"/>
      <x:c r="G669" s="70" t="s">
        <x:v>1663</x:v>
      </x:c>
      <x:c r="H669" s="70" t="s">
        <x:v>1198</x:v>
      </x:c>
      <x:c r="I669" s="70" t="s">
        <x:v>1199</x:v>
      </x:c>
      <x:c r="J669" s="70" t="n">
        <x:v>191</x:v>
      </x:c>
      <x:c r="K669" s="70" t="s">
        <x:v>1200</x:v>
      </x:c>
      <x:c r="L669" s="70"/>
      <x:c r="M669" s="70" t="s">
        <x:v>35</x:v>
      </x:c>
      <x:c r="N669" s="71" t="n">
        <x:v>0</x:v>
      </x:c>
      <x:c r="O669" s="72" t="n">
        <x:f aca="0">N669/1000</x:f>
        <x:v>0</x:v>
      </x:c>
      <x:c r="P669" s="73" t="n">
        <x:f aca="0">LUCK!C56</x:f>
        <x:v>0</x:v>
      </x:c>
      <x:c r="Q669" s="70" t="str">
        <x:f aca="0">IF(ABS(O669-P669)&lt;0.000001,"PASS","FAIL")</x:f>
        <x:v>PASS</x:v>
      </x:c>
      <x:c r="R669" s="70" t="s">
        <x:v>34</x:v>
      </x:c>
      <x:c r="S669" s="70"/>
    </x:row>
    <x:row r="670" ht="15" hidden="0">
      <x:c r="A670" s="70" t="s">
        <x:v>1860</x:v>
      </x:c>
      <x:c r="B670" s="70" t="s">
        <x:v>31</x:v>
      </x:c>
      <x:c r="C670" s="70" t="s">
        <x:v>73</x:v>
      </x:c>
      <x:c r="D670" s="70" t="s">
        <x:v>364</x:v>
      </x:c>
      <x:c r="E670" s="70" t="s">
        <x:v>1129</x:v>
      </x:c>
      <x:c r="F670" s="70"/>
      <x:c r="G670" s="70" t="s">
        <x:v>1666</x:v>
      </x:c>
      <x:c r="H670" s="70" t="s">
        <x:v>1204</x:v>
      </x:c>
      <x:c r="I670" s="70" t="s">
        <x:v>1199</x:v>
      </x:c>
      <x:c r="J670" s="70" t="n">
        <x:v>226</x:v>
      </x:c>
      <x:c r="K670" s="70" t="s">
        <x:v>1667</x:v>
      </x:c>
      <x:c r="L670" s="70"/>
      <x:c r="M670" s="70" t="s">
        <x:v>35</x:v>
      </x:c>
      <x:c r="N670" s="71" t="n">
        <x:v>0</x:v>
      </x:c>
      <x:c r="O670" s="72" t="n">
        <x:f aca="0">N670/1000</x:f>
        <x:v>0</x:v>
      </x:c>
      <x:c r="P670" s="73" t="n">
        <x:f aca="0">LUCK!D56</x:f>
        <x:v>0</x:v>
      </x:c>
      <x:c r="Q670" s="70" t="str">
        <x:f aca="0">IF(ABS(O670-P670)&lt;0.000001,"PASS","FAIL")</x:f>
        <x:v>PASS</x:v>
      </x:c>
      <x:c r="R670" s="70" t="s">
        <x:v>34</x:v>
      </x:c>
      <x:c r="S670" s="70"/>
    </x:row>
    <x:row r="671" ht="15" hidden="0">
      <x:c r="A671" s="70" t="s">
        <x:v>1861</x:v>
      </x:c>
      <x:c r="B671" s="70" t="s">
        <x:v>31</x:v>
      </x:c>
      <x:c r="C671" s="70" t="s">
        <x:v>74</x:v>
      </x:c>
      <x:c r="D671" s="70" t="s">
        <x:v>364</x:v>
      </x:c>
      <x:c r="E671" s="70" t="s">
        <x:v>1129</x:v>
      </x:c>
      <x:c r="F671" s="70"/>
      <x:c r="G671" s="70" t="s">
        <x:v>1669</x:v>
      </x:c>
      <x:c r="H671" s="70" t="s">
        <x:v>1208</x:v>
      </x:c>
      <x:c r="I671" s="70" t="s">
        <x:v>1199</x:v>
      </x:c>
      <x:c r="J671" s="70" t="n">
        <x:v>234</x:v>
      </x:c>
      <x:c r="K671" s="70" t="s">
        <x:v>1670</x:v>
      </x:c>
      <x:c r="L671" s="70"/>
      <x:c r="M671" s="70" t="s">
        <x:v>35</x:v>
      </x:c>
      <x:c r="N671" s="71" t="n">
        <x:v>0</x:v>
      </x:c>
      <x:c r="O671" s="72" t="n">
        <x:f aca="0">N671/1000</x:f>
        <x:v>0</x:v>
      </x:c>
      <x:c r="P671" s="73" t="n">
        <x:f aca="0">LUCK!E56</x:f>
        <x:v>0</x:v>
      </x:c>
      <x:c r="Q671" s="70" t="str">
        <x:f aca="0">IF(ABS(O671-P671)&lt;0.000001,"PASS","FAIL")</x:f>
        <x:v>PASS</x:v>
      </x:c>
      <x:c r="R671" s="70" t="s">
        <x:v>34</x:v>
      </x:c>
      <x:c r="S671" s="70"/>
    </x:row>
    <x:row r="672" ht="15" hidden="0">
      <x:c r="A672" s="70" t="s">
        <x:v>1862</x:v>
      </x:c>
      <x:c r="B672" s="70" t="s">
        <x:v>31</x:v>
      </x:c>
      <x:c r="C672" s="70" t="s">
        <x:v>75</x:v>
      </x:c>
      <x:c r="D672" s="70" t="s">
        <x:v>364</x:v>
      </x:c>
      <x:c r="E672" s="70" t="s">
        <x:v>1129</x:v>
      </x:c>
      <x:c r="F672" s="70"/>
      <x:c r="G672" s="70" t="s">
        <x:v>1672</x:v>
      </x:c>
      <x:c r="H672" s="70" t="s">
        <x:v>1211</x:v>
      </x:c>
      <x:c r="I672" s="70" t="s">
        <x:v>1199</x:v>
      </x:c>
      <x:c r="J672" s="70" t="n">
        <x:v>238</x:v>
      </x:c>
      <x:c r="K672" s="70" t="s">
        <x:v>1673</x:v>
      </x:c>
      <x:c r="L672" s="70"/>
      <x:c r="M672" s="70" t="s">
        <x:v>35</x:v>
      </x:c>
      <x:c r="N672" s="71" t="n">
        <x:v>0</x:v>
      </x:c>
      <x:c r="O672" s="72" t="n">
        <x:f aca="0">N672/1000</x:f>
        <x:v>0</x:v>
      </x:c>
      <x:c r="P672" s="73" t="n">
        <x:f aca="0">LUCK!F56</x:f>
        <x:v>0</x:v>
      </x:c>
      <x:c r="Q672" s="70" t="str">
        <x:f aca="0">IF(ABS(O672-P672)&lt;0.000001,"PASS","FAIL")</x:f>
        <x:v>PASS</x:v>
      </x:c>
      <x:c r="R672" s="70" t="s">
        <x:v>34</x:v>
      </x:c>
      <x:c r="S672" s="70"/>
    </x:row>
    <x:row r="673" ht="15" hidden="0">
      <x:c r="A673" s="70" t="s">
        <x:v>1863</x:v>
      </x:c>
      <x:c r="B673" s="70" t="s">
        <x:v>31</x:v>
      </x:c>
      <x:c r="C673" s="70" t="s">
        <x:v>76</x:v>
      </x:c>
      <x:c r="D673" s="70" t="s">
        <x:v>364</x:v>
      </x:c>
      <x:c r="E673" s="70" t="s">
        <x:v>1129</x:v>
      </x:c>
      <x:c r="F673" s="70"/>
      <x:c r="G673" s="70" t="s">
        <x:v>1675</x:v>
      </x:c>
      <x:c r="H673" s="70" t="s">
        <x:v>1215</x:v>
      </x:c>
      <x:c r="I673" s="70" t="s">
        <x:v>1199</x:v>
      </x:c>
      <x:c r="J673" s="70" t="n">
        <x:v>240</x:v>
      </x:c>
      <x:c r="K673" s="70" t="s">
        <x:v>1676</x:v>
      </x:c>
      <x:c r="L673" s="70"/>
      <x:c r="M673" s="70" t="s">
        <x:v>35</x:v>
      </x:c>
      <x:c r="N673" s="71" t="n">
        <x:v>0</x:v>
      </x:c>
      <x:c r="O673" s="72" t="n">
        <x:f aca="0">N673/1000</x:f>
        <x:v>0</x:v>
      </x:c>
      <x:c r="P673" s="73" t="n">
        <x:f aca="0">LUCK!G56</x:f>
        <x:v>0</x:v>
      </x:c>
      <x:c r="Q673" s="70" t="str">
        <x:f aca="0">IF(ABS(O673-P673)&lt;0.000001,"PASS","FAIL")</x:f>
        <x:v>PASS</x:v>
      </x:c>
      <x:c r="R673" s="70" t="s">
        <x:v>34</x:v>
      </x:c>
      <x:c r="S673" s="70"/>
    </x:row>
    <x:row r="674" ht="15" hidden="0">
      <x:c r="A674" s="70" t="s">
        <x:v>1864</x:v>
      </x:c>
      <x:c r="B674" s="70" t="s">
        <x:v>31</x:v>
      </x:c>
      <x:c r="C674" s="70" t="s">
        <x:v>77</x:v>
      </x:c>
      <x:c r="D674" s="70" t="s">
        <x:v>364</x:v>
      </x:c>
      <x:c r="E674" s="70" t="s">
        <x:v>1129</x:v>
      </x:c>
      <x:c r="F674" s="70"/>
      <x:c r="G674" s="70" t="s">
        <x:v>1675</x:v>
      </x:c>
      <x:c r="H674" s="70" t="s">
        <x:v>1215</x:v>
      </x:c>
      <x:c r="I674" s="70" t="s">
        <x:v>1218</x:v>
      </x:c>
      <x:c r="J674" s="70" t="n">
        <x:v>240</x:v>
      </x:c>
      <x:c r="K674" s="70" t="s">
        <x:v>1676</x:v>
      </x:c>
      <x:c r="L674" s="70"/>
      <x:c r="M674" s="70" t="s">
        <x:v>35</x:v>
      </x:c>
      <x:c r="N674" s="71" t="n">
        <x:v>0</x:v>
      </x:c>
      <x:c r="O674" s="72" t="n">
        <x:f aca="0">N674/1000</x:f>
        <x:v>0</x:v>
      </x:c>
      <x:c r="P674" s="73" t="n">
        <x:f aca="0">LUCK!H56</x:f>
        <x:v>0</x:v>
      </x:c>
      <x:c r="Q674" s="70" t="str">
        <x:f aca="0">IF(ABS(O674-P674)&lt;0.000001,"PASS","FAIL")</x:f>
        <x:v>PASS</x:v>
      </x:c>
      <x:c r="R674" s="70" t="s">
        <x:v>34</x:v>
      </x:c>
      <x:c r="S674" s="70"/>
    </x:row>
    <x:row r="675" ht="15" hidden="0">
      <x:c r="A675" s="70" t="s">
        <x:v>1865</x:v>
      </x:c>
      <x:c r="B675" s="70" t="s">
        <x:v>31</x:v>
      </x:c>
      <x:c r="C675" s="70" t="s">
        <x:v>1076</x:v>
      </x:c>
      <x:c r="D675" s="70" t="s">
        <x:v>366</x:v>
      </x:c>
      <x:c r="E675" s="70" t="s">
        <x:v>1129</x:v>
      </x:c>
      <x:c r="F675" s="70"/>
      <x:c r="G675" s="70" t="s">
        <x:v>1663</x:v>
      </x:c>
      <x:c r="H675" s="70" t="s">
        <x:v>1198</x:v>
      </x:c>
      <x:c r="I675" s="70" t="s">
        <x:v>1199</x:v>
      </x:c>
      <x:c r="J675" s="70" t="n">
        <x:v>191</x:v>
      </x:c>
      <x:c r="K675" s="70" t="s">
        <x:v>1200</x:v>
      </x:c>
      <x:c r="L675" s="70"/>
      <x:c r="M675" s="70" t="s">
        <x:v>35</x:v>
      </x:c>
      <x:c r="N675" s="71" t="n">
        <x:v>0</x:v>
      </x:c>
      <x:c r="O675" s="72" t="n">
        <x:f aca="0">N675/1000</x:f>
        <x:v>0</x:v>
      </x:c>
      <x:c r="P675" s="73" t="n">
        <x:f aca="0">LUCK!C57</x:f>
        <x:v>0</x:v>
      </x:c>
      <x:c r="Q675" s="70" t="str">
        <x:f aca="0">IF(ABS(O675-P675)&lt;0.000001,"PASS","FAIL")</x:f>
        <x:v>PASS</x:v>
      </x:c>
      <x:c r="R675" s="70" t="s">
        <x:v>34</x:v>
      </x:c>
      <x:c r="S675" s="70"/>
    </x:row>
    <x:row r="676" ht="15" hidden="0">
      <x:c r="A676" s="70" t="s">
        <x:v>1866</x:v>
      </x:c>
      <x:c r="B676" s="70" t="s">
        <x:v>31</x:v>
      </x:c>
      <x:c r="C676" s="70" t="s">
        <x:v>73</x:v>
      </x:c>
      <x:c r="D676" s="70" t="s">
        <x:v>366</x:v>
      </x:c>
      <x:c r="E676" s="70" t="s">
        <x:v>1129</x:v>
      </x:c>
      <x:c r="F676" s="70"/>
      <x:c r="G676" s="70" t="s">
        <x:v>1666</x:v>
      </x:c>
      <x:c r="H676" s="70" t="s">
        <x:v>1204</x:v>
      </x:c>
      <x:c r="I676" s="70" t="s">
        <x:v>1199</x:v>
      </x:c>
      <x:c r="J676" s="70" t="n">
        <x:v>226</x:v>
      </x:c>
      <x:c r="K676" s="70" t="s">
        <x:v>1667</x:v>
      </x:c>
      <x:c r="L676" s="70"/>
      <x:c r="M676" s="70" t="s">
        <x:v>35</x:v>
      </x:c>
      <x:c r="N676" s="71" t="n">
        <x:v>0</x:v>
      </x:c>
      <x:c r="O676" s="72" t="n">
        <x:f aca="0">N676/1000</x:f>
        <x:v>0</x:v>
      </x:c>
      <x:c r="P676" s="73" t="n">
        <x:f aca="0">LUCK!D57</x:f>
        <x:v>0</x:v>
      </x:c>
      <x:c r="Q676" s="70" t="str">
        <x:f aca="0">IF(ABS(O676-P676)&lt;0.000001,"PASS","FAIL")</x:f>
        <x:v>PASS</x:v>
      </x:c>
      <x:c r="R676" s="70" t="s">
        <x:v>34</x:v>
      </x:c>
      <x:c r="S676" s="70"/>
    </x:row>
    <x:row r="677" ht="15" hidden="0">
      <x:c r="A677" s="70" t="s">
        <x:v>1867</x:v>
      </x:c>
      <x:c r="B677" s="70" t="s">
        <x:v>31</x:v>
      </x:c>
      <x:c r="C677" s="70" t="s">
        <x:v>74</x:v>
      </x:c>
      <x:c r="D677" s="70" t="s">
        <x:v>366</x:v>
      </x:c>
      <x:c r="E677" s="70" t="s">
        <x:v>1129</x:v>
      </x:c>
      <x:c r="F677" s="70"/>
      <x:c r="G677" s="70" t="s">
        <x:v>1669</x:v>
      </x:c>
      <x:c r="H677" s="70" t="s">
        <x:v>1208</x:v>
      </x:c>
      <x:c r="I677" s="70" t="s">
        <x:v>1199</x:v>
      </x:c>
      <x:c r="J677" s="70" t="n">
        <x:v>234</x:v>
      </x:c>
      <x:c r="K677" s="70" t="s">
        <x:v>1670</x:v>
      </x:c>
      <x:c r="L677" s="70"/>
      <x:c r="M677" s="70" t="s">
        <x:v>35</x:v>
      </x:c>
      <x:c r="N677" s="71" t="n">
        <x:v>0</x:v>
      </x:c>
      <x:c r="O677" s="72" t="n">
        <x:f aca="0">N677/1000</x:f>
        <x:v>0</x:v>
      </x:c>
      <x:c r="P677" s="73" t="n">
        <x:f aca="0">LUCK!E57</x:f>
        <x:v>0</x:v>
      </x:c>
      <x:c r="Q677" s="70" t="str">
        <x:f aca="0">IF(ABS(O677-P677)&lt;0.000001,"PASS","FAIL")</x:f>
        <x:v>PASS</x:v>
      </x:c>
      <x:c r="R677" s="70" t="s">
        <x:v>34</x:v>
      </x:c>
      <x:c r="S677" s="70"/>
    </x:row>
    <x:row r="678" ht="15" hidden="0">
      <x:c r="A678" s="70" t="s">
        <x:v>1868</x:v>
      </x:c>
      <x:c r="B678" s="70" t="s">
        <x:v>31</x:v>
      </x:c>
      <x:c r="C678" s="70" t="s">
        <x:v>75</x:v>
      </x:c>
      <x:c r="D678" s="70" t="s">
        <x:v>366</x:v>
      </x:c>
      <x:c r="E678" s="70" t="s">
        <x:v>1129</x:v>
      </x:c>
      <x:c r="F678" s="70"/>
      <x:c r="G678" s="70" t="s">
        <x:v>1672</x:v>
      </x:c>
      <x:c r="H678" s="70" t="s">
        <x:v>1211</x:v>
      </x:c>
      <x:c r="I678" s="70" t="s">
        <x:v>1199</x:v>
      </x:c>
      <x:c r="J678" s="70" t="n">
        <x:v>238</x:v>
      </x:c>
      <x:c r="K678" s="70" t="s">
        <x:v>1673</x:v>
      </x:c>
      <x:c r="L678" s="70"/>
      <x:c r="M678" s="70" t="s">
        <x:v>35</x:v>
      </x:c>
      <x:c r="N678" s="71" t="n">
        <x:v>0</x:v>
      </x:c>
      <x:c r="O678" s="72" t="n">
        <x:f aca="0">N678/1000</x:f>
        <x:v>0</x:v>
      </x:c>
      <x:c r="P678" s="73" t="n">
        <x:f aca="0">LUCK!F57</x:f>
        <x:v>0</x:v>
      </x:c>
      <x:c r="Q678" s="70" t="str">
        <x:f aca="0">IF(ABS(O678-P678)&lt;0.000001,"PASS","FAIL")</x:f>
        <x:v>PASS</x:v>
      </x:c>
      <x:c r="R678" s="70" t="s">
        <x:v>34</x:v>
      </x:c>
      <x:c r="S678" s="70"/>
    </x:row>
    <x:row r="679" ht="15" hidden="0">
      <x:c r="A679" s="70" t="s">
        <x:v>1869</x:v>
      </x:c>
      <x:c r="B679" s="70" t="s">
        <x:v>31</x:v>
      </x:c>
      <x:c r="C679" s="70" t="s">
        <x:v>76</x:v>
      </x:c>
      <x:c r="D679" s="70" t="s">
        <x:v>366</x:v>
      </x:c>
      <x:c r="E679" s="70" t="s">
        <x:v>1129</x:v>
      </x:c>
      <x:c r="F679" s="70"/>
      <x:c r="G679" s="70" t="s">
        <x:v>1675</x:v>
      </x:c>
      <x:c r="H679" s="70" t="s">
        <x:v>1215</x:v>
      </x:c>
      <x:c r="I679" s="70" t="s">
        <x:v>1199</x:v>
      </x:c>
      <x:c r="J679" s="70" t="n">
        <x:v>240</x:v>
      </x:c>
      <x:c r="K679" s="70" t="s">
        <x:v>1676</x:v>
      </x:c>
      <x:c r="L679" s="70"/>
      <x:c r="M679" s="70" t="s">
        <x:v>35</x:v>
      </x:c>
      <x:c r="N679" s="71" t="n">
        <x:v>0</x:v>
      </x:c>
      <x:c r="O679" s="72" t="n">
        <x:f aca="0">N679/1000</x:f>
        <x:v>0</x:v>
      </x:c>
      <x:c r="P679" s="73" t="n">
        <x:f aca="0">LUCK!G57</x:f>
        <x:v>0</x:v>
      </x:c>
      <x:c r="Q679" s="70" t="str">
        <x:f aca="0">IF(ABS(O679-P679)&lt;0.000001,"PASS","FAIL")</x:f>
        <x:v>PASS</x:v>
      </x:c>
      <x:c r="R679" s="70" t="s">
        <x:v>34</x:v>
      </x:c>
      <x:c r="S679" s="70"/>
    </x:row>
    <x:row r="680" ht="15" hidden="0">
      <x:c r="A680" s="70" t="s">
        <x:v>1870</x:v>
      </x:c>
      <x:c r="B680" s="70" t="s">
        <x:v>31</x:v>
      </x:c>
      <x:c r="C680" s="70" t="s">
        <x:v>77</x:v>
      </x:c>
      <x:c r="D680" s="70" t="s">
        <x:v>366</x:v>
      </x:c>
      <x:c r="E680" s="70" t="s">
        <x:v>1129</x:v>
      </x:c>
      <x:c r="F680" s="70"/>
      <x:c r="G680" s="70" t="s">
        <x:v>1675</x:v>
      </x:c>
      <x:c r="H680" s="70" t="s">
        <x:v>1215</x:v>
      </x:c>
      <x:c r="I680" s="70" t="s">
        <x:v>1218</x:v>
      </x:c>
      <x:c r="J680" s="70" t="n">
        <x:v>240</x:v>
      </x:c>
      <x:c r="K680" s="70" t="s">
        <x:v>1676</x:v>
      </x:c>
      <x:c r="L680" s="70"/>
      <x:c r="M680" s="70" t="s">
        <x:v>35</x:v>
      </x:c>
      <x:c r="N680" s="71" t="n">
        <x:v>0</x:v>
      </x:c>
      <x:c r="O680" s="72" t="n">
        <x:f aca="0">N680/1000</x:f>
        <x:v>0</x:v>
      </x:c>
      <x:c r="P680" s="73" t="n">
        <x:f aca="0">LUCK!H57</x:f>
        <x:v>0</x:v>
      </x:c>
      <x:c r="Q680" s="70" t="str">
        <x:f aca="0">IF(ABS(O680-P680)&lt;0.000001,"PASS","FAIL")</x:f>
        <x:v>PASS</x:v>
      </x:c>
      <x:c r="R680" s="70" t="s">
        <x:v>34</x:v>
      </x:c>
      <x:c r="S680" s="70"/>
    </x:row>
    <x:row r="681" ht="15" hidden="0">
      <x:c r="A681" s="70" t="s">
        <x:v>1871</x:v>
      </x:c>
      <x:c r="B681" s="70" t="s">
        <x:v>31</x:v>
      </x:c>
      <x:c r="C681" s="70" t="s">
        <x:v>1076</x:v>
      </x:c>
      <x:c r="D681" s="70" t="s">
        <x:v>368</x:v>
      </x:c>
      <x:c r="E681" s="70" t="s">
        <x:v>1129</x:v>
      </x:c>
      <x:c r="F681" s="70" t="s">
        <x:v>1872</x:v>
      </x:c>
      <x:c r="G681" s="70" t="s">
        <x:v>1663</x:v>
      </x:c>
      <x:c r="H681" s="70" t="s">
        <x:v>1198</x:v>
      </x:c>
      <x:c r="I681" s="70" t="s">
        <x:v>1199</x:v>
      </x:c>
      <x:c r="J681" s="70" t="n">
        <x:v>191</x:v>
      </x:c>
      <x:c r="K681" s="70" t="s">
        <x:v>1200</x:v>
      </x:c>
      <x:c r="L681" s="70"/>
      <x:c r="M681" s="70" t="s">
        <x:v>35</x:v>
      </x:c>
      <x:c r="N681" s="71" t="n">
        <x:v>73347</x:v>
      </x:c>
      <x:c r="O681" s="72" t="n">
        <x:f aca="0">N681/1000</x:f>
        <x:v>73.347</x:v>
      </x:c>
      <x:c r="P681" s="73" t="n">
        <x:f aca="0">LUCK!C58</x:f>
        <x:v>73.347</x:v>
      </x:c>
      <x:c r="Q681" s="70" t="str">
        <x:f aca="0">IF(ABS(O681-P681)&lt;0.000001,"PASS","FAIL")</x:f>
        <x:v>PASS</x:v>
      </x:c>
      <x:c r="R681" s="70" t="s">
        <x:v>34</x:v>
      </x:c>
      <x:c r="S681" s="70"/>
    </x:row>
    <x:row r="682" ht="15" hidden="0">
      <x:c r="A682" s="70" t="s">
        <x:v>1873</x:v>
      </x:c>
      <x:c r="B682" s="70" t="s">
        <x:v>31</x:v>
      </x:c>
      <x:c r="C682" s="70" t="s">
        <x:v>73</x:v>
      </x:c>
      <x:c r="D682" s="70" t="s">
        <x:v>368</x:v>
      </x:c>
      <x:c r="E682" s="70" t="s">
        <x:v>1129</x:v>
      </x:c>
      <x:c r="F682" s="70" t="s">
        <x:v>1874</x:v>
      </x:c>
      <x:c r="G682" s="70" t="s">
        <x:v>1666</x:v>
      </x:c>
      <x:c r="H682" s="70" t="s">
        <x:v>1204</x:v>
      </x:c>
      <x:c r="I682" s="70" t="s">
        <x:v>1199</x:v>
      </x:c>
      <x:c r="J682" s="70" t="n">
        <x:v>226</x:v>
      </x:c>
      <x:c r="K682" s="70" t="s">
        <x:v>1667</x:v>
      </x:c>
      <x:c r="L682" s="70"/>
      <x:c r="M682" s="70" t="s">
        <x:v>35</x:v>
      </x:c>
      <x:c r="N682" s="71" t="n">
        <x:v>53458</x:v>
      </x:c>
      <x:c r="O682" s="72" t="n">
        <x:f aca="0">N682/1000</x:f>
        <x:v>53.458</x:v>
      </x:c>
      <x:c r="P682" s="73" t="n">
        <x:f aca="0">LUCK!D58</x:f>
        <x:v>53.458</x:v>
      </x:c>
      <x:c r="Q682" s="70" t="str">
        <x:f aca="0">IF(ABS(O682-P682)&lt;0.000001,"PASS","FAIL")</x:f>
        <x:v>PASS</x:v>
      </x:c>
      <x:c r="R682" s="70" t="s">
        <x:v>34</x:v>
      </x:c>
      <x:c r="S682" s="70"/>
    </x:row>
    <x:row r="683" ht="15" hidden="0">
      <x:c r="A683" s="70" t="s">
        <x:v>1875</x:v>
      </x:c>
      <x:c r="B683" s="70" t="s">
        <x:v>31</x:v>
      </x:c>
      <x:c r="C683" s="70" t="s">
        <x:v>74</x:v>
      </x:c>
      <x:c r="D683" s="70" t="s">
        <x:v>368</x:v>
      </x:c>
      <x:c r="E683" s="70" t="s">
        <x:v>1129</x:v>
      </x:c>
      <x:c r="F683" s="70" t="s">
        <x:v>1874</x:v>
      </x:c>
      <x:c r="G683" s="70" t="s">
        <x:v>1669</x:v>
      </x:c>
      <x:c r="H683" s="70" t="s">
        <x:v>1208</x:v>
      </x:c>
      <x:c r="I683" s="70" t="s">
        <x:v>1199</x:v>
      </x:c>
      <x:c r="J683" s="70" t="n">
        <x:v>234</x:v>
      </x:c>
      <x:c r="K683" s="70" t="s">
        <x:v>1670</x:v>
      </x:c>
      <x:c r="L683" s="70"/>
      <x:c r="M683" s="70" t="s">
        <x:v>35</x:v>
      </x:c>
      <x:c r="N683" s="71" t="n">
        <x:v>51030</x:v>
      </x:c>
      <x:c r="O683" s="72" t="n">
        <x:f aca="0">N683/1000</x:f>
        <x:v>51.03</x:v>
      </x:c>
      <x:c r="P683" s="73" t="n">
        <x:f aca="0">LUCK!E58</x:f>
        <x:v>51.03</x:v>
      </x:c>
      <x:c r="Q683" s="70" t="str">
        <x:f aca="0">IF(ABS(O683-P683)&lt;0.000001,"PASS","FAIL")</x:f>
        <x:v>PASS</x:v>
      </x:c>
      <x:c r="R683" s="70" t="s">
        <x:v>34</x:v>
      </x:c>
      <x:c r="S683" s="70"/>
    </x:row>
    <x:row r="684" ht="15" hidden="0">
      <x:c r="A684" s="70" t="s">
        <x:v>1876</x:v>
      </x:c>
      <x:c r="B684" s="70" t="s">
        <x:v>31</x:v>
      </x:c>
      <x:c r="C684" s="70" t="s">
        <x:v>75</x:v>
      </x:c>
      <x:c r="D684" s="70" t="s">
        <x:v>368</x:v>
      </x:c>
      <x:c r="E684" s="70" t="s">
        <x:v>1129</x:v>
      </x:c>
      <x:c r="F684" s="70" t="s">
        <x:v>1874</x:v>
      </x:c>
      <x:c r="G684" s="70" t="s">
        <x:v>1672</x:v>
      </x:c>
      <x:c r="H684" s="70" t="s">
        <x:v>1211</x:v>
      </x:c>
      <x:c r="I684" s="70" t="s">
        <x:v>1199</x:v>
      </x:c>
      <x:c r="J684" s="70" t="n">
        <x:v>238</x:v>
      </x:c>
      <x:c r="K684" s="70" t="s">
        <x:v>1673</x:v>
      </x:c>
      <x:c r="L684" s="70"/>
      <x:c r="M684" s="70" t="s">
        <x:v>35</x:v>
      </x:c>
      <x:c r="N684" s="71" t="n">
        <x:v>50115</x:v>
      </x:c>
      <x:c r="O684" s="72" t="n">
        <x:f aca="0">N684/1000</x:f>
        <x:v>50.115</x:v>
      </x:c>
      <x:c r="P684" s="73" t="n">
        <x:f aca="0">LUCK!F58</x:f>
        <x:v>50.115</x:v>
      </x:c>
      <x:c r="Q684" s="70" t="str">
        <x:f aca="0">IF(ABS(O684-P684)&lt;0.000001,"PASS","FAIL")</x:f>
        <x:v>PASS</x:v>
      </x:c>
      <x:c r="R684" s="70" t="s">
        <x:v>34</x:v>
      </x:c>
      <x:c r="S684" s="70"/>
    </x:row>
    <x:row r="685" ht="15" hidden="0">
      <x:c r="A685" s="70" t="s">
        <x:v>1877</x:v>
      </x:c>
      <x:c r="B685" s="70" t="s">
        <x:v>31</x:v>
      </x:c>
      <x:c r="C685" s="70" t="s">
        <x:v>76</x:v>
      </x:c>
      <x:c r="D685" s="70" t="s">
        <x:v>368</x:v>
      </x:c>
      <x:c r="E685" s="70" t="s">
        <x:v>1129</x:v>
      </x:c>
      <x:c r="F685" s="70" t="s">
        <x:v>1874</x:v>
      </x:c>
      <x:c r="G685" s="70" t="s">
        <x:v>1675</x:v>
      </x:c>
      <x:c r="H685" s="70" t="s">
        <x:v>1215</x:v>
      </x:c>
      <x:c r="I685" s="70" t="s">
        <x:v>1199</x:v>
      </x:c>
      <x:c r="J685" s="70" t="n">
        <x:v>240</x:v>
      </x:c>
      <x:c r="K685" s="70" t="s">
        <x:v>1676</x:v>
      </x:c>
      <x:c r="L685" s="70"/>
      <x:c r="M685" s="70" t="s">
        <x:v>35</x:v>
      </x:c>
      <x:c r="N685" s="71" t="n">
        <x:v>59148</x:v>
      </x:c>
      <x:c r="O685" s="72" t="n">
        <x:f aca="0">N685/1000</x:f>
        <x:v>59.148</x:v>
      </x:c>
      <x:c r="P685" s="73" t="n">
        <x:f aca="0">LUCK!G58</x:f>
        <x:v>59.148</x:v>
      </x:c>
      <x:c r="Q685" s="70" t="str">
        <x:f aca="0">IF(ABS(O685-P685)&lt;0.000001,"PASS","FAIL")</x:f>
        <x:v>PASS</x:v>
      </x:c>
      <x:c r="R685" s="70" t="s">
        <x:v>34</x:v>
      </x:c>
      <x:c r="S685" s="70"/>
    </x:row>
    <x:row r="686" ht="15" hidden="0">
      <x:c r="A686" s="70" t="s">
        <x:v>1878</x:v>
      </x:c>
      <x:c r="B686" s="70" t="s">
        <x:v>31</x:v>
      </x:c>
      <x:c r="C686" s="70" t="s">
        <x:v>77</x:v>
      </x:c>
      <x:c r="D686" s="70" t="s">
        <x:v>368</x:v>
      </x:c>
      <x:c r="E686" s="70" t="s">
        <x:v>1129</x:v>
      </x:c>
      <x:c r="F686" s="70" t="s">
        <x:v>1874</x:v>
      </x:c>
      <x:c r="G686" s="70" t="s">
        <x:v>1675</x:v>
      </x:c>
      <x:c r="H686" s="70" t="s">
        <x:v>1215</x:v>
      </x:c>
      <x:c r="I686" s="70" t="s">
        <x:v>1218</x:v>
      </x:c>
      <x:c r="J686" s="70" t="n">
        <x:v>240</x:v>
      </x:c>
      <x:c r="K686" s="70" t="s">
        <x:v>1676</x:v>
      </x:c>
      <x:c r="L686" s="70"/>
      <x:c r="M686" s="70" t="s">
        <x:v>35</x:v>
      </x:c>
      <x:c r="N686" s="71" t="n">
        <x:v>65745</x:v>
      </x:c>
      <x:c r="O686" s="72" t="n">
        <x:f aca="0">N686/1000</x:f>
        <x:v>65.745</x:v>
      </x:c>
      <x:c r="P686" s="73" t="n">
        <x:f aca="0">LUCK!H58</x:f>
        <x:v>65.745</x:v>
      </x:c>
      <x:c r="Q686" s="70" t="str">
        <x:f aca="0">IF(ABS(O686-P686)&lt;0.000001,"PASS","FAIL")</x:f>
        <x:v>PASS</x:v>
      </x:c>
      <x:c r="R686" s="70" t="s">
        <x:v>34</x:v>
      </x:c>
      <x:c r="S686" s="70"/>
    </x:row>
    <x:row r="687" ht="15" hidden="0">
      <x:c r="A687" s="70" t="s">
        <x:v>1879</x:v>
      </x:c>
      <x:c r="B687" s="70" t="s">
        <x:v>31</x:v>
      </x:c>
      <x:c r="C687" s="70" t="s">
        <x:v>1076</x:v>
      </x:c>
      <x:c r="D687" s="70" t="s">
        <x:v>370</x:v>
      </x:c>
      <x:c r="E687" s="70" t="s">
        <x:v>1129</x:v>
      </x:c>
      <x:c r="F687" s="70" t="s">
        <x:v>1880</x:v>
      </x:c>
      <x:c r="G687" s="70" t="s">
        <x:v>1663</x:v>
      </x:c>
      <x:c r="H687" s="70" t="s">
        <x:v>1198</x:v>
      </x:c>
      <x:c r="I687" s="70" t="s">
        <x:v>1199</x:v>
      </x:c>
      <x:c r="J687" s="70" t="n">
        <x:v>191</x:v>
      </x:c>
      <x:c r="K687" s="70" t="s">
        <x:v>1200</x:v>
      </x:c>
      <x:c r="L687" s="70"/>
      <x:c r="M687" s="70" t="s">
        <x:v>35</x:v>
      </x:c>
      <x:c r="N687" s="71" t="n">
        <x:v>1422867</x:v>
      </x:c>
      <x:c r="O687" s="72" t="n">
        <x:f aca="0">N687/1000</x:f>
        <x:v>1422.867</x:v>
      </x:c>
      <x:c r="P687" s="73" t="n">
        <x:f aca="0">LUCK!C59</x:f>
        <x:v>1422.867</x:v>
      </x:c>
      <x:c r="Q687" s="70" t="str">
        <x:f aca="0">IF(ABS(O687-P687)&lt;0.000001,"PASS","FAIL")</x:f>
        <x:v>PASS</x:v>
      </x:c>
      <x:c r="R687" s="70" t="s">
        <x:v>34</x:v>
      </x:c>
      <x:c r="S687" s="70"/>
    </x:row>
    <x:row r="688" ht="15" hidden="0">
      <x:c r="A688" s="70" t="s">
        <x:v>1881</x:v>
      </x:c>
      <x:c r="B688" s="70" t="s">
        <x:v>31</x:v>
      </x:c>
      <x:c r="C688" s="70" t="s">
        <x:v>73</x:v>
      </x:c>
      <x:c r="D688" s="70" t="s">
        <x:v>370</x:v>
      </x:c>
      <x:c r="E688" s="70" t="s">
        <x:v>1129</x:v>
      </x:c>
      <x:c r="F688" s="70" t="s">
        <x:v>1880</x:v>
      </x:c>
      <x:c r="G688" s="70" t="s">
        <x:v>1666</x:v>
      </x:c>
      <x:c r="H688" s="70" t="s">
        <x:v>1204</x:v>
      </x:c>
      <x:c r="I688" s="70" t="s">
        <x:v>1199</x:v>
      </x:c>
      <x:c r="J688" s="70" t="n">
        <x:v>226</x:v>
      </x:c>
      <x:c r="K688" s="70" t="s">
        <x:v>1667</x:v>
      </x:c>
      <x:c r="L688" s="70"/>
      <x:c r="M688" s="70" t="s">
        <x:v>35</x:v>
      </x:c>
      <x:c r="N688" s="71" t="n">
        <x:v>1916072</x:v>
      </x:c>
      <x:c r="O688" s="72" t="n">
        <x:f aca="0">N688/1000</x:f>
        <x:v>1916.072</x:v>
      </x:c>
      <x:c r="P688" s="73" t="n">
        <x:f aca="0">LUCK!D59</x:f>
        <x:v>1916.072</x:v>
      </x:c>
      <x:c r="Q688" s="70" t="str">
        <x:f aca="0">IF(ABS(O688-P688)&lt;0.000001,"PASS","FAIL")</x:f>
        <x:v>PASS</x:v>
      </x:c>
      <x:c r="R688" s="70" t="s">
        <x:v>34</x:v>
      </x:c>
      <x:c r="S688" s="70"/>
    </x:row>
    <x:row r="689" ht="15" hidden="0">
      <x:c r="A689" s="70" t="s">
        <x:v>1882</x:v>
      </x:c>
      <x:c r="B689" s="70" t="s">
        <x:v>31</x:v>
      </x:c>
      <x:c r="C689" s="70" t="s">
        <x:v>74</x:v>
      </x:c>
      <x:c r="D689" s="70" t="s">
        <x:v>370</x:v>
      </x:c>
      <x:c r="E689" s="70" t="s">
        <x:v>1129</x:v>
      </x:c>
      <x:c r="F689" s="70" t="s">
        <x:v>1880</x:v>
      </x:c>
      <x:c r="G689" s="70" t="s">
        <x:v>1669</x:v>
      </x:c>
      <x:c r="H689" s="70" t="s">
        <x:v>1208</x:v>
      </x:c>
      <x:c r="I689" s="70" t="s">
        <x:v>1199</x:v>
      </x:c>
      <x:c r="J689" s="70" t="n">
        <x:v>234</x:v>
      </x:c>
      <x:c r="K689" s="70" t="s">
        <x:v>1670</x:v>
      </x:c>
      <x:c r="L689" s="70"/>
      <x:c r="M689" s="70" t="s">
        <x:v>35</x:v>
      </x:c>
      <x:c r="N689" s="71" t="n">
        <x:v>5496191</x:v>
      </x:c>
      <x:c r="O689" s="72" t="n">
        <x:f aca="0">N689/1000</x:f>
        <x:v>5496.191</x:v>
      </x:c>
      <x:c r="P689" s="73" t="n">
        <x:f aca="0">LUCK!E59</x:f>
        <x:v>5496.191</x:v>
      </x:c>
      <x:c r="Q689" s="70" t="str">
        <x:f aca="0">IF(ABS(O689-P689)&lt;0.000001,"PASS","FAIL")</x:f>
        <x:v>PASS</x:v>
      </x:c>
      <x:c r="R689" s="70" t="s">
        <x:v>34</x:v>
      </x:c>
      <x:c r="S689" s="70"/>
    </x:row>
    <x:row r="690" ht="15" hidden="0">
      <x:c r="A690" s="70" t="s">
        <x:v>1883</x:v>
      </x:c>
      <x:c r="B690" s="70" t="s">
        <x:v>31</x:v>
      </x:c>
      <x:c r="C690" s="70" t="s">
        <x:v>75</x:v>
      </x:c>
      <x:c r="D690" s="70" t="s">
        <x:v>370</x:v>
      </x:c>
      <x:c r="E690" s="70" t="s">
        <x:v>1129</x:v>
      </x:c>
      <x:c r="F690" s="70" t="s">
        <x:v>1880</x:v>
      </x:c>
      <x:c r="G690" s="70" t="s">
        <x:v>1672</x:v>
      </x:c>
      <x:c r="H690" s="70" t="s">
        <x:v>1211</x:v>
      </x:c>
      <x:c r="I690" s="70" t="s">
        <x:v>1199</x:v>
      </x:c>
      <x:c r="J690" s="70" t="n">
        <x:v>238</x:v>
      </x:c>
      <x:c r="K690" s="70" t="s">
        <x:v>1673</x:v>
      </x:c>
      <x:c r="L690" s="70"/>
      <x:c r="M690" s="70" t="s">
        <x:v>35</x:v>
      </x:c>
      <x:c r="N690" s="71" t="n">
        <x:v>9229664</x:v>
      </x:c>
      <x:c r="O690" s="72" t="n">
        <x:f aca="0">N690/1000</x:f>
        <x:v>9229.664</x:v>
      </x:c>
      <x:c r="P690" s="73" t="n">
        <x:f aca="0">LUCK!F59</x:f>
        <x:v>9229.664</x:v>
      </x:c>
      <x:c r="Q690" s="70" t="str">
        <x:f aca="0">IF(ABS(O690-P690)&lt;0.000001,"PASS","FAIL")</x:f>
        <x:v>PASS</x:v>
      </x:c>
      <x:c r="R690" s="70" t="s">
        <x:v>34</x:v>
      </x:c>
      <x:c r="S690" s="70"/>
    </x:row>
    <x:row r="691" ht="15" hidden="0">
      <x:c r="A691" s="70" t="s">
        <x:v>1884</x:v>
      </x:c>
      <x:c r="B691" s="70" t="s">
        <x:v>31</x:v>
      </x:c>
      <x:c r="C691" s="70" t="s">
        <x:v>76</x:v>
      </x:c>
      <x:c r="D691" s="70" t="s">
        <x:v>370</x:v>
      </x:c>
      <x:c r="E691" s="70" t="s">
        <x:v>1129</x:v>
      </x:c>
      <x:c r="F691" s="70" t="s">
        <x:v>1880</x:v>
      </x:c>
      <x:c r="G691" s="70" t="s">
        <x:v>1675</x:v>
      </x:c>
      <x:c r="H691" s="70" t="s">
        <x:v>1215</x:v>
      </x:c>
      <x:c r="I691" s="70" t="s">
        <x:v>1199</x:v>
      </x:c>
      <x:c r="J691" s="70" t="n">
        <x:v>240</x:v>
      </x:c>
      <x:c r="K691" s="70" t="s">
        <x:v>1676</x:v>
      </x:c>
      <x:c r="L691" s="70"/>
      <x:c r="M691" s="70" t="s">
        <x:v>35</x:v>
      </x:c>
      <x:c r="N691" s="71" t="n">
        <x:v>16195618</x:v>
      </x:c>
      <x:c r="O691" s="72" t="n">
        <x:f aca="0">N691/1000</x:f>
        <x:v>16195.618</x:v>
      </x:c>
      <x:c r="P691" s="73" t="n">
        <x:f aca="0">LUCK!G59</x:f>
        <x:v>16195.618</x:v>
      </x:c>
      <x:c r="Q691" s="70" t="str">
        <x:f aca="0">IF(ABS(O691-P691)&lt;0.000001,"PASS","FAIL")</x:f>
        <x:v>PASS</x:v>
      </x:c>
      <x:c r="R691" s="70" t="s">
        <x:v>34</x:v>
      </x:c>
      <x:c r="S691" s="70"/>
    </x:row>
    <x:row r="692" ht="15" hidden="0">
      <x:c r="A692" s="70" t="s">
        <x:v>1885</x:v>
      </x:c>
      <x:c r="B692" s="70" t="s">
        <x:v>31</x:v>
      </x:c>
      <x:c r="C692" s="70" t="s">
        <x:v>77</x:v>
      </x:c>
      <x:c r="D692" s="70" t="s">
        <x:v>370</x:v>
      </x:c>
      <x:c r="E692" s="70" t="s">
        <x:v>1129</x:v>
      </x:c>
      <x:c r="F692" s="70" t="s">
        <x:v>1880</x:v>
      </x:c>
      <x:c r="G692" s="70" t="s">
        <x:v>1675</x:v>
      </x:c>
      <x:c r="H692" s="70" t="s">
        <x:v>1215</x:v>
      </x:c>
      <x:c r="I692" s="70" t="s">
        <x:v>1218</x:v>
      </x:c>
      <x:c r="J692" s="70" t="n">
        <x:v>240</x:v>
      </x:c>
      <x:c r="K692" s="70" t="s">
        <x:v>1676</x:v>
      </x:c>
      <x:c r="L692" s="70"/>
      <x:c r="M692" s="70" t="s">
        <x:v>35</x:v>
      </x:c>
      <x:c r="N692" s="71" t="n">
        <x:v>22738018</x:v>
      </x:c>
      <x:c r="O692" s="72" t="n">
        <x:f aca="0">N692/1000</x:f>
        <x:v>22738.018</x:v>
      </x:c>
      <x:c r="P692" s="73" t="n">
        <x:f aca="0">LUCK!H59</x:f>
        <x:v>22738.018</x:v>
      </x:c>
      <x:c r="Q692" s="70" t="str">
        <x:f aca="0">IF(ABS(O692-P692)&lt;0.000001,"PASS","FAIL")</x:f>
        <x:v>PASS</x:v>
      </x:c>
      <x:c r="R692" s="70" t="s">
        <x:v>34</x:v>
      </x:c>
      <x:c r="S692" s="70"/>
    </x:row>
    <x:row r="693" ht="15" hidden="0">
      <x:c r="A693" s="70" t="s">
        <x:v>1886</x:v>
      </x:c>
      <x:c r="B693" s="70" t="s">
        <x:v>31</x:v>
      </x:c>
      <x:c r="C693" s="70" t="s">
        <x:v>1076</x:v>
      </x:c>
      <x:c r="D693" s="70" t="s">
        <x:v>372</x:v>
      </x:c>
      <x:c r="E693" s="70" t="s">
        <x:v>1129</x:v>
      </x:c>
      <x:c r="F693" s="70"/>
      <x:c r="G693" s="70" t="s">
        <x:v>1663</x:v>
      </x:c>
      <x:c r="H693" s="70" t="s">
        <x:v>1198</x:v>
      </x:c>
      <x:c r="I693" s="70" t="s">
        <x:v>1199</x:v>
      </x:c>
      <x:c r="J693" s="70" t="n">
        <x:v>191</x:v>
      </x:c>
      <x:c r="K693" s="70" t="s">
        <x:v>1200</x:v>
      </x:c>
      <x:c r="L693" s="70"/>
      <x:c r="M693" s="70" t="s">
        <x:v>35</x:v>
      </x:c>
      <x:c r="N693" s="71" t="n">
        <x:v>0</x:v>
      </x:c>
      <x:c r="O693" s="72" t="n">
        <x:f aca="0">N693/1000</x:f>
        <x:v>0</x:v>
      </x:c>
      <x:c r="P693" s="73" t="n">
        <x:f aca="0">LUCK!C60</x:f>
        <x:v>0</x:v>
      </x:c>
      <x:c r="Q693" s="70" t="str">
        <x:f aca="0">IF(ABS(O693-P693)&lt;0.000001,"PASS","FAIL")</x:f>
        <x:v>PASS</x:v>
      </x:c>
      <x:c r="R693" s="70" t="s">
        <x:v>34</x:v>
      </x:c>
      <x:c r="S693" s="70"/>
    </x:row>
    <x:row r="694" ht="15" hidden="0">
      <x:c r="A694" s="70" t="s">
        <x:v>1887</x:v>
      </x:c>
      <x:c r="B694" s="70" t="s">
        <x:v>31</x:v>
      </x:c>
      <x:c r="C694" s="70" t="s">
        <x:v>73</x:v>
      </x:c>
      <x:c r="D694" s="70" t="s">
        <x:v>372</x:v>
      </x:c>
      <x:c r="E694" s="70" t="s">
        <x:v>1129</x:v>
      </x:c>
      <x:c r="F694" s="70"/>
      <x:c r="G694" s="70" t="s">
        <x:v>1666</x:v>
      </x:c>
      <x:c r="H694" s="70" t="s">
        <x:v>1204</x:v>
      </x:c>
      <x:c r="I694" s="70" t="s">
        <x:v>1199</x:v>
      </x:c>
      <x:c r="J694" s="70" t="n">
        <x:v>226</x:v>
      </x:c>
      <x:c r="K694" s="70" t="s">
        <x:v>1667</x:v>
      </x:c>
      <x:c r="L694" s="70"/>
      <x:c r="M694" s="70" t="s">
        <x:v>35</x:v>
      </x:c>
      <x:c r="N694" s="71" t="n">
        <x:v>0</x:v>
      </x:c>
      <x:c r="O694" s="72" t="n">
        <x:f aca="0">N694/1000</x:f>
        <x:v>0</x:v>
      </x:c>
      <x:c r="P694" s="73" t="n">
        <x:f aca="0">LUCK!D60</x:f>
        <x:v>0</x:v>
      </x:c>
      <x:c r="Q694" s="70" t="str">
        <x:f aca="0">IF(ABS(O694-P694)&lt;0.000001,"PASS","FAIL")</x:f>
        <x:v>PASS</x:v>
      </x:c>
      <x:c r="R694" s="70" t="s">
        <x:v>34</x:v>
      </x:c>
      <x:c r="S694" s="70"/>
    </x:row>
    <x:row r="695" ht="15" hidden="0">
      <x:c r="A695" s="70" t="s">
        <x:v>1888</x:v>
      </x:c>
      <x:c r="B695" s="70" t="s">
        <x:v>31</x:v>
      </x:c>
      <x:c r="C695" s="70" t="s">
        <x:v>74</x:v>
      </x:c>
      <x:c r="D695" s="70" t="s">
        <x:v>372</x:v>
      </x:c>
      <x:c r="E695" s="70" t="s">
        <x:v>1129</x:v>
      </x:c>
      <x:c r="F695" s="70"/>
      <x:c r="G695" s="70" t="s">
        <x:v>1669</x:v>
      </x:c>
      <x:c r="H695" s="70" t="s">
        <x:v>1208</x:v>
      </x:c>
      <x:c r="I695" s="70" t="s">
        <x:v>1199</x:v>
      </x:c>
      <x:c r="J695" s="70" t="n">
        <x:v>234</x:v>
      </x:c>
      <x:c r="K695" s="70" t="s">
        <x:v>1670</x:v>
      </x:c>
      <x:c r="L695" s="70"/>
      <x:c r="M695" s="70" t="s">
        <x:v>35</x:v>
      </x:c>
      <x:c r="N695" s="71" t="n">
        <x:v>0</x:v>
      </x:c>
      <x:c r="O695" s="72" t="n">
        <x:f aca="0">N695/1000</x:f>
        <x:v>0</x:v>
      </x:c>
      <x:c r="P695" s="73" t="n">
        <x:f aca="0">LUCK!E60</x:f>
        <x:v>0</x:v>
      </x:c>
      <x:c r="Q695" s="70" t="str">
        <x:f aca="0">IF(ABS(O695-P695)&lt;0.000001,"PASS","FAIL")</x:f>
        <x:v>PASS</x:v>
      </x:c>
      <x:c r="R695" s="70" t="s">
        <x:v>34</x:v>
      </x:c>
      <x:c r="S695" s="70"/>
    </x:row>
    <x:row r="696" ht="15" hidden="0">
      <x:c r="A696" s="70" t="s">
        <x:v>1889</x:v>
      </x:c>
      <x:c r="B696" s="70" t="s">
        <x:v>31</x:v>
      </x:c>
      <x:c r="C696" s="70" t="s">
        <x:v>75</x:v>
      </x:c>
      <x:c r="D696" s="70" t="s">
        <x:v>372</x:v>
      </x:c>
      <x:c r="E696" s="70" t="s">
        <x:v>1129</x:v>
      </x:c>
      <x:c r="F696" s="70"/>
      <x:c r="G696" s="70" t="s">
        <x:v>1672</x:v>
      </x:c>
      <x:c r="H696" s="70" t="s">
        <x:v>1211</x:v>
      </x:c>
      <x:c r="I696" s="70" t="s">
        <x:v>1199</x:v>
      </x:c>
      <x:c r="J696" s="70" t="n">
        <x:v>238</x:v>
      </x:c>
      <x:c r="K696" s="70" t="s">
        <x:v>1673</x:v>
      </x:c>
      <x:c r="L696" s="70"/>
      <x:c r="M696" s="70" t="s">
        <x:v>35</x:v>
      </x:c>
      <x:c r="N696" s="71" t="n">
        <x:v>0</x:v>
      </x:c>
      <x:c r="O696" s="72" t="n">
        <x:f aca="0">N696/1000</x:f>
        <x:v>0</x:v>
      </x:c>
      <x:c r="P696" s="73" t="n">
        <x:f aca="0">LUCK!F60</x:f>
        <x:v>0</x:v>
      </x:c>
      <x:c r="Q696" s="70" t="str">
        <x:f aca="0">IF(ABS(O696-P696)&lt;0.000001,"PASS","FAIL")</x:f>
        <x:v>PASS</x:v>
      </x:c>
      <x:c r="R696" s="70" t="s">
        <x:v>34</x:v>
      </x:c>
      <x:c r="S696" s="70"/>
    </x:row>
    <x:row r="697" ht="15" hidden="0">
      <x:c r="A697" s="70" t="s">
        <x:v>1890</x:v>
      </x:c>
      <x:c r="B697" s="70" t="s">
        <x:v>31</x:v>
      </x:c>
      <x:c r="C697" s="70" t="s">
        <x:v>76</x:v>
      </x:c>
      <x:c r="D697" s="70" t="s">
        <x:v>372</x:v>
      </x:c>
      <x:c r="E697" s="70" t="s">
        <x:v>1129</x:v>
      </x:c>
      <x:c r="F697" s="70"/>
      <x:c r="G697" s="70" t="s">
        <x:v>1675</x:v>
      </x:c>
      <x:c r="H697" s="70" t="s">
        <x:v>1215</x:v>
      </x:c>
      <x:c r="I697" s="70" t="s">
        <x:v>1199</x:v>
      </x:c>
      <x:c r="J697" s="70" t="n">
        <x:v>240</x:v>
      </x:c>
      <x:c r="K697" s="70" t="s">
        <x:v>1676</x:v>
      </x:c>
      <x:c r="L697" s="70"/>
      <x:c r="M697" s="70" t="s">
        <x:v>35</x:v>
      </x:c>
      <x:c r="N697" s="71" t="n">
        <x:v>0</x:v>
      </x:c>
      <x:c r="O697" s="72" t="n">
        <x:f aca="0">N697/1000</x:f>
        <x:v>0</x:v>
      </x:c>
      <x:c r="P697" s="73" t="n">
        <x:f aca="0">LUCK!G60</x:f>
        <x:v>0</x:v>
      </x:c>
      <x:c r="Q697" s="70" t="str">
        <x:f aca="0">IF(ABS(O697-P697)&lt;0.000001,"PASS","FAIL")</x:f>
        <x:v>PASS</x:v>
      </x:c>
      <x:c r="R697" s="70" t="s">
        <x:v>34</x:v>
      </x:c>
      <x:c r="S697" s="70"/>
    </x:row>
    <x:row r="698" ht="15" hidden="0">
      <x:c r="A698" s="70" t="s">
        <x:v>1891</x:v>
      </x:c>
      <x:c r="B698" s="70" t="s">
        <x:v>31</x:v>
      </x:c>
      <x:c r="C698" s="70" t="s">
        <x:v>77</x:v>
      </x:c>
      <x:c r="D698" s="70" t="s">
        <x:v>372</x:v>
      </x:c>
      <x:c r="E698" s="70" t="s">
        <x:v>1129</x:v>
      </x:c>
      <x:c r="F698" s="70"/>
      <x:c r="G698" s="70" t="s">
        <x:v>1675</x:v>
      </x:c>
      <x:c r="H698" s="70" t="s">
        <x:v>1215</x:v>
      </x:c>
      <x:c r="I698" s="70" t="s">
        <x:v>1218</x:v>
      </x:c>
      <x:c r="J698" s="70" t="n">
        <x:v>240</x:v>
      </x:c>
      <x:c r="K698" s="70" t="s">
        <x:v>1676</x:v>
      </x:c>
      <x:c r="L698" s="70"/>
      <x:c r="M698" s="70" t="s">
        <x:v>35</x:v>
      </x:c>
      <x:c r="N698" s="71" t="n">
        <x:v>0</x:v>
      </x:c>
      <x:c r="O698" s="72" t="n">
        <x:f aca="0">N698/1000</x:f>
        <x:v>0</x:v>
      </x:c>
      <x:c r="P698" s="73" t="n">
        <x:f aca="0">LUCK!H60</x:f>
        <x:v>0</x:v>
      </x:c>
      <x:c r="Q698" s="70" t="str">
        <x:f aca="0">IF(ABS(O698-P698)&lt;0.000001,"PASS","FAIL")</x:f>
        <x:v>PASS</x:v>
      </x:c>
      <x:c r="R698" s="70" t="s">
        <x:v>34</x:v>
      </x:c>
      <x:c r="S698" s="70"/>
    </x:row>
    <x:row r="699" ht="15" hidden="0">
      <x:c r="A699" s="70" t="s">
        <x:v>1892</x:v>
      </x:c>
      <x:c r="B699" s="70" t="s">
        <x:v>31</x:v>
      </x:c>
      <x:c r="C699" s="70" t="s">
        <x:v>1076</x:v>
      </x:c>
      <x:c r="D699" s="70" t="s">
        <x:v>401</x:v>
      </x:c>
      <x:c r="E699" s="70" t="s">
        <x:v>1129</x:v>
      </x:c>
      <x:c r="F699" s="70"/>
      <x:c r="G699" s="70" t="s">
        <x:v>1663</x:v>
      </x:c>
      <x:c r="H699" s="70" t="s">
        <x:v>1198</x:v>
      </x:c>
      <x:c r="I699" s="70" t="s">
        <x:v>1199</x:v>
      </x:c>
      <x:c r="J699" s="70" t="n">
        <x:v>191</x:v>
      </x:c>
      <x:c r="K699" s="70" t="s">
        <x:v>1200</x:v>
      </x:c>
      <x:c r="L699" s="70"/>
      <x:c r="M699" s="70" t="s">
        <x:v>35</x:v>
      </x:c>
      <x:c r="N699" s="71" t="n">
        <x:v>135868474</x:v>
      </x:c>
      <x:c r="O699" s="72" t="n">
        <x:f aca="0">N699/1000</x:f>
        <x:v>135868.474</x:v>
      </x:c>
      <x:c r="P699" s="73" t="n">
        <x:f aca="0">LUCK!C75</x:f>
        <x:v>135868.474</x:v>
      </x:c>
      <x:c r="Q699" s="70" t="str">
        <x:f aca="0">IF(ABS(O699-P699)&lt;0.000001,"PASS","FAIL")</x:f>
        <x:v>PASS</x:v>
      </x:c>
      <x:c r="R699" s="70" t="s">
        <x:v>34</x:v>
      </x:c>
      <x:c r="S699" s="70"/>
    </x:row>
    <x:row r="700" ht="15" hidden="0">
      <x:c r="A700" s="70" t="s">
        <x:v>1893</x:v>
      </x:c>
      <x:c r="B700" s="70" t="s">
        <x:v>31</x:v>
      </x:c>
      <x:c r="C700" s="70" t="s">
        <x:v>73</x:v>
      </x:c>
      <x:c r="D700" s="70" t="s">
        <x:v>401</x:v>
      </x:c>
      <x:c r="E700" s="70" t="s">
        <x:v>1129</x:v>
      </x:c>
      <x:c r="F700" s="70"/>
      <x:c r="G700" s="70" t="s">
        <x:v>1666</x:v>
      </x:c>
      <x:c r="H700" s="70" t="s">
        <x:v>1204</x:v>
      </x:c>
      <x:c r="I700" s="70" t="s">
        <x:v>1199</x:v>
      </x:c>
      <x:c r="J700" s="70" t="n">
        <x:v>226</x:v>
      </x:c>
      <x:c r="K700" s="70" t="s">
        <x:v>1667</x:v>
      </x:c>
      <x:c r="L700" s="70"/>
      <x:c r="M700" s="70" t="s">
        <x:v>35</x:v>
      </x:c>
      <x:c r="N700" s="71" t="n">
        <x:v>156368062</x:v>
      </x:c>
      <x:c r="O700" s="72" t="n">
        <x:f aca="0">N700/1000</x:f>
        <x:v>156368.062</x:v>
      </x:c>
      <x:c r="P700" s="73" t="n">
        <x:f aca="0">LUCK!D75</x:f>
        <x:v>156368.062</x:v>
      </x:c>
      <x:c r="Q700" s="70" t="str">
        <x:f aca="0">IF(ABS(O700-P700)&lt;0.000001,"PASS","FAIL")</x:f>
        <x:v>PASS</x:v>
      </x:c>
      <x:c r="R700" s="70" t="s">
        <x:v>34</x:v>
      </x:c>
      <x:c r="S700" s="70"/>
    </x:row>
    <x:row r="701" ht="15" hidden="0">
      <x:c r="A701" s="70" t="s">
        <x:v>1894</x:v>
      </x:c>
      <x:c r="B701" s="70" t="s">
        <x:v>31</x:v>
      </x:c>
      <x:c r="C701" s="70" t="s">
        <x:v>74</x:v>
      </x:c>
      <x:c r="D701" s="70" t="s">
        <x:v>401</x:v>
      </x:c>
      <x:c r="E701" s="70" t="s">
        <x:v>1129</x:v>
      </x:c>
      <x:c r="F701" s="70"/>
      <x:c r="G701" s="70" t="s">
        <x:v>1669</x:v>
      </x:c>
      <x:c r="H701" s="70" t="s">
        <x:v>1208</x:v>
      </x:c>
      <x:c r="I701" s="70" t="s">
        <x:v>1199</x:v>
      </x:c>
      <x:c r="J701" s="70" t="n">
        <x:v>234</x:v>
      </x:c>
      <x:c r="K701" s="70" t="s">
        <x:v>1670</x:v>
      </x:c>
      <x:c r="L701" s="70"/>
      <x:c r="M701" s="70" t="s">
        <x:v>35</x:v>
      </x:c>
      <x:c r="N701" s="71" t="n">
        <x:v>184962368</x:v>
      </x:c>
      <x:c r="O701" s="72" t="n">
        <x:f aca="0">N701/1000</x:f>
        <x:v>184962.368</x:v>
      </x:c>
      <x:c r="P701" s="73" t="n">
        <x:f aca="0">LUCK!E75</x:f>
        <x:v>184962.368</x:v>
      </x:c>
      <x:c r="Q701" s="70" t="str">
        <x:f aca="0">IF(ABS(O701-P701)&lt;0.000001,"PASS","FAIL")</x:f>
        <x:v>PASS</x:v>
      </x:c>
      <x:c r="R701" s="70" t="s">
        <x:v>34</x:v>
      </x:c>
      <x:c r="S701" s="70"/>
    </x:row>
    <x:row r="702" ht="15" hidden="0">
      <x:c r="A702" s="70" t="s">
        <x:v>1895</x:v>
      </x:c>
      <x:c r="B702" s="70" t="s">
        <x:v>31</x:v>
      </x:c>
      <x:c r="C702" s="70" t="s">
        <x:v>75</x:v>
      </x:c>
      <x:c r="D702" s="70" t="s">
        <x:v>401</x:v>
      </x:c>
      <x:c r="E702" s="70" t="s">
        <x:v>1129</x:v>
      </x:c>
      <x:c r="F702" s="70"/>
      <x:c r="G702" s="70" t="s">
        <x:v>1672</x:v>
      </x:c>
      <x:c r="H702" s="70" t="s">
        <x:v>1211</x:v>
      </x:c>
      <x:c r="I702" s="70" t="s">
        <x:v>1199</x:v>
      </x:c>
      <x:c r="J702" s="70" t="n">
        <x:v>238</x:v>
      </x:c>
      <x:c r="K702" s="70" t="s">
        <x:v>1673</x:v>
      </x:c>
      <x:c r="L702" s="70"/>
      <x:c r="M702" s="70" t="s">
        <x:v>35</x:v>
      </x:c>
      <x:c r="N702" s="71" t="n">
        <x:v>213079067</x:v>
      </x:c>
      <x:c r="O702" s="72" t="n">
        <x:f aca="0">N702/1000</x:f>
        <x:v>213079.067</x:v>
      </x:c>
      <x:c r="P702" s="73" t="n">
        <x:f aca="0">LUCK!F75</x:f>
        <x:v>213079.067</x:v>
      </x:c>
      <x:c r="Q702" s="70" t="str">
        <x:f aca="0">IF(ABS(O702-P702)&lt;0.000001,"PASS","FAIL")</x:f>
        <x:v>PASS</x:v>
      </x:c>
      <x:c r="R702" s="70" t="s">
        <x:v>34</x:v>
      </x:c>
      <x:c r="S702" s="70"/>
    </x:row>
    <x:row r="703" ht="15" hidden="0">
      <x:c r="A703" s="70" t="s">
        <x:v>1896</x:v>
      </x:c>
      <x:c r="B703" s="70" t="s">
        <x:v>31</x:v>
      </x:c>
      <x:c r="C703" s="70" t="s">
        <x:v>76</x:v>
      </x:c>
      <x:c r="D703" s="70" t="s">
        <x:v>401</x:v>
      </x:c>
      <x:c r="E703" s="70" t="s">
        <x:v>1129</x:v>
      </x:c>
      <x:c r="F703" s="70"/>
      <x:c r="G703" s="70" t="s">
        <x:v>1675</x:v>
      </x:c>
      <x:c r="H703" s="70" t="s">
        <x:v>1215</x:v>
      </x:c>
      <x:c r="I703" s="70" t="s">
        <x:v>1199</x:v>
      </x:c>
      <x:c r="J703" s="70" t="n">
        <x:v>240</x:v>
      </x:c>
      <x:c r="K703" s="70" t="s">
        <x:v>1676</x:v>
      </x:c>
      <x:c r="L703" s="70"/>
      <x:c r="M703" s="70" t="s">
        <x:v>35</x:v>
      </x:c>
      <x:c r="N703" s="71" t="n">
        <x:v>234018090</x:v>
      </x:c>
      <x:c r="O703" s="72" t="n">
        <x:f aca="0">N703/1000</x:f>
        <x:v>234018.09</x:v>
      </x:c>
      <x:c r="P703" s="73" t="n">
        <x:f aca="0">LUCK!G75</x:f>
        <x:v>234018.09</x:v>
      </x:c>
      <x:c r="Q703" s="70" t="str">
        <x:f aca="0">IF(ABS(O703-P703)&lt;0.000001,"PASS","FAIL")</x:f>
        <x:v>PASS</x:v>
      </x:c>
      <x:c r="R703" s="70" t="s">
        <x:v>34</x:v>
      </x:c>
      <x:c r="S703" s="70"/>
    </x:row>
    <x:row r="704" ht="15" hidden="0">
      <x:c r="A704" s="70" t="s">
        <x:v>1897</x:v>
      </x:c>
      <x:c r="B704" s="70" t="s">
        <x:v>31</x:v>
      </x:c>
      <x:c r="C704" s="70" t="s">
        <x:v>77</x:v>
      </x:c>
      <x:c r="D704" s="70" t="s">
        <x:v>401</x:v>
      </x:c>
      <x:c r="E704" s="70" t="s">
        <x:v>1129</x:v>
      </x:c>
      <x:c r="F704" s="70"/>
      <x:c r="G704" s="70" t="s">
        <x:v>1675</x:v>
      </x:c>
      <x:c r="H704" s="70" t="s">
        <x:v>1215</x:v>
      </x:c>
      <x:c r="I704" s="70" t="s">
        <x:v>1218</x:v>
      </x:c>
      <x:c r="J704" s="70" t="n">
        <x:v>240</x:v>
      </x:c>
      <x:c r="K704" s="70" t="s">
        <x:v>1676</x:v>
      </x:c>
      <x:c r="L704" s="70"/>
      <x:c r="M704" s="70" t="s">
        <x:v>35</x:v>
      </x:c>
      <x:c r="N704" s="71" t="n">
        <x:v>266748030</x:v>
      </x:c>
      <x:c r="O704" s="72" t="n">
        <x:f aca="0">N704/1000</x:f>
        <x:v>266748.03</x:v>
      </x:c>
      <x:c r="P704" s="73" t="n">
        <x:f aca="0">LUCK!H75</x:f>
        <x:v>266748.03</x:v>
      </x:c>
      <x:c r="Q704" s="70" t="str">
        <x:f aca="0">IF(ABS(O704-P704)&lt;0.000001,"PASS","FAIL")</x:f>
        <x:v>PASS</x:v>
      </x:c>
      <x:c r="R704" s="70" t="s">
        <x:v>34</x:v>
      </x:c>
      <x:c r="S704" s="70"/>
    </x:row>
    <x:row r="705" ht="15" hidden="0">
      <x:c r="A705" s="70" t="s">
        <x:v>1898</x:v>
      </x:c>
      <x:c r="B705" s="70" t="s">
        <x:v>31</x:v>
      </x:c>
      <x:c r="C705" s="70" t="s">
        <x:v>1076</x:v>
      </x:c>
      <x:c r="D705" s="70" t="s">
        <x:v>403</x:v>
      </x:c>
      <x:c r="E705" s="70" t="s">
        <x:v>1129</x:v>
      </x:c>
      <x:c r="F705" s="70"/>
      <x:c r="G705" s="70" t="s">
        <x:v>1663</x:v>
      </x:c>
      <x:c r="H705" s="70" t="s">
        <x:v>1198</x:v>
      </x:c>
      <x:c r="I705" s="70" t="s">
        <x:v>1199</x:v>
      </x:c>
      <x:c r="J705" s="70" t="n">
        <x:v>191</x:v>
      </x:c>
      <x:c r="K705" s="70" t="s">
        <x:v>1200</x:v>
      </x:c>
      <x:c r="L705" s="70"/>
      <x:c r="M705" s="70" t="s">
        <x:v>35</x:v>
      </x:c>
      <x:c r="N705" s="71" t="n">
        <x:v>99183861</x:v>
      </x:c>
      <x:c r="O705" s="72" t="n">
        <x:f aca="0">N705/1000</x:f>
        <x:v>99183.861</x:v>
      </x:c>
      <x:c r="P705" s="73" t="n">
        <x:f aca="0">LUCK!C76</x:f>
        <x:v>99183.861</x:v>
      </x:c>
      <x:c r="Q705" s="70" t="str">
        <x:f aca="0">IF(ABS(O705-P705)&lt;0.000001,"PASS","FAIL")</x:f>
        <x:v>PASS</x:v>
      </x:c>
      <x:c r="R705" s="70" t="s">
        <x:v>34</x:v>
      </x:c>
      <x:c r="S705" s="70"/>
    </x:row>
    <x:row r="706" ht="15" hidden="0">
      <x:c r="A706" s="70" t="s">
        <x:v>1899</x:v>
      </x:c>
      <x:c r="B706" s="70" t="s">
        <x:v>31</x:v>
      </x:c>
      <x:c r="C706" s="70" t="s">
        <x:v>73</x:v>
      </x:c>
      <x:c r="D706" s="70" t="s">
        <x:v>403</x:v>
      </x:c>
      <x:c r="E706" s="70" t="s">
        <x:v>1129</x:v>
      </x:c>
      <x:c r="F706" s="70"/>
      <x:c r="G706" s="70" t="s">
        <x:v>1666</x:v>
      </x:c>
      <x:c r="H706" s="70" t="s">
        <x:v>1204</x:v>
      </x:c>
      <x:c r="I706" s="70" t="s">
        <x:v>1199</x:v>
      </x:c>
      <x:c r="J706" s="70" t="n">
        <x:v>226</x:v>
      </x:c>
      <x:c r="K706" s="70" t="s">
        <x:v>1667</x:v>
      </x:c>
      <x:c r="L706" s="70"/>
      <x:c r="M706" s="70" t="s">
        <x:v>35</x:v>
      </x:c>
      <x:c r="N706" s="71" t="n">
        <x:v>113200258</x:v>
      </x:c>
      <x:c r="O706" s="72" t="n">
        <x:f aca="0">N706/1000</x:f>
        <x:v>113200.258</x:v>
      </x:c>
      <x:c r="P706" s="73" t="n">
        <x:f aca="0">LUCK!D76</x:f>
        <x:v>113200.258</x:v>
      </x:c>
      <x:c r="Q706" s="70" t="str">
        <x:f aca="0">IF(ABS(O706-P706)&lt;0.000001,"PASS","FAIL")</x:f>
        <x:v>PASS</x:v>
      </x:c>
      <x:c r="R706" s="70" t="s">
        <x:v>34</x:v>
      </x:c>
      <x:c r="S706" s="70"/>
    </x:row>
    <x:row r="707" ht="15" hidden="0">
      <x:c r="A707" s="70" t="s">
        <x:v>1900</x:v>
      </x:c>
      <x:c r="B707" s="70" t="s">
        <x:v>31</x:v>
      </x:c>
      <x:c r="C707" s="70" t="s">
        <x:v>74</x:v>
      </x:c>
      <x:c r="D707" s="70" t="s">
        <x:v>403</x:v>
      </x:c>
      <x:c r="E707" s="70" t="s">
        <x:v>1129</x:v>
      </x:c>
      <x:c r="F707" s="70"/>
      <x:c r="G707" s="70" t="s">
        <x:v>1669</x:v>
      </x:c>
      <x:c r="H707" s="70" t="s">
        <x:v>1208</x:v>
      </x:c>
      <x:c r="I707" s="70" t="s">
        <x:v>1199</x:v>
      </x:c>
      <x:c r="J707" s="70" t="n">
        <x:v>234</x:v>
      </x:c>
      <x:c r="K707" s="70" t="s">
        <x:v>1670</x:v>
      </x:c>
      <x:c r="L707" s="70"/>
      <x:c r="M707" s="70" t="s">
        <x:v>35</x:v>
      </x:c>
      <x:c r="N707" s="71" t="n">
        <x:v>128540324</x:v>
      </x:c>
      <x:c r="O707" s="72" t="n">
        <x:f aca="0">N707/1000</x:f>
        <x:v>128540.324</x:v>
      </x:c>
      <x:c r="P707" s="73" t="n">
        <x:f aca="0">LUCK!E76</x:f>
        <x:v>128540.324</x:v>
      </x:c>
      <x:c r="Q707" s="70" t="str">
        <x:f aca="0">IF(ABS(O707-P707)&lt;0.000001,"PASS","FAIL")</x:f>
        <x:v>PASS</x:v>
      </x:c>
      <x:c r="R707" s="70" t="s">
        <x:v>34</x:v>
      </x:c>
      <x:c r="S707" s="70"/>
    </x:row>
    <x:row r="708" ht="15" hidden="0">
      <x:c r="A708" s="70" t="s">
        <x:v>1901</x:v>
      </x:c>
      <x:c r="B708" s="70" t="s">
        <x:v>31</x:v>
      </x:c>
      <x:c r="C708" s="70" t="s">
        <x:v>75</x:v>
      </x:c>
      <x:c r="D708" s="70" t="s">
        <x:v>403</x:v>
      </x:c>
      <x:c r="E708" s="70" t="s">
        <x:v>1129</x:v>
      </x:c>
      <x:c r="F708" s="70"/>
      <x:c r="G708" s="70" t="s">
        <x:v>1672</x:v>
      </x:c>
      <x:c r="H708" s="70" t="s">
        <x:v>1211</x:v>
      </x:c>
      <x:c r="I708" s="70" t="s">
        <x:v>1199</x:v>
      </x:c>
      <x:c r="J708" s="70" t="n">
        <x:v>238</x:v>
      </x:c>
      <x:c r="K708" s="70" t="s">
        <x:v>1673</x:v>
      </x:c>
      <x:c r="L708" s="70"/>
      <x:c r="M708" s="70" t="s">
        <x:v>35</x:v>
      </x:c>
      <x:c r="N708" s="71" t="n">
        <x:v>137366326</x:v>
      </x:c>
      <x:c r="O708" s="72" t="n">
        <x:f aca="0">N708/1000</x:f>
        <x:v>137366.326</x:v>
      </x:c>
      <x:c r="P708" s="73" t="n">
        <x:f aca="0">LUCK!F76</x:f>
        <x:v>137366.326</x:v>
      </x:c>
      <x:c r="Q708" s="70" t="str">
        <x:f aca="0">IF(ABS(O708-P708)&lt;0.000001,"PASS","FAIL")</x:f>
        <x:v>PASS</x:v>
      </x:c>
      <x:c r="R708" s="70" t="s">
        <x:v>34</x:v>
      </x:c>
      <x:c r="S708" s="70"/>
    </x:row>
    <x:row r="709" ht="15" hidden="0">
      <x:c r="A709" s="70" t="s">
        <x:v>1902</x:v>
      </x:c>
      <x:c r="B709" s="70" t="s">
        <x:v>31</x:v>
      </x:c>
      <x:c r="C709" s="70" t="s">
        <x:v>76</x:v>
      </x:c>
      <x:c r="D709" s="70" t="s">
        <x:v>403</x:v>
      </x:c>
      <x:c r="E709" s="70" t="s">
        <x:v>1129</x:v>
      </x:c>
      <x:c r="F709" s="70"/>
      <x:c r="G709" s="70" t="s">
        <x:v>1675</x:v>
      </x:c>
      <x:c r="H709" s="70" t="s">
        <x:v>1215</x:v>
      </x:c>
      <x:c r="I709" s="70" t="s">
        <x:v>1199</x:v>
      </x:c>
      <x:c r="J709" s="70" t="n">
        <x:v>240</x:v>
      </x:c>
      <x:c r="K709" s="70" t="s">
        <x:v>1676</x:v>
      </x:c>
      <x:c r="L709" s="70"/>
      <x:c r="M709" s="70" t="s">
        <x:v>35</x:v>
      </x:c>
      <x:c r="N709" s="71" t="n">
        <x:v>147761277</x:v>
      </x:c>
      <x:c r="O709" s="72" t="n">
        <x:f aca="0">N709/1000</x:f>
        <x:v>147761.277</x:v>
      </x:c>
      <x:c r="P709" s="73" t="n">
        <x:f aca="0">LUCK!G76</x:f>
        <x:v>147761.277</x:v>
      </x:c>
      <x:c r="Q709" s="70" t="str">
        <x:f aca="0">IF(ABS(O709-P709)&lt;0.000001,"PASS","FAIL")</x:f>
        <x:v>PASS</x:v>
      </x:c>
      <x:c r="R709" s="70" t="s">
        <x:v>34</x:v>
      </x:c>
      <x:c r="S709" s="70"/>
    </x:row>
    <x:row r="710" ht="15" hidden="0">
      <x:c r="A710" s="70" t="s">
        <x:v>1903</x:v>
      </x:c>
      <x:c r="B710" s="70" t="s">
        <x:v>31</x:v>
      </x:c>
      <x:c r="C710" s="70" t="s">
        <x:v>77</x:v>
      </x:c>
      <x:c r="D710" s="70" t="s">
        <x:v>403</x:v>
      </x:c>
      <x:c r="E710" s="70" t="s">
        <x:v>1129</x:v>
      </x:c>
      <x:c r="F710" s="70"/>
      <x:c r="G710" s="70" t="s">
        <x:v>1675</x:v>
      </x:c>
      <x:c r="H710" s="70" t="s">
        <x:v>1215</x:v>
      </x:c>
      <x:c r="I710" s="70" t="s">
        <x:v>1218</x:v>
      </x:c>
      <x:c r="J710" s="70" t="n">
        <x:v>240</x:v>
      </x:c>
      <x:c r="K710" s="70" t="s">
        <x:v>1676</x:v>
      </x:c>
      <x:c r="L710" s="70"/>
      <x:c r="M710" s="70" t="s">
        <x:v>35</x:v>
      </x:c>
      <x:c r="N710" s="71" t="n">
        <x:v>175910400</x:v>
      </x:c>
      <x:c r="O710" s="72" t="n">
        <x:f aca="0">N710/1000</x:f>
        <x:v>175910.4</x:v>
      </x:c>
      <x:c r="P710" s="73" t="n">
        <x:f aca="0">LUCK!H76</x:f>
        <x:v>175910.4</x:v>
      </x:c>
      <x:c r="Q710" s="70" t="str">
        <x:f aca="0">IF(ABS(O710-P710)&lt;0.000001,"PASS","FAIL")</x:f>
        <x:v>PASS</x:v>
      </x:c>
      <x:c r="R710" s="70" t="s">
        <x:v>34</x:v>
      </x:c>
      <x:c r="S710" s="70"/>
    </x:row>
    <x:row r="711" ht="15" hidden="0">
      <x:c r="A711" s="70" t="s">
        <x:v>1904</x:v>
      </x:c>
      <x:c r="B711" s="70" t="s">
        <x:v>31</x:v>
      </x:c>
      <x:c r="C711" s="70" t="s">
        <x:v>1076</x:v>
      </x:c>
      <x:c r="D711" s="70" t="s">
        <x:v>405</x:v>
      </x:c>
      <x:c r="E711" s="70" t="s">
        <x:v>1129</x:v>
      </x:c>
      <x:c r="F711" s="70"/>
      <x:c r="G711" s="70" t="s">
        <x:v>1663</x:v>
      </x:c>
      <x:c r="H711" s="70" t="s">
        <x:v>1198</x:v>
      </x:c>
      <x:c r="I711" s="70" t="s">
        <x:v>1199</x:v>
      </x:c>
      <x:c r="J711" s="70" t="n">
        <x:v>191</x:v>
      </x:c>
      <x:c r="K711" s="70" t="s">
        <x:v>1200</x:v>
      </x:c>
      <x:c r="L711" s="70"/>
      <x:c r="M711" s="70" t="s">
        <x:v>35</x:v>
      </x:c>
      <x:c r="N711" s="71" t="n">
        <x:v>28374913</x:v>
      </x:c>
      <x:c r="O711" s="72" t="n">
        <x:f aca="0">N711/1000</x:f>
        <x:v>28374.913</x:v>
      </x:c>
      <x:c r="P711" s="73" t="n">
        <x:f aca="0">LUCK!C77</x:f>
        <x:v>28374.913</x:v>
      </x:c>
      <x:c r="Q711" s="70" t="str">
        <x:f aca="0">IF(ABS(O711-P711)&lt;0.000001,"PASS","FAIL")</x:f>
        <x:v>PASS</x:v>
      </x:c>
      <x:c r="R711" s="70" t="s">
        <x:v>34</x:v>
      </x:c>
      <x:c r="S711" s="70"/>
    </x:row>
    <x:row r="712" ht="15" hidden="0">
      <x:c r="A712" s="70" t="s">
        <x:v>1905</x:v>
      </x:c>
      <x:c r="B712" s="70" t="s">
        <x:v>31</x:v>
      </x:c>
      <x:c r="C712" s="70" t="s">
        <x:v>73</x:v>
      </x:c>
      <x:c r="D712" s="70" t="s">
        <x:v>405</x:v>
      </x:c>
      <x:c r="E712" s="70" t="s">
        <x:v>1129</x:v>
      </x:c>
      <x:c r="F712" s="70"/>
      <x:c r="G712" s="70" t="s">
        <x:v>1666</x:v>
      </x:c>
      <x:c r="H712" s="70" t="s">
        <x:v>1204</x:v>
      </x:c>
      <x:c r="I712" s="70" t="s">
        <x:v>1199</x:v>
      </x:c>
      <x:c r="J712" s="70" t="n">
        <x:v>226</x:v>
      </x:c>
      <x:c r="K712" s="70" t="s">
        <x:v>1667</x:v>
      </x:c>
      <x:c r="L712" s="70"/>
      <x:c r="M712" s="70" t="s">
        <x:v>35</x:v>
      </x:c>
      <x:c r="N712" s="71" t="n">
        <x:v>40676368</x:v>
      </x:c>
      <x:c r="O712" s="72" t="n">
        <x:f aca="0">N712/1000</x:f>
        <x:v>40676.368</x:v>
      </x:c>
      <x:c r="P712" s="73" t="n">
        <x:f aca="0">LUCK!D77</x:f>
        <x:v>40676.368</x:v>
      </x:c>
      <x:c r="Q712" s="70" t="str">
        <x:f aca="0">IF(ABS(O712-P712)&lt;0.000001,"PASS","FAIL")</x:f>
        <x:v>PASS</x:v>
      </x:c>
      <x:c r="R712" s="70" t="s">
        <x:v>34</x:v>
      </x:c>
      <x:c r="S712" s="70"/>
    </x:row>
    <x:row r="713" ht="15" hidden="0">
      <x:c r="A713" s="70" t="s">
        <x:v>1906</x:v>
      </x:c>
      <x:c r="B713" s="70" t="s">
        <x:v>31</x:v>
      </x:c>
      <x:c r="C713" s="70" t="s">
        <x:v>74</x:v>
      </x:c>
      <x:c r="D713" s="70" t="s">
        <x:v>405</x:v>
      </x:c>
      <x:c r="E713" s="70" t="s">
        <x:v>1129</x:v>
      </x:c>
      <x:c r="F713" s="70"/>
      <x:c r="G713" s="70" t="s">
        <x:v>1669</x:v>
      </x:c>
      <x:c r="H713" s="70" t="s">
        <x:v>1208</x:v>
      </x:c>
      <x:c r="I713" s="70" t="s">
        <x:v>1199</x:v>
      </x:c>
      <x:c r="J713" s="70" t="n">
        <x:v>234</x:v>
      </x:c>
      <x:c r="K713" s="70" t="s">
        <x:v>1670</x:v>
      </x:c>
      <x:c r="L713" s="70"/>
      <x:c r="M713" s="70" t="s">
        <x:v>35</x:v>
      </x:c>
      <x:c r="N713" s="71" t="n">
        <x:v>44815691</x:v>
      </x:c>
      <x:c r="O713" s="72" t="n">
        <x:f aca="0">N713/1000</x:f>
        <x:v>44815.691</x:v>
      </x:c>
      <x:c r="P713" s="73" t="n">
        <x:f aca="0">LUCK!E77</x:f>
        <x:v>44815.691</x:v>
      </x:c>
      <x:c r="Q713" s="70" t="str">
        <x:f aca="0">IF(ABS(O713-P713)&lt;0.000001,"PASS","FAIL")</x:f>
        <x:v>PASS</x:v>
      </x:c>
      <x:c r="R713" s="70" t="s">
        <x:v>34</x:v>
      </x:c>
      <x:c r="S713" s="70"/>
    </x:row>
    <x:row r="714" ht="15" hidden="0">
      <x:c r="A714" s="70" t="s">
        <x:v>1907</x:v>
      </x:c>
      <x:c r="B714" s="70" t="s">
        <x:v>31</x:v>
      </x:c>
      <x:c r="C714" s="70" t="s">
        <x:v>75</x:v>
      </x:c>
      <x:c r="D714" s="70" t="s">
        <x:v>405</x:v>
      </x:c>
      <x:c r="E714" s="70" t="s">
        <x:v>1129</x:v>
      </x:c>
      <x:c r="F714" s="70"/>
      <x:c r="G714" s="70" t="s">
        <x:v>1672</x:v>
      </x:c>
      <x:c r="H714" s="70" t="s">
        <x:v>1211</x:v>
      </x:c>
      <x:c r="I714" s="70" t="s">
        <x:v>1199</x:v>
      </x:c>
      <x:c r="J714" s="70" t="n">
        <x:v>238</x:v>
      </x:c>
      <x:c r="K714" s="70" t="s">
        <x:v>1673</x:v>
      </x:c>
      <x:c r="L714" s="70"/>
      <x:c r="M714" s="70" t="s">
        <x:v>35</x:v>
      </x:c>
      <x:c r="N714" s="71" t="n">
        <x:v>59576642</x:v>
      </x:c>
      <x:c r="O714" s="72" t="n">
        <x:f aca="0">N714/1000</x:f>
        <x:v>59576.642</x:v>
      </x:c>
      <x:c r="P714" s="73" t="n">
        <x:f aca="0">LUCK!F77</x:f>
        <x:v>59576.642</x:v>
      </x:c>
      <x:c r="Q714" s="70" t="str">
        <x:f aca="0">IF(ABS(O714-P714)&lt;0.000001,"PASS","FAIL")</x:f>
        <x:v>PASS</x:v>
      </x:c>
      <x:c r="R714" s="70" t="s">
        <x:v>34</x:v>
      </x:c>
      <x:c r="S714" s="70"/>
    </x:row>
    <x:row r="715" ht="15" hidden="0">
      <x:c r="A715" s="70" t="s">
        <x:v>1908</x:v>
      </x:c>
      <x:c r="B715" s="70" t="s">
        <x:v>31</x:v>
      </x:c>
      <x:c r="C715" s="70" t="s">
        <x:v>76</x:v>
      </x:c>
      <x:c r="D715" s="70" t="s">
        <x:v>405</x:v>
      </x:c>
      <x:c r="E715" s="70" t="s">
        <x:v>1129</x:v>
      </x:c>
      <x:c r="F715" s="70"/>
      <x:c r="G715" s="70" t="s">
        <x:v>1675</x:v>
      </x:c>
      <x:c r="H715" s="70" t="s">
        <x:v>1215</x:v>
      </x:c>
      <x:c r="I715" s="70" t="s">
        <x:v>1199</x:v>
      </x:c>
      <x:c r="J715" s="70" t="n">
        <x:v>240</x:v>
      </x:c>
      <x:c r="K715" s="70" t="s">
        <x:v>1676</x:v>
      </x:c>
      <x:c r="L715" s="70"/>
      <x:c r="M715" s="70" t="s">
        <x:v>35</x:v>
      </x:c>
      <x:c r="N715" s="71" t="n">
        <x:v>68452084</x:v>
      </x:c>
      <x:c r="O715" s="72" t="n">
        <x:f aca="0">N715/1000</x:f>
        <x:v>68452.084</x:v>
      </x:c>
      <x:c r="P715" s="73" t="n">
        <x:f aca="0">LUCK!G77</x:f>
        <x:v>68452.084</x:v>
      </x:c>
      <x:c r="Q715" s="70" t="str">
        <x:f aca="0">IF(ABS(O715-P715)&lt;0.000001,"PASS","FAIL")</x:f>
        <x:v>PASS</x:v>
      </x:c>
      <x:c r="R715" s="70" t="s">
        <x:v>34</x:v>
      </x:c>
      <x:c r="S715" s="70"/>
    </x:row>
    <x:row r="716" ht="15" hidden="0">
      <x:c r="A716" s="70" t="s">
        <x:v>1909</x:v>
      </x:c>
      <x:c r="B716" s="70" t="s">
        <x:v>31</x:v>
      </x:c>
      <x:c r="C716" s="70" t="s">
        <x:v>77</x:v>
      </x:c>
      <x:c r="D716" s="70" t="s">
        <x:v>405</x:v>
      </x:c>
      <x:c r="E716" s="70" t="s">
        <x:v>1129</x:v>
      </x:c>
      <x:c r="F716" s="70"/>
      <x:c r="G716" s="70" t="s">
        <x:v>1675</x:v>
      </x:c>
      <x:c r="H716" s="70" t="s">
        <x:v>1215</x:v>
      </x:c>
      <x:c r="I716" s="70" t="s">
        <x:v>1218</x:v>
      </x:c>
      <x:c r="J716" s="70" t="n">
        <x:v>240</x:v>
      </x:c>
      <x:c r="K716" s="70" t="s">
        <x:v>1676</x:v>
      </x:c>
      <x:c r="L716" s="70"/>
      <x:c r="M716" s="70" t="s">
        <x:v>35</x:v>
      </x:c>
      <x:c r="N716" s="71" t="n">
        <x:v>100547359</x:v>
      </x:c>
      <x:c r="O716" s="72" t="n">
        <x:f aca="0">N716/1000</x:f>
        <x:v>100547.359</x:v>
      </x:c>
      <x:c r="P716" s="73" t="n">
        <x:f aca="0">LUCK!H77</x:f>
        <x:v>100547.359</x:v>
      </x:c>
      <x:c r="Q716" s="70" t="str">
        <x:f aca="0">IF(ABS(O716-P716)&lt;0.000001,"PASS","FAIL")</x:f>
        <x:v>PASS</x:v>
      </x:c>
      <x:c r="R716" s="70" t="s">
        <x:v>34</x:v>
      </x:c>
      <x:c r="S716" s="70"/>
    </x:row>
    <x:row r="717" ht="15" hidden="0">
      <x:c r="A717" s="70" t="s">
        <x:v>1910</x:v>
      </x:c>
      <x:c r="B717" s="70" t="s">
        <x:v>31</x:v>
      </x:c>
      <x:c r="C717" s="70" t="s">
        <x:v>1076</x:v>
      </x:c>
      <x:c r="D717" s="70" t="s">
        <x:v>407</x:v>
      </x:c>
      <x:c r="E717" s="70" t="s">
        <x:v>1129</x:v>
      </x:c>
      <x:c r="F717" s="70"/>
      <x:c r="G717" s="70" t="s">
        <x:v>1663</x:v>
      </x:c>
      <x:c r="H717" s="70" t="s">
        <x:v>1198</x:v>
      </x:c>
      <x:c r="I717" s="70" t="s">
        <x:v>1199</x:v>
      </x:c>
      <x:c r="J717" s="70" t="n">
        <x:v>191</x:v>
      </x:c>
      <x:c r="K717" s="70" t="s">
        <x:v>1200</x:v>
      </x:c>
      <x:c r="L717" s="70"/>
      <x:c r="M717" s="70" t="s">
        <x:v>35</x:v>
      </x:c>
      <x:c r="N717" s="71" t="n">
        <x:v>28955352</x:v>
      </x:c>
      <x:c r="O717" s="72" t="n">
        <x:f aca="0">N717/1000</x:f>
        <x:v>28955.352</x:v>
      </x:c>
      <x:c r="P717" s="73" t="n">
        <x:f aca="0">LUCK!C78</x:f>
        <x:v>28955.352</x:v>
      </x:c>
      <x:c r="Q717" s="70" t="str">
        <x:f aca="0">IF(ABS(O717-P717)&lt;0.000001,"PASS","FAIL")</x:f>
        <x:v>PASS</x:v>
      </x:c>
      <x:c r="R717" s="70" t="s">
        <x:v>34</x:v>
      </x:c>
      <x:c r="S717" s="70"/>
    </x:row>
    <x:row r="718" ht="15" hidden="0">
      <x:c r="A718" s="70" t="s">
        <x:v>1911</x:v>
      </x:c>
      <x:c r="B718" s="70" t="s">
        <x:v>31</x:v>
      </x:c>
      <x:c r="C718" s="70" t="s">
        <x:v>73</x:v>
      </x:c>
      <x:c r="D718" s="70" t="s">
        <x:v>407</x:v>
      </x:c>
      <x:c r="E718" s="70" t="s">
        <x:v>1129</x:v>
      </x:c>
      <x:c r="F718" s="70"/>
      <x:c r="G718" s="70" t="s">
        <x:v>1666</x:v>
      </x:c>
      <x:c r="H718" s="70" t="s">
        <x:v>1204</x:v>
      </x:c>
      <x:c r="I718" s="70" t="s">
        <x:v>1199</x:v>
      </x:c>
      <x:c r="J718" s="70" t="n">
        <x:v>226</x:v>
      </x:c>
      <x:c r="K718" s="70" t="s">
        <x:v>1667</x:v>
      </x:c>
      <x:c r="L718" s="70"/>
      <x:c r="M718" s="70" t="s">
        <x:v>35</x:v>
      </x:c>
      <x:c r="N718" s="71" t="n">
        <x:v>30387066</x:v>
      </x:c>
      <x:c r="O718" s="72" t="n">
        <x:f aca="0">N718/1000</x:f>
        <x:v>30387.066</x:v>
      </x:c>
      <x:c r="P718" s="73" t="n">
        <x:f aca="0">LUCK!D78</x:f>
        <x:v>30387.066</x:v>
      </x:c>
      <x:c r="Q718" s="70" t="str">
        <x:f aca="0">IF(ABS(O718-P718)&lt;0.000001,"PASS","FAIL")</x:f>
        <x:v>PASS</x:v>
      </x:c>
      <x:c r="R718" s="70" t="s">
        <x:v>34</x:v>
      </x:c>
      <x:c r="S718" s="70"/>
    </x:row>
    <x:row r="719" ht="15" hidden="0">
      <x:c r="A719" s="70" t="s">
        <x:v>1912</x:v>
      </x:c>
      <x:c r="B719" s="70" t="s">
        <x:v>31</x:v>
      </x:c>
      <x:c r="C719" s="70" t="s">
        <x:v>74</x:v>
      </x:c>
      <x:c r="D719" s="70" t="s">
        <x:v>407</x:v>
      </x:c>
      <x:c r="E719" s="70" t="s">
        <x:v>1129</x:v>
      </x:c>
      <x:c r="F719" s="70"/>
      <x:c r="G719" s="70" t="s">
        <x:v>1669</x:v>
      </x:c>
      <x:c r="H719" s="70" t="s">
        <x:v>1208</x:v>
      </x:c>
      <x:c r="I719" s="70" t="s">
        <x:v>1199</x:v>
      </x:c>
      <x:c r="J719" s="70" t="n">
        <x:v>234</x:v>
      </x:c>
      <x:c r="K719" s="70" t="s">
        <x:v>1670</x:v>
      </x:c>
      <x:c r="L719" s="70"/>
      <x:c r="M719" s="70" t="s">
        <x:v>35</x:v>
      </x:c>
      <x:c r="N719" s="71" t="n">
        <x:v>30361358</x:v>
      </x:c>
      <x:c r="O719" s="72" t="n">
        <x:f aca="0">N719/1000</x:f>
        <x:v>30361.358</x:v>
      </x:c>
      <x:c r="P719" s="73" t="n">
        <x:f aca="0">LUCK!E78</x:f>
        <x:v>30361.358</x:v>
      </x:c>
      <x:c r="Q719" s="70" t="str">
        <x:f aca="0">IF(ABS(O719-P719)&lt;0.000001,"PASS","FAIL")</x:f>
        <x:v>PASS</x:v>
      </x:c>
      <x:c r="R719" s="70" t="s">
        <x:v>34</x:v>
      </x:c>
      <x:c r="S719" s="70"/>
    </x:row>
    <x:row r="720" ht="15" hidden="0">
      <x:c r="A720" s="70" t="s">
        <x:v>1913</x:v>
      </x:c>
      <x:c r="B720" s="70" t="s">
        <x:v>31</x:v>
      </x:c>
      <x:c r="C720" s="70" t="s">
        <x:v>75</x:v>
      </x:c>
      <x:c r="D720" s="70" t="s">
        <x:v>407</x:v>
      </x:c>
      <x:c r="E720" s="70" t="s">
        <x:v>1129</x:v>
      </x:c>
      <x:c r="F720" s="70"/>
      <x:c r="G720" s="70" t="s">
        <x:v>1672</x:v>
      </x:c>
      <x:c r="H720" s="70" t="s">
        <x:v>1211</x:v>
      </x:c>
      <x:c r="I720" s="70" t="s">
        <x:v>1199</x:v>
      </x:c>
      <x:c r="J720" s="70" t="n">
        <x:v>238</x:v>
      </x:c>
      <x:c r="K720" s="70" t="s">
        <x:v>1673</x:v>
      </x:c>
      <x:c r="L720" s="70"/>
      <x:c r="M720" s="70" t="s">
        <x:v>35</x:v>
      </x:c>
      <x:c r="N720" s="71" t="n">
        <x:v>46180879</x:v>
      </x:c>
      <x:c r="O720" s="72" t="n">
        <x:f aca="0">N720/1000</x:f>
        <x:v>46180.879</x:v>
      </x:c>
      <x:c r="P720" s="73" t="n">
        <x:f aca="0">LUCK!F78</x:f>
        <x:v>46180.879</x:v>
      </x:c>
      <x:c r="Q720" s="70" t="str">
        <x:f aca="0">IF(ABS(O720-P720)&lt;0.000001,"PASS","FAIL")</x:f>
        <x:v>PASS</x:v>
      </x:c>
      <x:c r="R720" s="70" t="s">
        <x:v>34</x:v>
      </x:c>
      <x:c r="S720" s="70"/>
    </x:row>
    <x:row r="721" ht="15" hidden="0">
      <x:c r="A721" s="70" t="s">
        <x:v>1914</x:v>
      </x:c>
      <x:c r="B721" s="70" t="s">
        <x:v>31</x:v>
      </x:c>
      <x:c r="C721" s="70" t="s">
        <x:v>76</x:v>
      </x:c>
      <x:c r="D721" s="70" t="s">
        <x:v>407</x:v>
      </x:c>
      <x:c r="E721" s="70" t="s">
        <x:v>1129</x:v>
      </x:c>
      <x:c r="F721" s="70"/>
      <x:c r="G721" s="70" t="s">
        <x:v>1675</x:v>
      </x:c>
      <x:c r="H721" s="70" t="s">
        <x:v>1215</x:v>
      </x:c>
      <x:c r="I721" s="70" t="s">
        <x:v>1199</x:v>
      </x:c>
      <x:c r="J721" s="70" t="n">
        <x:v>240</x:v>
      </x:c>
      <x:c r="K721" s="70" t="s">
        <x:v>1676</x:v>
      </x:c>
      <x:c r="L721" s="70"/>
      <x:c r="M721" s="70" t="s">
        <x:v>35</x:v>
      </x:c>
      <x:c r="N721" s="71" t="n">
        <x:v>54188473</x:v>
      </x:c>
      <x:c r="O721" s="72" t="n">
        <x:f aca="0">N721/1000</x:f>
        <x:v>54188.473</x:v>
      </x:c>
      <x:c r="P721" s="73" t="n">
        <x:f aca="0">LUCK!G78</x:f>
        <x:v>54188.473</x:v>
      </x:c>
      <x:c r="Q721" s="70" t="str">
        <x:f aca="0">IF(ABS(O721-P721)&lt;0.000001,"PASS","FAIL")</x:f>
        <x:v>PASS</x:v>
      </x:c>
      <x:c r="R721" s="70" t="s">
        <x:v>34</x:v>
      </x:c>
      <x:c r="S721" s="70"/>
    </x:row>
    <x:row r="722" ht="15" hidden="0">
      <x:c r="A722" s="70" t="s">
        <x:v>1915</x:v>
      </x:c>
      <x:c r="B722" s="70" t="s">
        <x:v>31</x:v>
      </x:c>
      <x:c r="C722" s="70" t="s">
        <x:v>77</x:v>
      </x:c>
      <x:c r="D722" s="70" t="s">
        <x:v>407</x:v>
      </x:c>
      <x:c r="E722" s="70" t="s">
        <x:v>1129</x:v>
      </x:c>
      <x:c r="F722" s="70"/>
      <x:c r="G722" s="70" t="s">
        <x:v>1675</x:v>
      </x:c>
      <x:c r="H722" s="70" t="s">
        <x:v>1215</x:v>
      </x:c>
      <x:c r="I722" s="70" t="s">
        <x:v>1218</x:v>
      </x:c>
      <x:c r="J722" s="70" t="n">
        <x:v>240</x:v>
      </x:c>
      <x:c r="K722" s="70" t="s">
        <x:v>1676</x:v>
      </x:c>
      <x:c r="L722" s="70"/>
      <x:c r="M722" s="70" t="s">
        <x:v>35</x:v>
      </x:c>
      <x:c r="N722" s="71" t="n">
        <x:v>58641383</x:v>
      </x:c>
      <x:c r="O722" s="72" t="n">
        <x:f aca="0">N722/1000</x:f>
        <x:v>58641.383</x:v>
      </x:c>
      <x:c r="P722" s="73" t="n">
        <x:f aca="0">LUCK!H78</x:f>
        <x:v>58641.383</x:v>
      </x:c>
      <x:c r="Q722" s="70" t="str">
        <x:f aca="0">IF(ABS(O722-P722)&lt;0.000001,"PASS","FAIL")</x:f>
        <x:v>PASS</x:v>
      </x:c>
      <x:c r="R722" s="70" t="s">
        <x:v>34</x:v>
      </x:c>
      <x:c r="S722" s="70"/>
    </x:row>
    <x:row r="723" ht="15" hidden="0">
      <x:c r="A723" s="70" t="s">
        <x:v>1916</x:v>
      </x:c>
      <x:c r="B723" s="70" t="s">
        <x:v>31</x:v>
      </x:c>
      <x:c r="C723" s="70" t="s">
        <x:v>73</x:v>
      </x:c>
      <x:c r="D723" s="70" t="s">
        <x:v>414</x:v>
      </x:c>
      <x:c r="E723" s="70" t="s">
        <x:v>1472</x:v>
      </x:c>
      <x:c r="F723" s="70" t="s">
        <x:v>1917</x:v>
      </x:c>
      <x:c r="G723" s="70" t="s">
        <x:v>1666</x:v>
      </x:c>
      <x:c r="H723" s="70" t="s">
        <x:v>1204</x:v>
      </x:c>
      <x:c r="I723" s="70" t="s">
        <x:v>1199</x:v>
      </x:c>
      <x:c r="J723" s="70" t="n">
        <x:v>227</x:v>
      </x:c>
      <x:c r="K723" s="70" t="s">
        <x:v>1918</x:v>
      </x:c>
      <x:c r="L723" s="70"/>
      <x:c r="M723" s="70" t="s">
        <x:v>35</x:v>
      </x:c>
      <x:c r="N723" s="71" t="n">
        <x:v>62940805</x:v>
      </x:c>
      <x:c r="O723" s="72" t="n">
        <x:f aca="0">N723/1000</x:f>
        <x:v>62940.805</x:v>
      </x:c>
      <x:c r="P723" s="73" t="n">
        <x:f aca="0">LUCK!D84</x:f>
        <x:v>62940.805</x:v>
      </x:c>
      <x:c r="Q723" s="70" t="str">
        <x:f aca="0">IF(ABS(O723-P723)&lt;0.000001,"PASS","FAIL")</x:f>
        <x:v>PASS</x:v>
      </x:c>
      <x:c r="R723" s="70" t="s">
        <x:v>34</x:v>
      </x:c>
      <x:c r="S723" s="70"/>
    </x:row>
    <x:row r="724" ht="15" hidden="0">
      <x:c r="A724" s="70" t="s">
        <x:v>1919</x:v>
      </x:c>
      <x:c r="B724" s="70" t="s">
        <x:v>31</x:v>
      </x:c>
      <x:c r="C724" s="70" t="s">
        <x:v>74</x:v>
      </x:c>
      <x:c r="D724" s="70" t="s">
        <x:v>414</x:v>
      </x:c>
      <x:c r="E724" s="70" t="s">
        <x:v>1472</x:v>
      </x:c>
      <x:c r="F724" s="70" t="s">
        <x:v>1917</x:v>
      </x:c>
      <x:c r="G724" s="70" t="s">
        <x:v>1669</x:v>
      </x:c>
      <x:c r="H724" s="70" t="s">
        <x:v>1208</x:v>
      </x:c>
      <x:c r="I724" s="70" t="s">
        <x:v>1199</x:v>
      </x:c>
      <x:c r="J724" s="70" t="n">
        <x:v>235</x:v>
      </x:c>
      <x:c r="K724" s="70" t="s">
        <x:v>1920</x:v>
      </x:c>
      <x:c r="L724" s="70"/>
      <x:c r="M724" s="70" t="s">
        <x:v>35</x:v>
      </x:c>
      <x:c r="N724" s="71" t="n">
        <x:v>81093525</x:v>
      </x:c>
      <x:c r="O724" s="72" t="n">
        <x:f aca="0">N724/1000</x:f>
        <x:v>81093.525</x:v>
      </x:c>
      <x:c r="P724" s="73" t="n">
        <x:f aca="0">LUCK!E84</x:f>
        <x:v>81093.525</x:v>
      </x:c>
      <x:c r="Q724" s="70" t="str">
        <x:f aca="0">IF(ABS(O724-P724)&lt;0.000001,"PASS","FAIL")</x:f>
        <x:v>PASS</x:v>
      </x:c>
      <x:c r="R724" s="70" t="s">
        <x:v>34</x:v>
      </x:c>
      <x:c r="S724" s="70"/>
    </x:row>
    <x:row r="725" ht="15" hidden="0">
      <x:c r="A725" s="70" t="s">
        <x:v>1921</x:v>
      </x:c>
      <x:c r="B725" s="70" t="s">
        <x:v>31</x:v>
      </x:c>
      <x:c r="C725" s="70" t="s">
        <x:v>75</x:v>
      </x:c>
      <x:c r="D725" s="70" t="s">
        <x:v>414</x:v>
      </x:c>
      <x:c r="E725" s="70" t="s">
        <x:v>1472</x:v>
      </x:c>
      <x:c r="F725" s="70" t="s">
        <x:v>1917</x:v>
      </x:c>
      <x:c r="G725" s="70" t="s">
        <x:v>1672</x:v>
      </x:c>
      <x:c r="H725" s="70" t="s">
        <x:v>1211</x:v>
      </x:c>
      <x:c r="I725" s="70" t="s">
        <x:v>1199</x:v>
      </x:c>
      <x:c r="J725" s="70" t="n">
        <x:v>239</x:v>
      </x:c>
      <x:c r="K725" s="70" t="s">
        <x:v>1922</x:v>
      </x:c>
      <x:c r="L725" s="70"/>
      <x:c r="M725" s="70" t="s">
        <x:v>35</x:v>
      </x:c>
      <x:c r="N725" s="71" t="n">
        <x:v>95832147</x:v>
      </x:c>
      <x:c r="O725" s="72" t="n">
        <x:f aca="0">N725/1000</x:f>
        <x:v>95832.147</x:v>
      </x:c>
      <x:c r="P725" s="73" t="n">
        <x:f aca="0">LUCK!F84</x:f>
        <x:v>95832.147</x:v>
      </x:c>
      <x:c r="Q725" s="70" t="str">
        <x:f aca="0">IF(ABS(O725-P725)&lt;0.000001,"PASS","FAIL")</x:f>
        <x:v>PASS</x:v>
      </x:c>
      <x:c r="R725" s="70" t="s">
        <x:v>34</x:v>
      </x:c>
      <x:c r="S725" s="70"/>
    </x:row>
    <x:row r="726" ht="15" hidden="0">
      <x:c r="A726" s="70" t="s">
        <x:v>1923</x:v>
      </x:c>
      <x:c r="B726" s="70" t="s">
        <x:v>31</x:v>
      </x:c>
      <x:c r="C726" s="70" t="s">
        <x:v>76</x:v>
      </x:c>
      <x:c r="D726" s="70" t="s">
        <x:v>414</x:v>
      </x:c>
      <x:c r="E726" s="70" t="s">
        <x:v>1472</x:v>
      </x:c>
      <x:c r="F726" s="70" t="s">
        <x:v>1924</x:v>
      </x:c>
      <x:c r="G726" s="70" t="s">
        <x:v>1675</x:v>
      </x:c>
      <x:c r="H726" s="70" t="s">
        <x:v>1215</x:v>
      </x:c>
      <x:c r="I726" s="70" t="s">
        <x:v>1199</x:v>
      </x:c>
      <x:c r="J726" s="70" t="n">
        <x:v>241</x:v>
      </x:c>
      <x:c r="K726" s="70" t="s">
        <x:v>1200</x:v>
      </x:c>
      <x:c r="L726" s="70"/>
      <x:c r="M726" s="70" t="s">
        <x:v>35</x:v>
      </x:c>
      <x:c r="N726" s="71" t="n">
        <x:v>115324942</x:v>
      </x:c>
      <x:c r="O726" s="72" t="n">
        <x:f aca="0">N726/1000</x:f>
        <x:v>115324.942</x:v>
      </x:c>
      <x:c r="P726" s="73" t="n">
        <x:f aca="0">LUCK!G84</x:f>
        <x:v>115324.942</x:v>
      </x:c>
      <x:c r="Q726" s="70" t="str">
        <x:f aca="0">IF(ABS(O726-P726)&lt;0.000001,"PASS","FAIL")</x:f>
        <x:v>PASS</x:v>
      </x:c>
      <x:c r="R726" s="70" t="s">
        <x:v>34</x:v>
      </x:c>
      <x:c r="S726" s="70"/>
    </x:row>
    <x:row r="727" ht="15" hidden="0">
      <x:c r="A727" s="70" t="s">
        <x:v>1925</x:v>
      </x:c>
      <x:c r="B727" s="70" t="s">
        <x:v>31</x:v>
      </x:c>
      <x:c r="C727" s="70" t="s">
        <x:v>77</x:v>
      </x:c>
      <x:c r="D727" s="70" t="s">
        <x:v>414</x:v>
      </x:c>
      <x:c r="E727" s="70" t="s">
        <x:v>1472</x:v>
      </x:c>
      <x:c r="F727" s="70" t="s">
        <x:v>1924</x:v>
      </x:c>
      <x:c r="G727" s="70" t="s">
        <x:v>1675</x:v>
      </x:c>
      <x:c r="H727" s="70" t="s">
        <x:v>1215</x:v>
      </x:c>
      <x:c r="I727" s="70" t="s">
        <x:v>1218</x:v>
      </x:c>
      <x:c r="J727" s="70" t="n">
        <x:v>241</x:v>
      </x:c>
      <x:c r="K727" s="70" t="s">
        <x:v>1200</x:v>
      </x:c>
      <x:c r="L727" s="70"/>
      <x:c r="M727" s="70" t="s">
        <x:v>35</x:v>
      </x:c>
      <x:c r="N727" s="71" t="n">
        <x:v>124511744</x:v>
      </x:c>
      <x:c r="O727" s="72" t="n">
        <x:f aca="0">N727/1000</x:f>
        <x:v>124511.744</x:v>
      </x:c>
      <x:c r="P727" s="73" t="n">
        <x:f aca="0">LUCK!H84</x:f>
        <x:v>124511.744</x:v>
      </x:c>
      <x:c r="Q727" s="70" t="str">
        <x:f aca="0">IF(ABS(O727-P727)&lt;0.000001,"PASS","FAIL")</x:f>
        <x:v>PASS</x:v>
      </x:c>
      <x:c r="R727" s="70" t="s">
        <x:v>34</x:v>
      </x:c>
      <x:c r="S727" s="70"/>
    </x:row>
    <x:row r="728" ht="15" hidden="0">
      <x:c r="A728" s="70" t="s">
        <x:v>1926</x:v>
      </x:c>
      <x:c r="B728" s="70" t="s">
        <x:v>31</x:v>
      </x:c>
      <x:c r="C728" s="70" t="s">
        <x:v>73</x:v>
      </x:c>
      <x:c r="D728" s="70" t="s">
        <x:v>416</x:v>
      </x:c>
      <x:c r="E728" s="70" t="s">
        <x:v>1472</x:v>
      </x:c>
      <x:c r="F728" s="70" t="s">
        <x:v>416</x:v>
      </x:c>
      <x:c r="G728" s="70" t="s">
        <x:v>1666</x:v>
      </x:c>
      <x:c r="H728" s="70" t="s">
        <x:v>1204</x:v>
      </x:c>
      <x:c r="I728" s="70" t="s">
        <x:v>1199</x:v>
      </x:c>
      <x:c r="J728" s="70" t="n">
        <x:v>227</x:v>
      </x:c>
      <x:c r="K728" s="70" t="s">
        <x:v>1918</x:v>
      </x:c>
      <x:c r="L728" s="70"/>
      <x:c r="M728" s="70" t="s">
        <x:v>35</x:v>
      </x:c>
      <x:c r="N728" s="71" t="n">
        <x:v>-43984873</x:v>
      </x:c>
      <x:c r="O728" s="72" t="n">
        <x:f aca="0">N728/1000</x:f>
        <x:v>-43984.873</x:v>
      </x:c>
      <x:c r="P728" s="73" t="n">
        <x:f aca="0">LUCK!D85</x:f>
        <x:v>-43984.873</x:v>
      </x:c>
      <x:c r="Q728" s="70" t="str">
        <x:f aca="0">IF(ABS(O728-P728)&lt;0.000001,"PASS","FAIL")</x:f>
        <x:v>PASS</x:v>
      </x:c>
      <x:c r="R728" s="70" t="s">
        <x:v>34</x:v>
      </x:c>
      <x:c r="S728" s="70"/>
    </x:row>
    <x:row r="729" ht="15" hidden="0">
      <x:c r="A729" s="70" t="s">
        <x:v>1927</x:v>
      </x:c>
      <x:c r="B729" s="70" t="s">
        <x:v>31</x:v>
      </x:c>
      <x:c r="C729" s="70" t="s">
        <x:v>74</x:v>
      </x:c>
      <x:c r="D729" s="70" t="s">
        <x:v>416</x:v>
      </x:c>
      <x:c r="E729" s="70" t="s">
        <x:v>1472</x:v>
      </x:c>
      <x:c r="F729" s="70" t="s">
        <x:v>416</x:v>
      </x:c>
      <x:c r="G729" s="70" t="s">
        <x:v>1669</x:v>
      </x:c>
      <x:c r="H729" s="70" t="s">
        <x:v>1208</x:v>
      </x:c>
      <x:c r="I729" s="70" t="s">
        <x:v>1199</x:v>
      </x:c>
      <x:c r="J729" s="70" t="n">
        <x:v>235</x:v>
      </x:c>
      <x:c r="K729" s="70" t="s">
        <x:v>1920</x:v>
      </x:c>
      <x:c r="L729" s="70"/>
      <x:c r="M729" s="70" t="s">
        <x:v>35</x:v>
      </x:c>
      <x:c r="N729" s="71" t="n">
        <x:v>-58541684</x:v>
      </x:c>
      <x:c r="O729" s="72" t="n">
        <x:f aca="0">N729/1000</x:f>
        <x:v>-58541.684</x:v>
      </x:c>
      <x:c r="P729" s="73" t="n">
        <x:f aca="0">LUCK!E85</x:f>
        <x:v>-58541.684</x:v>
      </x:c>
      <x:c r="Q729" s="70" t="str">
        <x:f aca="0">IF(ABS(O729-P729)&lt;0.000001,"PASS","FAIL")</x:f>
        <x:v>PASS</x:v>
      </x:c>
      <x:c r="R729" s="70" t="s">
        <x:v>34</x:v>
      </x:c>
      <x:c r="S729" s="70"/>
    </x:row>
    <x:row r="730" ht="15" hidden="0">
      <x:c r="A730" s="70" t="s">
        <x:v>1928</x:v>
      </x:c>
      <x:c r="B730" s="70" t="s">
        <x:v>31</x:v>
      </x:c>
      <x:c r="C730" s="70" t="s">
        <x:v>75</x:v>
      </x:c>
      <x:c r="D730" s="70" t="s">
        <x:v>416</x:v>
      </x:c>
      <x:c r="E730" s="70" t="s">
        <x:v>1472</x:v>
      </x:c>
      <x:c r="F730" s="70" t="s">
        <x:v>416</x:v>
      </x:c>
      <x:c r="G730" s="70" t="s">
        <x:v>1672</x:v>
      </x:c>
      <x:c r="H730" s="70" t="s">
        <x:v>1211</x:v>
      </x:c>
      <x:c r="I730" s="70" t="s">
        <x:v>1199</x:v>
      </x:c>
      <x:c r="J730" s="70" t="n">
        <x:v>239</x:v>
      </x:c>
      <x:c r="K730" s="70" t="s">
        <x:v>1922</x:v>
      </x:c>
      <x:c r="L730" s="70"/>
      <x:c r="M730" s="70" t="s">
        <x:v>35</x:v>
      </x:c>
      <x:c r="N730" s="71" t="n">
        <x:v>-69771469</x:v>
      </x:c>
      <x:c r="O730" s="72" t="n">
        <x:f aca="0">N730/1000</x:f>
        <x:v>-69771.469</x:v>
      </x:c>
      <x:c r="P730" s="73" t="n">
        <x:f aca="0">LUCK!F85</x:f>
        <x:v>-69771.469</x:v>
      </x:c>
      <x:c r="Q730" s="70" t="str">
        <x:f aca="0">IF(ABS(O730-P730)&lt;0.000001,"PASS","FAIL")</x:f>
        <x:v>PASS</x:v>
      </x:c>
      <x:c r="R730" s="70" t="s">
        <x:v>34</x:v>
      </x:c>
      <x:c r="S730" s="70"/>
    </x:row>
    <x:row r="731" ht="15" hidden="0">
      <x:c r="A731" s="70" t="s">
        <x:v>1929</x:v>
      </x:c>
      <x:c r="B731" s="70" t="s">
        <x:v>31</x:v>
      </x:c>
      <x:c r="C731" s="70" t="s">
        <x:v>76</x:v>
      </x:c>
      <x:c r="D731" s="70" t="s">
        <x:v>416</x:v>
      </x:c>
      <x:c r="E731" s="70" t="s">
        <x:v>1472</x:v>
      </x:c>
      <x:c r="F731" s="70" t="s">
        <x:v>416</x:v>
      </x:c>
      <x:c r="G731" s="70" t="s">
        <x:v>1675</x:v>
      </x:c>
      <x:c r="H731" s="70" t="s">
        <x:v>1215</x:v>
      </x:c>
      <x:c r="I731" s="70" t="s">
        <x:v>1199</x:v>
      </x:c>
      <x:c r="J731" s="70" t="n">
        <x:v>241</x:v>
      </x:c>
      <x:c r="K731" s="70" t="s">
        <x:v>1200</x:v>
      </x:c>
      <x:c r="L731" s="70"/>
      <x:c r="M731" s="70" t="s">
        <x:v>35</x:v>
      </x:c>
      <x:c r="N731" s="71" t="n">
        <x:v>-76520370</x:v>
      </x:c>
      <x:c r="O731" s="72" t="n">
        <x:f aca="0">N731/1000</x:f>
        <x:v>-76520.37</x:v>
      </x:c>
      <x:c r="P731" s="73" t="n">
        <x:f aca="0">LUCK!G85</x:f>
        <x:v>-76520.37</x:v>
      </x:c>
      <x:c r="Q731" s="70" t="str">
        <x:f aca="0">IF(ABS(O731-P731)&lt;0.000001,"PASS","FAIL")</x:f>
        <x:v>PASS</x:v>
      </x:c>
      <x:c r="R731" s="70" t="s">
        <x:v>34</x:v>
      </x:c>
      <x:c r="S731" s="70"/>
    </x:row>
    <x:row r="732" ht="15" hidden="0">
      <x:c r="A732" s="70" t="s">
        <x:v>1930</x:v>
      </x:c>
      <x:c r="B732" s="70" t="s">
        <x:v>31</x:v>
      </x:c>
      <x:c r="C732" s="70" t="s">
        <x:v>77</x:v>
      </x:c>
      <x:c r="D732" s="70" t="s">
        <x:v>416</x:v>
      </x:c>
      <x:c r="E732" s="70" t="s">
        <x:v>1472</x:v>
      </x:c>
      <x:c r="F732" s="70" t="s">
        <x:v>416</x:v>
      </x:c>
      <x:c r="G732" s="70" t="s">
        <x:v>1675</x:v>
      </x:c>
      <x:c r="H732" s="70" t="s">
        <x:v>1215</x:v>
      </x:c>
      <x:c r="I732" s="70" t="s">
        <x:v>1218</x:v>
      </x:c>
      <x:c r="J732" s="70" t="n">
        <x:v>241</x:v>
      </x:c>
      <x:c r="K732" s="70" t="s">
        <x:v>1200</x:v>
      </x:c>
      <x:c r="L732" s="70"/>
      <x:c r="M732" s="70" t="s">
        <x:v>35</x:v>
      </x:c>
      <x:c r="N732" s="71" t="n">
        <x:v>-81827060</x:v>
      </x:c>
      <x:c r="O732" s="72" t="n">
        <x:f aca="0">N732/1000</x:f>
        <x:v>-81827.06</x:v>
      </x:c>
      <x:c r="P732" s="73" t="n">
        <x:f aca="0">LUCK!H85</x:f>
        <x:v>-81827.06</x:v>
      </x:c>
      <x:c r="Q732" s="70" t="str">
        <x:f aca="0">IF(ABS(O732-P732)&lt;0.000001,"PASS","FAIL")</x:f>
        <x:v>PASS</x:v>
      </x:c>
      <x:c r="R732" s="70" t="s">
        <x:v>34</x:v>
      </x:c>
      <x:c r="S732" s="70"/>
    </x:row>
    <x:row r="733" ht="15" hidden="0">
      <x:c r="A733" s="70" t="s">
        <x:v>1931</x:v>
      </x:c>
      <x:c r="B733" s="70" t="s">
        <x:v>31</x:v>
      </x:c>
      <x:c r="C733" s="70" t="s">
        <x:v>73</x:v>
      </x:c>
      <x:c r="D733" s="70" t="s">
        <x:v>420</x:v>
      </x:c>
      <x:c r="E733" s="70" t="s">
        <x:v>1472</x:v>
      </x:c>
      <x:c r="F733" s="70" t="s">
        <x:v>1932</x:v>
      </x:c>
      <x:c r="G733" s="70" t="s">
        <x:v>1666</x:v>
      </x:c>
      <x:c r="H733" s="70" t="s">
        <x:v>1204</x:v>
      </x:c>
      <x:c r="I733" s="70" t="s">
        <x:v>1199</x:v>
      </x:c>
      <x:c r="J733" s="70" t="n">
        <x:v>227</x:v>
      </x:c>
      <x:c r="K733" s="70" t="s">
        <x:v>1918</x:v>
      </x:c>
      <x:c r="L733" s="70"/>
      <x:c r="M733" s="70" t="s">
        <x:v>35</x:v>
      </x:c>
      <x:c r="N733" s="71" t="n">
        <x:v>-4859096</x:v>
      </x:c>
      <x:c r="O733" s="72" t="n">
        <x:f aca="0">N733/1000</x:f>
        <x:v>-4859.096</x:v>
      </x:c>
      <x:c r="P733" s="73" t="n">
        <x:f aca="0">LUCK!D87</x:f>
        <x:v>-4859.096</x:v>
      </x:c>
      <x:c r="Q733" s="70" t="str">
        <x:f aca="0">IF(ABS(O733-P733)&lt;0.000001,"PASS","FAIL")</x:f>
        <x:v>PASS</x:v>
      </x:c>
      <x:c r="R733" s="70" t="s">
        <x:v>34</x:v>
      </x:c>
      <x:c r="S733" s="70"/>
    </x:row>
    <x:row r="734" ht="15" hidden="0">
      <x:c r="A734" s="70" t="s">
        <x:v>1933</x:v>
      </x:c>
      <x:c r="B734" s="70" t="s">
        <x:v>31</x:v>
      </x:c>
      <x:c r="C734" s="70" t="s">
        <x:v>74</x:v>
      </x:c>
      <x:c r="D734" s="70" t="s">
        <x:v>420</x:v>
      </x:c>
      <x:c r="E734" s="70" t="s">
        <x:v>1472</x:v>
      </x:c>
      <x:c r="F734" s="70" t="s">
        <x:v>1932</x:v>
      </x:c>
      <x:c r="G734" s="70" t="s">
        <x:v>1669</x:v>
      </x:c>
      <x:c r="H734" s="70" t="s">
        <x:v>1208</x:v>
      </x:c>
      <x:c r="I734" s="70" t="s">
        <x:v>1199</x:v>
      </x:c>
      <x:c r="J734" s="70" t="n">
        <x:v>235</x:v>
      </x:c>
      <x:c r="K734" s="70" t="s">
        <x:v>1920</x:v>
      </x:c>
      <x:c r="L734" s="70"/>
      <x:c r="M734" s="70" t="s">
        <x:v>35</x:v>
      </x:c>
      <x:c r="N734" s="71" t="n">
        <x:v>-4764574</x:v>
      </x:c>
      <x:c r="O734" s="72" t="n">
        <x:f aca="0">N734/1000</x:f>
        <x:v>-4764.574</x:v>
      </x:c>
      <x:c r="P734" s="73" t="n">
        <x:f aca="0">LUCK!E87</x:f>
        <x:v>-4764.574</x:v>
      </x:c>
      <x:c r="Q734" s="70" t="str">
        <x:f aca="0">IF(ABS(O734-P734)&lt;0.000001,"PASS","FAIL")</x:f>
        <x:v>PASS</x:v>
      </x:c>
      <x:c r="R734" s="70" t="s">
        <x:v>34</x:v>
      </x:c>
      <x:c r="S734" s="70"/>
    </x:row>
    <x:row r="735" ht="15" hidden="0">
      <x:c r="A735" s="70" t="s">
        <x:v>1934</x:v>
      </x:c>
      <x:c r="B735" s="70" t="s">
        <x:v>31</x:v>
      </x:c>
      <x:c r="C735" s="70" t="s">
        <x:v>75</x:v>
      </x:c>
      <x:c r="D735" s="70" t="s">
        <x:v>420</x:v>
      </x:c>
      <x:c r="E735" s="70" t="s">
        <x:v>1472</x:v>
      </x:c>
      <x:c r="F735" s="70" t="s">
        <x:v>1932</x:v>
      </x:c>
      <x:c r="G735" s="70" t="s">
        <x:v>1672</x:v>
      </x:c>
      <x:c r="H735" s="70" t="s">
        <x:v>1211</x:v>
      </x:c>
      <x:c r="I735" s="70" t="s">
        <x:v>1199</x:v>
      </x:c>
      <x:c r="J735" s="70" t="n">
        <x:v>239</x:v>
      </x:c>
      <x:c r="K735" s="70" t="s">
        <x:v>1922</x:v>
      </x:c>
      <x:c r="L735" s="70"/>
      <x:c r="M735" s="70" t="s">
        <x:v>35</x:v>
      </x:c>
      <x:c r="N735" s="71" t="n">
        <x:v>-5326894</x:v>
      </x:c>
      <x:c r="O735" s="72" t="n">
        <x:f aca="0">N735/1000</x:f>
        <x:v>-5326.894</x:v>
      </x:c>
      <x:c r="P735" s="73" t="n">
        <x:f aca="0">LUCK!F87</x:f>
        <x:v>-5326.894</x:v>
      </x:c>
      <x:c r="Q735" s="70" t="str">
        <x:f aca="0">IF(ABS(O735-P735)&lt;0.000001,"PASS","FAIL")</x:f>
        <x:v>PASS</x:v>
      </x:c>
      <x:c r="R735" s="70" t="s">
        <x:v>34</x:v>
      </x:c>
      <x:c r="S735" s="70"/>
    </x:row>
    <x:row r="736" ht="15" hidden="0">
      <x:c r="A736" s="70" t="s">
        <x:v>1935</x:v>
      </x:c>
      <x:c r="B736" s="70" t="s">
        <x:v>31</x:v>
      </x:c>
      <x:c r="C736" s="70" t="s">
        <x:v>76</x:v>
      </x:c>
      <x:c r="D736" s="70" t="s">
        <x:v>420</x:v>
      </x:c>
      <x:c r="E736" s="70" t="s">
        <x:v>1472</x:v>
      </x:c>
      <x:c r="F736" s="70" t="s">
        <x:v>1936</x:v>
      </x:c>
      <x:c r="G736" s="70" t="s">
        <x:v>1675</x:v>
      </x:c>
      <x:c r="H736" s="70" t="s">
        <x:v>1215</x:v>
      </x:c>
      <x:c r="I736" s="70" t="s">
        <x:v>1199</x:v>
      </x:c>
      <x:c r="J736" s="70" t="n">
        <x:v>241</x:v>
      </x:c>
      <x:c r="K736" s="70" t="s">
        <x:v>1200</x:v>
      </x:c>
      <x:c r="L736" s="70"/>
      <x:c r="M736" s="70" t="s">
        <x:v>35</x:v>
      </x:c>
      <x:c r="N736" s="71" t="n">
        <x:v>-7773885</x:v>
      </x:c>
      <x:c r="O736" s="72" t="n">
        <x:f aca="0">N736/1000</x:f>
        <x:v>-7773.885</x:v>
      </x:c>
      <x:c r="P736" s="73" t="n">
        <x:f aca="0">LUCK!G87</x:f>
        <x:v>-7773.885</x:v>
      </x:c>
      <x:c r="Q736" s="70" t="str">
        <x:f aca="0">IF(ABS(O736-P736)&lt;0.000001,"PASS","FAIL")</x:f>
        <x:v>PASS</x:v>
      </x:c>
      <x:c r="R736" s="70" t="s">
        <x:v>34</x:v>
      </x:c>
      <x:c r="S736" s="70"/>
    </x:row>
    <x:row r="737" ht="15" hidden="0">
      <x:c r="A737" s="70" t="s">
        <x:v>1937</x:v>
      </x:c>
      <x:c r="B737" s="70" t="s">
        <x:v>31</x:v>
      </x:c>
      <x:c r="C737" s="70" t="s">
        <x:v>77</x:v>
      </x:c>
      <x:c r="D737" s="70" t="s">
        <x:v>420</x:v>
      </x:c>
      <x:c r="E737" s="70" t="s">
        <x:v>1472</x:v>
      </x:c>
      <x:c r="F737" s="70" t="s">
        <x:v>1936</x:v>
      </x:c>
      <x:c r="G737" s="70" t="s">
        <x:v>1675</x:v>
      </x:c>
      <x:c r="H737" s="70" t="s">
        <x:v>1215</x:v>
      </x:c>
      <x:c r="I737" s="70" t="s">
        <x:v>1218</x:v>
      </x:c>
      <x:c r="J737" s="70" t="n">
        <x:v>241</x:v>
      </x:c>
      <x:c r="K737" s="70" t="s">
        <x:v>1200</x:v>
      </x:c>
      <x:c r="L737" s="70"/>
      <x:c r="M737" s="70" t="s">
        <x:v>35</x:v>
      </x:c>
      <x:c r="N737" s="71" t="n">
        <x:v>-8972815</x:v>
      </x:c>
      <x:c r="O737" s="72" t="n">
        <x:f aca="0">N737/1000</x:f>
        <x:v>-8972.815</x:v>
      </x:c>
      <x:c r="P737" s="73" t="n">
        <x:f aca="0">LUCK!H87</x:f>
        <x:v>-8972.815</x:v>
      </x:c>
      <x:c r="Q737" s="70" t="str">
        <x:f aca="0">IF(ABS(O737-P737)&lt;0.000001,"PASS","FAIL")</x:f>
        <x:v>PASS</x:v>
      </x:c>
      <x:c r="R737" s="70" t="s">
        <x:v>34</x:v>
      </x:c>
      <x:c r="S737" s="70"/>
    </x:row>
    <x:row r="738" ht="15" hidden="0">
      <x:c r="A738" s="70" t="s">
        <x:v>1938</x:v>
      </x:c>
      <x:c r="B738" s="70" t="s">
        <x:v>31</x:v>
      </x:c>
      <x:c r="C738" s="70" t="s">
        <x:v>73</x:v>
      </x:c>
      <x:c r="D738" s="70" t="s">
        <x:v>422</x:v>
      </x:c>
      <x:c r="E738" s="70" t="s">
        <x:v>1472</x:v>
      </x:c>
      <x:c r="F738" s="70" t="s">
        <x:v>422</x:v>
      </x:c>
      <x:c r="G738" s="70" t="s">
        <x:v>1666</x:v>
      </x:c>
      <x:c r="H738" s="70" t="s">
        <x:v>1204</x:v>
      </x:c>
      <x:c r="I738" s="70" t="s">
        <x:v>1199</x:v>
      </x:c>
      <x:c r="J738" s="70" t="n">
        <x:v>227</x:v>
      </x:c>
      <x:c r="K738" s="70" t="s">
        <x:v>1918</x:v>
      </x:c>
      <x:c r="L738" s="70"/>
      <x:c r="M738" s="70" t="s">
        <x:v>35</x:v>
      </x:c>
      <x:c r="N738" s="71" t="n">
        <x:v>-1257074</x:v>
      </x:c>
      <x:c r="O738" s="72" t="n">
        <x:f aca="0">N738/1000</x:f>
        <x:v>-1257.074</x:v>
      </x:c>
      <x:c r="P738" s="73" t="n">
        <x:f aca="0">LUCK!D88</x:f>
        <x:v>-1257.074</x:v>
      </x:c>
      <x:c r="Q738" s="70" t="str">
        <x:f aca="0">IF(ABS(O738-P738)&lt;0.000001,"PASS","FAIL")</x:f>
        <x:v>PASS</x:v>
      </x:c>
      <x:c r="R738" s="70" t="s">
        <x:v>34</x:v>
      </x:c>
      <x:c r="S738" s="70"/>
    </x:row>
    <x:row r="739" ht="15" hidden="0">
      <x:c r="A739" s="70" t="s">
        <x:v>1939</x:v>
      </x:c>
      <x:c r="B739" s="70" t="s">
        <x:v>31</x:v>
      </x:c>
      <x:c r="C739" s="70" t="s">
        <x:v>74</x:v>
      </x:c>
      <x:c r="D739" s="70" t="s">
        <x:v>422</x:v>
      </x:c>
      <x:c r="E739" s="70" t="s">
        <x:v>1472</x:v>
      </x:c>
      <x:c r="F739" s="70" t="s">
        <x:v>422</x:v>
      </x:c>
      <x:c r="G739" s="70" t="s">
        <x:v>1669</x:v>
      </x:c>
      <x:c r="H739" s="70" t="s">
        <x:v>1208</x:v>
      </x:c>
      <x:c r="I739" s="70" t="s">
        <x:v>1199</x:v>
      </x:c>
      <x:c r="J739" s="70" t="n">
        <x:v>235</x:v>
      </x:c>
      <x:c r="K739" s="70" t="s">
        <x:v>1920</x:v>
      </x:c>
      <x:c r="L739" s="70"/>
      <x:c r="M739" s="70" t="s">
        <x:v>35</x:v>
      </x:c>
      <x:c r="N739" s="71" t="n">
        <x:v>-1512279</x:v>
      </x:c>
      <x:c r="O739" s="72" t="n">
        <x:f aca="0">N739/1000</x:f>
        <x:v>-1512.279</x:v>
      </x:c>
      <x:c r="P739" s="73" t="n">
        <x:f aca="0">LUCK!E88</x:f>
        <x:v>-1512.279</x:v>
      </x:c>
      <x:c r="Q739" s="70" t="str">
        <x:f aca="0">IF(ABS(O739-P739)&lt;0.000001,"PASS","FAIL")</x:f>
        <x:v>PASS</x:v>
      </x:c>
      <x:c r="R739" s="70" t="s">
        <x:v>34</x:v>
      </x:c>
      <x:c r="S739" s="70"/>
    </x:row>
    <x:row r="740" ht="15" hidden="0">
      <x:c r="A740" s="70" t="s">
        <x:v>1940</x:v>
      </x:c>
      <x:c r="B740" s="70" t="s">
        <x:v>31</x:v>
      </x:c>
      <x:c r="C740" s="70" t="s">
        <x:v>75</x:v>
      </x:c>
      <x:c r="D740" s="70" t="s">
        <x:v>422</x:v>
      </x:c>
      <x:c r="E740" s="70" t="s">
        <x:v>1472</x:v>
      </x:c>
      <x:c r="F740" s="70" t="s">
        <x:v>422</x:v>
      </x:c>
      <x:c r="G740" s="70" t="s">
        <x:v>1672</x:v>
      </x:c>
      <x:c r="H740" s="70" t="s">
        <x:v>1211</x:v>
      </x:c>
      <x:c r="I740" s="70" t="s">
        <x:v>1199</x:v>
      </x:c>
      <x:c r="J740" s="70" t="n">
        <x:v>239</x:v>
      </x:c>
      <x:c r="K740" s="70" t="s">
        <x:v>1922</x:v>
      </x:c>
      <x:c r="L740" s="70"/>
      <x:c r="M740" s="70" t="s">
        <x:v>35</x:v>
      </x:c>
      <x:c r="N740" s="71" t="n">
        <x:v>-1825578</x:v>
      </x:c>
      <x:c r="O740" s="72" t="n">
        <x:f aca="0">N740/1000</x:f>
        <x:v>-1825.578</x:v>
      </x:c>
      <x:c r="P740" s="73" t="n">
        <x:f aca="0">LUCK!F88</x:f>
        <x:v>-1825.578</x:v>
      </x:c>
      <x:c r="Q740" s="70" t="str">
        <x:f aca="0">IF(ABS(O740-P740)&lt;0.000001,"PASS","FAIL")</x:f>
        <x:v>PASS</x:v>
      </x:c>
      <x:c r="R740" s="70" t="s">
        <x:v>34</x:v>
      </x:c>
      <x:c r="S740" s="70"/>
    </x:row>
    <x:row r="741" ht="15" hidden="0">
      <x:c r="A741" s="70" t="s">
        <x:v>1941</x:v>
      </x:c>
      <x:c r="B741" s="70" t="s">
        <x:v>31</x:v>
      </x:c>
      <x:c r="C741" s="70" t="s">
        <x:v>76</x:v>
      </x:c>
      <x:c r="D741" s="70" t="s">
        <x:v>422</x:v>
      </x:c>
      <x:c r="E741" s="70" t="s">
        <x:v>1472</x:v>
      </x:c>
      <x:c r="F741" s="70" t="s">
        <x:v>422</x:v>
      </x:c>
      <x:c r="G741" s="70" t="s">
        <x:v>1675</x:v>
      </x:c>
      <x:c r="H741" s="70" t="s">
        <x:v>1215</x:v>
      </x:c>
      <x:c r="I741" s="70" t="s">
        <x:v>1199</x:v>
      </x:c>
      <x:c r="J741" s="70" t="n">
        <x:v>241</x:v>
      </x:c>
      <x:c r="K741" s="70" t="s">
        <x:v>1200</x:v>
      </x:c>
      <x:c r="L741" s="70"/>
      <x:c r="M741" s="70" t="s">
        <x:v>35</x:v>
      </x:c>
      <x:c r="N741" s="71" t="n">
        <x:v>-2160682</x:v>
      </x:c>
      <x:c r="O741" s="72" t="n">
        <x:f aca="0">N741/1000</x:f>
        <x:v>-2160.682</x:v>
      </x:c>
      <x:c r="P741" s="73" t="n">
        <x:f aca="0">LUCK!G88</x:f>
        <x:v>-2160.682</x:v>
      </x:c>
      <x:c r="Q741" s="70" t="str">
        <x:f aca="0">IF(ABS(O741-P741)&lt;0.000001,"PASS","FAIL")</x:f>
        <x:v>PASS</x:v>
      </x:c>
      <x:c r="R741" s="70" t="s">
        <x:v>34</x:v>
      </x:c>
      <x:c r="S741" s="70"/>
    </x:row>
    <x:row r="742" ht="15" hidden="0">
      <x:c r="A742" s="70" t="s">
        <x:v>1942</x:v>
      </x:c>
      <x:c r="B742" s="70" t="s">
        <x:v>31</x:v>
      </x:c>
      <x:c r="C742" s="70" t="s">
        <x:v>77</x:v>
      </x:c>
      <x:c r="D742" s="70" t="s">
        <x:v>422</x:v>
      </x:c>
      <x:c r="E742" s="70" t="s">
        <x:v>1472</x:v>
      </x:c>
      <x:c r="F742" s="70" t="s">
        <x:v>422</x:v>
      </x:c>
      <x:c r="G742" s="70" t="s">
        <x:v>1675</x:v>
      </x:c>
      <x:c r="H742" s="70" t="s">
        <x:v>1215</x:v>
      </x:c>
      <x:c r="I742" s="70" t="s">
        <x:v>1218</x:v>
      </x:c>
      <x:c r="J742" s="70" t="n">
        <x:v>241</x:v>
      </x:c>
      <x:c r="K742" s="70" t="s">
        <x:v>1200</x:v>
      </x:c>
      <x:c r="L742" s="70"/>
      <x:c r="M742" s="70" t="s">
        <x:v>35</x:v>
      </x:c>
      <x:c r="N742" s="71" t="n">
        <x:v>-2427249</x:v>
      </x:c>
      <x:c r="O742" s="72" t="n">
        <x:f aca="0">N742/1000</x:f>
        <x:v>-2427.249</x:v>
      </x:c>
      <x:c r="P742" s="73" t="n">
        <x:f aca="0">LUCK!H88</x:f>
        <x:v>-2427.249</x:v>
      </x:c>
      <x:c r="Q742" s="70" t="str">
        <x:f aca="0">IF(ABS(O742-P742)&lt;0.000001,"PASS","FAIL")</x:f>
        <x:v>PASS</x:v>
      </x:c>
      <x:c r="R742" s="70" t="s">
        <x:v>34</x:v>
      </x:c>
      <x:c r="S742" s="70"/>
    </x:row>
    <x:row r="743" ht="15" hidden="0">
      <x:c r="A743" s="70" t="s">
        <x:v>1943</x:v>
      </x:c>
      <x:c r="B743" s="70" t="s">
        <x:v>31</x:v>
      </x:c>
      <x:c r="C743" s="70" t="s">
        <x:v>73</x:v>
      </x:c>
      <x:c r="D743" s="70" t="s">
        <x:v>424</x:v>
      </x:c>
      <x:c r="E743" s="70" t="s">
        <x:v>1472</x:v>
      </x:c>
      <x:c r="F743" s="70"/>
      <x:c r="G743" s="70" t="s">
        <x:v>1666</x:v>
      </x:c>
      <x:c r="H743" s="70" t="s">
        <x:v>1204</x:v>
      </x:c>
      <x:c r="I743" s="70" t="s">
        <x:v>1199</x:v>
      </x:c>
      <x:c r="J743" s="70" t="n">
        <x:v>227</x:v>
      </x:c>
      <x:c r="K743" s="70" t="s">
        <x:v>1918</x:v>
      </x:c>
      <x:c r="L743" s="70"/>
      <x:c r="M743" s="70" t="s">
        <x:v>35</x:v>
      </x:c>
      <x:c r="N743" s="71" t="n">
        <x:v>0</x:v>
      </x:c>
      <x:c r="O743" s="72" t="n">
        <x:f aca="0">N743/1000</x:f>
        <x:v>0</x:v>
      </x:c>
      <x:c r="P743" s="73" t="n">
        <x:f aca="0">LUCK!D89</x:f>
        <x:v>0</x:v>
      </x:c>
      <x:c r="Q743" s="70" t="str">
        <x:f aca="0">IF(ABS(O743-P743)&lt;0.000001,"PASS","FAIL")</x:f>
        <x:v>PASS</x:v>
      </x:c>
      <x:c r="R743" s="70" t="s">
        <x:v>34</x:v>
      </x:c>
      <x:c r="S743" s="70"/>
    </x:row>
    <x:row r="744" ht="15" hidden="0">
      <x:c r="A744" s="70" t="s">
        <x:v>1944</x:v>
      </x:c>
      <x:c r="B744" s="70" t="s">
        <x:v>31</x:v>
      </x:c>
      <x:c r="C744" s="70" t="s">
        <x:v>74</x:v>
      </x:c>
      <x:c r="D744" s="70" t="s">
        <x:v>424</x:v>
      </x:c>
      <x:c r="E744" s="70" t="s">
        <x:v>1472</x:v>
      </x:c>
      <x:c r="F744" s="70"/>
      <x:c r="G744" s="70" t="s">
        <x:v>1669</x:v>
      </x:c>
      <x:c r="H744" s="70" t="s">
        <x:v>1208</x:v>
      </x:c>
      <x:c r="I744" s="70" t="s">
        <x:v>1199</x:v>
      </x:c>
      <x:c r="J744" s="70" t="n">
        <x:v>235</x:v>
      </x:c>
      <x:c r="K744" s="70" t="s">
        <x:v>1920</x:v>
      </x:c>
      <x:c r="L744" s="70"/>
      <x:c r="M744" s="70" t="s">
        <x:v>35</x:v>
      </x:c>
      <x:c r="N744" s="71" t="n">
        <x:v>0</x:v>
      </x:c>
      <x:c r="O744" s="72" t="n">
        <x:f aca="0">N744/1000</x:f>
        <x:v>0</x:v>
      </x:c>
      <x:c r="P744" s="73" t="n">
        <x:f aca="0">LUCK!E89</x:f>
        <x:v>0</x:v>
      </x:c>
      <x:c r="Q744" s="70" t="str">
        <x:f aca="0">IF(ABS(O744-P744)&lt;0.000001,"PASS","FAIL")</x:f>
        <x:v>PASS</x:v>
      </x:c>
      <x:c r="R744" s="70" t="s">
        <x:v>34</x:v>
      </x:c>
      <x:c r="S744" s="70"/>
    </x:row>
    <x:row r="745" ht="15" hidden="0">
      <x:c r="A745" s="70" t="s">
        <x:v>1945</x:v>
      </x:c>
      <x:c r="B745" s="70" t="s">
        <x:v>31</x:v>
      </x:c>
      <x:c r="C745" s="70" t="s">
        <x:v>75</x:v>
      </x:c>
      <x:c r="D745" s="70" t="s">
        <x:v>424</x:v>
      </x:c>
      <x:c r="E745" s="70" t="s">
        <x:v>1472</x:v>
      </x:c>
      <x:c r="F745" s="70"/>
      <x:c r="G745" s="70" t="s">
        <x:v>1672</x:v>
      </x:c>
      <x:c r="H745" s="70" t="s">
        <x:v>1211</x:v>
      </x:c>
      <x:c r="I745" s="70" t="s">
        <x:v>1199</x:v>
      </x:c>
      <x:c r="J745" s="70" t="n">
        <x:v>239</x:v>
      </x:c>
      <x:c r="K745" s="70" t="s">
        <x:v>1922</x:v>
      </x:c>
      <x:c r="L745" s="70"/>
      <x:c r="M745" s="70" t="s">
        <x:v>35</x:v>
      </x:c>
      <x:c r="N745" s="71" t="n">
        <x:v>0</x:v>
      </x:c>
      <x:c r="O745" s="72" t="n">
        <x:f aca="0">N745/1000</x:f>
        <x:v>0</x:v>
      </x:c>
      <x:c r="P745" s="73" t="n">
        <x:f aca="0">LUCK!F89</x:f>
        <x:v>0</x:v>
      </x:c>
      <x:c r="Q745" s="70" t="str">
        <x:f aca="0">IF(ABS(O745-P745)&lt;0.000001,"PASS","FAIL")</x:f>
        <x:v>PASS</x:v>
      </x:c>
      <x:c r="R745" s="70" t="s">
        <x:v>34</x:v>
      </x:c>
      <x:c r="S745" s="70"/>
    </x:row>
    <x:row r="746" ht="15" hidden="0">
      <x:c r="A746" s="70" t="s">
        <x:v>1946</x:v>
      </x:c>
      <x:c r="B746" s="70" t="s">
        <x:v>31</x:v>
      </x:c>
      <x:c r="C746" s="70" t="s">
        <x:v>76</x:v>
      </x:c>
      <x:c r="D746" s="70" t="s">
        <x:v>424</x:v>
      </x:c>
      <x:c r="E746" s="70" t="s">
        <x:v>1472</x:v>
      </x:c>
      <x:c r="F746" s="70"/>
      <x:c r="G746" s="70" t="s">
        <x:v>1675</x:v>
      </x:c>
      <x:c r="H746" s="70" t="s">
        <x:v>1215</x:v>
      </x:c>
      <x:c r="I746" s="70" t="s">
        <x:v>1199</x:v>
      </x:c>
      <x:c r="J746" s="70" t="n">
        <x:v>241</x:v>
      </x:c>
      <x:c r="K746" s="70" t="s">
        <x:v>1200</x:v>
      </x:c>
      <x:c r="L746" s="70"/>
      <x:c r="M746" s="70" t="s">
        <x:v>35</x:v>
      </x:c>
      <x:c r="N746" s="71" t="n">
        <x:v>0</x:v>
      </x:c>
      <x:c r="O746" s="72" t="n">
        <x:f aca="0">N746/1000</x:f>
        <x:v>0</x:v>
      </x:c>
      <x:c r="P746" s="73" t="n">
        <x:f aca="0">LUCK!G89</x:f>
        <x:v>0</x:v>
      </x:c>
      <x:c r="Q746" s="70" t="str">
        <x:f aca="0">IF(ABS(O746-P746)&lt;0.000001,"PASS","FAIL")</x:f>
        <x:v>PASS</x:v>
      </x:c>
      <x:c r="R746" s="70" t="s">
        <x:v>34</x:v>
      </x:c>
      <x:c r="S746" s="70"/>
    </x:row>
    <x:row r="747" ht="15" hidden="0">
      <x:c r="A747" s="70" t="s">
        <x:v>1947</x:v>
      </x:c>
      <x:c r="B747" s="70" t="s">
        <x:v>31</x:v>
      </x:c>
      <x:c r="C747" s="70" t="s">
        <x:v>77</x:v>
      </x:c>
      <x:c r="D747" s="70" t="s">
        <x:v>424</x:v>
      </x:c>
      <x:c r="E747" s="70" t="s">
        <x:v>1472</x:v>
      </x:c>
      <x:c r="F747" s="70"/>
      <x:c r="G747" s="70" t="s">
        <x:v>1675</x:v>
      </x:c>
      <x:c r="H747" s="70" t="s">
        <x:v>1215</x:v>
      </x:c>
      <x:c r="I747" s="70" t="s">
        <x:v>1218</x:v>
      </x:c>
      <x:c r="J747" s="70" t="n">
        <x:v>241</x:v>
      </x:c>
      <x:c r="K747" s="70" t="s">
        <x:v>1200</x:v>
      </x:c>
      <x:c r="L747" s="70"/>
      <x:c r="M747" s="70" t="s">
        <x:v>35</x:v>
      </x:c>
      <x:c r="N747" s="71" t="n">
        <x:v>0</x:v>
      </x:c>
      <x:c r="O747" s="72" t="n">
        <x:f aca="0">N747/1000</x:f>
        <x:v>0</x:v>
      </x:c>
      <x:c r="P747" s="73" t="n">
        <x:f aca="0">LUCK!H89</x:f>
        <x:v>0</x:v>
      </x:c>
      <x:c r="Q747" s="70" t="str">
        <x:f aca="0">IF(ABS(O747-P747)&lt;0.000001,"PASS","FAIL")</x:f>
        <x:v>PASS</x:v>
      </x:c>
      <x:c r="R747" s="70" t="s">
        <x:v>34</x:v>
      </x:c>
      <x:c r="S747" s="70"/>
    </x:row>
    <x:row r="748" ht="15" hidden="0">
      <x:c r="A748" s="70" t="s">
        <x:v>1948</x:v>
      </x:c>
      <x:c r="B748" s="70" t="s">
        <x:v>31</x:v>
      </x:c>
      <x:c r="C748" s="70" t="s">
        <x:v>73</x:v>
      </x:c>
      <x:c r="D748" s="70" t="s">
        <x:v>426</x:v>
      </x:c>
      <x:c r="E748" s="70" t="s">
        <x:v>1472</x:v>
      </x:c>
      <x:c r="F748" s="70" t="s">
        <x:v>1502</x:v>
      </x:c>
      <x:c r="G748" s="70" t="s">
        <x:v>1666</x:v>
      </x:c>
      <x:c r="H748" s="70" t="s">
        <x:v>1204</x:v>
      </x:c>
      <x:c r="I748" s="70" t="s">
        <x:v>1199</x:v>
      </x:c>
      <x:c r="J748" s="70" t="n">
        <x:v>227</x:v>
      </x:c>
      <x:c r="K748" s="70" t="s">
        <x:v>1918</x:v>
      </x:c>
      <x:c r="L748" s="70"/>
      <x:c r="M748" s="70" t="s">
        <x:v>35</x:v>
      </x:c>
      <x:c r="N748" s="71" t="n">
        <x:v>-1507673</x:v>
      </x:c>
      <x:c r="O748" s="72" t="n">
        <x:f aca="0">N748/1000</x:f>
        <x:v>-1507.673</x:v>
      </x:c>
      <x:c r="P748" s="73" t="n">
        <x:f aca="0">LUCK!D90</x:f>
        <x:v>-1507.673</x:v>
      </x:c>
      <x:c r="Q748" s="70" t="str">
        <x:f aca="0">IF(ABS(O748-P748)&lt;0.000001,"PASS","FAIL")</x:f>
        <x:v>PASS</x:v>
      </x:c>
      <x:c r="R748" s="70" t="s">
        <x:v>34</x:v>
      </x:c>
      <x:c r="S748" s="70" t="s">
        <x:v>1205</x:v>
      </x:c>
    </x:row>
    <x:row r="749" ht="15" hidden="0">
      <x:c r="A749" s="70" t="s">
        <x:v>1949</x:v>
      </x:c>
      <x:c r="B749" s="70" t="s">
        <x:v>31</x:v>
      </x:c>
      <x:c r="C749" s="70" t="s">
        <x:v>74</x:v>
      </x:c>
      <x:c r="D749" s="70" t="s">
        <x:v>426</x:v>
      </x:c>
      <x:c r="E749" s="70" t="s">
        <x:v>1472</x:v>
      </x:c>
      <x:c r="F749" s="70" t="s">
        <x:v>1502</x:v>
      </x:c>
      <x:c r="G749" s="70" t="s">
        <x:v>1669</x:v>
      </x:c>
      <x:c r="H749" s="70" t="s">
        <x:v>1208</x:v>
      </x:c>
      <x:c r="I749" s="70" t="s">
        <x:v>1199</x:v>
      </x:c>
      <x:c r="J749" s="70" t="n">
        <x:v>235</x:v>
      </x:c>
      <x:c r="K749" s="70" t="s">
        <x:v>1920</x:v>
      </x:c>
      <x:c r="L749" s="70"/>
      <x:c r="M749" s="70" t="s">
        <x:v>35</x:v>
      </x:c>
      <x:c r="N749" s="71" t="n">
        <x:v>-1847039</x:v>
      </x:c>
      <x:c r="O749" s="72" t="n">
        <x:f aca="0">N749/1000</x:f>
        <x:v>-1847.039</x:v>
      </x:c>
      <x:c r="P749" s="73" t="n">
        <x:f aca="0">LUCK!E90</x:f>
        <x:v>-1847.039</x:v>
      </x:c>
      <x:c r="Q749" s="70" t="str">
        <x:f aca="0">IF(ABS(O749-P749)&lt;0.000001,"PASS","FAIL")</x:f>
        <x:v>PASS</x:v>
      </x:c>
      <x:c r="R749" s="70" t="s">
        <x:v>34</x:v>
      </x:c>
      <x:c r="S749" s="70"/>
    </x:row>
    <x:row r="750" ht="15" hidden="0">
      <x:c r="A750" s="70" t="s">
        <x:v>1950</x:v>
      </x:c>
      <x:c r="B750" s="70" t="s">
        <x:v>31</x:v>
      </x:c>
      <x:c r="C750" s="70" t="s">
        <x:v>75</x:v>
      </x:c>
      <x:c r="D750" s="70" t="s">
        <x:v>426</x:v>
      </x:c>
      <x:c r="E750" s="70" t="s">
        <x:v>1472</x:v>
      </x:c>
      <x:c r="F750" s="70" t="s">
        <x:v>1502</x:v>
      </x:c>
      <x:c r="G750" s="70" t="s">
        <x:v>1672</x:v>
      </x:c>
      <x:c r="H750" s="70" t="s">
        <x:v>1211</x:v>
      </x:c>
      <x:c r="I750" s="70" t="s">
        <x:v>1199</x:v>
      </x:c>
      <x:c r="J750" s="70" t="n">
        <x:v>239</x:v>
      </x:c>
      <x:c r="K750" s="70" t="s">
        <x:v>1922</x:v>
      </x:c>
      <x:c r="L750" s="70"/>
      <x:c r="M750" s="70" t="s">
        <x:v>35</x:v>
      </x:c>
      <x:c r="N750" s="71" t="n">
        <x:v>-2442585</x:v>
      </x:c>
      <x:c r="O750" s="72" t="n">
        <x:f aca="0">N750/1000</x:f>
        <x:v>-2442.585</x:v>
      </x:c>
      <x:c r="P750" s="73" t="n">
        <x:f aca="0">LUCK!F90</x:f>
        <x:v>-2442.585</x:v>
      </x:c>
      <x:c r="Q750" s="70" t="str">
        <x:f aca="0">IF(ABS(O750-P750)&lt;0.000001,"PASS","FAIL")</x:f>
        <x:v>PASS</x:v>
      </x:c>
      <x:c r="R750" s="70" t="s">
        <x:v>34</x:v>
      </x:c>
      <x:c r="S750" s="70"/>
    </x:row>
    <x:row r="751" ht="15" hidden="0">
      <x:c r="A751" s="70" t="s">
        <x:v>1951</x:v>
      </x:c>
      <x:c r="B751" s="70" t="s">
        <x:v>31</x:v>
      </x:c>
      <x:c r="C751" s="70" t="s">
        <x:v>76</x:v>
      </x:c>
      <x:c r="D751" s="70" t="s">
        <x:v>426</x:v>
      </x:c>
      <x:c r="E751" s="70" t="s">
        <x:v>1472</x:v>
      </x:c>
      <x:c r="F751" s="70" t="s">
        <x:v>1502</x:v>
      </x:c>
      <x:c r="G751" s="70" t="s">
        <x:v>1675</x:v>
      </x:c>
      <x:c r="H751" s="70" t="s">
        <x:v>1215</x:v>
      </x:c>
      <x:c r="I751" s="70" t="s">
        <x:v>1199</x:v>
      </x:c>
      <x:c r="J751" s="70" t="n">
        <x:v>241</x:v>
      </x:c>
      <x:c r="K751" s="70" t="s">
        <x:v>1200</x:v>
      </x:c>
      <x:c r="L751" s="70"/>
      <x:c r="M751" s="70" t="s">
        <x:v>35</x:v>
      </x:c>
      <x:c r="N751" s="71" t="n">
        <x:v>-2476636</x:v>
      </x:c>
      <x:c r="O751" s="72" t="n">
        <x:f aca="0">N751/1000</x:f>
        <x:v>-2476.636</x:v>
      </x:c>
      <x:c r="P751" s="73" t="n">
        <x:f aca="0">LUCK!G90</x:f>
        <x:v>-2476.636</x:v>
      </x:c>
      <x:c r="Q751" s="70" t="str">
        <x:f aca="0">IF(ABS(O751-P751)&lt;0.000001,"PASS","FAIL")</x:f>
        <x:v>PASS</x:v>
      </x:c>
      <x:c r="R751" s="70" t="s">
        <x:v>34</x:v>
      </x:c>
      <x:c r="S751" s="70"/>
    </x:row>
    <x:row r="752" ht="15" hidden="0">
      <x:c r="A752" s="70" t="s">
        <x:v>1952</x:v>
      </x:c>
      <x:c r="B752" s="70" t="s">
        <x:v>31</x:v>
      </x:c>
      <x:c r="C752" s="70" t="s">
        <x:v>77</x:v>
      </x:c>
      <x:c r="D752" s="70" t="s">
        <x:v>426</x:v>
      </x:c>
      <x:c r="E752" s="70" t="s">
        <x:v>1472</x:v>
      </x:c>
      <x:c r="F752" s="70" t="s">
        <x:v>1502</x:v>
      </x:c>
      <x:c r="G752" s="70" t="s">
        <x:v>1675</x:v>
      </x:c>
      <x:c r="H752" s="70" t="s">
        <x:v>1215</x:v>
      </x:c>
      <x:c r="I752" s="70" t="s">
        <x:v>1218</x:v>
      </x:c>
      <x:c r="J752" s="70" t="n">
        <x:v>241</x:v>
      </x:c>
      <x:c r="K752" s="70" t="s">
        <x:v>1200</x:v>
      </x:c>
      <x:c r="L752" s="70"/>
      <x:c r="M752" s="70" t="s">
        <x:v>35</x:v>
      </x:c>
      <x:c r="N752" s="71" t="n">
        <x:v>-3056913</x:v>
      </x:c>
      <x:c r="O752" s="72" t="n">
        <x:f aca="0">N752/1000</x:f>
        <x:v>-3056.913</x:v>
      </x:c>
      <x:c r="P752" s="73" t="n">
        <x:f aca="0">LUCK!H90</x:f>
        <x:v>-3056.913</x:v>
      </x:c>
      <x:c r="Q752" s="70" t="str">
        <x:f aca="0">IF(ABS(O752-P752)&lt;0.000001,"PASS","FAIL")</x:f>
        <x:v>PASS</x:v>
      </x:c>
      <x:c r="R752" s="70" t="s">
        <x:v>34</x:v>
      </x:c>
      <x:c r="S752" s="70"/>
    </x:row>
    <x:row r="753" ht="15" hidden="0">
      <x:c r="A753" s="70" t="s">
        <x:v>1953</x:v>
      </x:c>
      <x:c r="B753" s="70" t="s">
        <x:v>31</x:v>
      </x:c>
      <x:c r="C753" s="70" t="s">
        <x:v>73</x:v>
      </x:c>
      <x:c r="D753" s="70" t="s">
        <x:v>430</x:v>
      </x:c>
      <x:c r="E753" s="70" t="s">
        <x:v>1472</x:v>
      </x:c>
      <x:c r="F753" s="70" t="s">
        <x:v>430</x:v>
      </x:c>
      <x:c r="G753" s="70" t="s">
        <x:v>1666</x:v>
      </x:c>
      <x:c r="H753" s="70" t="s">
        <x:v>1204</x:v>
      </x:c>
      <x:c r="I753" s="70" t="s">
        <x:v>1199</x:v>
      </x:c>
      <x:c r="J753" s="70" t="n">
        <x:v>227</x:v>
      </x:c>
      <x:c r="K753" s="70" t="s">
        <x:v>1918</x:v>
      </x:c>
      <x:c r="L753" s="70"/>
      <x:c r="M753" s="70" t="s">
        <x:v>35</x:v>
      </x:c>
      <x:c r="N753" s="71" t="n">
        <x:v>5993029</x:v>
      </x:c>
      <x:c r="O753" s="72" t="n">
        <x:f aca="0">N753/1000</x:f>
        <x:v>5993.029</x:v>
      </x:c>
      <x:c r="P753" s="73" t="n">
        <x:f aca="0">LUCK!D92</x:f>
        <x:v>5993.029</x:v>
      </x:c>
      <x:c r="Q753" s="70" t="str">
        <x:f aca="0">IF(ABS(O753-P753)&lt;0.000001,"PASS","FAIL")</x:f>
        <x:v>PASS</x:v>
      </x:c>
      <x:c r="R753" s="70" t="s">
        <x:v>34</x:v>
      </x:c>
      <x:c r="S753" s="70" t="s">
        <x:v>1205</x:v>
      </x:c>
    </x:row>
    <x:row r="754" ht="15" hidden="0">
      <x:c r="A754" s="70" t="s">
        <x:v>1954</x:v>
      </x:c>
      <x:c r="B754" s="70" t="s">
        <x:v>31</x:v>
      </x:c>
      <x:c r="C754" s="70" t="s">
        <x:v>74</x:v>
      </x:c>
      <x:c r="D754" s="70" t="s">
        <x:v>430</x:v>
      </x:c>
      <x:c r="E754" s="70" t="s">
        <x:v>1472</x:v>
      </x:c>
      <x:c r="F754" s="70" t="s">
        <x:v>430</x:v>
      </x:c>
      <x:c r="G754" s="70" t="s">
        <x:v>1669</x:v>
      </x:c>
      <x:c r="H754" s="70" t="s">
        <x:v>1208</x:v>
      </x:c>
      <x:c r="I754" s="70" t="s">
        <x:v>1199</x:v>
      </x:c>
      <x:c r="J754" s="70" t="n">
        <x:v>235</x:v>
      </x:c>
      <x:c r="K754" s="70" t="s">
        <x:v>1920</x:v>
      </x:c>
      <x:c r="L754" s="70"/>
      <x:c r="M754" s="70" t="s">
        <x:v>35</x:v>
      </x:c>
      <x:c r="N754" s="71" t="n">
        <x:v>7387800</x:v>
      </x:c>
      <x:c r="O754" s="72" t="n">
        <x:f aca="0">N754/1000</x:f>
        <x:v>7387.8</x:v>
      </x:c>
      <x:c r="P754" s="73" t="n">
        <x:f aca="0">LUCK!E92</x:f>
        <x:v>7387.8</x:v>
      </x:c>
      <x:c r="Q754" s="70" t="str">
        <x:f aca="0">IF(ABS(O754-P754)&lt;0.000001,"PASS","FAIL")</x:f>
        <x:v>PASS</x:v>
      </x:c>
      <x:c r="R754" s="70" t="s">
        <x:v>34</x:v>
      </x:c>
      <x:c r="S754" s="70"/>
    </x:row>
    <x:row r="755" ht="15" hidden="0">
      <x:c r="A755" s="70" t="s">
        <x:v>1955</x:v>
      </x:c>
      <x:c r="B755" s="70" t="s">
        <x:v>31</x:v>
      </x:c>
      <x:c r="C755" s="70" t="s">
        <x:v>75</x:v>
      </x:c>
      <x:c r="D755" s="70" t="s">
        <x:v>430</x:v>
      </x:c>
      <x:c r="E755" s="70" t="s">
        <x:v>1472</x:v>
      </x:c>
      <x:c r="F755" s="70" t="s">
        <x:v>430</x:v>
      </x:c>
      <x:c r="G755" s="70" t="s">
        <x:v>1672</x:v>
      </x:c>
      <x:c r="H755" s="70" t="s">
        <x:v>1211</x:v>
      </x:c>
      <x:c r="I755" s="70" t="s">
        <x:v>1199</x:v>
      </x:c>
      <x:c r="J755" s="70" t="n">
        <x:v>239</x:v>
      </x:c>
      <x:c r="K755" s="70" t="s">
        <x:v>1922</x:v>
      </x:c>
      <x:c r="L755" s="70"/>
      <x:c r="M755" s="70" t="s">
        <x:v>35</x:v>
      </x:c>
      <x:c r="N755" s="71" t="n">
        <x:v>6047423</x:v>
      </x:c>
      <x:c r="O755" s="72" t="n">
        <x:f aca="0">N755/1000</x:f>
        <x:v>6047.423</x:v>
      </x:c>
      <x:c r="P755" s="73" t="n">
        <x:f aca="0">LUCK!F92</x:f>
        <x:v>6047.423</x:v>
      </x:c>
      <x:c r="Q755" s="70" t="str">
        <x:f aca="0">IF(ABS(O755-P755)&lt;0.000001,"PASS","FAIL")</x:f>
        <x:v>PASS</x:v>
      </x:c>
      <x:c r="R755" s="70" t="s">
        <x:v>34</x:v>
      </x:c>
      <x:c r="S755" s="70"/>
    </x:row>
    <x:row r="756" ht="15" hidden="0">
      <x:c r="A756" s="70" t="s">
        <x:v>1956</x:v>
      </x:c>
      <x:c r="B756" s="70" t="s">
        <x:v>31</x:v>
      </x:c>
      <x:c r="C756" s="70" t="s">
        <x:v>76</x:v>
      </x:c>
      <x:c r="D756" s="70" t="s">
        <x:v>430</x:v>
      </x:c>
      <x:c r="E756" s="70" t="s">
        <x:v>1472</x:v>
      </x:c>
      <x:c r="F756" s="70" t="s">
        <x:v>430</x:v>
      </x:c>
      <x:c r="G756" s="70" t="s">
        <x:v>1675</x:v>
      </x:c>
      <x:c r="H756" s="70" t="s">
        <x:v>1215</x:v>
      </x:c>
      <x:c r="I756" s="70" t="s">
        <x:v>1199</x:v>
      </x:c>
      <x:c r="J756" s="70" t="n">
        <x:v>241</x:v>
      </x:c>
      <x:c r="K756" s="70" t="s">
        <x:v>1200</x:v>
      </x:c>
      <x:c r="L756" s="70"/>
      <x:c r="M756" s="70" t="s">
        <x:v>35</x:v>
      </x:c>
      <x:c r="N756" s="71" t="n">
        <x:v>16575363</x:v>
      </x:c>
      <x:c r="O756" s="72" t="n">
        <x:f aca="0">N756/1000</x:f>
        <x:v>16575.363</x:v>
      </x:c>
      <x:c r="P756" s="73" t="n">
        <x:f aca="0">LUCK!G92</x:f>
        <x:v>16575.363</x:v>
      </x:c>
      <x:c r="Q756" s="70" t="str">
        <x:f aca="0">IF(ABS(O756-P756)&lt;0.000001,"PASS","FAIL")</x:f>
        <x:v>PASS</x:v>
      </x:c>
      <x:c r="R756" s="70" t="s">
        <x:v>34</x:v>
      </x:c>
      <x:c r="S756" s="70"/>
    </x:row>
    <x:row r="757" ht="15" hidden="0">
      <x:c r="A757" s="70" t="s">
        <x:v>1957</x:v>
      </x:c>
      <x:c r="B757" s="70" t="s">
        <x:v>31</x:v>
      </x:c>
      <x:c r="C757" s="70" t="s">
        <x:v>77</x:v>
      </x:c>
      <x:c r="D757" s="70" t="s">
        <x:v>430</x:v>
      </x:c>
      <x:c r="E757" s="70" t="s">
        <x:v>1472</x:v>
      </x:c>
      <x:c r="F757" s="70" t="s">
        <x:v>430</x:v>
      </x:c>
      <x:c r="G757" s="70" t="s">
        <x:v>1675</x:v>
      </x:c>
      <x:c r="H757" s="70" t="s">
        <x:v>1215</x:v>
      </x:c>
      <x:c r="I757" s="70" t="s">
        <x:v>1218</x:v>
      </x:c>
      <x:c r="J757" s="70" t="n">
        <x:v>241</x:v>
      </x:c>
      <x:c r="K757" s="70" t="s">
        <x:v>1200</x:v>
      </x:c>
      <x:c r="L757" s="70"/>
      <x:c r="M757" s="70" t="s">
        <x:v>35</x:v>
      </x:c>
      <x:c r="N757" s="71" t="n">
        <x:v>20465921</x:v>
      </x:c>
      <x:c r="O757" s="72" t="n">
        <x:f aca="0">N757/1000</x:f>
        <x:v>20465.921</x:v>
      </x:c>
      <x:c r="P757" s="73" t="n">
        <x:f aca="0">LUCK!H92</x:f>
        <x:v>20465.921</x:v>
      </x:c>
      <x:c r="Q757" s="70" t="str">
        <x:f aca="0">IF(ABS(O757-P757)&lt;0.000001,"PASS","FAIL")</x:f>
        <x:v>PASS</x:v>
      </x:c>
      <x:c r="R757" s="70" t="s">
        <x:v>34</x:v>
      </x:c>
      <x:c r="S757" s="70"/>
    </x:row>
    <x:row r="758" ht="15" hidden="0">
      <x:c r="A758" s="70" t="s">
        <x:v>1958</x:v>
      </x:c>
      <x:c r="B758" s="70" t="s">
        <x:v>31</x:v>
      </x:c>
      <x:c r="C758" s="70" t="s">
        <x:v>73</x:v>
      </x:c>
      <x:c r="D758" s="70" t="s">
        <x:v>432</x:v>
      </x:c>
      <x:c r="E758" s="70" t="s">
        <x:v>1472</x:v>
      </x:c>
      <x:c r="F758" s="70"/>
      <x:c r="G758" s="70" t="s">
        <x:v>1666</x:v>
      </x:c>
      <x:c r="H758" s="70" t="s">
        <x:v>1204</x:v>
      </x:c>
      <x:c r="I758" s="70" t="s">
        <x:v>1199</x:v>
      </x:c>
      <x:c r="J758" s="70" t="n">
        <x:v>227</x:v>
      </x:c>
      <x:c r="K758" s="70" t="s">
        <x:v>1918</x:v>
      </x:c>
      <x:c r="L758" s="70"/>
      <x:c r="M758" s="70" t="s">
        <x:v>35</x:v>
      </x:c>
      <x:c r="N758" s="71" t="n">
        <x:v>0</x:v>
      </x:c>
      <x:c r="O758" s="72" t="n">
        <x:f aca="0">N758/1000</x:f>
        <x:v>0</x:v>
      </x:c>
      <x:c r="P758" s="73" t="n">
        <x:f aca="0">LUCK!D93</x:f>
        <x:v>0</x:v>
      </x:c>
      <x:c r="Q758" s="70" t="str">
        <x:f aca="0">IF(ABS(O758-P758)&lt;0.000001,"PASS","FAIL")</x:f>
        <x:v>PASS</x:v>
      </x:c>
      <x:c r="R758" s="70" t="s">
        <x:v>34</x:v>
      </x:c>
      <x:c r="S758" s="70"/>
    </x:row>
    <x:row r="759" ht="15" hidden="0">
      <x:c r="A759" s="70" t="s">
        <x:v>1959</x:v>
      </x:c>
      <x:c r="B759" s="70" t="s">
        <x:v>31</x:v>
      </x:c>
      <x:c r="C759" s="70" t="s">
        <x:v>74</x:v>
      </x:c>
      <x:c r="D759" s="70" t="s">
        <x:v>432</x:v>
      </x:c>
      <x:c r="E759" s="70" t="s">
        <x:v>1472</x:v>
      </x:c>
      <x:c r="F759" s="70"/>
      <x:c r="G759" s="70" t="s">
        <x:v>1669</x:v>
      </x:c>
      <x:c r="H759" s="70" t="s">
        <x:v>1208</x:v>
      </x:c>
      <x:c r="I759" s="70" t="s">
        <x:v>1199</x:v>
      </x:c>
      <x:c r="J759" s="70" t="n">
        <x:v>235</x:v>
      </x:c>
      <x:c r="K759" s="70" t="s">
        <x:v>1920</x:v>
      </x:c>
      <x:c r="L759" s="70"/>
      <x:c r="M759" s="70" t="s">
        <x:v>35</x:v>
      </x:c>
      <x:c r="N759" s="71" t="n">
        <x:v>0</x:v>
      </x:c>
      <x:c r="O759" s="72" t="n">
        <x:f aca="0">N759/1000</x:f>
        <x:v>0</x:v>
      </x:c>
      <x:c r="P759" s="73" t="n">
        <x:f aca="0">LUCK!E93</x:f>
        <x:v>0</x:v>
      </x:c>
      <x:c r="Q759" s="70" t="str">
        <x:f aca="0">IF(ABS(O759-P759)&lt;0.000001,"PASS","FAIL")</x:f>
        <x:v>PASS</x:v>
      </x:c>
      <x:c r="R759" s="70" t="s">
        <x:v>34</x:v>
      </x:c>
      <x:c r="S759" s="70"/>
    </x:row>
    <x:row r="760" ht="15" hidden="0">
      <x:c r="A760" s="70" t="s">
        <x:v>1960</x:v>
      </x:c>
      <x:c r="B760" s="70" t="s">
        <x:v>31</x:v>
      </x:c>
      <x:c r="C760" s="70" t="s">
        <x:v>75</x:v>
      </x:c>
      <x:c r="D760" s="70" t="s">
        <x:v>432</x:v>
      </x:c>
      <x:c r="E760" s="70" t="s">
        <x:v>1472</x:v>
      </x:c>
      <x:c r="F760" s="70"/>
      <x:c r="G760" s="70" t="s">
        <x:v>1672</x:v>
      </x:c>
      <x:c r="H760" s="70" t="s">
        <x:v>1211</x:v>
      </x:c>
      <x:c r="I760" s="70" t="s">
        <x:v>1199</x:v>
      </x:c>
      <x:c r="J760" s="70" t="n">
        <x:v>239</x:v>
      </x:c>
      <x:c r="K760" s="70" t="s">
        <x:v>1922</x:v>
      </x:c>
      <x:c r="L760" s="70"/>
      <x:c r="M760" s="70" t="s">
        <x:v>35</x:v>
      </x:c>
      <x:c r="N760" s="71" t="n">
        <x:v>0</x:v>
      </x:c>
      <x:c r="O760" s="72" t="n">
        <x:f aca="0">N760/1000</x:f>
        <x:v>0</x:v>
      </x:c>
      <x:c r="P760" s="73" t="n">
        <x:f aca="0">LUCK!F93</x:f>
        <x:v>0</x:v>
      </x:c>
      <x:c r="Q760" s="70" t="str">
        <x:f aca="0">IF(ABS(O760-P760)&lt;0.000001,"PASS","FAIL")</x:f>
        <x:v>PASS</x:v>
      </x:c>
      <x:c r="R760" s="70" t="s">
        <x:v>34</x:v>
      </x:c>
      <x:c r="S760" s="70"/>
    </x:row>
    <x:row r="761" ht="15" hidden="0">
      <x:c r="A761" s="70" t="s">
        <x:v>1961</x:v>
      </x:c>
      <x:c r="B761" s="70" t="s">
        <x:v>31</x:v>
      </x:c>
      <x:c r="C761" s="70" t="s">
        <x:v>76</x:v>
      </x:c>
      <x:c r="D761" s="70" t="s">
        <x:v>432</x:v>
      </x:c>
      <x:c r="E761" s="70" t="s">
        <x:v>1472</x:v>
      </x:c>
      <x:c r="F761" s="70"/>
      <x:c r="G761" s="70" t="s">
        <x:v>1675</x:v>
      </x:c>
      <x:c r="H761" s="70" t="s">
        <x:v>1215</x:v>
      </x:c>
      <x:c r="I761" s="70" t="s">
        <x:v>1199</x:v>
      </x:c>
      <x:c r="J761" s="70" t="n">
        <x:v>241</x:v>
      </x:c>
      <x:c r="K761" s="70" t="s">
        <x:v>1200</x:v>
      </x:c>
      <x:c r="L761" s="70"/>
      <x:c r="M761" s="70" t="s">
        <x:v>35</x:v>
      </x:c>
      <x:c r="N761" s="71" t="n">
        <x:v>0</x:v>
      </x:c>
      <x:c r="O761" s="72" t="n">
        <x:f aca="0">N761/1000</x:f>
        <x:v>0</x:v>
      </x:c>
      <x:c r="P761" s="73" t="n">
        <x:f aca="0">LUCK!G93</x:f>
        <x:v>0</x:v>
      </x:c>
      <x:c r="Q761" s="70" t="str">
        <x:f aca="0">IF(ABS(O761-P761)&lt;0.000001,"PASS","FAIL")</x:f>
        <x:v>PASS</x:v>
      </x:c>
      <x:c r="R761" s="70" t="s">
        <x:v>34</x:v>
      </x:c>
      <x:c r="S761" s="70"/>
    </x:row>
    <x:row r="762" ht="15" hidden="0">
      <x:c r="A762" s="70" t="s">
        <x:v>1962</x:v>
      </x:c>
      <x:c r="B762" s="70" t="s">
        <x:v>31</x:v>
      </x:c>
      <x:c r="C762" s="70" t="s">
        <x:v>77</x:v>
      </x:c>
      <x:c r="D762" s="70" t="s">
        <x:v>432</x:v>
      </x:c>
      <x:c r="E762" s="70" t="s">
        <x:v>1472</x:v>
      </x:c>
      <x:c r="F762" s="70"/>
      <x:c r="G762" s="70" t="s">
        <x:v>1675</x:v>
      </x:c>
      <x:c r="H762" s="70" t="s">
        <x:v>1215</x:v>
      </x:c>
      <x:c r="I762" s="70" t="s">
        <x:v>1218</x:v>
      </x:c>
      <x:c r="J762" s="70" t="n">
        <x:v>241</x:v>
      </x:c>
      <x:c r="K762" s="70" t="s">
        <x:v>1200</x:v>
      </x:c>
      <x:c r="L762" s="70"/>
      <x:c r="M762" s="70" t="s">
        <x:v>35</x:v>
      </x:c>
      <x:c r="N762" s="71" t="n">
        <x:v>0</x:v>
      </x:c>
      <x:c r="O762" s="72" t="n">
        <x:f aca="0">N762/1000</x:f>
        <x:v>0</x:v>
      </x:c>
      <x:c r="P762" s="73" t="n">
        <x:f aca="0">LUCK!H93</x:f>
        <x:v>0</x:v>
      </x:c>
      <x:c r="Q762" s="70" t="str">
        <x:f aca="0">IF(ABS(O762-P762)&lt;0.000001,"PASS","FAIL")</x:f>
        <x:v>PASS</x:v>
      </x:c>
      <x:c r="R762" s="70" t="s">
        <x:v>34</x:v>
      </x:c>
      <x:c r="S762" s="70"/>
    </x:row>
    <x:row r="763" ht="15" hidden="0">
      <x:c r="A763" s="70" t="s">
        <x:v>1963</x:v>
      </x:c>
      <x:c r="B763" s="70" t="s">
        <x:v>31</x:v>
      </x:c>
      <x:c r="C763" s="70" t="s">
        <x:v>73</x:v>
      </x:c>
      <x:c r="D763" s="70" t="s">
        <x:v>434</x:v>
      </x:c>
      <x:c r="E763" s="70" t="s">
        <x:v>1472</x:v>
      </x:c>
      <x:c r="F763" s="70"/>
      <x:c r="G763" s="70" t="s">
        <x:v>1666</x:v>
      </x:c>
      <x:c r="H763" s="70" t="s">
        <x:v>1204</x:v>
      </x:c>
      <x:c r="I763" s="70" t="s">
        <x:v>1199</x:v>
      </x:c>
      <x:c r="J763" s="70" t="n">
        <x:v>227</x:v>
      </x:c>
      <x:c r="K763" s="70" t="s">
        <x:v>1918</x:v>
      </x:c>
      <x:c r="L763" s="70"/>
      <x:c r="M763" s="70" t="s">
        <x:v>35</x:v>
      </x:c>
      <x:c r="N763" s="71" t="n">
        <x:v>0</x:v>
      </x:c>
      <x:c r="O763" s="72" t="n">
        <x:f aca="0">N763/1000</x:f>
        <x:v>0</x:v>
      </x:c>
      <x:c r="P763" s="73" t="n">
        <x:f aca="0">LUCK!D94</x:f>
        <x:v>0</x:v>
      </x:c>
      <x:c r="Q763" s="70" t="str">
        <x:f aca="0">IF(ABS(O763-P763)&lt;0.000001,"PASS","FAIL")</x:f>
        <x:v>PASS</x:v>
      </x:c>
      <x:c r="R763" s="70" t="s">
        <x:v>34</x:v>
      </x:c>
      <x:c r="S763" s="70"/>
    </x:row>
    <x:row r="764" ht="15" hidden="0">
      <x:c r="A764" s="70" t="s">
        <x:v>1964</x:v>
      </x:c>
      <x:c r="B764" s="70" t="s">
        <x:v>31</x:v>
      </x:c>
      <x:c r="C764" s="70" t="s">
        <x:v>74</x:v>
      </x:c>
      <x:c r="D764" s="70" t="s">
        <x:v>434</x:v>
      </x:c>
      <x:c r="E764" s="70" t="s">
        <x:v>1472</x:v>
      </x:c>
      <x:c r="F764" s="70"/>
      <x:c r="G764" s="70" t="s">
        <x:v>1669</x:v>
      </x:c>
      <x:c r="H764" s="70" t="s">
        <x:v>1208</x:v>
      </x:c>
      <x:c r="I764" s="70" t="s">
        <x:v>1199</x:v>
      </x:c>
      <x:c r="J764" s="70" t="n">
        <x:v>235</x:v>
      </x:c>
      <x:c r="K764" s="70" t="s">
        <x:v>1920</x:v>
      </x:c>
      <x:c r="L764" s="70"/>
      <x:c r="M764" s="70" t="s">
        <x:v>35</x:v>
      </x:c>
      <x:c r="N764" s="71" t="n">
        <x:v>0</x:v>
      </x:c>
      <x:c r="O764" s="72" t="n">
        <x:f aca="0">N764/1000</x:f>
        <x:v>0</x:v>
      </x:c>
      <x:c r="P764" s="73" t="n">
        <x:f aca="0">LUCK!E94</x:f>
        <x:v>0</x:v>
      </x:c>
      <x:c r="Q764" s="70" t="str">
        <x:f aca="0">IF(ABS(O764-P764)&lt;0.000001,"PASS","FAIL")</x:f>
        <x:v>PASS</x:v>
      </x:c>
      <x:c r="R764" s="70" t="s">
        <x:v>34</x:v>
      </x:c>
      <x:c r="S764" s="70"/>
    </x:row>
    <x:row r="765" ht="15" hidden="0">
      <x:c r="A765" s="70" t="s">
        <x:v>1965</x:v>
      </x:c>
      <x:c r="B765" s="70" t="s">
        <x:v>31</x:v>
      </x:c>
      <x:c r="C765" s="70" t="s">
        <x:v>75</x:v>
      </x:c>
      <x:c r="D765" s="70" t="s">
        <x:v>434</x:v>
      </x:c>
      <x:c r="E765" s="70" t="s">
        <x:v>1472</x:v>
      </x:c>
      <x:c r="F765" s="70"/>
      <x:c r="G765" s="70" t="s">
        <x:v>1672</x:v>
      </x:c>
      <x:c r="H765" s="70" t="s">
        <x:v>1211</x:v>
      </x:c>
      <x:c r="I765" s="70" t="s">
        <x:v>1199</x:v>
      </x:c>
      <x:c r="J765" s="70" t="n">
        <x:v>239</x:v>
      </x:c>
      <x:c r="K765" s="70" t="s">
        <x:v>1922</x:v>
      </x:c>
      <x:c r="L765" s="70"/>
      <x:c r="M765" s="70" t="s">
        <x:v>35</x:v>
      </x:c>
      <x:c r="N765" s="71" t="n">
        <x:v>0</x:v>
      </x:c>
      <x:c r="O765" s="72" t="n">
        <x:f aca="0">N765/1000</x:f>
        <x:v>0</x:v>
      </x:c>
      <x:c r="P765" s="73" t="n">
        <x:f aca="0">LUCK!F94</x:f>
        <x:v>0</x:v>
      </x:c>
      <x:c r="Q765" s="70" t="str">
        <x:f aca="0">IF(ABS(O765-P765)&lt;0.000001,"PASS","FAIL")</x:f>
        <x:v>PASS</x:v>
      </x:c>
      <x:c r="R765" s="70" t="s">
        <x:v>34</x:v>
      </x:c>
      <x:c r="S765" s="70"/>
    </x:row>
    <x:row r="766" ht="15" hidden="0">
      <x:c r="A766" s="70" t="s">
        <x:v>1966</x:v>
      </x:c>
      <x:c r="B766" s="70" t="s">
        <x:v>31</x:v>
      </x:c>
      <x:c r="C766" s="70" t="s">
        <x:v>76</x:v>
      </x:c>
      <x:c r="D766" s="70" t="s">
        <x:v>434</x:v>
      </x:c>
      <x:c r="E766" s="70" t="s">
        <x:v>1472</x:v>
      </x:c>
      <x:c r="F766" s="70"/>
      <x:c r="G766" s="70" t="s">
        <x:v>1675</x:v>
      </x:c>
      <x:c r="H766" s="70" t="s">
        <x:v>1215</x:v>
      </x:c>
      <x:c r="I766" s="70" t="s">
        <x:v>1199</x:v>
      </x:c>
      <x:c r="J766" s="70" t="n">
        <x:v>241</x:v>
      </x:c>
      <x:c r="K766" s="70" t="s">
        <x:v>1200</x:v>
      </x:c>
      <x:c r="L766" s="70"/>
      <x:c r="M766" s="70" t="s">
        <x:v>35</x:v>
      </x:c>
      <x:c r="N766" s="71" t="n">
        <x:v>0</x:v>
      </x:c>
      <x:c r="O766" s="72" t="n">
        <x:f aca="0">N766/1000</x:f>
        <x:v>0</x:v>
      </x:c>
      <x:c r="P766" s="73" t="n">
        <x:f aca="0">LUCK!G94</x:f>
        <x:v>0</x:v>
      </x:c>
      <x:c r="Q766" s="70" t="str">
        <x:f aca="0">IF(ABS(O766-P766)&lt;0.000001,"PASS","FAIL")</x:f>
        <x:v>PASS</x:v>
      </x:c>
      <x:c r="R766" s="70" t="s">
        <x:v>34</x:v>
      </x:c>
      <x:c r="S766" s="70"/>
    </x:row>
    <x:row r="767" ht="15" hidden="0">
      <x:c r="A767" s="70" t="s">
        <x:v>1967</x:v>
      </x:c>
      <x:c r="B767" s="70" t="s">
        <x:v>31</x:v>
      </x:c>
      <x:c r="C767" s="70" t="s">
        <x:v>77</x:v>
      </x:c>
      <x:c r="D767" s="70" t="s">
        <x:v>434</x:v>
      </x:c>
      <x:c r="E767" s="70" t="s">
        <x:v>1472</x:v>
      </x:c>
      <x:c r="F767" s="70"/>
      <x:c r="G767" s="70" t="s">
        <x:v>1675</x:v>
      </x:c>
      <x:c r="H767" s="70" t="s">
        <x:v>1215</x:v>
      </x:c>
      <x:c r="I767" s="70" t="s">
        <x:v>1218</x:v>
      </x:c>
      <x:c r="J767" s="70" t="n">
        <x:v>241</x:v>
      </x:c>
      <x:c r="K767" s="70" t="s">
        <x:v>1200</x:v>
      </x:c>
      <x:c r="L767" s="70"/>
      <x:c r="M767" s="70" t="s">
        <x:v>35</x:v>
      </x:c>
      <x:c r="N767" s="71" t="n">
        <x:v>0</x:v>
      </x:c>
      <x:c r="O767" s="72" t="n">
        <x:f aca="0">N767/1000</x:f>
        <x:v>0</x:v>
      </x:c>
      <x:c r="P767" s="73" t="n">
        <x:f aca="0">LUCK!H94</x:f>
        <x:v>0</x:v>
      </x:c>
      <x:c r="Q767" s="70" t="str">
        <x:f aca="0">IF(ABS(O767-P767)&lt;0.000001,"PASS","FAIL")</x:f>
        <x:v>PASS</x:v>
      </x:c>
      <x:c r="R767" s="70" t="s">
        <x:v>34</x:v>
      </x:c>
      <x:c r="S767" s="70"/>
    </x:row>
    <x:row r="768" ht="15" hidden="0">
      <x:c r="A768" s="70" t="s">
        <x:v>1968</x:v>
      </x:c>
      <x:c r="B768" s="70" t="s">
        <x:v>31</x:v>
      </x:c>
      <x:c r="C768" s="70" t="s">
        <x:v>73</x:v>
      </x:c>
      <x:c r="D768" s="70" t="s">
        <x:v>436</x:v>
      </x:c>
      <x:c r="E768" s="70" t="s">
        <x:v>1472</x:v>
      </x:c>
      <x:c r="F768" s="70" t="s">
        <x:v>1969</x:v>
      </x:c>
      <x:c r="G768" s="70" t="s">
        <x:v>1666</x:v>
      </x:c>
      <x:c r="H768" s="70" t="s">
        <x:v>1204</x:v>
      </x:c>
      <x:c r="I768" s="70" t="s">
        <x:v>1199</x:v>
      </x:c>
      <x:c r="J768" s="70" t="n">
        <x:v>227</x:v>
      </x:c>
      <x:c r="K768" s="70" t="s">
        <x:v>1918</x:v>
      </x:c>
      <x:c r="L768" s="70"/>
      <x:c r="M768" s="70" t="s">
        <x:v>35</x:v>
      </x:c>
      <x:c r="N768" s="71" t="n">
        <x:v>-332905</x:v>
      </x:c>
      <x:c r="O768" s="72" t="n">
        <x:f aca="0">N768/1000</x:f>
        <x:v>-332.905</x:v>
      </x:c>
      <x:c r="P768" s="73" t="n">
        <x:f aca="0">LUCK!D95</x:f>
        <x:v>-332.905</x:v>
      </x:c>
      <x:c r="Q768" s="70" t="str">
        <x:f aca="0">IF(ABS(O768-P768)&lt;0.000001,"PASS","FAIL")</x:f>
        <x:v>PASS</x:v>
      </x:c>
      <x:c r="R768" s="70" t="s">
        <x:v>34</x:v>
      </x:c>
      <x:c r="S768" s="70"/>
    </x:row>
    <x:row r="769" ht="15" hidden="0">
      <x:c r="A769" s="70" t="s">
        <x:v>1970</x:v>
      </x:c>
      <x:c r="B769" s="70" t="s">
        <x:v>31</x:v>
      </x:c>
      <x:c r="C769" s="70" t="s">
        <x:v>74</x:v>
      </x:c>
      <x:c r="D769" s="70" t="s">
        <x:v>436</x:v>
      </x:c>
      <x:c r="E769" s="70" t="s">
        <x:v>1472</x:v>
      </x:c>
      <x:c r="F769" s="70" t="s">
        <x:v>1969</x:v>
      </x:c>
      <x:c r="G769" s="70" t="s">
        <x:v>1669</x:v>
      </x:c>
      <x:c r="H769" s="70" t="s">
        <x:v>1208</x:v>
      </x:c>
      <x:c r="I769" s="70" t="s">
        <x:v>1199</x:v>
      </x:c>
      <x:c r="J769" s="70" t="n">
        <x:v>235</x:v>
      </x:c>
      <x:c r="K769" s="70" t="s">
        <x:v>1920</x:v>
      </x:c>
      <x:c r="L769" s="70"/>
      <x:c r="M769" s="70" t="s">
        <x:v>35</x:v>
      </x:c>
      <x:c r="N769" s="71" t="n">
        <x:v>-394517</x:v>
      </x:c>
      <x:c r="O769" s="72" t="n">
        <x:f aca="0">N769/1000</x:f>
        <x:v>-394.517</x:v>
      </x:c>
      <x:c r="P769" s="73" t="n">
        <x:f aca="0">LUCK!E95</x:f>
        <x:v>-394.517</x:v>
      </x:c>
      <x:c r="Q769" s="70" t="str">
        <x:f aca="0">IF(ABS(O769-P769)&lt;0.000001,"PASS","FAIL")</x:f>
        <x:v>PASS</x:v>
      </x:c>
      <x:c r="R769" s="70" t="s">
        <x:v>34</x:v>
      </x:c>
      <x:c r="S769" s="70"/>
    </x:row>
    <x:row r="770" ht="15" hidden="0">
      <x:c r="A770" s="70" t="s">
        <x:v>1971</x:v>
      </x:c>
      <x:c r="B770" s="70" t="s">
        <x:v>31</x:v>
      </x:c>
      <x:c r="C770" s="70" t="s">
        <x:v>75</x:v>
      </x:c>
      <x:c r="D770" s="70" t="s">
        <x:v>436</x:v>
      </x:c>
      <x:c r="E770" s="70" t="s">
        <x:v>1472</x:v>
      </x:c>
      <x:c r="F770" s="70" t="s">
        <x:v>436</x:v>
      </x:c>
      <x:c r="G770" s="70" t="s">
        <x:v>1672</x:v>
      </x:c>
      <x:c r="H770" s="70" t="s">
        <x:v>1211</x:v>
      </x:c>
      <x:c r="I770" s="70" t="s">
        <x:v>1199</x:v>
      </x:c>
      <x:c r="J770" s="70" t="n">
        <x:v>239</x:v>
      </x:c>
      <x:c r="K770" s="70" t="s">
        <x:v>1922</x:v>
      </x:c>
      <x:c r="L770" s="70"/>
      <x:c r="M770" s="70" t="s">
        <x:v>35</x:v>
      </x:c>
      <x:c r="N770" s="71" t="n">
        <x:v>-1169770</x:v>
      </x:c>
      <x:c r="O770" s="72" t="n">
        <x:f aca="0">N770/1000</x:f>
        <x:v>-1169.77</x:v>
      </x:c>
      <x:c r="P770" s="73" t="n">
        <x:f aca="0">LUCK!F95</x:f>
        <x:v>-1169.77</x:v>
      </x:c>
      <x:c r="Q770" s="70" t="str">
        <x:f aca="0">IF(ABS(O770-P770)&lt;0.000001,"PASS","FAIL")</x:f>
        <x:v>PASS</x:v>
      </x:c>
      <x:c r="R770" s="70" t="s">
        <x:v>34</x:v>
      </x:c>
      <x:c r="S770" s="70"/>
    </x:row>
    <x:row r="771" ht="15" hidden="0">
      <x:c r="A771" s="70" t="s">
        <x:v>1972</x:v>
      </x:c>
      <x:c r="B771" s="70" t="s">
        <x:v>31</x:v>
      </x:c>
      <x:c r="C771" s="70" t="s">
        <x:v>76</x:v>
      </x:c>
      <x:c r="D771" s="70" t="s">
        <x:v>436</x:v>
      </x:c>
      <x:c r="E771" s="70" t="s">
        <x:v>1472</x:v>
      </x:c>
      <x:c r="F771" s="70" t="s">
        <x:v>1969</x:v>
      </x:c>
      <x:c r="G771" s="70" t="s">
        <x:v>1675</x:v>
      </x:c>
      <x:c r="H771" s="70" t="s">
        <x:v>1215</x:v>
      </x:c>
      <x:c r="I771" s="70" t="s">
        <x:v>1199</x:v>
      </x:c>
      <x:c r="J771" s="70" t="n">
        <x:v>241</x:v>
      </x:c>
      <x:c r="K771" s="70" t="s">
        <x:v>1200</x:v>
      </x:c>
      <x:c r="L771" s="70"/>
      <x:c r="M771" s="70" t="s">
        <x:v>35</x:v>
      </x:c>
      <x:c r="N771" s="71" t="n">
        <x:v>-1581168</x:v>
      </x:c>
      <x:c r="O771" s="72" t="n">
        <x:f aca="0">N771/1000</x:f>
        <x:v>-1581.168</x:v>
      </x:c>
      <x:c r="P771" s="73" t="n">
        <x:f aca="0">LUCK!G95</x:f>
        <x:v>-1581.168</x:v>
      </x:c>
      <x:c r="Q771" s="70" t="str">
        <x:f aca="0">IF(ABS(O771-P771)&lt;0.000001,"PASS","FAIL")</x:f>
        <x:v>PASS</x:v>
      </x:c>
      <x:c r="R771" s="70" t="s">
        <x:v>34</x:v>
      </x:c>
      <x:c r="S771" s="70"/>
    </x:row>
    <x:row r="772" ht="15" hidden="0">
      <x:c r="A772" s="70" t="s">
        <x:v>1973</x:v>
      </x:c>
      <x:c r="B772" s="70" t="s">
        <x:v>31</x:v>
      </x:c>
      <x:c r="C772" s="70" t="s">
        <x:v>77</x:v>
      </x:c>
      <x:c r="D772" s="70" t="s">
        <x:v>436</x:v>
      </x:c>
      <x:c r="E772" s="70" t="s">
        <x:v>1472</x:v>
      </x:c>
      <x:c r="F772" s="70" t="s">
        <x:v>1969</x:v>
      </x:c>
      <x:c r="G772" s="70" t="s">
        <x:v>1675</x:v>
      </x:c>
      <x:c r="H772" s="70" t="s">
        <x:v>1215</x:v>
      </x:c>
      <x:c r="I772" s="70" t="s">
        <x:v>1218</x:v>
      </x:c>
      <x:c r="J772" s="70" t="n">
        <x:v>241</x:v>
      </x:c>
      <x:c r="K772" s="70" t="s">
        <x:v>1200</x:v>
      </x:c>
      <x:c r="L772" s="70"/>
      <x:c r="M772" s="70" t="s">
        <x:v>35</x:v>
      </x:c>
      <x:c r="N772" s="71" t="n">
        <x:v>-1370569</x:v>
      </x:c>
      <x:c r="O772" s="72" t="n">
        <x:f aca="0">N772/1000</x:f>
        <x:v>-1370.569</x:v>
      </x:c>
      <x:c r="P772" s="73" t="n">
        <x:f aca="0">LUCK!H95</x:f>
        <x:v>-1370.569</x:v>
      </x:c>
      <x:c r="Q772" s="70" t="str">
        <x:f aca="0">IF(ABS(O772-P772)&lt;0.000001,"PASS","FAIL")</x:f>
        <x:v>PASS</x:v>
      </x:c>
      <x:c r="R772" s="70" t="s">
        <x:v>34</x:v>
      </x:c>
      <x:c r="S772" s="70"/>
    </x:row>
    <x:row r="773" ht="15" hidden="0">
      <x:c r="A773" s="70" t="s">
        <x:v>1974</x:v>
      </x:c>
      <x:c r="B773" s="70" t="s">
        <x:v>31</x:v>
      </x:c>
      <x:c r="C773" s="70" t="s">
        <x:v>73</x:v>
      </x:c>
      <x:c r="D773" s="70" t="s">
        <x:v>440</x:v>
      </x:c>
      <x:c r="E773" s="70" t="s">
        <x:v>1472</x:v>
      </x:c>
      <x:c r="F773" s="70"/>
      <x:c r="G773" s="70" t="s">
        <x:v>1666</x:v>
      </x:c>
      <x:c r="H773" s="70" t="s">
        <x:v>1204</x:v>
      </x:c>
      <x:c r="I773" s="70" t="s">
        <x:v>1199</x:v>
      </x:c>
      <x:c r="J773" s="70" t="n">
        <x:v>227</x:v>
      </x:c>
      <x:c r="K773" s="70" t="s">
        <x:v>1918</x:v>
      </x:c>
      <x:c r="L773" s="70"/>
      <x:c r="M773" s="70" t="s">
        <x:v>35</x:v>
      </x:c>
      <x:c r="N773" s="71" t="n">
        <x:v>0</x:v>
      </x:c>
      <x:c r="O773" s="72" t="n">
        <x:f aca="0">N773/1000</x:f>
        <x:v>0</x:v>
      </x:c>
      <x:c r="P773" s="73" t="n">
        <x:f aca="0">LUCK!D97</x:f>
        <x:v>0</x:v>
      </x:c>
      <x:c r="Q773" s="70" t="str">
        <x:f aca="0">IF(ABS(O773-P773)&lt;0.000001,"PASS","FAIL")</x:f>
        <x:v>PASS</x:v>
      </x:c>
      <x:c r="R773" s="70" t="s">
        <x:v>34</x:v>
      </x:c>
      <x:c r="S773" s="70"/>
    </x:row>
    <x:row r="774" ht="15" hidden="0">
      <x:c r="A774" s="70" t="s">
        <x:v>1975</x:v>
      </x:c>
      <x:c r="B774" s="70" t="s">
        <x:v>31</x:v>
      </x:c>
      <x:c r="C774" s="70" t="s">
        <x:v>74</x:v>
      </x:c>
      <x:c r="D774" s="70" t="s">
        <x:v>440</x:v>
      </x:c>
      <x:c r="E774" s="70" t="s">
        <x:v>1472</x:v>
      </x:c>
      <x:c r="F774" s="70"/>
      <x:c r="G774" s="70" t="s">
        <x:v>1669</x:v>
      </x:c>
      <x:c r="H774" s="70" t="s">
        <x:v>1208</x:v>
      </x:c>
      <x:c r="I774" s="70" t="s">
        <x:v>1199</x:v>
      </x:c>
      <x:c r="J774" s="70" t="n">
        <x:v>235</x:v>
      </x:c>
      <x:c r="K774" s="70" t="s">
        <x:v>1920</x:v>
      </x:c>
      <x:c r="L774" s="70"/>
      <x:c r="M774" s="70" t="s">
        <x:v>35</x:v>
      </x:c>
      <x:c r="N774" s="71" t="n">
        <x:v>0</x:v>
      </x:c>
      <x:c r="O774" s="72" t="n">
        <x:f aca="0">N774/1000</x:f>
        <x:v>0</x:v>
      </x:c>
      <x:c r="P774" s="73" t="n">
        <x:f aca="0">LUCK!E97</x:f>
        <x:v>0</x:v>
      </x:c>
      <x:c r="Q774" s="70" t="str">
        <x:f aca="0">IF(ABS(O774-P774)&lt;0.000001,"PASS","FAIL")</x:f>
        <x:v>PASS</x:v>
      </x:c>
      <x:c r="R774" s="70" t="s">
        <x:v>34</x:v>
      </x:c>
      <x:c r="S774" s="70"/>
    </x:row>
    <x:row r="775" ht="15" hidden="0">
      <x:c r="A775" s="70" t="s">
        <x:v>1976</x:v>
      </x:c>
      <x:c r="B775" s="70" t="s">
        <x:v>31</x:v>
      </x:c>
      <x:c r="C775" s="70" t="s">
        <x:v>75</x:v>
      </x:c>
      <x:c r="D775" s="70" t="s">
        <x:v>440</x:v>
      </x:c>
      <x:c r="E775" s="70" t="s">
        <x:v>1472</x:v>
      </x:c>
      <x:c r="F775" s="70" t="s">
        <x:v>1977</x:v>
      </x:c>
      <x:c r="G775" s="70" t="s">
        <x:v>1672</x:v>
      </x:c>
      <x:c r="H775" s="70" t="s">
        <x:v>1211</x:v>
      </x:c>
      <x:c r="I775" s="70" t="s">
        <x:v>1199</x:v>
      </x:c>
      <x:c r="J775" s="70" t="n">
        <x:v>239</x:v>
      </x:c>
      <x:c r="K775" s="70" t="s">
        <x:v>1922</x:v>
      </x:c>
      <x:c r="L775" s="70"/>
      <x:c r="M775" s="70" t="s">
        <x:v>35</x:v>
      </x:c>
      <x:c r="N775" s="71" t="n">
        <x:v>-437833</x:v>
      </x:c>
      <x:c r="O775" s="72" t="n">
        <x:f aca="0">N775/1000</x:f>
        <x:v>-437.833</x:v>
      </x:c>
      <x:c r="P775" s="73" t="n">
        <x:f aca="0">LUCK!F97</x:f>
        <x:v>-437.833</x:v>
      </x:c>
      <x:c r="Q775" s="70" t="str">
        <x:f aca="0">IF(ABS(O775-P775)&lt;0.000001,"PASS","FAIL")</x:f>
        <x:v>PASS</x:v>
      </x:c>
      <x:c r="R775" s="70" t="s">
        <x:v>34</x:v>
      </x:c>
      <x:c r="S775" s="70"/>
    </x:row>
    <x:row r="776" ht="15" hidden="0">
      <x:c r="A776" s="70" t="s">
        <x:v>1978</x:v>
      </x:c>
      <x:c r="B776" s="70" t="s">
        <x:v>31</x:v>
      </x:c>
      <x:c r="C776" s="70" t="s">
        <x:v>76</x:v>
      </x:c>
      <x:c r="D776" s="70" t="s">
        <x:v>440</x:v>
      </x:c>
      <x:c r="E776" s="70" t="s">
        <x:v>1472</x:v>
      </x:c>
      <x:c r="F776" s="70" t="s">
        <x:v>1979</x:v>
      </x:c>
      <x:c r="G776" s="70" t="s">
        <x:v>1675</x:v>
      </x:c>
      <x:c r="H776" s="70" t="s">
        <x:v>1215</x:v>
      </x:c>
      <x:c r="I776" s="70" t="s">
        <x:v>1199</x:v>
      </x:c>
      <x:c r="J776" s="70" t="n">
        <x:v>241</x:v>
      </x:c>
      <x:c r="K776" s="70" t="s">
        <x:v>1200</x:v>
      </x:c>
      <x:c r="L776" s="70"/>
      <x:c r="M776" s="70" t="s">
        <x:v>35</x:v>
      </x:c>
      <x:c r="N776" s="71" t="n">
        <x:v>-953051</x:v>
      </x:c>
      <x:c r="O776" s="72" t="n">
        <x:f aca="0">N776/1000</x:f>
        <x:v>-953.051</x:v>
      </x:c>
      <x:c r="P776" s="73" t="n">
        <x:f aca="0">LUCK!G97</x:f>
        <x:v>-953.051</x:v>
      </x:c>
      <x:c r="Q776" s="70" t="str">
        <x:f aca="0">IF(ABS(O776-P776)&lt;0.000001,"PASS","FAIL")</x:f>
        <x:v>PASS</x:v>
      </x:c>
      <x:c r="R776" s="70" t="s">
        <x:v>34</x:v>
      </x:c>
      <x:c r="S776" s="70"/>
    </x:row>
    <x:row r="777" ht="15" hidden="0">
      <x:c r="A777" s="70" t="s">
        <x:v>1980</x:v>
      </x:c>
      <x:c r="B777" s="70" t="s">
        <x:v>31</x:v>
      </x:c>
      <x:c r="C777" s="70" t="s">
        <x:v>77</x:v>
      </x:c>
      <x:c r="D777" s="70" t="s">
        <x:v>440</x:v>
      </x:c>
      <x:c r="E777" s="70" t="s">
        <x:v>1472</x:v>
      </x:c>
      <x:c r="F777" s="70" t="s">
        <x:v>1979</x:v>
      </x:c>
      <x:c r="G777" s="70" t="s">
        <x:v>1675</x:v>
      </x:c>
      <x:c r="H777" s="70" t="s">
        <x:v>1215</x:v>
      </x:c>
      <x:c r="I777" s="70" t="s">
        <x:v>1218</x:v>
      </x:c>
      <x:c r="J777" s="70" t="n">
        <x:v>241</x:v>
      </x:c>
      <x:c r="K777" s="70" t="s">
        <x:v>1200</x:v>
      </x:c>
      <x:c r="L777" s="70"/>
      <x:c r="M777" s="70" t="s">
        <x:v>35</x:v>
      </x:c>
      <x:c r="N777" s="71" t="n">
        <x:v>-329600</x:v>
      </x:c>
      <x:c r="O777" s="72" t="n">
        <x:f aca="0">N777/1000</x:f>
        <x:v>-329.6</x:v>
      </x:c>
      <x:c r="P777" s="73" t="n">
        <x:f aca="0">LUCK!H97</x:f>
        <x:v>-329.6</x:v>
      </x:c>
      <x:c r="Q777" s="70" t="str">
        <x:f aca="0">IF(ABS(O777-P777)&lt;0.000001,"PASS","FAIL")</x:f>
        <x:v>PASS</x:v>
      </x:c>
      <x:c r="R777" s="70" t="s">
        <x:v>34</x:v>
      </x:c>
      <x:c r="S777" s="70"/>
    </x:row>
    <x:row r="778" ht="15" hidden="0">
      <x:c r="A778" s="70" t="s">
        <x:v>1981</x:v>
      </x:c>
      <x:c r="B778" s="70" t="s">
        <x:v>31</x:v>
      </x:c>
      <x:c r="C778" s="70" t="s">
        <x:v>73</x:v>
      </x:c>
      <x:c r="D778" s="70" t="s">
        <x:v>442</x:v>
      </x:c>
      <x:c r="E778" s="70" t="s">
        <x:v>1472</x:v>
      </x:c>
      <x:c r="F778" s="70" t="s">
        <x:v>1534</x:v>
      </x:c>
      <x:c r="G778" s="70" t="s">
        <x:v>1666</x:v>
      </x:c>
      <x:c r="H778" s="70" t="s">
        <x:v>1204</x:v>
      </x:c>
      <x:c r="I778" s="70" t="s">
        <x:v>1199</x:v>
      </x:c>
      <x:c r="J778" s="70" t="n">
        <x:v>227</x:v>
      </x:c>
      <x:c r="K778" s="70" t="s">
        <x:v>1918</x:v>
      </x:c>
      <x:c r="L778" s="70"/>
      <x:c r="M778" s="70" t="s">
        <x:v>35</x:v>
      </x:c>
      <x:c r="N778" s="71" t="n">
        <x:v>-2922024</x:v>
      </x:c>
      <x:c r="O778" s="72" t="n">
        <x:f aca="0">N778/1000</x:f>
        <x:v>-2922.024</x:v>
      </x:c>
      <x:c r="P778" s="73" t="n">
        <x:f aca="0">LUCK!D98</x:f>
        <x:v>-2922.024</x:v>
      </x:c>
      <x:c r="Q778" s="70" t="str">
        <x:f aca="0">IF(ABS(O778-P778)&lt;0.000001,"PASS","FAIL")</x:f>
        <x:v>PASS</x:v>
      </x:c>
      <x:c r="R778" s="70" t="s">
        <x:v>34</x:v>
      </x:c>
      <x:c r="S778" s="70"/>
    </x:row>
    <x:row r="779" ht="15" hidden="0">
      <x:c r="A779" s="70" t="s">
        <x:v>1982</x:v>
      </x:c>
      <x:c r="B779" s="70" t="s">
        <x:v>31</x:v>
      </x:c>
      <x:c r="C779" s="70" t="s">
        <x:v>74</x:v>
      </x:c>
      <x:c r="D779" s="70" t="s">
        <x:v>442</x:v>
      </x:c>
      <x:c r="E779" s="70" t="s">
        <x:v>1472</x:v>
      </x:c>
      <x:c r="F779" s="70" t="s">
        <x:v>1534</x:v>
      </x:c>
      <x:c r="G779" s="70" t="s">
        <x:v>1669</x:v>
      </x:c>
      <x:c r="H779" s="70" t="s">
        <x:v>1208</x:v>
      </x:c>
      <x:c r="I779" s="70" t="s">
        <x:v>1199</x:v>
      </x:c>
      <x:c r="J779" s="70" t="n">
        <x:v>235</x:v>
      </x:c>
      <x:c r="K779" s="70" t="s">
        <x:v>1920</x:v>
      </x:c>
      <x:c r="L779" s="70"/>
      <x:c r="M779" s="70" t="s">
        <x:v>35</x:v>
      </x:c>
      <x:c r="N779" s="71" t="n">
        <x:v>-6122614</x:v>
      </x:c>
      <x:c r="O779" s="72" t="n">
        <x:f aca="0">N779/1000</x:f>
        <x:v>-6122.614</x:v>
      </x:c>
      <x:c r="P779" s="73" t="n">
        <x:f aca="0">LUCK!E98</x:f>
        <x:v>-6122.614</x:v>
      </x:c>
      <x:c r="Q779" s="70" t="str">
        <x:f aca="0">IF(ABS(O779-P779)&lt;0.000001,"PASS","FAIL")</x:f>
        <x:v>PASS</x:v>
      </x:c>
      <x:c r="R779" s="70" t="s">
        <x:v>34</x:v>
      </x:c>
      <x:c r="S779" s="70"/>
    </x:row>
    <x:row r="780" ht="15" hidden="0">
      <x:c r="A780" s="70" t="s">
        <x:v>1983</x:v>
      </x:c>
      <x:c r="B780" s="70" t="s">
        <x:v>31</x:v>
      </x:c>
      <x:c r="C780" s="70" t="s">
        <x:v>75</x:v>
      </x:c>
      <x:c r="D780" s="70" t="s">
        <x:v>442</x:v>
      </x:c>
      <x:c r="E780" s="70" t="s">
        <x:v>1472</x:v>
      </x:c>
      <x:c r="F780" s="70" t="s">
        <x:v>1534</x:v>
      </x:c>
      <x:c r="G780" s="70" t="s">
        <x:v>1672</x:v>
      </x:c>
      <x:c r="H780" s="70" t="s">
        <x:v>1211</x:v>
      </x:c>
      <x:c r="I780" s="70" t="s">
        <x:v>1199</x:v>
      </x:c>
      <x:c r="J780" s="70" t="n">
        <x:v>239</x:v>
      </x:c>
      <x:c r="K780" s="70" t="s">
        <x:v>1922</x:v>
      </x:c>
      <x:c r="L780" s="70"/>
      <x:c r="M780" s="70" t="s">
        <x:v>35</x:v>
      </x:c>
      <x:c r="N780" s="71" t="n">
        <x:v>-7179627</x:v>
      </x:c>
      <x:c r="O780" s="72" t="n">
        <x:f aca="0">N780/1000</x:f>
        <x:v>-7179.627</x:v>
      </x:c>
      <x:c r="P780" s="73" t="n">
        <x:f aca="0">LUCK!F98</x:f>
        <x:v>-7179.627</x:v>
      </x:c>
      <x:c r="Q780" s="70" t="str">
        <x:f aca="0">IF(ABS(O780-P780)&lt;0.000001,"PASS","FAIL")</x:f>
        <x:v>PASS</x:v>
      </x:c>
      <x:c r="R780" s="70" t="s">
        <x:v>34</x:v>
      </x:c>
      <x:c r="S780" s="70" t="s">
        <x:v>1205</x:v>
      </x:c>
    </x:row>
    <x:row r="781" ht="15" hidden="0">
      <x:c r="A781" s="70" t="s">
        <x:v>1984</x:v>
      </x:c>
      <x:c r="B781" s="70" t="s">
        <x:v>31</x:v>
      </x:c>
      <x:c r="C781" s="70" t="s">
        <x:v>76</x:v>
      </x:c>
      <x:c r="D781" s="70" t="s">
        <x:v>442</x:v>
      </x:c>
      <x:c r="E781" s="70" t="s">
        <x:v>1472</x:v>
      </x:c>
      <x:c r="F781" s="70" t="s">
        <x:v>1534</x:v>
      </x:c>
      <x:c r="G781" s="70" t="s">
        <x:v>1675</x:v>
      </x:c>
      <x:c r="H781" s="70" t="s">
        <x:v>1215</x:v>
      </x:c>
      <x:c r="I781" s="70" t="s">
        <x:v>1199</x:v>
      </x:c>
      <x:c r="J781" s="70" t="n">
        <x:v>241</x:v>
      </x:c>
      <x:c r="K781" s="70" t="s">
        <x:v>1200</x:v>
      </x:c>
      <x:c r="L781" s="70"/>
      <x:c r="M781" s="70" t="s">
        <x:v>35</x:v>
      </x:c>
      <x:c r="N781" s="71" t="n">
        <x:v>-12327974</x:v>
      </x:c>
      <x:c r="O781" s="72" t="n">
        <x:f aca="0">N781/1000</x:f>
        <x:v>-12327.974</x:v>
      </x:c>
      <x:c r="P781" s="73" t="n">
        <x:f aca="0">LUCK!G98</x:f>
        <x:v>-12327.974</x:v>
      </x:c>
      <x:c r="Q781" s="70" t="str">
        <x:f aca="0">IF(ABS(O781-P781)&lt;0.000001,"PASS","FAIL")</x:f>
        <x:v>PASS</x:v>
      </x:c>
      <x:c r="R781" s="70" t="s">
        <x:v>34</x:v>
      </x:c>
      <x:c r="S781" s="70"/>
    </x:row>
    <x:row r="782" ht="15" hidden="0">
      <x:c r="A782" s="70" t="s">
        <x:v>1985</x:v>
      </x:c>
      <x:c r="B782" s="70" t="s">
        <x:v>31</x:v>
      </x:c>
      <x:c r="C782" s="70" t="s">
        <x:v>77</x:v>
      </x:c>
      <x:c r="D782" s="70" t="s">
        <x:v>442</x:v>
      </x:c>
      <x:c r="E782" s="70" t="s">
        <x:v>1472</x:v>
      </x:c>
      <x:c r="F782" s="70" t="s">
        <x:v>1534</x:v>
      </x:c>
      <x:c r="G782" s="70" t="s">
        <x:v>1675</x:v>
      </x:c>
      <x:c r="H782" s="70" t="s">
        <x:v>1215</x:v>
      </x:c>
      <x:c r="I782" s="70" t="s">
        <x:v>1218</x:v>
      </x:c>
      <x:c r="J782" s="70" t="n">
        <x:v>241</x:v>
      </x:c>
      <x:c r="K782" s="70" t="s">
        <x:v>1200</x:v>
      </x:c>
      <x:c r="L782" s="70"/>
      <x:c r="M782" s="70" t="s">
        <x:v>35</x:v>
      </x:c>
      <x:c r="N782" s="71" t="n">
        <x:v>-13901297</x:v>
      </x:c>
      <x:c r="O782" s="72" t="n">
        <x:f aca="0">N782/1000</x:f>
        <x:v>-13901.297</x:v>
      </x:c>
      <x:c r="P782" s="73" t="n">
        <x:f aca="0">LUCK!H98</x:f>
        <x:v>-13901.297</x:v>
      </x:c>
      <x:c r="Q782" s="70" t="str">
        <x:f aca="0">IF(ABS(O782-P782)&lt;0.000001,"PASS","FAIL")</x:f>
        <x:v>PASS</x:v>
      </x:c>
      <x:c r="R782" s="70" t="s">
        <x:v>34</x:v>
      </x:c>
      <x:c r="S782" s="70"/>
    </x:row>
    <x:row r="783" ht="15" hidden="0">
      <x:c r="A783" s="70" t="s">
        <x:v>1986</x:v>
      </x:c>
      <x:c r="B783" s="70" t="s">
        <x:v>31</x:v>
      </x:c>
      <x:c r="C783" s="70" t="s">
        <x:v>73</x:v>
      </x:c>
      <x:c r="D783" s="70" t="s">
        <x:v>446</x:v>
      </x:c>
      <x:c r="E783" s="70" t="s">
        <x:v>1472</x:v>
      </x:c>
      <x:c r="F783" s="70" t="s">
        <x:v>418</x:v>
      </x:c>
      <x:c r="G783" s="70" t="s">
        <x:v>1666</x:v>
      </x:c>
      <x:c r="H783" s="70" t="s">
        <x:v>1204</x:v>
      </x:c>
      <x:c r="I783" s="70" t="s">
        <x:v>1199</x:v>
      </x:c>
      <x:c r="J783" s="70" t="n">
        <x:v>227</x:v>
      </x:c>
      <x:c r="K783" s="70" t="s">
        <x:v>1918</x:v>
      </x:c>
      <x:c r="L783" s="70"/>
      <x:c r="M783" s="70" t="s">
        <x:v>35</x:v>
      </x:c>
      <x:c r="N783" s="71" t="n">
        <x:v>18955932</x:v>
      </x:c>
      <x:c r="O783" s="72" t="n">
        <x:f aca="0">N783/1000</x:f>
        <x:v>18955.932</x:v>
      </x:c>
      <x:c r="P783" s="73" t="n">
        <x:f aca="0">LUCK!D100</x:f>
        <x:v>18955.932</x:v>
      </x:c>
      <x:c r="Q783" s="70" t="str">
        <x:f aca="0">IF(ABS(O783-P783)&lt;0.000001,"PASS","FAIL")</x:f>
        <x:v>PASS</x:v>
      </x:c>
      <x:c r="R783" s="70" t="s">
        <x:v>34</x:v>
      </x:c>
      <x:c r="S783" s="70"/>
    </x:row>
    <x:row r="784" ht="15" hidden="0">
      <x:c r="A784" s="70" t="s">
        <x:v>1987</x:v>
      </x:c>
      <x:c r="B784" s="70" t="s">
        <x:v>31</x:v>
      </x:c>
      <x:c r="C784" s="70" t="s">
        <x:v>74</x:v>
      </x:c>
      <x:c r="D784" s="70" t="s">
        <x:v>446</x:v>
      </x:c>
      <x:c r="E784" s="70" t="s">
        <x:v>1472</x:v>
      </x:c>
      <x:c r="F784" s="70" t="s">
        <x:v>418</x:v>
      </x:c>
      <x:c r="G784" s="70" t="s">
        <x:v>1669</x:v>
      </x:c>
      <x:c r="H784" s="70" t="s">
        <x:v>1208</x:v>
      </x:c>
      <x:c r="I784" s="70" t="s">
        <x:v>1199</x:v>
      </x:c>
      <x:c r="J784" s="70" t="n">
        <x:v>235</x:v>
      </x:c>
      <x:c r="K784" s="70" t="s">
        <x:v>1920</x:v>
      </x:c>
      <x:c r="L784" s="70"/>
      <x:c r="M784" s="70" t="s">
        <x:v>35</x:v>
      </x:c>
      <x:c r="N784" s="71" t="n">
        <x:v>22551841</x:v>
      </x:c>
      <x:c r="O784" s="72" t="n">
        <x:f aca="0">N784/1000</x:f>
        <x:v>22551.841</x:v>
      </x:c>
      <x:c r="P784" s="73" t="n">
        <x:f aca="0">LUCK!E100</x:f>
        <x:v>22551.841</x:v>
      </x:c>
      <x:c r="Q784" s="70" t="str">
        <x:f aca="0">IF(ABS(O784-P784)&lt;0.000001,"PASS","FAIL")</x:f>
        <x:v>PASS</x:v>
      </x:c>
      <x:c r="R784" s="70" t="s">
        <x:v>34</x:v>
      </x:c>
      <x:c r="S784" s="70"/>
    </x:row>
    <x:row r="785" ht="15" hidden="0">
      <x:c r="A785" s="70" t="s">
        <x:v>1988</x:v>
      </x:c>
      <x:c r="B785" s="70" t="s">
        <x:v>31</x:v>
      </x:c>
      <x:c r="C785" s="70" t="s">
        <x:v>75</x:v>
      </x:c>
      <x:c r="D785" s="70" t="s">
        <x:v>446</x:v>
      </x:c>
      <x:c r="E785" s="70" t="s">
        <x:v>1472</x:v>
      </x:c>
      <x:c r="F785" s="70" t="s">
        <x:v>418</x:v>
      </x:c>
      <x:c r="G785" s="70" t="s">
        <x:v>1672</x:v>
      </x:c>
      <x:c r="H785" s="70" t="s">
        <x:v>1211</x:v>
      </x:c>
      <x:c r="I785" s="70" t="s">
        <x:v>1199</x:v>
      </x:c>
      <x:c r="J785" s="70" t="n">
        <x:v>239</x:v>
      </x:c>
      <x:c r="K785" s="70" t="s">
        <x:v>1922</x:v>
      </x:c>
      <x:c r="L785" s="70"/>
      <x:c r="M785" s="70" t="s">
        <x:v>35</x:v>
      </x:c>
      <x:c r="N785" s="71" t="n">
        <x:v>26060678</x:v>
      </x:c>
      <x:c r="O785" s="72" t="n">
        <x:f aca="0">N785/1000</x:f>
        <x:v>26060.678</x:v>
      </x:c>
      <x:c r="P785" s="73" t="n">
        <x:f aca="0">LUCK!F100</x:f>
        <x:v>26060.678</x:v>
      </x:c>
      <x:c r="Q785" s="70" t="str">
        <x:f aca="0">IF(ABS(O785-P785)&lt;0.000001,"PASS","FAIL")</x:f>
        <x:v>PASS</x:v>
      </x:c>
      <x:c r="R785" s="70" t="s">
        <x:v>34</x:v>
      </x:c>
      <x:c r="S785" s="70"/>
    </x:row>
    <x:row r="786" ht="15" hidden="0">
      <x:c r="A786" s="70" t="s">
        <x:v>1989</x:v>
      </x:c>
      <x:c r="B786" s="70" t="s">
        <x:v>31</x:v>
      </x:c>
      <x:c r="C786" s="70" t="s">
        <x:v>76</x:v>
      </x:c>
      <x:c r="D786" s="70" t="s">
        <x:v>446</x:v>
      </x:c>
      <x:c r="E786" s="70" t="s">
        <x:v>1472</x:v>
      </x:c>
      <x:c r="F786" s="70" t="s">
        <x:v>418</x:v>
      </x:c>
      <x:c r="G786" s="70" t="s">
        <x:v>1675</x:v>
      </x:c>
      <x:c r="H786" s="70" t="s">
        <x:v>1215</x:v>
      </x:c>
      <x:c r="I786" s="70" t="s">
        <x:v>1199</x:v>
      </x:c>
      <x:c r="J786" s="70" t="n">
        <x:v>241</x:v>
      </x:c>
      <x:c r="K786" s="70" t="s">
        <x:v>1200</x:v>
      </x:c>
      <x:c r="L786" s="70"/>
      <x:c r="M786" s="70" t="s">
        <x:v>35</x:v>
      </x:c>
      <x:c r="N786" s="71" t="n">
        <x:v>38804572</x:v>
      </x:c>
      <x:c r="O786" s="72" t="n">
        <x:f aca="0">N786/1000</x:f>
        <x:v>38804.572</x:v>
      </x:c>
      <x:c r="P786" s="73" t="n">
        <x:f aca="0">LUCK!G100</x:f>
        <x:v>38804.572</x:v>
      </x:c>
      <x:c r="Q786" s="70" t="str">
        <x:f aca="0">IF(ABS(O786-P786)&lt;0.000001,"PASS","FAIL")</x:f>
        <x:v>PASS</x:v>
      </x:c>
      <x:c r="R786" s="70" t="s">
        <x:v>34</x:v>
      </x:c>
      <x:c r="S786" s="70"/>
    </x:row>
    <x:row r="787" ht="15" hidden="0">
      <x:c r="A787" s="70" t="s">
        <x:v>1990</x:v>
      </x:c>
      <x:c r="B787" s="70" t="s">
        <x:v>31</x:v>
      </x:c>
      <x:c r="C787" s="70" t="s">
        <x:v>77</x:v>
      </x:c>
      <x:c r="D787" s="70" t="s">
        <x:v>446</x:v>
      </x:c>
      <x:c r="E787" s="70" t="s">
        <x:v>1472</x:v>
      </x:c>
      <x:c r="F787" s="70" t="s">
        <x:v>418</x:v>
      </x:c>
      <x:c r="G787" s="70" t="s">
        <x:v>1675</x:v>
      </x:c>
      <x:c r="H787" s="70" t="s">
        <x:v>1215</x:v>
      </x:c>
      <x:c r="I787" s="70" t="s">
        <x:v>1218</x:v>
      </x:c>
      <x:c r="J787" s="70" t="n">
        <x:v>241</x:v>
      </x:c>
      <x:c r="K787" s="70" t="s">
        <x:v>1200</x:v>
      </x:c>
      <x:c r="L787" s="70"/>
      <x:c r="M787" s="70" t="s">
        <x:v>35</x:v>
      </x:c>
      <x:c r="N787" s="71" t="n">
        <x:v>42684684</x:v>
      </x:c>
      <x:c r="O787" s="72" t="n">
        <x:f aca="0">N787/1000</x:f>
        <x:v>42684.684</x:v>
      </x:c>
      <x:c r="P787" s="73" t="n">
        <x:f aca="0">LUCK!H100</x:f>
        <x:v>42684.684</x:v>
      </x:c>
      <x:c r="Q787" s="70" t="str">
        <x:f aca="0">IF(ABS(O787-P787)&lt;0.000001,"PASS","FAIL")</x:f>
        <x:v>PASS</x:v>
      </x:c>
      <x:c r="R787" s="70" t="s">
        <x:v>34</x:v>
      </x:c>
      <x:c r="S787" s="70"/>
    </x:row>
    <x:row r="788" ht="15" hidden="0">
      <x:c r="A788" s="70" t="s">
        <x:v>1991</x:v>
      </x:c>
      <x:c r="B788" s="70" t="s">
        <x:v>31</x:v>
      </x:c>
      <x:c r="C788" s="70" t="s">
        <x:v>73</x:v>
      </x:c>
      <x:c r="D788" s="70" t="s">
        <x:v>448</x:v>
      </x:c>
      <x:c r="E788" s="70" t="s">
        <x:v>1472</x:v>
      </x:c>
      <x:c r="F788" s="70" t="s">
        <x:v>1546</x:v>
      </x:c>
      <x:c r="G788" s="70" t="s">
        <x:v>1666</x:v>
      </x:c>
      <x:c r="H788" s="70" t="s">
        <x:v>1204</x:v>
      </x:c>
      <x:c r="I788" s="70" t="s">
        <x:v>1199</x:v>
      </x:c>
      <x:c r="J788" s="70" t="n">
        <x:v>227</x:v>
      </x:c>
      <x:c r="K788" s="70" t="s">
        <x:v>1918</x:v>
      </x:c>
      <x:c r="L788" s="70"/>
      <x:c r="M788" s="70" t="s">
        <x:v>35</x:v>
      </x:c>
      <x:c r="N788" s="71" t="n">
        <x:v>16992213</x:v>
      </x:c>
      <x:c r="O788" s="72" t="n">
        <x:f aca="0">N788/1000</x:f>
        <x:v>16992.213</x:v>
      </x:c>
      <x:c r="P788" s="73" t="n">
        <x:f aca="0">LUCK!D101</x:f>
        <x:v>16992.213</x:v>
      </x:c>
      <x:c r="Q788" s="70" t="str">
        <x:f aca="0">IF(ABS(O788-P788)&lt;0.000001,"PASS","FAIL")</x:f>
        <x:v>PASS</x:v>
      </x:c>
      <x:c r="R788" s="70" t="s">
        <x:v>34</x:v>
      </x:c>
      <x:c r="S788" s="70"/>
    </x:row>
    <x:row r="789" ht="15" hidden="0">
      <x:c r="A789" s="70" t="s">
        <x:v>1992</x:v>
      </x:c>
      <x:c r="B789" s="70" t="s">
        <x:v>31</x:v>
      </x:c>
      <x:c r="C789" s="70" t="s">
        <x:v>74</x:v>
      </x:c>
      <x:c r="D789" s="70" t="s">
        <x:v>448</x:v>
      </x:c>
      <x:c r="E789" s="70" t="s">
        <x:v>1472</x:v>
      </x:c>
      <x:c r="F789" s="70" t="s">
        <x:v>1546</x:v>
      </x:c>
      <x:c r="G789" s="70" t="s">
        <x:v>1669</x:v>
      </x:c>
      <x:c r="H789" s="70" t="s">
        <x:v>1208</x:v>
      </x:c>
      <x:c r="I789" s="70" t="s">
        <x:v>1199</x:v>
      </x:c>
      <x:c r="J789" s="70" t="n">
        <x:v>235</x:v>
      </x:c>
      <x:c r="K789" s="70" t="s">
        <x:v>1920</x:v>
      </x:c>
      <x:c r="L789" s="70"/>
      <x:c r="M789" s="70" t="s">
        <x:v>35</x:v>
      </x:c>
      <x:c r="N789" s="71" t="n">
        <x:v>21421232</x:v>
      </x:c>
      <x:c r="O789" s="72" t="n">
        <x:f aca="0">N789/1000</x:f>
        <x:v>21421.232</x:v>
      </x:c>
      <x:c r="P789" s="73" t="n">
        <x:f aca="0">LUCK!E101</x:f>
        <x:v>21421.232</x:v>
      </x:c>
      <x:c r="Q789" s="70" t="str">
        <x:f aca="0">IF(ABS(O789-P789)&lt;0.000001,"PASS","FAIL")</x:f>
        <x:v>PASS</x:v>
      </x:c>
      <x:c r="R789" s="70" t="s">
        <x:v>34</x:v>
      </x:c>
      <x:c r="S789" s="70"/>
    </x:row>
    <x:row r="790" ht="15" hidden="0">
      <x:c r="A790" s="70" t="s">
        <x:v>1993</x:v>
      </x:c>
      <x:c r="B790" s="70" t="s">
        <x:v>31</x:v>
      </x:c>
      <x:c r="C790" s="70" t="s">
        <x:v>75</x:v>
      </x:c>
      <x:c r="D790" s="70" t="s">
        <x:v>448</x:v>
      </x:c>
      <x:c r="E790" s="70" t="s">
        <x:v>1472</x:v>
      </x:c>
      <x:c r="F790" s="70" t="s">
        <x:v>1994</x:v>
      </x:c>
      <x:c r="G790" s="70" t="s">
        <x:v>1672</x:v>
      </x:c>
      <x:c r="H790" s="70" t="s">
        <x:v>1211</x:v>
      </x:c>
      <x:c r="I790" s="70" t="s">
        <x:v>1199</x:v>
      </x:c>
      <x:c r="J790" s="70" t="n">
        <x:v>239</x:v>
      </x:c>
      <x:c r="K790" s="70" t="s">
        <x:v>1922</x:v>
      </x:c>
      <x:c r="L790" s="70"/>
      <x:c r="M790" s="70" t="s">
        <x:v>35</x:v>
      </x:c>
      <x:c r="N790" s="71" t="n">
        <x:v>21343274</x:v>
      </x:c>
      <x:c r="O790" s="72" t="n">
        <x:f aca="0">N790/1000</x:f>
        <x:v>21343.274</x:v>
      </x:c>
      <x:c r="P790" s="73" t="n">
        <x:f aca="0">LUCK!F101</x:f>
        <x:v>21343.274</x:v>
      </x:c>
      <x:c r="Q790" s="70" t="str">
        <x:f aca="0">IF(ABS(O790-P790)&lt;0.000001,"PASS","FAIL")</x:f>
        <x:v>PASS</x:v>
      </x:c>
      <x:c r="R790" s="70" t="s">
        <x:v>34</x:v>
      </x:c>
      <x:c r="S790" s="70"/>
    </x:row>
    <x:row r="791" ht="15" hidden="0">
      <x:c r="A791" s="70" t="s">
        <x:v>1995</x:v>
      </x:c>
      <x:c r="B791" s="70" t="s">
        <x:v>31</x:v>
      </x:c>
      <x:c r="C791" s="70" t="s">
        <x:v>76</x:v>
      </x:c>
      <x:c r="D791" s="70" t="s">
        <x:v>448</x:v>
      </x:c>
      <x:c r="E791" s="70" t="s">
        <x:v>1472</x:v>
      </x:c>
      <x:c r="F791" s="70" t="s">
        <x:v>1996</x:v>
      </x:c>
      <x:c r="G791" s="70" t="s">
        <x:v>1675</x:v>
      </x:c>
      <x:c r="H791" s="70" t="s">
        <x:v>1215</x:v>
      </x:c>
      <x:c r="I791" s="70" t="s">
        <x:v>1199</x:v>
      </x:c>
      <x:c r="J791" s="70" t="n">
        <x:v>241</x:v>
      </x:c>
      <x:c r="K791" s="70" t="s">
        <x:v>1200</x:v>
      </x:c>
      <x:c r="L791" s="70"/>
      <x:c r="M791" s="70" t="s">
        <x:v>35</x:v>
      </x:c>
      <x:c r="N791" s="71" t="n">
        <x:v>41387564</x:v>
      </x:c>
      <x:c r="O791" s="72" t="n">
        <x:f aca="0">N791/1000</x:f>
        <x:v>41387.564</x:v>
      </x:c>
      <x:c r="P791" s="73" t="n">
        <x:f aca="0">LUCK!G101</x:f>
        <x:v>41387.564</x:v>
      </x:c>
      <x:c r="Q791" s="70" t="str">
        <x:f aca="0">IF(ABS(O791-P791)&lt;0.000001,"PASS","FAIL")</x:f>
        <x:v>PASS</x:v>
      </x:c>
      <x:c r="R791" s="70" t="s">
        <x:v>34</x:v>
      </x:c>
      <x:c r="S791" s="70"/>
    </x:row>
    <x:row r="792" ht="15" hidden="0">
      <x:c r="A792" s="70" t="s">
        <x:v>1997</x:v>
      </x:c>
      <x:c r="B792" s="70" t="s">
        <x:v>31</x:v>
      </x:c>
      <x:c r="C792" s="70" t="s">
        <x:v>77</x:v>
      </x:c>
      <x:c r="D792" s="70" t="s">
        <x:v>448</x:v>
      </x:c>
      <x:c r="E792" s="70" t="s">
        <x:v>1472</x:v>
      </x:c>
      <x:c r="F792" s="70" t="s">
        <x:v>1996</x:v>
      </x:c>
      <x:c r="G792" s="70" t="s">
        <x:v>1675</x:v>
      </x:c>
      <x:c r="H792" s="70" t="s">
        <x:v>1215</x:v>
      </x:c>
      <x:c r="I792" s="70" t="s">
        <x:v>1218</x:v>
      </x:c>
      <x:c r="J792" s="70" t="n">
        <x:v>241</x:v>
      </x:c>
      <x:c r="K792" s="70" t="s">
        <x:v>1200</x:v>
      </x:c>
      <x:c r="L792" s="70"/>
      <x:c r="M792" s="70" t="s">
        <x:v>35</x:v>
      </x:c>
      <x:c r="N792" s="71" t="n">
        <x:v>47323059</x:v>
      </x:c>
      <x:c r="O792" s="72" t="n">
        <x:f aca="0">N792/1000</x:f>
        <x:v>47323.059</x:v>
      </x:c>
      <x:c r="P792" s="73" t="n">
        <x:f aca="0">LUCK!H101</x:f>
        <x:v>47323.059</x:v>
      </x:c>
      <x:c r="Q792" s="70" t="str">
        <x:f aca="0">IF(ABS(O792-P792)&lt;0.000001,"PASS","FAIL")</x:f>
        <x:v>PASS</x:v>
      </x:c>
      <x:c r="R792" s="70" t="s">
        <x:v>34</x:v>
      </x:c>
      <x:c r="S792" s="70"/>
    </x:row>
    <x:row r="793" ht="15" hidden="0">
      <x:c r="A793" s="70" t="s">
        <x:v>1998</x:v>
      </x:c>
      <x:c r="B793" s="70" t="s">
        <x:v>31</x:v>
      </x:c>
      <x:c r="C793" s="70" t="s">
        <x:v>73</x:v>
      </x:c>
      <x:c r="D793" s="70" t="s">
        <x:v>450</x:v>
      </x:c>
      <x:c r="E793" s="70" t="s">
        <x:v>1472</x:v>
      </x:c>
      <x:c r="F793" s="70" t="s">
        <x:v>1553</x:v>
      </x:c>
      <x:c r="G793" s="70" t="s">
        <x:v>1666</x:v>
      </x:c>
      <x:c r="H793" s="70" t="s">
        <x:v>1204</x:v>
      </x:c>
      <x:c r="I793" s="70" t="s">
        <x:v>1199</x:v>
      </x:c>
      <x:c r="J793" s="70" t="n">
        <x:v>227</x:v>
      </x:c>
      <x:c r="K793" s="70" t="s">
        <x:v>1918</x:v>
      </x:c>
      <x:c r="L793" s="70"/>
      <x:c r="M793" s="70" t="s">
        <x:v>35</x:v>
      </x:c>
      <x:c r="N793" s="71" t="n">
        <x:v>14070189</x:v>
      </x:c>
      <x:c r="O793" s="72" t="n">
        <x:f aca="0">N793/1000</x:f>
        <x:v>14070.189</x:v>
      </x:c>
      <x:c r="P793" s="73" t="n">
        <x:f aca="0">LUCK!D102</x:f>
        <x:v>14070.189</x:v>
      </x:c>
      <x:c r="Q793" s="70" t="str">
        <x:f aca="0">IF(ABS(O793-P793)&lt;0.000001,"PASS","FAIL")</x:f>
        <x:v>PASS</x:v>
      </x:c>
      <x:c r="R793" s="70" t="s">
        <x:v>34</x:v>
      </x:c>
      <x:c r="S793" s="70"/>
    </x:row>
    <x:row r="794" ht="15" hidden="0">
      <x:c r="A794" s="70" t="s">
        <x:v>1999</x:v>
      </x:c>
      <x:c r="B794" s="70" t="s">
        <x:v>31</x:v>
      </x:c>
      <x:c r="C794" s="70" t="s">
        <x:v>74</x:v>
      </x:c>
      <x:c r="D794" s="70" t="s">
        <x:v>450</x:v>
      </x:c>
      <x:c r="E794" s="70" t="s">
        <x:v>1472</x:v>
      </x:c>
      <x:c r="F794" s="70" t="s">
        <x:v>1553</x:v>
      </x:c>
      <x:c r="G794" s="70" t="s">
        <x:v>1669</x:v>
      </x:c>
      <x:c r="H794" s="70" t="s">
        <x:v>1208</x:v>
      </x:c>
      <x:c r="I794" s="70" t="s">
        <x:v>1199</x:v>
      </x:c>
      <x:c r="J794" s="70" t="n">
        <x:v>235</x:v>
      </x:c>
      <x:c r="K794" s="70" t="s">
        <x:v>1920</x:v>
      </x:c>
      <x:c r="L794" s="70"/>
      <x:c r="M794" s="70" t="s">
        <x:v>35</x:v>
      </x:c>
      <x:c r="N794" s="71" t="n">
        <x:v>15298618</x:v>
      </x:c>
      <x:c r="O794" s="72" t="n">
        <x:f aca="0">N794/1000</x:f>
        <x:v>15298.618</x:v>
      </x:c>
      <x:c r="P794" s="73" t="n">
        <x:f aca="0">LUCK!E102</x:f>
        <x:v>15298.618</x:v>
      </x:c>
      <x:c r="Q794" s="70" t="str">
        <x:f aca="0">IF(ABS(O794-P794)&lt;0.000001,"PASS","FAIL")</x:f>
        <x:v>PASS</x:v>
      </x:c>
      <x:c r="R794" s="70" t="s">
        <x:v>34</x:v>
      </x:c>
      <x:c r="S794" s="70"/>
    </x:row>
    <x:row r="795" ht="15" hidden="0">
      <x:c r="A795" s="70" t="s">
        <x:v>2000</x:v>
      </x:c>
      <x:c r="B795" s="70" t="s">
        <x:v>31</x:v>
      </x:c>
      <x:c r="C795" s="70" t="s">
        <x:v>75</x:v>
      </x:c>
      <x:c r="D795" s="70" t="s">
        <x:v>450</x:v>
      </x:c>
      <x:c r="E795" s="70" t="s">
        <x:v>1472</x:v>
      </x:c>
      <x:c r="F795" s="70" t="s">
        <x:v>2001</x:v>
      </x:c>
      <x:c r="G795" s="70" t="s">
        <x:v>1672</x:v>
      </x:c>
      <x:c r="H795" s="70" t="s">
        <x:v>1211</x:v>
      </x:c>
      <x:c r="I795" s="70" t="s">
        <x:v>1199</x:v>
      </x:c>
      <x:c r="J795" s="70" t="n">
        <x:v>239</x:v>
      </x:c>
      <x:c r="K795" s="70" t="s">
        <x:v>1922</x:v>
      </x:c>
      <x:c r="L795" s="70"/>
      <x:c r="M795" s="70" t="s">
        <x:v>35</x:v>
      </x:c>
      <x:c r="N795" s="71" t="n">
        <x:v>13725814</x:v>
      </x:c>
      <x:c r="O795" s="72" t="n">
        <x:f aca="0">N795/1000</x:f>
        <x:v>13725.814</x:v>
      </x:c>
      <x:c r="P795" s="73" t="n">
        <x:f aca="0">LUCK!F102</x:f>
        <x:v>13725.814</x:v>
      </x:c>
      <x:c r="Q795" s="70" t="str">
        <x:f aca="0">IF(ABS(O795-P795)&lt;0.000001,"PASS","FAIL")</x:f>
        <x:v>PASS</x:v>
      </x:c>
      <x:c r="R795" s="70" t="s">
        <x:v>34</x:v>
      </x:c>
      <x:c r="S795" s="70"/>
    </x:row>
    <x:row r="796" ht="15" hidden="0">
      <x:c r="A796" s="70" t="s">
        <x:v>2002</x:v>
      </x:c>
      <x:c r="B796" s="70" t="s">
        <x:v>31</x:v>
      </x:c>
      <x:c r="C796" s="70" t="s">
        <x:v>76</x:v>
      </x:c>
      <x:c r="D796" s="70" t="s">
        <x:v>450</x:v>
      </x:c>
      <x:c r="E796" s="70" t="s">
        <x:v>1472</x:v>
      </x:c>
      <x:c r="F796" s="70" t="s">
        <x:v>1553</x:v>
      </x:c>
      <x:c r="G796" s="70" t="s">
        <x:v>1675</x:v>
      </x:c>
      <x:c r="H796" s="70" t="s">
        <x:v>1215</x:v>
      </x:c>
      <x:c r="I796" s="70" t="s">
        <x:v>1199</x:v>
      </x:c>
      <x:c r="J796" s="70" t="n">
        <x:v>241</x:v>
      </x:c>
      <x:c r="K796" s="70" t="s">
        <x:v>1200</x:v>
      </x:c>
      <x:c r="L796" s="70"/>
      <x:c r="M796" s="70" t="s">
        <x:v>35</x:v>
      </x:c>
      <x:c r="N796" s="71" t="n">
        <x:v>28106539</x:v>
      </x:c>
      <x:c r="O796" s="72" t="n">
        <x:f aca="0">N796/1000</x:f>
        <x:v>28106.539</x:v>
      </x:c>
      <x:c r="P796" s="73" t="n">
        <x:f aca="0">LUCK!G102</x:f>
        <x:v>28106.539</x:v>
      </x:c>
      <x:c r="Q796" s="70" t="str">
        <x:f aca="0">IF(ABS(O796-P796)&lt;0.000001,"PASS","FAIL")</x:f>
        <x:v>PASS</x:v>
      </x:c>
      <x:c r="R796" s="70" t="s">
        <x:v>34</x:v>
      </x:c>
      <x:c r="S796" s="70"/>
    </x:row>
    <x:row r="797" ht="15" hidden="0">
      <x:c r="A797" s="70" t="s">
        <x:v>2003</x:v>
      </x:c>
      <x:c r="B797" s="70" t="s">
        <x:v>31</x:v>
      </x:c>
      <x:c r="C797" s="70" t="s">
        <x:v>77</x:v>
      </x:c>
      <x:c r="D797" s="70" t="s">
        <x:v>450</x:v>
      </x:c>
      <x:c r="E797" s="70" t="s">
        <x:v>1472</x:v>
      </x:c>
      <x:c r="F797" s="70" t="s">
        <x:v>1553</x:v>
      </x:c>
      <x:c r="G797" s="70" t="s">
        <x:v>1675</x:v>
      </x:c>
      <x:c r="H797" s="70" t="s">
        <x:v>1215</x:v>
      </x:c>
      <x:c r="I797" s="70" t="s">
        <x:v>1218</x:v>
      </x:c>
      <x:c r="J797" s="70" t="n">
        <x:v>241</x:v>
      </x:c>
      <x:c r="K797" s="70" t="s">
        <x:v>1200</x:v>
      </x:c>
      <x:c r="L797" s="70"/>
      <x:c r="M797" s="70" t="s">
        <x:v>35</x:v>
      </x:c>
      <x:c r="N797" s="71" t="n">
        <x:v>33092162</x:v>
      </x:c>
      <x:c r="O797" s="72" t="n">
        <x:f aca="0">N797/1000</x:f>
        <x:v>33092.162</x:v>
      </x:c>
      <x:c r="P797" s="73" t="n">
        <x:f aca="0">LUCK!H102</x:f>
        <x:v>33092.162</x:v>
      </x:c>
      <x:c r="Q797" s="70" t="str">
        <x:f aca="0">IF(ABS(O797-P797)&lt;0.000001,"PASS","FAIL")</x:f>
        <x:v>PASS</x:v>
      </x:c>
      <x:c r="R797" s="70" t="s">
        <x:v>34</x:v>
      </x:c>
      <x:c r="S797" s="70"/>
    </x:row>
    <x:row r="798" ht="15" hidden="0">
      <x:c r="A798" s="70" t="s">
        <x:v>2004</x:v>
      </x:c>
      <x:c r="B798" s="70" t="s">
        <x:v>31</x:v>
      </x:c>
      <x:c r="C798" s="70" t="s">
        <x:v>73</x:v>
      </x:c>
      <x:c r="D798" s="70" t="s">
        <x:v>454</x:v>
      </x:c>
      <x:c r="E798" s="70" t="s">
        <x:v>1221</x:v>
      </x:c>
      <x:c r="F798" s="70" t="s">
        <x:v>2005</x:v>
      </x:c>
      <x:c r="G798" s="70" t="s">
        <x:v>1666</x:v>
      </x:c>
      <x:c r="H798" s="70" t="s">
        <x:v>1204</x:v>
      </x:c>
      <x:c r="I798" s="70" t="s">
        <x:v>1199</x:v>
      </x:c>
      <x:c r="J798" s="70" t="n">
        <x:v>256</x:v>
      </x:c>
      <x:c r="K798" s="70" t="s">
        <x:v>2006</x:v>
      </x:c>
      <x:c r="L798" s="70"/>
      <x:c r="M798" s="70" t="s">
        <x:v>35</x:v>
      </x:c>
      <x:c r="N798" s="71" t="n">
        <x:v>0</x:v>
      </x:c>
      <x:c r="O798" s="72" t="n">
        <x:f aca="0">N798/1000</x:f>
        <x:v>0</x:v>
      </x:c>
      <x:c r="P798" s="73" t="n">
        <x:f aca="0">LUCK!D105</x:f>
        <x:v>0</x:v>
      </x:c>
      <x:c r="Q798" s="70" t="str">
        <x:f aca="0">IF(ABS(O798-P798)&lt;0.000001,"PASS","FAIL")</x:f>
        <x:v>PASS</x:v>
      </x:c>
      <x:c r="R798" s="70" t="s">
        <x:v>34</x:v>
      </x:c>
      <x:c r="S798" s="70"/>
    </x:row>
    <x:row r="799" ht="15" hidden="0">
      <x:c r="A799" s="70" t="s">
        <x:v>2007</x:v>
      </x:c>
      <x:c r="B799" s="70" t="s">
        <x:v>31</x:v>
      </x:c>
      <x:c r="C799" s="70" t="s">
        <x:v>74</x:v>
      </x:c>
      <x:c r="D799" s="70" t="s">
        <x:v>454</x:v>
      </x:c>
      <x:c r="E799" s="70" t="s">
        <x:v>1221</x:v>
      </x:c>
      <x:c r="F799" s="70" t="s">
        <x:v>2005</x:v>
      </x:c>
      <x:c r="G799" s="70" t="s">
        <x:v>1669</x:v>
      </x:c>
      <x:c r="H799" s="70" t="s">
        <x:v>1208</x:v>
      </x:c>
      <x:c r="I799" s="70" t="s">
        <x:v>1199</x:v>
      </x:c>
      <x:c r="J799" s="70" t="n">
        <x:v>264</x:v>
      </x:c>
      <x:c r="K799" s="70" t="s">
        <x:v>2008</x:v>
      </x:c>
      <x:c r="L799" s="70"/>
      <x:c r="M799" s="70" t="s">
        <x:v>35</x:v>
      </x:c>
      <x:c r="N799" s="71" t="n">
        <x:v>0</x:v>
      </x:c>
      <x:c r="O799" s="72" t="n">
        <x:f aca="0">N799/1000</x:f>
        <x:v>0</x:v>
      </x:c>
      <x:c r="P799" s="73" t="n">
        <x:f aca="0">LUCK!E105</x:f>
        <x:v>0</x:v>
      </x:c>
      <x:c r="Q799" s="70" t="str">
        <x:f aca="0">IF(ABS(O799-P799)&lt;0.000001,"PASS","FAIL")</x:f>
        <x:v>PASS</x:v>
      </x:c>
      <x:c r="R799" s="70" t="s">
        <x:v>34</x:v>
      </x:c>
      <x:c r="S799" s="70"/>
    </x:row>
    <x:row r="800" ht="15" hidden="0">
      <x:c r="A800" s="70" t="s">
        <x:v>2009</x:v>
      </x:c>
      <x:c r="B800" s="70" t="s">
        <x:v>31</x:v>
      </x:c>
      <x:c r="C800" s="70" t="s">
        <x:v>75</x:v>
      </x:c>
      <x:c r="D800" s="70" t="s">
        <x:v>454</x:v>
      </x:c>
      <x:c r="E800" s="70" t="s">
        <x:v>1221</x:v>
      </x:c>
      <x:c r="F800" s="70" t="s">
        <x:v>2005</x:v>
      </x:c>
      <x:c r="G800" s="70" t="s">
        <x:v>1672</x:v>
      </x:c>
      <x:c r="H800" s="70" t="s">
        <x:v>1211</x:v>
      </x:c>
      <x:c r="I800" s="70" t="s">
        <x:v>1199</x:v>
      </x:c>
      <x:c r="J800" s="70" t="n">
        <x:v>269</x:v>
      </x:c>
      <x:c r="K800" s="70" t="s">
        <x:v>2010</x:v>
      </x:c>
      <x:c r="L800" s="70"/>
      <x:c r="M800" s="70" t="s">
        <x:v>35</x:v>
      </x:c>
      <x:c r="N800" s="71" t="n">
        <x:v>10974</x:v>
      </x:c>
      <x:c r="O800" s="72" t="n">
        <x:f aca="0">N800/1000</x:f>
        <x:v>10.974</x:v>
      </x:c>
      <x:c r="P800" s="73" t="n">
        <x:f aca="0">LUCK!F105</x:f>
        <x:v>10.974</x:v>
      </x:c>
      <x:c r="Q800" s="70" t="str">
        <x:f aca="0">IF(ABS(O800-P800)&lt;0.000001,"PASS","FAIL")</x:f>
        <x:v>PASS</x:v>
      </x:c>
      <x:c r="R800" s="70" t="s">
        <x:v>34</x:v>
      </x:c>
      <x:c r="S800" s="70"/>
    </x:row>
    <x:row r="801" ht="15" hidden="0">
      <x:c r="A801" s="70" t="s">
        <x:v>2011</x:v>
      </x:c>
      <x:c r="B801" s="70" t="s">
        <x:v>31</x:v>
      </x:c>
      <x:c r="C801" s="70" t="s">
        <x:v>76</x:v>
      </x:c>
      <x:c r="D801" s="70" t="s">
        <x:v>454</x:v>
      </x:c>
      <x:c r="E801" s="70" t="s">
        <x:v>1221</x:v>
      </x:c>
      <x:c r="F801" s="70" t="s">
        <x:v>2005</x:v>
      </x:c>
      <x:c r="G801" s="70" t="s">
        <x:v>1675</x:v>
      </x:c>
      <x:c r="H801" s="70" t="s">
        <x:v>1215</x:v>
      </x:c>
      <x:c r="I801" s="70" t="s">
        <x:v>1199</x:v>
      </x:c>
      <x:c r="J801" s="70" t="n">
        <x:v>272</x:v>
      </x:c>
      <x:c r="K801" s="70" t="s">
        <x:v>2012</x:v>
      </x:c>
      <x:c r="L801" s="70"/>
      <x:c r="M801" s="70" t="s">
        <x:v>35</x:v>
      </x:c>
      <x:c r="N801" s="71" t="n">
        <x:v>20633</x:v>
      </x:c>
      <x:c r="O801" s="72" t="n">
        <x:f aca="0">N801/1000</x:f>
        <x:v>20.633</x:v>
      </x:c>
      <x:c r="P801" s="73" t="n">
        <x:f aca="0">LUCK!G105</x:f>
        <x:v>20.633</x:v>
      </x:c>
      <x:c r="Q801" s="70" t="str">
        <x:f aca="0">IF(ABS(O801-P801)&lt;0.000001,"PASS","FAIL")</x:f>
        <x:v>PASS</x:v>
      </x:c>
      <x:c r="R801" s="70" t="s">
        <x:v>34</x:v>
      </x:c>
      <x:c r="S801" s="70"/>
    </x:row>
    <x:row r="802" ht="15" hidden="0">
      <x:c r="A802" s="70" t="s">
        <x:v>2013</x:v>
      </x:c>
      <x:c r="B802" s="70" t="s">
        <x:v>31</x:v>
      </x:c>
      <x:c r="C802" s="70" t="s">
        <x:v>77</x:v>
      </x:c>
      <x:c r="D802" s="70" t="s">
        <x:v>454</x:v>
      </x:c>
      <x:c r="E802" s="70" t="s">
        <x:v>1221</x:v>
      </x:c>
      <x:c r="F802" s="70" t="s">
        <x:v>2005</x:v>
      </x:c>
      <x:c r="G802" s="70" t="s">
        <x:v>1675</x:v>
      </x:c>
      <x:c r="H802" s="70" t="s">
        <x:v>1215</x:v>
      </x:c>
      <x:c r="I802" s="70" t="s">
        <x:v>1218</x:v>
      </x:c>
      <x:c r="J802" s="70" t="n">
        <x:v>272</x:v>
      </x:c>
      <x:c r="K802" s="70" t="s">
        <x:v>2012</x:v>
      </x:c>
      <x:c r="L802" s="70"/>
      <x:c r="M802" s="70" t="s">
        <x:v>35</x:v>
      </x:c>
      <x:c r="N802" s="71" t="n">
        <x:v>44522</x:v>
      </x:c>
      <x:c r="O802" s="72" t="n">
        <x:f aca="0">N802/1000</x:f>
        <x:v>44.522</x:v>
      </x:c>
      <x:c r="P802" s="73" t="n">
        <x:f aca="0">LUCK!H105</x:f>
        <x:v>44.522</x:v>
      </x:c>
      <x:c r="Q802" s="70" t="str">
        <x:f aca="0">IF(ABS(O802-P802)&lt;0.000001,"PASS","FAIL")</x:f>
        <x:v>PASS</x:v>
      </x:c>
      <x:c r="R802" s="70" t="s">
        <x:v>34</x:v>
      </x:c>
      <x:c r="S802" s="70"/>
    </x:row>
    <x:row r="803" ht="15" hidden="0">
      <x:c r="A803" s="70" t="s">
        <x:v>2014</x:v>
      </x:c>
      <x:c r="B803" s="70" t="s">
        <x:v>31</x:v>
      </x:c>
      <x:c r="C803" s="70" t="s">
        <x:v>73</x:v>
      </x:c>
      <x:c r="D803" s="70" t="s">
        <x:v>458</x:v>
      </x:c>
      <x:c r="E803" s="70" t="s">
        <x:v>172</x:v>
      </x:c>
      <x:c r="F803" s="70" t="s">
        <x:v>2015</x:v>
      </x:c>
      <x:c r="G803" s="70" t="s">
        <x:v>1666</x:v>
      </x:c>
      <x:c r="H803" s="70" t="s">
        <x:v>1204</x:v>
      </x:c>
      <x:c r="I803" s="70" t="s">
        <x:v>1199</x:v>
      </x:c>
      <x:c r="J803" s="70" t="n">
        <x:v>258</x:v>
      </x:c>
      <x:c r="K803" s="70" t="s">
        <x:v>2016</x:v>
      </x:c>
      <x:c r="L803" s="70"/>
      <x:c r="M803" s="70" t="s">
        <x:v>35</x:v>
      </x:c>
      <x:c r="N803" s="71" t="n">
        <x:v>4298760</x:v>
      </x:c>
      <x:c r="O803" s="72" t="n">
        <x:f aca="0">N803/1000</x:f>
        <x:v>4298.76</x:v>
      </x:c>
      <x:c r="P803" s="73" t="n">
        <x:f aca="0">LUCK!D107</x:f>
        <x:v>4298.76</x:v>
      </x:c>
      <x:c r="Q803" s="70" t="str">
        <x:f aca="0">IF(ABS(O803-P803)&lt;0.000001,"PASS","FAIL")</x:f>
        <x:v>PASS</x:v>
      </x:c>
      <x:c r="R803" s="70" t="s">
        <x:v>34</x:v>
      </x:c>
      <x:c r="S803" s="70"/>
    </x:row>
    <x:row r="804" ht="15" hidden="0">
      <x:c r="A804" s="70" t="s">
        <x:v>2017</x:v>
      </x:c>
      <x:c r="B804" s="70" t="s">
        <x:v>31</x:v>
      </x:c>
      <x:c r="C804" s="70" t="s">
        <x:v>74</x:v>
      </x:c>
      <x:c r="D804" s="70" t="s">
        <x:v>458</x:v>
      </x:c>
      <x:c r="E804" s="70" t="s">
        <x:v>172</x:v>
      </x:c>
      <x:c r="F804" s="70" t="s">
        <x:v>2018</x:v>
      </x:c>
      <x:c r="G804" s="70" t="s">
        <x:v>1669</x:v>
      </x:c>
      <x:c r="H804" s="70" t="s">
        <x:v>1208</x:v>
      </x:c>
      <x:c r="I804" s="70" t="s">
        <x:v>1199</x:v>
      </x:c>
      <x:c r="J804" s="70" t="n">
        <x:v>266</x:v>
      </x:c>
      <x:c r="K804" s="70" t="s">
        <x:v>2019</x:v>
      </x:c>
      <x:c r="L804" s="70"/>
      <x:c r="M804" s="70" t="s">
        <x:v>35</x:v>
      </x:c>
      <x:c r="N804" s="71" t="n">
        <x:v>4527761</x:v>
      </x:c>
      <x:c r="O804" s="72" t="n">
        <x:f aca="0">N804/1000</x:f>
        <x:v>4527.761</x:v>
      </x:c>
      <x:c r="P804" s="73" t="n">
        <x:f aca="0">LUCK!E107</x:f>
        <x:v>4527.761</x:v>
      </x:c>
      <x:c r="Q804" s="70" t="str">
        <x:f aca="0">IF(ABS(O804-P804)&lt;0.000001,"PASS","FAIL")</x:f>
        <x:v>PASS</x:v>
      </x:c>
      <x:c r="R804" s="70" t="s">
        <x:v>34</x:v>
      </x:c>
      <x:c r="S804" s="70"/>
    </x:row>
    <x:row r="805" ht="15" hidden="0">
      <x:c r="A805" s="70" t="s">
        <x:v>2020</x:v>
      </x:c>
      <x:c r="B805" s="70" t="s">
        <x:v>31</x:v>
      </x:c>
      <x:c r="C805" s="70" t="s">
        <x:v>75</x:v>
      </x:c>
      <x:c r="D805" s="70" t="s">
        <x:v>458</x:v>
      </x:c>
      <x:c r="E805" s="70" t="s">
        <x:v>172</x:v>
      </x:c>
      <x:c r="F805" s="70" t="s">
        <x:v>2018</x:v>
      </x:c>
      <x:c r="G805" s="70" t="s">
        <x:v>1672</x:v>
      </x:c>
      <x:c r="H805" s="70" t="s">
        <x:v>1211</x:v>
      </x:c>
      <x:c r="I805" s="70" t="s">
        <x:v>1199</x:v>
      </x:c>
      <x:c r="J805" s="70" t="n">
        <x:v>272</x:v>
      </x:c>
      <x:c r="K805" s="70" t="s">
        <x:v>2012</x:v>
      </x:c>
      <x:c r="L805" s="70"/>
      <x:c r="M805" s="70" t="s">
        <x:v>35</x:v>
      </x:c>
      <x:c r="N805" s="71" t="n">
        <x:v>5314762</x:v>
      </x:c>
      <x:c r="O805" s="72" t="n">
        <x:f aca="0">N805/1000</x:f>
        <x:v>5314.762</x:v>
      </x:c>
      <x:c r="P805" s="73" t="n">
        <x:f aca="0">LUCK!F107</x:f>
        <x:v>5314.762</x:v>
      </x:c>
      <x:c r="Q805" s="70" t="str">
        <x:f aca="0">IF(ABS(O805-P805)&lt;0.000001,"PASS","FAIL")</x:f>
        <x:v>PASS</x:v>
      </x:c>
      <x:c r="R805" s="70" t="s">
        <x:v>34</x:v>
      </x:c>
      <x:c r="S805" s="70"/>
    </x:row>
    <x:row r="806" ht="15" hidden="0">
      <x:c r="A806" s="70" t="s">
        <x:v>2021</x:v>
      </x:c>
      <x:c r="B806" s="70" t="s">
        <x:v>31</x:v>
      </x:c>
      <x:c r="C806" s="70" t="s">
        <x:v>76</x:v>
      </x:c>
      <x:c r="D806" s="70" t="s">
        <x:v>458</x:v>
      </x:c>
      <x:c r="E806" s="70" t="s">
        <x:v>172</x:v>
      </x:c>
      <x:c r="F806" s="70" t="s">
        <x:v>2018</x:v>
      </x:c>
      <x:c r="G806" s="70" t="s">
        <x:v>1675</x:v>
      </x:c>
      <x:c r="H806" s="70" t="s">
        <x:v>1215</x:v>
      </x:c>
      <x:c r="I806" s="70" t="s">
        <x:v>1199</x:v>
      </x:c>
      <x:c r="J806" s="70" t="n">
        <x:v>275</x:v>
      </x:c>
      <x:c r="K806" s="70" t="s">
        <x:v>1200</x:v>
      </x:c>
      <x:c r="L806" s="70"/>
      <x:c r="M806" s="70" t="s">
        <x:v>35</x:v>
      </x:c>
      <x:c r="N806" s="71" t="n">
        <x:v>6097422</x:v>
      </x:c>
      <x:c r="O806" s="72" t="n">
        <x:f aca="0">N806/1000</x:f>
        <x:v>6097.422</x:v>
      </x:c>
      <x:c r="P806" s="73" t="n">
        <x:f aca="0">LUCK!G107</x:f>
        <x:v>6097.422</x:v>
      </x:c>
      <x:c r="Q806" s="70" t="str">
        <x:f aca="0">IF(ABS(O806-P806)&lt;0.000001,"PASS","FAIL")</x:f>
        <x:v>PASS</x:v>
      </x:c>
      <x:c r="R806" s="70" t="s">
        <x:v>34</x:v>
      </x:c>
      <x:c r="S806" s="70"/>
    </x:row>
    <x:row r="807" ht="15" hidden="0">
      <x:c r="A807" s="70" t="s">
        <x:v>2022</x:v>
      </x:c>
      <x:c r="B807" s="70" t="s">
        <x:v>31</x:v>
      </x:c>
      <x:c r="C807" s="70" t="s">
        <x:v>77</x:v>
      </x:c>
      <x:c r="D807" s="70" t="s">
        <x:v>458</x:v>
      </x:c>
      <x:c r="E807" s="70" t="s">
        <x:v>172</x:v>
      </x:c>
      <x:c r="F807" s="70" t="s">
        <x:v>2018</x:v>
      </x:c>
      <x:c r="G807" s="70" t="s">
        <x:v>1675</x:v>
      </x:c>
      <x:c r="H807" s="70" t="s">
        <x:v>1215</x:v>
      </x:c>
      <x:c r="I807" s="70" t="s">
        <x:v>1218</x:v>
      </x:c>
      <x:c r="J807" s="70" t="n">
        <x:v>275</x:v>
      </x:c>
      <x:c r="K807" s="70" t="s">
        <x:v>1200</x:v>
      </x:c>
      <x:c r="L807" s="70"/>
      <x:c r="M807" s="70" t="s">
        <x:v>35</x:v>
      </x:c>
      <x:c r="N807" s="71" t="n">
        <x:v>6937732</x:v>
      </x:c>
      <x:c r="O807" s="72" t="n">
        <x:f aca="0">N807/1000</x:f>
        <x:v>6937.732</x:v>
      </x:c>
      <x:c r="P807" s="73" t="n">
        <x:f aca="0">LUCK!H107</x:f>
        <x:v>6937.732</x:v>
      </x:c>
      <x:c r="Q807" s="70" t="str">
        <x:f aca="0">IF(ABS(O807-P807)&lt;0.000001,"PASS","FAIL")</x:f>
        <x:v>PASS</x:v>
      </x:c>
      <x:c r="R807" s="70" t="s">
        <x:v>34</x:v>
      </x:c>
      <x:c r="S807" s="70"/>
    </x:row>
    <x:row r="808" ht="15" hidden="0">
      <x:c r="A808" s="70" t="s">
        <x:v>2023</x:v>
      </x:c>
      <x:c r="B808" s="70" t="s">
        <x:v>31</x:v>
      </x:c>
      <x:c r="C808" s="70" t="s">
        <x:v>73</x:v>
      </x:c>
      <x:c r="D808" s="70" t="s">
        <x:v>473</x:v>
      </x:c>
      <x:c r="E808" s="70" t="s">
        <x:v>172</x:v>
      </x:c>
      <x:c r="F808" s="70" t="s">
        <x:v>1577</x:v>
      </x:c>
      <x:c r="G808" s="70" t="s">
        <x:v>1666</x:v>
      </x:c>
      <x:c r="H808" s="70" t="s">
        <x:v>1204</x:v>
      </x:c>
      <x:c r="I808" s="70" t="s">
        <x:v>1199</x:v>
      </x:c>
      <x:c r="J808" s="70" t="n">
        <x:v>229</x:v>
      </x:c>
      <x:c r="K808" s="70" t="s">
        <x:v>2024</x:v>
      </x:c>
      <x:c r="L808" s="70"/>
      <x:c r="M808" s="70" t="s">
        <x:v>35</x:v>
      </x:c>
      <x:c r="N808" s="71" t="n">
        <x:v>13285674</x:v>
      </x:c>
      <x:c r="O808" s="72" t="n">
        <x:f aca="0">N808/1000</x:f>
        <x:v>13285.674</x:v>
      </x:c>
      <x:c r="P808" s="73" t="n">
        <x:f aca="0">LUCK!D116</x:f>
        <x:v>13285.674</x:v>
      </x:c>
      <x:c r="Q808" s="70" t="str">
        <x:f aca="0">IF(ABS(O808-P808)&lt;0.000001,"PASS","FAIL")</x:f>
        <x:v>PASS</x:v>
      </x:c>
      <x:c r="R808" s="70" t="s">
        <x:v>34</x:v>
      </x:c>
      <x:c r="S808" s="70"/>
    </x:row>
    <x:row r="809" ht="15" hidden="0">
      <x:c r="A809" s="70" t="s">
        <x:v>2025</x:v>
      </x:c>
      <x:c r="B809" s="70" t="s">
        <x:v>31</x:v>
      </x:c>
      <x:c r="C809" s="70" t="s">
        <x:v>74</x:v>
      </x:c>
      <x:c r="D809" s="70" t="s">
        <x:v>473</x:v>
      </x:c>
      <x:c r="E809" s="70" t="s">
        <x:v>172</x:v>
      </x:c>
      <x:c r="F809" s="70" t="s">
        <x:v>1577</x:v>
      </x:c>
      <x:c r="G809" s="70" t="s">
        <x:v>1669</x:v>
      </x:c>
      <x:c r="H809" s="70" t="s">
        <x:v>1208</x:v>
      </x:c>
      <x:c r="I809" s="70" t="s">
        <x:v>1199</x:v>
      </x:c>
      <x:c r="J809" s="70" t="n">
        <x:v>237</x:v>
      </x:c>
      <x:c r="K809" s="70" t="s">
        <x:v>1680</x:v>
      </x:c>
      <x:c r="L809" s="70"/>
      <x:c r="M809" s="70" t="s">
        <x:v>35</x:v>
      </x:c>
      <x:c r="N809" s="71" t="n">
        <x:v>18126508</x:v>
      </x:c>
      <x:c r="O809" s="72" t="n">
        <x:f aca="0">N809/1000</x:f>
        <x:v>18126.508</x:v>
      </x:c>
      <x:c r="P809" s="73" t="n">
        <x:f aca="0">LUCK!E116</x:f>
        <x:v>18126.508</x:v>
      </x:c>
      <x:c r="Q809" s="70" t="str">
        <x:f aca="0">IF(ABS(O809-P809)&lt;0.000001,"PASS","FAIL")</x:f>
        <x:v>PASS</x:v>
      </x:c>
      <x:c r="R809" s="70" t="s">
        <x:v>34</x:v>
      </x:c>
      <x:c r="S809" s="70"/>
    </x:row>
    <x:row r="810" ht="15" hidden="0">
      <x:c r="A810" s="70" t="s">
        <x:v>2026</x:v>
      </x:c>
      <x:c r="B810" s="70" t="s">
        <x:v>31</x:v>
      </x:c>
      <x:c r="C810" s="70" t="s">
        <x:v>75</x:v>
      </x:c>
      <x:c r="D810" s="70" t="s">
        <x:v>473</x:v>
      </x:c>
      <x:c r="E810" s="70" t="s">
        <x:v>172</x:v>
      </x:c>
      <x:c r="F810" s="70" t="s">
        <x:v>1577</x:v>
      </x:c>
      <x:c r="G810" s="70" t="s">
        <x:v>1672</x:v>
      </x:c>
      <x:c r="H810" s="70" t="s">
        <x:v>1211</x:v>
      </x:c>
      <x:c r="I810" s="70" t="s">
        <x:v>1199</x:v>
      </x:c>
      <x:c r="J810" s="70" t="n">
        <x:v>241</x:v>
      </x:c>
      <x:c r="K810" s="70" t="s">
        <x:v>2027</x:v>
      </x:c>
      <x:c r="L810" s="70"/>
      <x:c r="M810" s="70" t="s">
        <x:v>35</x:v>
      </x:c>
      <x:c r="N810" s="71" t="n">
        <x:v>24515258</x:v>
      </x:c>
      <x:c r="O810" s="72" t="n">
        <x:f aca="0">N810/1000</x:f>
        <x:v>24515.258</x:v>
      </x:c>
      <x:c r="P810" s="73" t="n">
        <x:f aca="0">LUCK!F116</x:f>
        <x:v>24515.258</x:v>
      </x:c>
      <x:c r="Q810" s="70" t="str">
        <x:f aca="0">IF(ABS(O810-P810)&lt;0.000001,"PASS","FAIL")</x:f>
        <x:v>PASS</x:v>
      </x:c>
      <x:c r="R810" s="70" t="s">
        <x:v>34</x:v>
      </x:c>
      <x:c r="S810" s="70"/>
    </x:row>
    <x:row r="811" ht="15" hidden="0">
      <x:c r="A811" s="70" t="s">
        <x:v>2028</x:v>
      </x:c>
      <x:c r="B811" s="70" t="s">
        <x:v>31</x:v>
      </x:c>
      <x:c r="C811" s="70" t="s">
        <x:v>76</x:v>
      </x:c>
      <x:c r="D811" s="70" t="s">
        <x:v>473</x:v>
      </x:c>
      <x:c r="E811" s="70" t="s">
        <x:v>172</x:v>
      </x:c>
      <x:c r="F811" s="70" t="s">
        <x:v>1577</x:v>
      </x:c>
      <x:c r="G811" s="70" t="s">
        <x:v>1675</x:v>
      </x:c>
      <x:c r="H811" s="70" t="s">
        <x:v>1215</x:v>
      </x:c>
      <x:c r="I811" s="70" t="s">
        <x:v>1199</x:v>
      </x:c>
      <x:c r="J811" s="70" t="n">
        <x:v>243</x:v>
      </x:c>
      <x:c r="K811" s="70" t="s">
        <x:v>1200</x:v>
      </x:c>
      <x:c r="L811" s="70"/>
      <x:c r="M811" s="70" t="s">
        <x:v>35</x:v>
      </x:c>
      <x:c r="N811" s="71" t="n">
        <x:v>30937432</x:v>
      </x:c>
      <x:c r="O811" s="72" t="n">
        <x:f aca="0">N811/1000</x:f>
        <x:v>30937.432</x:v>
      </x:c>
      <x:c r="P811" s="73" t="n">
        <x:f aca="0">LUCK!G116</x:f>
        <x:v>30937.432</x:v>
      </x:c>
      <x:c r="Q811" s="70" t="str">
        <x:f aca="0">IF(ABS(O811-P811)&lt;0.000001,"PASS","FAIL")</x:f>
        <x:v>PASS</x:v>
      </x:c>
      <x:c r="R811" s="70" t="s">
        <x:v>34</x:v>
      </x:c>
      <x:c r="S811" s="70"/>
    </x:row>
    <x:row r="812" ht="15" hidden="0">
      <x:c r="A812" s="70" t="s">
        <x:v>2029</x:v>
      </x:c>
      <x:c r="B812" s="70" t="s">
        <x:v>31</x:v>
      </x:c>
      <x:c r="C812" s="70" t="s">
        <x:v>77</x:v>
      </x:c>
      <x:c r="D812" s="70" t="s">
        <x:v>473</x:v>
      </x:c>
      <x:c r="E812" s="70" t="s">
        <x:v>172</x:v>
      </x:c>
      <x:c r="F812" s="70" t="s">
        <x:v>1577</x:v>
      </x:c>
      <x:c r="G812" s="70" t="s">
        <x:v>1675</x:v>
      </x:c>
      <x:c r="H812" s="70" t="s">
        <x:v>1215</x:v>
      </x:c>
      <x:c r="I812" s="70" t="s">
        <x:v>1218</x:v>
      </x:c>
      <x:c r="J812" s="70" t="n">
        <x:v>243</x:v>
      </x:c>
      <x:c r="K812" s="70" t="s">
        <x:v>1200</x:v>
      </x:c>
      <x:c r="L812" s="70"/>
      <x:c r="M812" s="70" t="s">
        <x:v>35</x:v>
      </x:c>
      <x:c r="N812" s="71" t="n">
        <x:v>33808781</x:v>
      </x:c>
      <x:c r="O812" s="72" t="n">
        <x:f aca="0">N812/1000</x:f>
        <x:v>33808.781</x:v>
      </x:c>
      <x:c r="P812" s="73" t="n">
        <x:f aca="0">LUCK!H116</x:f>
        <x:v>33808.781</x:v>
      </x:c>
      <x:c r="Q812" s="70" t="str">
        <x:f aca="0">IF(ABS(O812-P812)&lt;0.000001,"PASS","FAIL")</x:f>
        <x:v>PASS</x:v>
      </x:c>
      <x:c r="R812" s="70" t="s">
        <x:v>34</x:v>
      </x:c>
      <x:c r="S812" s="70"/>
    </x:row>
    <x:row r="813" ht="15" hidden="0">
      <x:c r="A813" s="70" t="s">
        <x:v>2030</x:v>
      </x:c>
      <x:c r="B813" s="70" t="s">
        <x:v>31</x:v>
      </x:c>
      <x:c r="C813" s="70" t="s">
        <x:v>73</x:v>
      </x:c>
      <x:c r="D813" s="70" t="s">
        <x:v>475</x:v>
      </x:c>
      <x:c r="E813" s="70" t="s">
        <x:v>172</x:v>
      </x:c>
      <x:c r="F813" s="70" t="s">
        <x:v>1583</x:v>
      </x:c>
      <x:c r="G813" s="70" t="s">
        <x:v>1666</x:v>
      </x:c>
      <x:c r="H813" s="70" t="s">
        <x:v>1204</x:v>
      </x:c>
      <x:c r="I813" s="70" t="s">
        <x:v>1199</x:v>
      </x:c>
      <x:c r="J813" s="70" t="n">
        <x:v>229</x:v>
      </x:c>
      <x:c r="K813" s="70" t="s">
        <x:v>2024</x:v>
      </x:c>
      <x:c r="L813" s="70"/>
      <x:c r="M813" s="70" t="s">
        <x:v>35</x:v>
      </x:c>
      <x:c r="N813" s="71" t="n">
        <x:v>12492631</x:v>
      </x:c>
      <x:c r="O813" s="72" t="n">
        <x:f aca="0">N813/1000</x:f>
        <x:v>12492.631</x:v>
      </x:c>
      <x:c r="P813" s="73" t="n">
        <x:f aca="0">LUCK!D117</x:f>
        <x:v>12492.631</x:v>
      </x:c>
      <x:c r="Q813" s="70" t="str">
        <x:f aca="0">IF(ABS(O813-P813)&lt;0.000001,"PASS","FAIL")</x:f>
        <x:v>PASS</x:v>
      </x:c>
      <x:c r="R813" s="70" t="s">
        <x:v>34</x:v>
      </x:c>
      <x:c r="S813" s="70"/>
    </x:row>
    <x:row r="814" ht="15" hidden="0">
      <x:c r="A814" s="70" t="s">
        <x:v>2031</x:v>
      </x:c>
      <x:c r="B814" s="70" t="s">
        <x:v>31</x:v>
      </x:c>
      <x:c r="C814" s="70" t="s">
        <x:v>74</x:v>
      </x:c>
      <x:c r="D814" s="70" t="s">
        <x:v>475</x:v>
      </x:c>
      <x:c r="E814" s="70" t="s">
        <x:v>172</x:v>
      </x:c>
      <x:c r="F814" s="70" t="s">
        <x:v>1583</x:v>
      </x:c>
      <x:c r="G814" s="70" t="s">
        <x:v>1669</x:v>
      </x:c>
      <x:c r="H814" s="70" t="s">
        <x:v>1208</x:v>
      </x:c>
      <x:c r="I814" s="70" t="s">
        <x:v>1199</x:v>
      </x:c>
      <x:c r="J814" s="70" t="n">
        <x:v>237</x:v>
      </x:c>
      <x:c r="K814" s="70" t="s">
        <x:v>1680</x:v>
      </x:c>
      <x:c r="L814" s="70"/>
      <x:c r="M814" s="70" t="s">
        <x:v>35</x:v>
      </x:c>
      <x:c r="N814" s="71" t="n">
        <x:v>15469449</x:v>
      </x:c>
      <x:c r="O814" s="72" t="n">
        <x:f aca="0">N814/1000</x:f>
        <x:v>15469.449</x:v>
      </x:c>
      <x:c r="P814" s="73" t="n">
        <x:f aca="0">LUCK!E117</x:f>
        <x:v>15469.449</x:v>
      </x:c>
      <x:c r="Q814" s="70" t="str">
        <x:f aca="0">IF(ABS(O814-P814)&lt;0.000001,"PASS","FAIL")</x:f>
        <x:v>PASS</x:v>
      </x:c>
      <x:c r="R814" s="70" t="s">
        <x:v>34</x:v>
      </x:c>
      <x:c r="S814" s="70"/>
    </x:row>
    <x:row r="815" ht="15" hidden="0">
      <x:c r="A815" s="70" t="s">
        <x:v>2032</x:v>
      </x:c>
      <x:c r="B815" s="70" t="s">
        <x:v>31</x:v>
      </x:c>
      <x:c r="C815" s="70" t="s">
        <x:v>75</x:v>
      </x:c>
      <x:c r="D815" s="70" t="s">
        <x:v>475</x:v>
      </x:c>
      <x:c r="E815" s="70" t="s">
        <x:v>172</x:v>
      </x:c>
      <x:c r="F815" s="70" t="s">
        <x:v>1583</x:v>
      </x:c>
      <x:c r="G815" s="70" t="s">
        <x:v>1672</x:v>
      </x:c>
      <x:c r="H815" s="70" t="s">
        <x:v>1211</x:v>
      </x:c>
      <x:c r="I815" s="70" t="s">
        <x:v>1199</x:v>
      </x:c>
      <x:c r="J815" s="70" t="n">
        <x:v>241</x:v>
      </x:c>
      <x:c r="K815" s="70" t="s">
        <x:v>2027</x:v>
      </x:c>
      <x:c r="L815" s="70"/>
      <x:c r="M815" s="70" t="s">
        <x:v>35</x:v>
      </x:c>
      <x:c r="N815" s="71" t="n">
        <x:v>23242896</x:v>
      </x:c>
      <x:c r="O815" s="72" t="n">
        <x:f aca="0">N815/1000</x:f>
        <x:v>23242.896</x:v>
      </x:c>
      <x:c r="P815" s="73" t="n">
        <x:f aca="0">LUCK!F117</x:f>
        <x:v>23242.896</x:v>
      </x:c>
      <x:c r="Q815" s="70" t="str">
        <x:f aca="0">IF(ABS(O815-P815)&lt;0.000001,"PASS","FAIL")</x:f>
        <x:v>PASS</x:v>
      </x:c>
      <x:c r="R815" s="70" t="s">
        <x:v>34</x:v>
      </x:c>
      <x:c r="S815" s="70"/>
    </x:row>
    <x:row r="816" ht="15" hidden="0">
      <x:c r="A816" s="70" t="s">
        <x:v>2033</x:v>
      </x:c>
      <x:c r="B816" s="70" t="s">
        <x:v>31</x:v>
      </x:c>
      <x:c r="C816" s="70" t="s">
        <x:v>76</x:v>
      </x:c>
      <x:c r="D816" s="70" t="s">
        <x:v>475</x:v>
      </x:c>
      <x:c r="E816" s="70" t="s">
        <x:v>172</x:v>
      </x:c>
      <x:c r="F816" s="70" t="s">
        <x:v>1583</x:v>
      </x:c>
      <x:c r="G816" s="70" t="s">
        <x:v>1675</x:v>
      </x:c>
      <x:c r="H816" s="70" t="s">
        <x:v>1215</x:v>
      </x:c>
      <x:c r="I816" s="70" t="s">
        <x:v>1199</x:v>
      </x:c>
      <x:c r="J816" s="70" t="n">
        <x:v>243</x:v>
      </x:c>
      <x:c r="K816" s="70" t="s">
        <x:v>1200</x:v>
      </x:c>
      <x:c r="L816" s="70"/>
      <x:c r="M816" s="70" t="s">
        <x:v>35</x:v>
      </x:c>
      <x:c r="N816" s="71" t="n">
        <x:v>27580741</x:v>
      </x:c>
      <x:c r="O816" s="72" t="n">
        <x:f aca="0">N816/1000</x:f>
        <x:v>27580.741</x:v>
      </x:c>
      <x:c r="P816" s="73" t="n">
        <x:f aca="0">LUCK!G117</x:f>
        <x:v>27580.741</x:v>
      </x:c>
      <x:c r="Q816" s="70" t="str">
        <x:f aca="0">IF(ABS(O816-P816)&lt;0.000001,"PASS","FAIL")</x:f>
        <x:v>PASS</x:v>
      </x:c>
      <x:c r="R816" s="70" t="s">
        <x:v>34</x:v>
      </x:c>
      <x:c r="S816" s="70"/>
    </x:row>
    <x:row r="817" ht="15" hidden="0">
      <x:c r="A817" s="70" t="s">
        <x:v>2034</x:v>
      </x:c>
      <x:c r="B817" s="70" t="s">
        <x:v>31</x:v>
      </x:c>
      <x:c r="C817" s="70" t="s">
        <x:v>77</x:v>
      </x:c>
      <x:c r="D817" s="70" t="s">
        <x:v>475</x:v>
      </x:c>
      <x:c r="E817" s="70" t="s">
        <x:v>172</x:v>
      </x:c>
      <x:c r="F817" s="70" t="s">
        <x:v>1583</x:v>
      </x:c>
      <x:c r="G817" s="70" t="s">
        <x:v>1675</x:v>
      </x:c>
      <x:c r="H817" s="70" t="s">
        <x:v>1215</x:v>
      </x:c>
      <x:c r="I817" s="70" t="s">
        <x:v>1218</x:v>
      </x:c>
      <x:c r="J817" s="70" t="n">
        <x:v>243</x:v>
      </x:c>
      <x:c r="K817" s="70" t="s">
        <x:v>1200</x:v>
      </x:c>
      <x:c r="L817" s="70"/>
      <x:c r="M817" s="70" t="s">
        <x:v>35</x:v>
      </x:c>
      <x:c r="N817" s="71" t="n">
        <x:v>27572567</x:v>
      </x:c>
      <x:c r="O817" s="72" t="n">
        <x:f aca="0">N817/1000</x:f>
        <x:v>27572.567</x:v>
      </x:c>
      <x:c r="P817" s="73" t="n">
        <x:f aca="0">LUCK!H117</x:f>
        <x:v>27572.567</x:v>
      </x:c>
      <x:c r="Q817" s="70" t="str">
        <x:f aca="0">IF(ABS(O817-P817)&lt;0.000001,"PASS","FAIL")</x:f>
        <x:v>PASS</x:v>
      </x:c>
      <x:c r="R817" s="70" t="s">
        <x:v>34</x:v>
      </x:c>
      <x:c r="S817" s="70"/>
    </x:row>
    <x:row r="818" ht="15" hidden="0">
      <x:c r="A818" s="70" t="s">
        <x:v>2035</x:v>
      </x:c>
      <x:c r="B818" s="70" t="s">
        <x:v>31</x:v>
      </x:c>
      <x:c r="C818" s="70" t="s">
        <x:v>73</x:v>
      </x:c>
      <x:c r="D818" s="70" t="s">
        <x:v>477</x:v>
      </x:c>
      <x:c r="E818" s="70" t="s">
        <x:v>172</x:v>
      </x:c>
      <x:c r="F818" s="70" t="s">
        <x:v>2036</x:v>
      </x:c>
      <x:c r="G818" s="70" t="s">
        <x:v>1666</x:v>
      </x:c>
      <x:c r="H818" s="70" t="s">
        <x:v>1204</x:v>
      </x:c>
      <x:c r="I818" s="70" t="s">
        <x:v>1199</x:v>
      </x:c>
      <x:c r="J818" s="70" t="n">
        <x:v>229</x:v>
      </x:c>
      <x:c r="K818" s="70" t="s">
        <x:v>2024</x:v>
      </x:c>
      <x:c r="L818" s="70"/>
      <x:c r="M818" s="70" t="s">
        <x:v>35</x:v>
      </x:c>
      <x:c r="N818" s="71" t="n">
        <x:v>-308210</x:v>
      </x:c>
      <x:c r="O818" s="72" t="n">
        <x:f aca="0">N818/1000</x:f>
        <x:v>-308.21</x:v>
      </x:c>
      <x:c r="P818" s="73" t="n">
        <x:f aca="0">LUCK!D118</x:f>
        <x:v>-308.21</x:v>
      </x:c>
      <x:c r="Q818" s="70" t="str">
        <x:f aca="0">IF(ABS(O818-P818)&lt;0.000001,"PASS","FAIL")</x:f>
        <x:v>PASS</x:v>
      </x:c>
      <x:c r="R818" s="70" t="s">
        <x:v>34</x:v>
      </x:c>
      <x:c r="S818" s="70"/>
    </x:row>
    <x:row r="819" ht="15" hidden="0">
      <x:c r="A819" s="70" t="s">
        <x:v>2037</x:v>
      </x:c>
      <x:c r="B819" s="70" t="s">
        <x:v>31</x:v>
      </x:c>
      <x:c r="C819" s="70" t="s">
        <x:v>74</x:v>
      </x:c>
      <x:c r="D819" s="70" t="s">
        <x:v>477</x:v>
      </x:c>
      <x:c r="E819" s="70" t="s">
        <x:v>172</x:v>
      </x:c>
      <x:c r="F819" s="70" t="s">
        <x:v>2036</x:v>
      </x:c>
      <x:c r="G819" s="70" t="s">
        <x:v>1669</x:v>
      </x:c>
      <x:c r="H819" s="70" t="s">
        <x:v>1208</x:v>
      </x:c>
      <x:c r="I819" s="70" t="s">
        <x:v>1199</x:v>
      </x:c>
      <x:c r="J819" s="70" t="n">
        <x:v>237</x:v>
      </x:c>
      <x:c r="K819" s="70" t="s">
        <x:v>1680</x:v>
      </x:c>
      <x:c r="L819" s="70"/>
      <x:c r="M819" s="70" t="s">
        <x:v>35</x:v>
      </x:c>
      <x:c r="N819" s="71" t="n">
        <x:v>-329933</x:v>
      </x:c>
      <x:c r="O819" s="72" t="n">
        <x:f aca="0">N819/1000</x:f>
        <x:v>-329.933</x:v>
      </x:c>
      <x:c r="P819" s="73" t="n">
        <x:f aca="0">LUCK!E118</x:f>
        <x:v>-329.933</x:v>
      </x:c>
      <x:c r="Q819" s="70" t="str">
        <x:f aca="0">IF(ABS(O819-P819)&lt;0.000001,"PASS","FAIL")</x:f>
        <x:v>PASS</x:v>
      </x:c>
      <x:c r="R819" s="70" t="s">
        <x:v>34</x:v>
      </x:c>
      <x:c r="S819" s="70"/>
    </x:row>
    <x:row r="820" ht="15" hidden="0">
      <x:c r="A820" s="70" t="s">
        <x:v>2038</x:v>
      </x:c>
      <x:c r="B820" s="70" t="s">
        <x:v>31</x:v>
      </x:c>
      <x:c r="C820" s="70" t="s">
        <x:v>75</x:v>
      </x:c>
      <x:c r="D820" s="70" t="s">
        <x:v>477</x:v>
      </x:c>
      <x:c r="E820" s="70" t="s">
        <x:v>172</x:v>
      </x:c>
      <x:c r="F820" s="70" t="s">
        <x:v>2036</x:v>
      </x:c>
      <x:c r="G820" s="70" t="s">
        <x:v>1672</x:v>
      </x:c>
      <x:c r="H820" s="70" t="s">
        <x:v>1211</x:v>
      </x:c>
      <x:c r="I820" s="70" t="s">
        <x:v>1199</x:v>
      </x:c>
      <x:c r="J820" s="70" t="n">
        <x:v>241</x:v>
      </x:c>
      <x:c r="K820" s="70" t="s">
        <x:v>2027</x:v>
      </x:c>
      <x:c r="L820" s="70"/>
      <x:c r="M820" s="70" t="s">
        <x:v>35</x:v>
      </x:c>
      <x:c r="N820" s="71" t="n">
        <x:v>-807477</x:v>
      </x:c>
      <x:c r="O820" s="72" t="n">
        <x:f aca="0">N820/1000</x:f>
        <x:v>-807.477</x:v>
      </x:c>
      <x:c r="P820" s="73" t="n">
        <x:f aca="0">LUCK!F118</x:f>
        <x:v>-807.477</x:v>
      </x:c>
      <x:c r="Q820" s="70" t="str">
        <x:f aca="0">IF(ABS(O820-P820)&lt;0.000001,"PASS","FAIL")</x:f>
        <x:v>PASS</x:v>
      </x:c>
      <x:c r="R820" s="70" t="s">
        <x:v>34</x:v>
      </x:c>
      <x:c r="S820" s="70"/>
    </x:row>
    <x:row r="821" ht="15" hidden="0">
      <x:c r="A821" s="70" t="s">
        <x:v>2039</x:v>
      </x:c>
      <x:c r="B821" s="70" t="s">
        <x:v>31</x:v>
      </x:c>
      <x:c r="C821" s="70" t="s">
        <x:v>76</x:v>
      </x:c>
      <x:c r="D821" s="70" t="s">
        <x:v>477</x:v>
      </x:c>
      <x:c r="E821" s="70" t="s">
        <x:v>172</x:v>
      </x:c>
      <x:c r="F821" s="70" t="s">
        <x:v>2036</x:v>
      </x:c>
      <x:c r="G821" s="70" t="s">
        <x:v>1675</x:v>
      </x:c>
      <x:c r="H821" s="70" t="s">
        <x:v>1215</x:v>
      </x:c>
      <x:c r="I821" s="70" t="s">
        <x:v>1199</x:v>
      </x:c>
      <x:c r="J821" s="70" t="n">
        <x:v>243</x:v>
      </x:c>
      <x:c r="K821" s="70" t="s">
        <x:v>1200</x:v>
      </x:c>
      <x:c r="L821" s="70"/>
      <x:c r="M821" s="70" t="s">
        <x:v>35</x:v>
      </x:c>
      <x:c r="N821" s="71" t="n">
        <x:v>-1735978</x:v>
      </x:c>
      <x:c r="O821" s="72" t="n">
        <x:f aca="0">N821/1000</x:f>
        <x:v>-1735.978</x:v>
      </x:c>
      <x:c r="P821" s="73" t="n">
        <x:f aca="0">LUCK!G118</x:f>
        <x:v>-1735.978</x:v>
      </x:c>
      <x:c r="Q821" s="70" t="str">
        <x:f aca="0">IF(ABS(O821-P821)&lt;0.000001,"PASS","FAIL")</x:f>
        <x:v>PASS</x:v>
      </x:c>
      <x:c r="R821" s="70" t="s">
        <x:v>34</x:v>
      </x:c>
      <x:c r="S821" s="70"/>
    </x:row>
    <x:row r="822" ht="15" hidden="0">
      <x:c r="A822" s="70" t="s">
        <x:v>2040</x:v>
      </x:c>
      <x:c r="B822" s="70" t="s">
        <x:v>31</x:v>
      </x:c>
      <x:c r="C822" s="70" t="s">
        <x:v>77</x:v>
      </x:c>
      <x:c r="D822" s="70" t="s">
        <x:v>477</x:v>
      </x:c>
      <x:c r="E822" s="70" t="s">
        <x:v>172</x:v>
      </x:c>
      <x:c r="F822" s="70" t="s">
        <x:v>2036</x:v>
      </x:c>
      <x:c r="G822" s="70" t="s">
        <x:v>1675</x:v>
      </x:c>
      <x:c r="H822" s="70" t="s">
        <x:v>1215</x:v>
      </x:c>
      <x:c r="I822" s="70" t="s">
        <x:v>1218</x:v>
      </x:c>
      <x:c r="J822" s="70" t="n">
        <x:v>243</x:v>
      </x:c>
      <x:c r="K822" s="70" t="s">
        <x:v>1200</x:v>
      </x:c>
      <x:c r="L822" s="70"/>
      <x:c r="M822" s="70" t="s">
        <x:v>35</x:v>
      </x:c>
      <x:c r="N822" s="71" t="n">
        <x:v>-1527888</x:v>
      </x:c>
      <x:c r="O822" s="72" t="n">
        <x:f aca="0">N822/1000</x:f>
        <x:v>-1527.888</x:v>
      </x:c>
      <x:c r="P822" s="73" t="n">
        <x:f aca="0">LUCK!H118</x:f>
        <x:v>-1527.888</x:v>
      </x:c>
      <x:c r="Q822" s="70" t="str">
        <x:f aca="0">IF(ABS(O822-P822)&lt;0.000001,"PASS","FAIL")</x:f>
        <x:v>PASS</x:v>
      </x:c>
      <x:c r="R822" s="70" t="s">
        <x:v>34</x:v>
      </x:c>
      <x:c r="S822" s="70"/>
    </x:row>
    <x:row r="823" ht="15" hidden="0">
      <x:c r="A823" s="70" t="s">
        <x:v>2041</x:v>
      </x:c>
      <x:c r="B823" s="70" t="s">
        <x:v>31</x:v>
      </x:c>
      <x:c r="C823" s="70" t="s">
        <x:v>73</x:v>
      </x:c>
      <x:c r="D823" s="70" t="s">
        <x:v>479</x:v>
      </x:c>
      <x:c r="E823" s="70" t="s">
        <x:v>172</x:v>
      </x:c>
      <x:c r="F823" s="70" t="s">
        <x:v>1595</x:v>
      </x:c>
      <x:c r="G823" s="70" t="s">
        <x:v>1666</x:v>
      </x:c>
      <x:c r="H823" s="70" t="s">
        <x:v>1204</x:v>
      </x:c>
      <x:c r="I823" s="70" t="s">
        <x:v>1199</x:v>
      </x:c>
      <x:c r="J823" s="70" t="n">
        <x:v>229</x:v>
      </x:c>
      <x:c r="K823" s="70" t="s">
        <x:v>2024</x:v>
      </x:c>
      <x:c r="L823" s="70"/>
      <x:c r="M823" s="70" t="s">
        <x:v>482</x:v>
      </x:c>
      <x:c r="N823" s="70" t="s">
        <x:v>481</x:v>
      </x:c>
      <x:c r="O823" s="70" t="str">
        <x:f aca="0">N823</x:f>
        <x:v>Operating</x:v>
      </x:c>
      <x:c r="P823" s="70" t="str">
        <x:f aca="0">LUCK!D119</x:f>
        <x:v>Operating</x:v>
      </x:c>
      <x:c r="Q823" s="70" t="str">
        <x:f aca="0">IF(O823=P823,"PASS","FAIL")</x:f>
        <x:v>PASS</x:v>
      </x:c>
      <x:c r="R823" s="70" t="s">
        <x:v>34</x:v>
      </x:c>
      <x:c r="S823" s="70"/>
    </x:row>
    <x:row r="824" ht="15" hidden="0">
      <x:c r="A824" s="70" t="s">
        <x:v>2042</x:v>
      </x:c>
      <x:c r="B824" s="70" t="s">
        <x:v>31</x:v>
      </x:c>
      <x:c r="C824" s="70" t="s">
        <x:v>74</x:v>
      </x:c>
      <x:c r="D824" s="70" t="s">
        <x:v>479</x:v>
      </x:c>
      <x:c r="E824" s="70" t="s">
        <x:v>172</x:v>
      </x:c>
      <x:c r="F824" s="70" t="s">
        <x:v>1595</x:v>
      </x:c>
      <x:c r="G824" s="70" t="s">
        <x:v>1669</x:v>
      </x:c>
      <x:c r="H824" s="70" t="s">
        <x:v>1208</x:v>
      </x:c>
      <x:c r="I824" s="70" t="s">
        <x:v>1199</x:v>
      </x:c>
      <x:c r="J824" s="70" t="n">
        <x:v>237</x:v>
      </x:c>
      <x:c r="K824" s="70" t="s">
        <x:v>1680</x:v>
      </x:c>
      <x:c r="L824" s="70"/>
      <x:c r="M824" s="70" t="s">
        <x:v>482</x:v>
      </x:c>
      <x:c r="N824" s="70" t="s">
        <x:v>481</x:v>
      </x:c>
      <x:c r="O824" s="70" t="str">
        <x:f aca="0">N824</x:f>
        <x:v>Operating</x:v>
      </x:c>
      <x:c r="P824" s="70" t="str">
        <x:f aca="0">LUCK!E119</x:f>
        <x:v>Operating</x:v>
      </x:c>
      <x:c r="Q824" s="70" t="str">
        <x:f aca="0">IF(O824=P824,"PASS","FAIL")</x:f>
        <x:v>PASS</x:v>
      </x:c>
      <x:c r="R824" s="70" t="s">
        <x:v>34</x:v>
      </x:c>
      <x:c r="S824" s="70"/>
    </x:row>
    <x:row r="825" ht="15" hidden="0">
      <x:c r="A825" s="70" t="s">
        <x:v>2043</x:v>
      </x:c>
      <x:c r="B825" s="70" t="s">
        <x:v>31</x:v>
      </x:c>
      <x:c r="C825" s="70" t="s">
        <x:v>75</x:v>
      </x:c>
      <x:c r="D825" s="70" t="s">
        <x:v>479</x:v>
      </x:c>
      <x:c r="E825" s="70" t="s">
        <x:v>172</x:v>
      </x:c>
      <x:c r="F825" s="70" t="s">
        <x:v>1595</x:v>
      </x:c>
      <x:c r="G825" s="70" t="s">
        <x:v>1672</x:v>
      </x:c>
      <x:c r="H825" s="70" t="s">
        <x:v>1211</x:v>
      </x:c>
      <x:c r="I825" s="70" t="s">
        <x:v>1199</x:v>
      </x:c>
      <x:c r="J825" s="70" t="n">
        <x:v>241</x:v>
      </x:c>
      <x:c r="K825" s="70" t="s">
        <x:v>2027</x:v>
      </x:c>
      <x:c r="L825" s="70"/>
      <x:c r="M825" s="70" t="s">
        <x:v>482</x:v>
      </x:c>
      <x:c r="N825" s="70" t="s">
        <x:v>481</x:v>
      </x:c>
      <x:c r="O825" s="70" t="str">
        <x:f aca="0">N825</x:f>
        <x:v>Operating</x:v>
      </x:c>
      <x:c r="P825" s="70" t="str">
        <x:f aca="0">LUCK!F119</x:f>
        <x:v>Operating</x:v>
      </x:c>
      <x:c r="Q825" s="70" t="str">
        <x:f aca="0">IF(O825=P825,"PASS","FAIL")</x:f>
        <x:v>PASS</x:v>
      </x:c>
      <x:c r="R825" s="70" t="s">
        <x:v>34</x:v>
      </x:c>
      <x:c r="S825" s="70"/>
    </x:row>
    <x:row r="826" ht="15" hidden="0">
      <x:c r="A826" s="70" t="s">
        <x:v>2044</x:v>
      </x:c>
      <x:c r="B826" s="70" t="s">
        <x:v>31</x:v>
      </x:c>
      <x:c r="C826" s="70" t="s">
        <x:v>76</x:v>
      </x:c>
      <x:c r="D826" s="70" t="s">
        <x:v>479</x:v>
      </x:c>
      <x:c r="E826" s="70" t="s">
        <x:v>172</x:v>
      </x:c>
      <x:c r="F826" s="70" t="s">
        <x:v>1595</x:v>
      </x:c>
      <x:c r="G826" s="70" t="s">
        <x:v>1675</x:v>
      </x:c>
      <x:c r="H826" s="70" t="s">
        <x:v>1215</x:v>
      </x:c>
      <x:c r="I826" s="70" t="s">
        <x:v>1199</x:v>
      </x:c>
      <x:c r="J826" s="70" t="n">
        <x:v>243</x:v>
      </x:c>
      <x:c r="K826" s="70" t="s">
        <x:v>1200</x:v>
      </x:c>
      <x:c r="L826" s="70"/>
      <x:c r="M826" s="70" t="s">
        <x:v>482</x:v>
      </x:c>
      <x:c r="N826" s="70" t="s">
        <x:v>481</x:v>
      </x:c>
      <x:c r="O826" s="70" t="str">
        <x:f aca="0">N826</x:f>
        <x:v>Operating</x:v>
      </x:c>
      <x:c r="P826" s="70" t="str">
        <x:f aca="0">LUCK!G119</x:f>
        <x:v>Operating</x:v>
      </x:c>
      <x:c r="Q826" s="70" t="str">
        <x:f aca="0">IF(O826=P826,"PASS","FAIL")</x:f>
        <x:v>PASS</x:v>
      </x:c>
      <x:c r="R826" s="70" t="s">
        <x:v>34</x:v>
      </x:c>
      <x:c r="S826" s="70"/>
    </x:row>
    <x:row r="827" ht="15" hidden="0">
      <x:c r="A827" s="70" t="s">
        <x:v>2045</x:v>
      </x:c>
      <x:c r="B827" s="70" t="s">
        <x:v>31</x:v>
      </x:c>
      <x:c r="C827" s="70" t="s">
        <x:v>77</x:v>
      </x:c>
      <x:c r="D827" s="70" t="s">
        <x:v>479</x:v>
      </x:c>
      <x:c r="E827" s="70" t="s">
        <x:v>172</x:v>
      </x:c>
      <x:c r="F827" s="70" t="s">
        <x:v>1595</x:v>
      </x:c>
      <x:c r="G827" s="70" t="s">
        <x:v>1675</x:v>
      </x:c>
      <x:c r="H827" s="70" t="s">
        <x:v>1215</x:v>
      </x:c>
      <x:c r="I827" s="70" t="s">
        <x:v>1218</x:v>
      </x:c>
      <x:c r="J827" s="70" t="n">
        <x:v>243</x:v>
      </x:c>
      <x:c r="K827" s="70" t="s">
        <x:v>1200</x:v>
      </x:c>
      <x:c r="L827" s="70"/>
      <x:c r="M827" s="70" t="s">
        <x:v>482</x:v>
      </x:c>
      <x:c r="N827" s="70" t="s">
        <x:v>481</x:v>
      </x:c>
      <x:c r="O827" s="70" t="str">
        <x:f aca="0">N827</x:f>
        <x:v>Operating</x:v>
      </x:c>
      <x:c r="P827" s="70" t="str">
        <x:f aca="0">LUCK!H119</x:f>
        <x:v>Operating</x:v>
      </x:c>
      <x:c r="Q827" s="70" t="str">
        <x:f aca="0">IF(O827=P827,"PASS","FAIL")</x:f>
        <x:v>PASS</x:v>
      </x:c>
      <x:c r="R827" s="70" t="s">
        <x:v>34</x:v>
      </x:c>
      <x:c r="S827" s="70"/>
    </x:row>
    <x:row r="828" ht="15" hidden="0">
      <x:c r="A828" s="70" t="s">
        <x:v>2046</x:v>
      </x:c>
      <x:c r="B828" s="70" t="s">
        <x:v>31</x:v>
      </x:c>
      <x:c r="C828" s="70" t="s">
        <x:v>73</x:v>
      </x:c>
      <x:c r="D828" s="70" t="s">
        <x:v>485</x:v>
      </x:c>
      <x:c r="E828" s="70" t="s">
        <x:v>172</x:v>
      </x:c>
      <x:c r="F828" s="70" t="s">
        <x:v>2047</x:v>
      </x:c>
      <x:c r="G828" s="70" t="s">
        <x:v>1666</x:v>
      </x:c>
      <x:c r="H828" s="70" t="s">
        <x:v>1204</x:v>
      </x:c>
      <x:c r="I828" s="70" t="s">
        <x:v>1199</x:v>
      </x:c>
      <x:c r="J828" s="70" t="n">
        <x:v>229</x:v>
      </x:c>
      <x:c r="K828" s="70" t="s">
        <x:v>2024</x:v>
      </x:c>
      <x:c r="L828" s="70"/>
      <x:c r="M828" s="70" t="s">
        <x:v>35</x:v>
      </x:c>
      <x:c r="N828" s="71" t="n">
        <x:v>-6470913</x:v>
      </x:c>
      <x:c r="O828" s="72" t="n">
        <x:f aca="0">N828/1000</x:f>
        <x:v>-6470.913</x:v>
      </x:c>
      <x:c r="P828" s="73" t="n">
        <x:f aca="0">LUCK!D121</x:f>
        <x:v>-6470.913</x:v>
      </x:c>
      <x:c r="Q828" s="70" t="str">
        <x:f aca="0">IF(ABS(O828-P828)&lt;0.000001,"PASS","FAIL")</x:f>
        <x:v>PASS</x:v>
      </x:c>
      <x:c r="R828" s="70" t="s">
        <x:v>34</x:v>
      </x:c>
      <x:c r="S828" s="70"/>
    </x:row>
    <x:row r="829" ht="15" hidden="0">
      <x:c r="A829" s="70" t="s">
        <x:v>2048</x:v>
      </x:c>
      <x:c r="B829" s="70" t="s">
        <x:v>31</x:v>
      </x:c>
      <x:c r="C829" s="70" t="s">
        <x:v>74</x:v>
      </x:c>
      <x:c r="D829" s="70" t="s">
        <x:v>485</x:v>
      </x:c>
      <x:c r="E829" s="70" t="s">
        <x:v>172</x:v>
      </x:c>
      <x:c r="F829" s="70" t="s">
        <x:v>2049</x:v>
      </x:c>
      <x:c r="G829" s="70" t="s">
        <x:v>1669</x:v>
      </x:c>
      <x:c r="H829" s="70" t="s">
        <x:v>1208</x:v>
      </x:c>
      <x:c r="I829" s="70" t="s">
        <x:v>1199</x:v>
      </x:c>
      <x:c r="J829" s="70" t="n">
        <x:v>237</x:v>
      </x:c>
      <x:c r="K829" s="70" t="s">
        <x:v>1680</x:v>
      </x:c>
      <x:c r="L829" s="70"/>
      <x:c r="M829" s="70" t="s">
        <x:v>35</x:v>
      </x:c>
      <x:c r="N829" s="71" t="n">
        <x:v>-24537830</x:v>
      </x:c>
      <x:c r="O829" s="72" t="n">
        <x:f aca="0">N829/1000</x:f>
        <x:v>-24537.83</x:v>
      </x:c>
      <x:c r="P829" s="73" t="n">
        <x:f aca="0">LUCK!E121</x:f>
        <x:v>-24537.83</x:v>
      </x:c>
      <x:c r="Q829" s="70" t="str">
        <x:f aca="0">IF(ABS(O829-P829)&lt;0.000001,"PASS","FAIL")</x:f>
        <x:v>PASS</x:v>
      </x:c>
      <x:c r="R829" s="70" t="s">
        <x:v>34</x:v>
      </x:c>
      <x:c r="S829" s="70" t="s">
        <x:v>1205</x:v>
      </x:c>
    </x:row>
    <x:row r="830" ht="15" hidden="0">
      <x:c r="A830" s="70" t="s">
        <x:v>2050</x:v>
      </x:c>
      <x:c r="B830" s="70" t="s">
        <x:v>31</x:v>
      </x:c>
      <x:c r="C830" s="70" t="s">
        <x:v>75</x:v>
      </x:c>
      <x:c r="D830" s="70" t="s">
        <x:v>485</x:v>
      </x:c>
      <x:c r="E830" s="70" t="s">
        <x:v>172</x:v>
      </x:c>
      <x:c r="F830" s="70" t="s">
        <x:v>2051</x:v>
      </x:c>
      <x:c r="G830" s="70" t="s">
        <x:v>1672</x:v>
      </x:c>
      <x:c r="H830" s="70" t="s">
        <x:v>1211</x:v>
      </x:c>
      <x:c r="I830" s="70" t="s">
        <x:v>1199</x:v>
      </x:c>
      <x:c r="J830" s="70" t="n">
        <x:v>241</x:v>
      </x:c>
      <x:c r="K830" s="70" t="s">
        <x:v>2027</x:v>
      </x:c>
      <x:c r="L830" s="70"/>
      <x:c r="M830" s="70" t="s">
        <x:v>35</x:v>
      </x:c>
      <x:c r="N830" s="71" t="n">
        <x:v>-18644906</x:v>
      </x:c>
      <x:c r="O830" s="72" t="n">
        <x:f aca="0">N830/1000</x:f>
        <x:v>-18644.906</x:v>
      </x:c>
      <x:c r="P830" s="73" t="n">
        <x:f aca="0">LUCK!F121</x:f>
        <x:v>-18644.906</x:v>
      </x:c>
      <x:c r="Q830" s="70" t="str">
        <x:f aca="0">IF(ABS(O830-P830)&lt;0.000001,"PASS","FAIL")</x:f>
        <x:v>PASS</x:v>
      </x:c>
      <x:c r="R830" s="70" t="s">
        <x:v>34</x:v>
      </x:c>
      <x:c r="S830" s="70"/>
    </x:row>
    <x:row r="831" ht="15" hidden="0">
      <x:c r="A831" s="70" t="s">
        <x:v>2052</x:v>
      </x:c>
      <x:c r="B831" s="70" t="s">
        <x:v>31</x:v>
      </x:c>
      <x:c r="C831" s="70" t="s">
        <x:v>76</x:v>
      </x:c>
      <x:c r="D831" s="70" t="s">
        <x:v>485</x:v>
      </x:c>
      <x:c r="E831" s="70" t="s">
        <x:v>172</x:v>
      </x:c>
      <x:c r="F831" s="70" t="s">
        <x:v>2053</x:v>
      </x:c>
      <x:c r="G831" s="70" t="s">
        <x:v>1675</x:v>
      </x:c>
      <x:c r="H831" s="70" t="s">
        <x:v>1215</x:v>
      </x:c>
      <x:c r="I831" s="70" t="s">
        <x:v>1199</x:v>
      </x:c>
      <x:c r="J831" s="70" t="n">
        <x:v>243</x:v>
      </x:c>
      <x:c r="K831" s="70" t="s">
        <x:v>1200</x:v>
      </x:c>
      <x:c r="L831" s="70"/>
      <x:c r="M831" s="70" t="s">
        <x:v>35</x:v>
      </x:c>
      <x:c r="N831" s="71" t="n">
        <x:v>-17709902</x:v>
      </x:c>
      <x:c r="O831" s="72" t="n">
        <x:f aca="0">N831/1000</x:f>
        <x:v>-17709.902</x:v>
      </x:c>
      <x:c r="P831" s="73" t="n">
        <x:f aca="0">LUCK!G121</x:f>
        <x:v>-17709.902</x:v>
      </x:c>
      <x:c r="Q831" s="70" t="str">
        <x:f aca="0">IF(ABS(O831-P831)&lt;0.000001,"PASS","FAIL")</x:f>
        <x:v>PASS</x:v>
      </x:c>
      <x:c r="R831" s="70" t="s">
        <x:v>34</x:v>
      </x:c>
      <x:c r="S831" s="70"/>
    </x:row>
    <x:row r="832" ht="15" hidden="0">
      <x:c r="A832" s="70" t="s">
        <x:v>2054</x:v>
      </x:c>
      <x:c r="B832" s="70" t="s">
        <x:v>31</x:v>
      </x:c>
      <x:c r="C832" s="70" t="s">
        <x:v>77</x:v>
      </x:c>
      <x:c r="D832" s="70" t="s">
        <x:v>485</x:v>
      </x:c>
      <x:c r="E832" s="70" t="s">
        <x:v>172</x:v>
      </x:c>
      <x:c r="F832" s="70" t="s">
        <x:v>2053</x:v>
      </x:c>
      <x:c r="G832" s="70" t="s">
        <x:v>1675</x:v>
      </x:c>
      <x:c r="H832" s="70" t="s">
        <x:v>1215</x:v>
      </x:c>
      <x:c r="I832" s="70" t="s">
        <x:v>1218</x:v>
      </x:c>
      <x:c r="J832" s="70" t="n">
        <x:v>243</x:v>
      </x:c>
      <x:c r="K832" s="70" t="s">
        <x:v>1200</x:v>
      </x:c>
      <x:c r="L832" s="70"/>
      <x:c r="M832" s="70" t="s">
        <x:v>35</x:v>
      </x:c>
      <x:c r="N832" s="71" t="n">
        <x:v>-7048725</x:v>
      </x:c>
      <x:c r="O832" s="72" t="n">
        <x:f aca="0">N832/1000</x:f>
        <x:v>-7048.725</x:v>
      </x:c>
      <x:c r="P832" s="73" t="n">
        <x:f aca="0">LUCK!H121</x:f>
        <x:v>-7048.725</x:v>
      </x:c>
      <x:c r="Q832" s="70" t="str">
        <x:f aca="0">IF(ABS(O832-P832)&lt;0.000001,"PASS","FAIL")</x:f>
        <x:v>PASS</x:v>
      </x:c>
      <x:c r="R832" s="70" t="s">
        <x:v>34</x:v>
      </x:c>
      <x:c r="S832" s="70"/>
    </x:row>
    <x:row r="833" ht="15" hidden="0">
      <x:c r="A833" s="70" t="s">
        <x:v>2055</x:v>
      </x:c>
      <x:c r="B833" s="70" t="s">
        <x:v>31</x:v>
      </x:c>
      <x:c r="C833" s="70" t="s">
        <x:v>73</x:v>
      </x:c>
      <x:c r="D833" s="70" t="s">
        <x:v>487</x:v>
      </x:c>
      <x:c r="E833" s="70" t="s">
        <x:v>172</x:v>
      </x:c>
      <x:c r="F833" s="70" t="s">
        <x:v>1607</x:v>
      </x:c>
      <x:c r="G833" s="70" t="s">
        <x:v>1666</x:v>
      </x:c>
      <x:c r="H833" s="70" t="s">
        <x:v>1204</x:v>
      </x:c>
      <x:c r="I833" s="70" t="s">
        <x:v>1199</x:v>
      </x:c>
      <x:c r="J833" s="70" t="n">
        <x:v>229</x:v>
      </x:c>
      <x:c r="K833" s="70" t="s">
        <x:v>2024</x:v>
      </x:c>
      <x:c r="L833" s="70"/>
      <x:c r="M833" s="70" t="s">
        <x:v>35</x:v>
      </x:c>
      <x:c r="N833" s="71" t="n">
        <x:v>-5762325</x:v>
      </x:c>
      <x:c r="O833" s="72" t="n">
        <x:f aca="0">N833/1000</x:f>
        <x:v>-5762.325</x:v>
      </x:c>
      <x:c r="P833" s="73" t="n">
        <x:f aca="0">LUCK!D122</x:f>
        <x:v>-5762.325</x:v>
      </x:c>
      <x:c r="Q833" s="70" t="str">
        <x:f aca="0">IF(ABS(O833-P833)&lt;0.000001,"PASS","FAIL")</x:f>
        <x:v>PASS</x:v>
      </x:c>
      <x:c r="R833" s="70" t="s">
        <x:v>34</x:v>
      </x:c>
      <x:c r="S833" s="70"/>
    </x:row>
    <x:row r="834" ht="15" hidden="0">
      <x:c r="A834" s="70" t="s">
        <x:v>2056</x:v>
      </x:c>
      <x:c r="B834" s="70" t="s">
        <x:v>31</x:v>
      </x:c>
      <x:c r="C834" s="70" t="s">
        <x:v>74</x:v>
      </x:c>
      <x:c r="D834" s="70" t="s">
        <x:v>487</x:v>
      </x:c>
      <x:c r="E834" s="70" t="s">
        <x:v>172</x:v>
      </x:c>
      <x:c r="F834" s="70" t="s">
        <x:v>1607</x:v>
      </x:c>
      <x:c r="G834" s="70" t="s">
        <x:v>1669</x:v>
      </x:c>
      <x:c r="H834" s="70" t="s">
        <x:v>1208</x:v>
      </x:c>
      <x:c r="I834" s="70" t="s">
        <x:v>1199</x:v>
      </x:c>
      <x:c r="J834" s="70" t="n">
        <x:v>237</x:v>
      </x:c>
      <x:c r="K834" s="70" t="s">
        <x:v>1680</x:v>
      </x:c>
      <x:c r="L834" s="70"/>
      <x:c r="M834" s="70" t="s">
        <x:v>35</x:v>
      </x:c>
      <x:c r="N834" s="71" t="n">
        <x:v>-24826255</x:v>
      </x:c>
      <x:c r="O834" s="72" t="n">
        <x:f aca="0">N834/1000</x:f>
        <x:v>-24826.255</x:v>
      </x:c>
      <x:c r="P834" s="73" t="n">
        <x:f aca="0">LUCK!E122</x:f>
        <x:v>-24826.255</x:v>
      </x:c>
      <x:c r="Q834" s="70" t="str">
        <x:f aca="0">IF(ABS(O834-P834)&lt;0.000001,"PASS","FAIL")</x:f>
        <x:v>PASS</x:v>
      </x:c>
      <x:c r="R834" s="70" t="s">
        <x:v>34</x:v>
      </x:c>
      <x:c r="S834" s="70"/>
    </x:row>
    <x:row r="835" ht="15" hidden="0">
      <x:c r="A835" s="70" t="s">
        <x:v>2057</x:v>
      </x:c>
      <x:c r="B835" s="70" t="s">
        <x:v>31</x:v>
      </x:c>
      <x:c r="C835" s="70" t="s">
        <x:v>75</x:v>
      </x:c>
      <x:c r="D835" s="70" t="s">
        <x:v>487</x:v>
      </x:c>
      <x:c r="E835" s="70" t="s">
        <x:v>172</x:v>
      </x:c>
      <x:c r="F835" s="70" t="s">
        <x:v>1607</x:v>
      </x:c>
      <x:c r="G835" s="70" t="s">
        <x:v>1672</x:v>
      </x:c>
      <x:c r="H835" s="70" t="s">
        <x:v>1211</x:v>
      </x:c>
      <x:c r="I835" s="70" t="s">
        <x:v>1199</x:v>
      </x:c>
      <x:c r="J835" s="70" t="n">
        <x:v>241</x:v>
      </x:c>
      <x:c r="K835" s="70" t="s">
        <x:v>2027</x:v>
      </x:c>
      <x:c r="L835" s="70"/>
      <x:c r="M835" s="70" t="s">
        <x:v>35</x:v>
      </x:c>
      <x:c r="N835" s="71" t="n">
        <x:v>-12978915</x:v>
      </x:c>
      <x:c r="O835" s="72" t="n">
        <x:f aca="0">N835/1000</x:f>
        <x:v>-12978.915</x:v>
      </x:c>
      <x:c r="P835" s="73" t="n">
        <x:f aca="0">LUCK!F122</x:f>
        <x:v>-12978.915</x:v>
      </x:c>
      <x:c r="Q835" s="70" t="str">
        <x:f aca="0">IF(ABS(O835-P835)&lt;0.000001,"PASS","FAIL")</x:f>
        <x:v>PASS</x:v>
      </x:c>
      <x:c r="R835" s="70" t="s">
        <x:v>34</x:v>
      </x:c>
      <x:c r="S835" s="70"/>
    </x:row>
    <x:row r="836" ht="15" hidden="0">
      <x:c r="A836" s="70" t="s">
        <x:v>2058</x:v>
      </x:c>
      <x:c r="B836" s="70" t="s">
        <x:v>31</x:v>
      </x:c>
      <x:c r="C836" s="70" t="s">
        <x:v>76</x:v>
      </x:c>
      <x:c r="D836" s="70" t="s">
        <x:v>487</x:v>
      </x:c>
      <x:c r="E836" s="70" t="s">
        <x:v>172</x:v>
      </x:c>
      <x:c r="F836" s="70" t="s">
        <x:v>2059</x:v>
      </x:c>
      <x:c r="G836" s="70" t="s">
        <x:v>1675</x:v>
      </x:c>
      <x:c r="H836" s="70" t="s">
        <x:v>1215</x:v>
      </x:c>
      <x:c r="I836" s="70" t="s">
        <x:v>1199</x:v>
      </x:c>
      <x:c r="J836" s="70" t="n">
        <x:v>243</x:v>
      </x:c>
      <x:c r="K836" s="70" t="s">
        <x:v>1200</x:v>
      </x:c>
      <x:c r="L836" s="70"/>
      <x:c r="M836" s="70" t="s">
        <x:v>35</x:v>
      </x:c>
      <x:c r="N836" s="71" t="n">
        <x:v>-2580021</x:v>
      </x:c>
      <x:c r="O836" s="72" t="n">
        <x:f aca="0">N836/1000</x:f>
        <x:v>-2580.021</x:v>
      </x:c>
      <x:c r="P836" s="73" t="n">
        <x:f aca="0">LUCK!G122</x:f>
        <x:v>-2580.021</x:v>
      </x:c>
      <x:c r="Q836" s="70" t="str">
        <x:f aca="0">IF(ABS(O836-P836)&lt;0.000001,"PASS","FAIL")</x:f>
        <x:v>PASS</x:v>
      </x:c>
      <x:c r="R836" s="70" t="s">
        <x:v>34</x:v>
      </x:c>
      <x:c r="S836" s="70"/>
    </x:row>
    <x:row r="837" ht="15" hidden="0">
      <x:c r="A837" s="70" t="s">
        <x:v>2060</x:v>
      </x:c>
      <x:c r="B837" s="70" t="s">
        <x:v>31</x:v>
      </x:c>
      <x:c r="C837" s="70" t="s">
        <x:v>77</x:v>
      </x:c>
      <x:c r="D837" s="70" t="s">
        <x:v>487</x:v>
      </x:c>
      <x:c r="E837" s="70" t="s">
        <x:v>172</x:v>
      </x:c>
      <x:c r="F837" s="70" t="s">
        <x:v>2059</x:v>
      </x:c>
      <x:c r="G837" s="70" t="s">
        <x:v>1675</x:v>
      </x:c>
      <x:c r="H837" s="70" t="s">
        <x:v>1215</x:v>
      </x:c>
      <x:c r="I837" s="70" t="s">
        <x:v>1218</x:v>
      </x:c>
      <x:c r="J837" s="70" t="n">
        <x:v>243</x:v>
      </x:c>
      <x:c r="K837" s="70" t="s">
        <x:v>1200</x:v>
      </x:c>
      <x:c r="L837" s="70"/>
      <x:c r="M837" s="70" t="s">
        <x:v>35</x:v>
      </x:c>
      <x:c r="N837" s="71" t="n">
        <x:v>11714661</x:v>
      </x:c>
      <x:c r="O837" s="72" t="n">
        <x:f aca="0">N837/1000</x:f>
        <x:v>11714.661</x:v>
      </x:c>
      <x:c r="P837" s="73" t="n">
        <x:f aca="0">LUCK!H122</x:f>
        <x:v>11714.661</x:v>
      </x:c>
      <x:c r="Q837" s="70" t="str">
        <x:f aca="0">IF(ABS(O837-P837)&lt;0.000001,"PASS","FAIL")</x:f>
        <x:v>PASS</x:v>
      </x:c>
      <x:c r="R837" s="70" t="s">
        <x:v>34</x:v>
      </x:c>
      <x:c r="S837" s="70"/>
    </x:row>
    <x:row r="838" ht="15" hidden="0">
      <x:c r="A838" s="70" t="s">
        <x:v>2061</x:v>
      </x:c>
      <x:c r="B838" s="70" t="s">
        <x:v>31</x:v>
      </x:c>
      <x:c r="C838" s="70" t="s">
        <x:v>73</x:v>
      </x:c>
      <x:c r="D838" s="70" t="s">
        <x:v>489</x:v>
      </x:c>
      <x:c r="E838" s="70" t="s">
        <x:v>172</x:v>
      </x:c>
      <x:c r="F838" s="70" t="s">
        <x:v>2062</x:v>
      </x:c>
      <x:c r="G838" s="70" t="s">
        <x:v>1666</x:v>
      </x:c>
      <x:c r="H838" s="70" t="s">
        <x:v>1204</x:v>
      </x:c>
      <x:c r="I838" s="70" t="s">
        <x:v>1199</x:v>
      </x:c>
      <x:c r="J838" s="70" t="n">
        <x:v>229</x:v>
      </x:c>
      <x:c r="K838" s="70" t="s">
        <x:v>2024</x:v>
      </x:c>
      <x:c r="L838" s="70"/>
      <x:c r="M838" s="70" t="s">
        <x:v>35</x:v>
      </x:c>
      <x:c r="N838" s="71" t="n">
        <x:v>4022095</x:v>
      </x:c>
      <x:c r="O838" s="72" t="n">
        <x:f aca="0">N838/1000</x:f>
        <x:v>4022.095</x:v>
      </x:c>
      <x:c r="P838" s="73" t="n">
        <x:f aca="0">LUCK!D123</x:f>
        <x:v>4022.095</x:v>
      </x:c>
      <x:c r="Q838" s="70" t="str">
        <x:f aca="0">IF(ABS(O838-P838)&lt;0.000001,"PASS","FAIL")</x:f>
        <x:v>PASS</x:v>
      </x:c>
      <x:c r="R838" s="70" t="s">
        <x:v>34</x:v>
      </x:c>
      <x:c r="S838" s="70"/>
    </x:row>
    <x:row r="839" ht="15" hidden="0">
      <x:c r="A839" s="70" t="s">
        <x:v>2063</x:v>
      </x:c>
      <x:c r="B839" s="70" t="s">
        <x:v>31</x:v>
      </x:c>
      <x:c r="C839" s="70" t="s">
        <x:v>74</x:v>
      </x:c>
      <x:c r="D839" s="70" t="s">
        <x:v>489</x:v>
      </x:c>
      <x:c r="E839" s="70" t="s">
        <x:v>172</x:v>
      </x:c>
      <x:c r="F839" s="70" t="s">
        <x:v>2062</x:v>
      </x:c>
      <x:c r="G839" s="70" t="s">
        <x:v>1669</x:v>
      </x:c>
      <x:c r="H839" s="70" t="s">
        <x:v>1208</x:v>
      </x:c>
      <x:c r="I839" s="70" t="s">
        <x:v>1199</x:v>
      </x:c>
      <x:c r="J839" s="70" t="n">
        <x:v>237</x:v>
      </x:c>
      <x:c r="K839" s="70" t="s">
        <x:v>1680</x:v>
      </x:c>
      <x:c r="L839" s="70"/>
      <x:c r="M839" s="70" t="s">
        <x:v>35</x:v>
      </x:c>
      <x:c r="N839" s="71" t="n">
        <x:v>6158783</x:v>
      </x:c>
      <x:c r="O839" s="72" t="n">
        <x:f aca="0">N839/1000</x:f>
        <x:v>6158.783</x:v>
      </x:c>
      <x:c r="P839" s="73" t="n">
        <x:f aca="0">LUCK!E123</x:f>
        <x:v>6158.783</x:v>
      </x:c>
      <x:c r="Q839" s="70" t="str">
        <x:f aca="0">IF(ABS(O839-P839)&lt;0.000001,"PASS","FAIL")</x:f>
        <x:v>PASS</x:v>
      </x:c>
      <x:c r="R839" s="70" t="s">
        <x:v>34</x:v>
      </x:c>
      <x:c r="S839" s="70" t="s">
        <x:v>1205</x:v>
      </x:c>
    </x:row>
    <x:row r="840" ht="15" hidden="0">
      <x:c r="A840" s="70" t="s">
        <x:v>2064</x:v>
      </x:c>
      <x:c r="B840" s="70" t="s">
        <x:v>31</x:v>
      </x:c>
      <x:c r="C840" s="70" t="s">
        <x:v>75</x:v>
      </x:c>
      <x:c r="D840" s="70" t="s">
        <x:v>489</x:v>
      </x:c>
      <x:c r="E840" s="70" t="s">
        <x:v>172</x:v>
      </x:c>
      <x:c r="F840" s="70" t="s">
        <x:v>2065</x:v>
      </x:c>
      <x:c r="G840" s="70" t="s">
        <x:v>1672</x:v>
      </x:c>
      <x:c r="H840" s="70" t="s">
        <x:v>1211</x:v>
      </x:c>
      <x:c r="I840" s="70" t="s">
        <x:v>1199</x:v>
      </x:c>
      <x:c r="J840" s="70" t="n">
        <x:v>241</x:v>
      </x:c>
      <x:c r="K840" s="70" t="s">
        <x:v>2027</x:v>
      </x:c>
      <x:c r="L840" s="70"/>
      <x:c r="M840" s="70" t="s">
        <x:v>35</x:v>
      </x:c>
      <x:c r="N840" s="71" t="n">
        <x:v>244582</x:v>
      </x:c>
      <x:c r="O840" s="72" t="n">
        <x:f aca="0">N840/1000</x:f>
        <x:v>244.582</x:v>
      </x:c>
      <x:c r="P840" s="73" t="n">
        <x:f aca="0">LUCK!F123</x:f>
        <x:v>244.582</x:v>
      </x:c>
      <x:c r="Q840" s="70" t="str">
        <x:f aca="0">IF(ABS(O840-P840)&lt;0.000001,"PASS","FAIL")</x:f>
        <x:v>PASS</x:v>
      </x:c>
      <x:c r="R840" s="70" t="s">
        <x:v>34</x:v>
      </x:c>
      <x:c r="S840" s="70"/>
    </x:row>
    <x:row r="841" ht="15" hidden="0">
      <x:c r="A841" s="70" t="s">
        <x:v>2066</x:v>
      </x:c>
      <x:c r="B841" s="70" t="s">
        <x:v>31</x:v>
      </x:c>
      <x:c r="C841" s="70" t="s">
        <x:v>76</x:v>
      </x:c>
      <x:c r="D841" s="70" t="s">
        <x:v>489</x:v>
      </x:c>
      <x:c r="E841" s="70" t="s">
        <x:v>172</x:v>
      </x:c>
      <x:c r="F841" s="70" t="s">
        <x:v>1613</x:v>
      </x:c>
      <x:c r="G841" s="70" t="s">
        <x:v>1675</x:v>
      </x:c>
      <x:c r="H841" s="70" t="s">
        <x:v>1215</x:v>
      </x:c>
      <x:c r="I841" s="70" t="s">
        <x:v>1199</x:v>
      </x:c>
      <x:c r="J841" s="70" t="n">
        <x:v>243</x:v>
      </x:c>
      <x:c r="K841" s="70" t="s">
        <x:v>1200</x:v>
      </x:c>
      <x:c r="L841" s="70"/>
      <x:c r="M841" s="70" t="s">
        <x:v>35</x:v>
      </x:c>
      <x:c r="N841" s="71" t="n">
        <x:v>-18620168</x:v>
      </x:c>
      <x:c r="O841" s="72" t="n">
        <x:f aca="0">N841/1000</x:f>
        <x:v>-18620.168</x:v>
      </x:c>
      <x:c r="P841" s="73" t="n">
        <x:f aca="0">LUCK!G123</x:f>
        <x:v>-18620.168</x:v>
      </x:c>
      <x:c r="Q841" s="70" t="str">
        <x:f aca="0">IF(ABS(O841-P841)&lt;0.000001,"PASS","FAIL")</x:f>
        <x:v>PASS</x:v>
      </x:c>
      <x:c r="R841" s="70" t="s">
        <x:v>34</x:v>
      </x:c>
      <x:c r="S841" s="70"/>
    </x:row>
    <x:row r="842" ht="15" hidden="0">
      <x:c r="A842" s="70" t="s">
        <x:v>2067</x:v>
      </x:c>
      <x:c r="B842" s="70" t="s">
        <x:v>31</x:v>
      </x:c>
      <x:c r="C842" s="70" t="s">
        <x:v>77</x:v>
      </x:c>
      <x:c r="D842" s="70" t="s">
        <x:v>489</x:v>
      </x:c>
      <x:c r="E842" s="70" t="s">
        <x:v>172</x:v>
      </x:c>
      <x:c r="F842" s="70" t="s">
        <x:v>1613</x:v>
      </x:c>
      <x:c r="G842" s="70" t="s">
        <x:v>1675</x:v>
      </x:c>
      <x:c r="H842" s="70" t="s">
        <x:v>1215</x:v>
      </x:c>
      <x:c r="I842" s="70" t="s">
        <x:v>1218</x:v>
      </x:c>
      <x:c r="J842" s="70" t="n">
        <x:v>243</x:v>
      </x:c>
      <x:c r="K842" s="70" t="s">
        <x:v>1200</x:v>
      </x:c>
      <x:c r="L842" s="70"/>
      <x:c r="M842" s="70" t="s">
        <x:v>35</x:v>
      </x:c>
      <x:c r="N842" s="71" t="n">
        <x:v>-7580984</x:v>
      </x:c>
      <x:c r="O842" s="72" t="n">
        <x:f aca="0">N842/1000</x:f>
        <x:v>-7580.984</x:v>
      </x:c>
      <x:c r="P842" s="73" t="n">
        <x:f aca="0">LUCK!H123</x:f>
        <x:v>-7580.984</x:v>
      </x:c>
      <x:c r="Q842" s="70" t="str">
        <x:f aca="0">IF(ABS(O842-P842)&lt;0.000001,"PASS","FAIL")</x:f>
        <x:v>PASS</x:v>
      </x:c>
      <x:c r="R842" s="70" t="s">
        <x:v>34</x:v>
      </x:c>
      <x:c r="S842" s="70"/>
    </x:row>
    <x:row r="843" ht="15" hidden="0">
      <x:c r="A843" s="70" t="s">
        <x:v>2068</x:v>
      </x:c>
      <x:c r="B843" s="70" t="s">
        <x:v>31</x:v>
      </x:c>
      <x:c r="C843" s="70" t="s">
        <x:v>73</x:v>
      </x:c>
      <x:c r="D843" s="70" t="s">
        <x:v>491</x:v>
      </x:c>
      <x:c r="E843" s="70" t="s">
        <x:v>172</x:v>
      </x:c>
      <x:c r="F843" s="70" t="s">
        <x:v>491</x:v>
      </x:c>
      <x:c r="G843" s="70" t="s">
        <x:v>1666</x:v>
      </x:c>
      <x:c r="H843" s="70" t="s">
        <x:v>1204</x:v>
      </x:c>
      <x:c r="I843" s="70" t="s">
        <x:v>1199</x:v>
      </x:c>
      <x:c r="J843" s="70" t="n">
        <x:v>229</x:v>
      </x:c>
      <x:c r="K843" s="70" t="s">
        <x:v>2024</x:v>
      </x:c>
      <x:c r="L843" s="70"/>
      <x:c r="M843" s="70" t="s">
        <x:v>35</x:v>
      </x:c>
      <x:c r="N843" s="71" t="n">
        <x:v>-19889</x:v>
      </x:c>
      <x:c r="O843" s="72" t="n">
        <x:f aca="0">N843/1000</x:f>
        <x:v>-19.889</x:v>
      </x:c>
      <x:c r="P843" s="73" t="n">
        <x:f aca="0">LUCK!D124</x:f>
        <x:v>-19.889</x:v>
      </x:c>
      <x:c r="Q843" s="70" t="str">
        <x:f aca="0">IF(ABS(O843-P843)&lt;0.000001,"PASS","FAIL")</x:f>
        <x:v>PASS</x:v>
      </x:c>
      <x:c r="R843" s="70" t="s">
        <x:v>34</x:v>
      </x:c>
      <x:c r="S843" s="70"/>
    </x:row>
    <x:row r="844" ht="15" hidden="0">
      <x:c r="A844" s="70" t="s">
        <x:v>2069</x:v>
      </x:c>
      <x:c r="B844" s="70" t="s">
        <x:v>31</x:v>
      </x:c>
      <x:c r="C844" s="70" t="s">
        <x:v>74</x:v>
      </x:c>
      <x:c r="D844" s="70" t="s">
        <x:v>491</x:v>
      </x:c>
      <x:c r="E844" s="70" t="s">
        <x:v>172</x:v>
      </x:c>
      <x:c r="F844" s="70" t="s">
        <x:v>491</x:v>
      </x:c>
      <x:c r="G844" s="70" t="s">
        <x:v>1669</x:v>
      </x:c>
      <x:c r="H844" s="70" t="s">
        <x:v>1208</x:v>
      </x:c>
      <x:c r="I844" s="70" t="s">
        <x:v>1199</x:v>
      </x:c>
      <x:c r="J844" s="70" t="n">
        <x:v>237</x:v>
      </x:c>
      <x:c r="K844" s="70" t="s">
        <x:v>1680</x:v>
      </x:c>
      <x:c r="L844" s="70"/>
      <x:c r="M844" s="70" t="s">
        <x:v>35</x:v>
      </x:c>
      <x:c r="N844" s="71" t="n">
        <x:v>-2428</x:v>
      </x:c>
      <x:c r="O844" s="72" t="n">
        <x:f aca="0">N844/1000</x:f>
        <x:v>-2.428</x:v>
      </x:c>
      <x:c r="P844" s="73" t="n">
        <x:f aca="0">LUCK!E124</x:f>
        <x:v>-2.428</x:v>
      </x:c>
      <x:c r="Q844" s="70" t="str">
        <x:f aca="0">IF(ABS(O844-P844)&lt;0.000001,"PASS","FAIL")</x:f>
        <x:v>PASS</x:v>
      </x:c>
      <x:c r="R844" s="70" t="s">
        <x:v>34</x:v>
      </x:c>
      <x:c r="S844" s="70"/>
    </x:row>
    <x:row r="845" ht="15" hidden="0">
      <x:c r="A845" s="70" t="s">
        <x:v>2070</x:v>
      </x:c>
      <x:c r="B845" s="70" t="s">
        <x:v>31</x:v>
      </x:c>
      <x:c r="C845" s="70" t="s">
        <x:v>75</x:v>
      </x:c>
      <x:c r="D845" s="70" t="s">
        <x:v>491</x:v>
      </x:c>
      <x:c r="E845" s="70" t="s">
        <x:v>172</x:v>
      </x:c>
      <x:c r="F845" s="70" t="s">
        <x:v>491</x:v>
      </x:c>
      <x:c r="G845" s="70" t="s">
        <x:v>1672</x:v>
      </x:c>
      <x:c r="H845" s="70" t="s">
        <x:v>1211</x:v>
      </x:c>
      <x:c r="I845" s="70" t="s">
        <x:v>1199</x:v>
      </x:c>
      <x:c r="J845" s="70" t="n">
        <x:v>241</x:v>
      </x:c>
      <x:c r="K845" s="70" t="s">
        <x:v>2027</x:v>
      </x:c>
      <x:c r="L845" s="70"/>
      <x:c r="M845" s="70" t="s">
        <x:v>35</x:v>
      </x:c>
      <x:c r="N845" s="71" t="n">
        <x:v>-915</x:v>
      </x:c>
      <x:c r="O845" s="72" t="n">
        <x:f aca="0">N845/1000</x:f>
        <x:v>-0.915</x:v>
      </x:c>
      <x:c r="P845" s="73" t="n">
        <x:f aca="0">LUCK!F124</x:f>
        <x:v>-0.915</x:v>
      </x:c>
      <x:c r="Q845" s="70" t="str">
        <x:f aca="0">IF(ABS(O845-P845)&lt;0.000001,"PASS","FAIL")</x:f>
        <x:v>PASS</x:v>
      </x:c>
      <x:c r="R845" s="70" t="s">
        <x:v>34</x:v>
      </x:c>
      <x:c r="S845" s="70"/>
    </x:row>
    <x:row r="846" ht="15" hidden="0">
      <x:c r="A846" s="70" t="s">
        <x:v>2071</x:v>
      </x:c>
      <x:c r="B846" s="70" t="s">
        <x:v>31</x:v>
      </x:c>
      <x:c r="C846" s="70" t="s">
        <x:v>76</x:v>
      </x:c>
      <x:c r="D846" s="70" t="s">
        <x:v>491</x:v>
      </x:c>
      <x:c r="E846" s="70" t="s">
        <x:v>172</x:v>
      </x:c>
      <x:c r="F846" s="70" t="s">
        <x:v>491</x:v>
      </x:c>
      <x:c r="G846" s="70" t="s">
        <x:v>1675</x:v>
      </x:c>
      <x:c r="H846" s="70" t="s">
        <x:v>1215</x:v>
      </x:c>
      <x:c r="I846" s="70" t="s">
        <x:v>1199</x:v>
      </x:c>
      <x:c r="J846" s="70" t="n">
        <x:v>243</x:v>
      </x:c>
      <x:c r="K846" s="70" t="s">
        <x:v>1200</x:v>
      </x:c>
      <x:c r="L846" s="70"/>
      <x:c r="M846" s="70" t="s">
        <x:v>35</x:v>
      </x:c>
      <x:c r="N846" s="71" t="n">
        <x:v>-5443084</x:v>
      </x:c>
      <x:c r="O846" s="72" t="n">
        <x:f aca="0">N846/1000</x:f>
        <x:v>-5443.084</x:v>
      </x:c>
      <x:c r="P846" s="73" t="n">
        <x:f aca="0">LUCK!G124</x:f>
        <x:v>-5443.084</x:v>
      </x:c>
      <x:c r="Q846" s="70" t="str">
        <x:f aca="0">IF(ABS(O846-P846)&lt;0.000001,"PASS","FAIL")</x:f>
        <x:v>PASS</x:v>
      </x:c>
      <x:c r="R846" s="70" t="s">
        <x:v>34</x:v>
      </x:c>
      <x:c r="S846" s="70"/>
    </x:row>
    <x:row r="847" ht="15" hidden="0">
      <x:c r="A847" s="70" t="s">
        <x:v>2072</x:v>
      </x:c>
      <x:c r="B847" s="70" t="s">
        <x:v>31</x:v>
      </x:c>
      <x:c r="C847" s="70" t="s">
        <x:v>77</x:v>
      </x:c>
      <x:c r="D847" s="70" t="s">
        <x:v>491</x:v>
      </x:c>
      <x:c r="E847" s="70" t="s">
        <x:v>172</x:v>
      </x:c>
      <x:c r="F847" s="70" t="s">
        <x:v>491</x:v>
      </x:c>
      <x:c r="G847" s="70" t="s">
        <x:v>1675</x:v>
      </x:c>
      <x:c r="H847" s="70" t="s">
        <x:v>1215</x:v>
      </x:c>
      <x:c r="I847" s="70" t="s">
        <x:v>1218</x:v>
      </x:c>
      <x:c r="J847" s="70" t="n">
        <x:v>243</x:v>
      </x:c>
      <x:c r="K847" s="70" t="s">
        <x:v>1200</x:v>
      </x:c>
      <x:c r="L847" s="70"/>
      <x:c r="M847" s="70" t="s">
        <x:v>35</x:v>
      </x:c>
      <x:c r="N847" s="71" t="n">
        <x:v>-4388403</x:v>
      </x:c>
      <x:c r="O847" s="72" t="n">
        <x:f aca="0">N847/1000</x:f>
        <x:v>-4388.403</x:v>
      </x:c>
      <x:c r="P847" s="73" t="n">
        <x:f aca="0">LUCK!H124</x:f>
        <x:v>-4388.403</x:v>
      </x:c>
      <x:c r="Q847" s="70" t="str">
        <x:f aca="0">IF(ABS(O847-P847)&lt;0.000001,"PASS","FAIL")</x:f>
        <x:v>PASS</x:v>
      </x:c>
      <x:c r="R847" s="70" t="s">
        <x:v>34</x:v>
      </x:c>
      <x:c r="S847" s="70"/>
    </x:row>
    <x:row r="848" ht="15" hidden="0">
      <x:c r="A848" s="70" t="s">
        <x:v>2073</x:v>
      </x:c>
      <x:c r="B848" s="70" t="s">
        <x:v>31</x:v>
      </x:c>
      <x:c r="C848" s="70" t="s">
        <x:v>73</x:v>
      </x:c>
      <x:c r="D848" s="70" t="s">
        <x:v>494</x:v>
      </x:c>
      <x:c r="E848" s="70" t="s">
        <x:v>1221</x:v>
      </x:c>
      <x:c r="F848" s="70" t="s">
        <x:v>1625</x:v>
      </x:c>
      <x:c r="G848" s="70" t="s">
        <x:v>1663</x:v>
      </x:c>
      <x:c r="H848" s="70" t="s">
        <x:v>1198</x:v>
      </x:c>
      <x:c r="I848" s="70" t="s">
        <x:v>1218</x:v>
      </x:c>
      <x:c r="J848" s="70" t="n">
        <x:v>222</x:v>
      </x:c>
      <x:c r="K848" s="70" t="s">
        <x:v>1200</x:v>
      </x:c>
      <x:c r="L848" s="70"/>
      <x:c r="M848" s="70" t="s">
        <x:v>158</x:v>
      </x:c>
      <x:c r="N848" s="70" t="n">
        <x:v>10</x:v>
      </x:c>
      <x:c r="O848" s="70" t="n">
        <x:f aca="0">N848</x:f>
        <x:v>10</x:v>
      </x:c>
      <x:c r="P848" s="74" t="n">
        <x:f aca="0">LUCK!D127</x:f>
        <x:v>10</x:v>
      </x:c>
      <x:c r="Q848" s="70" t="str">
        <x:f aca="0">IF(ABS(O848-P848)&lt;0.000001,"PASS","FAIL")</x:f>
        <x:v>PASS</x:v>
      </x:c>
      <x:c r="R848" s="70" t="s">
        <x:v>34</x:v>
      </x:c>
      <x:c r="S848" s="70" t="str">
        <x:v>Verified FY-end share basis; see Share Basis and Corporate Actions for source excerpts and normalization. Original source metadata superseded where the basis changed.</x:v>
      </x:c>
    </x:row>
    <x:row r="849" ht="15" hidden="0">
      <x:c r="A849" s="70" t="s">
        <x:v>2074</x:v>
      </x:c>
      <x:c r="B849" s="70" t="s">
        <x:v>31</x:v>
      </x:c>
      <x:c r="C849" s="70" t="s">
        <x:v>74</x:v>
      </x:c>
      <x:c r="D849" s="70" t="s">
        <x:v>494</x:v>
      </x:c>
      <x:c r="E849" s="70" t="s">
        <x:v>1221</x:v>
      </x:c>
      <x:c r="F849" s="70" t="s">
        <x:v>1625</x:v>
      </x:c>
      <x:c r="G849" s="70" t="s">
        <x:v>1666</x:v>
      </x:c>
      <x:c r="H849" s="70" t="s">
        <x:v>1204</x:v>
      </x:c>
      <x:c r="I849" s="70" t="s">
        <x:v>1218</x:v>
      </x:c>
      <x:c r="J849" s="70" t="n">
        <x:v>258</x:v>
      </x:c>
      <x:c r="K849" s="70" t="s">
        <x:v>2016</x:v>
      </x:c>
      <x:c r="L849" s="70"/>
      <x:c r="M849" s="70" t="s">
        <x:v>158</x:v>
      </x:c>
      <x:c r="N849" s="70" t="n">
        <x:v>10</x:v>
      </x:c>
      <x:c r="O849" s="70" t="n">
        <x:f aca="0">N849</x:f>
        <x:v>10</x:v>
      </x:c>
      <x:c r="P849" s="74" t="n">
        <x:f aca="0">LUCK!E127</x:f>
        <x:v>10</x:v>
      </x:c>
      <x:c r="Q849" s="70" t="str">
        <x:f aca="0">IF(ABS(O849-P849)&lt;0.000001,"PASS","FAIL")</x:f>
        <x:v>PASS</x:v>
      </x:c>
      <x:c r="R849" s="70" t="s">
        <x:v>34</x:v>
      </x:c>
      <x:c r="S849" s="70" t="str">
        <x:v>Verified FY-end share basis; see Share Basis and Corporate Actions for source excerpts and normalization. Original source metadata superseded where the basis changed.</x:v>
      </x:c>
    </x:row>
    <x:row r="850" ht="15" hidden="0">
      <x:c r="A850" s="70" t="s">
        <x:v>2075</x:v>
      </x:c>
      <x:c r="B850" s="70" t="s">
        <x:v>31</x:v>
      </x:c>
      <x:c r="C850" s="70" t="s">
        <x:v>75</x:v>
      </x:c>
      <x:c r="D850" s="70" t="s">
        <x:v>494</x:v>
      </x:c>
      <x:c r="E850" s="70" t="s">
        <x:v>1221</x:v>
      </x:c>
      <x:c r="F850" s="70" t="s">
        <x:v>1625</x:v>
      </x:c>
      <x:c r="G850" s="70" t="s">
        <x:v>1669</x:v>
      </x:c>
      <x:c r="H850" s="70" t="s">
        <x:v>1208</x:v>
      </x:c>
      <x:c r="I850" s="70" t="s">
        <x:v>1218</x:v>
      </x:c>
      <x:c r="J850" s="70" t="n">
        <x:v>266</x:v>
      </x:c>
      <x:c r="K850" s="70" t="s">
        <x:v>2019</x:v>
      </x:c>
      <x:c r="L850" s="70"/>
      <x:c r="M850" s="70" t="s">
        <x:v>158</x:v>
      </x:c>
      <x:c r="N850" s="70" t="n">
        <x:v>10</x:v>
      </x:c>
      <x:c r="O850" s="70" t="n">
        <x:f aca="0">N850</x:f>
        <x:v>10</x:v>
      </x:c>
      <x:c r="P850" s="74" t="n">
        <x:f aca="0">LUCK!F127</x:f>
        <x:v>10</x:v>
      </x:c>
      <x:c r="Q850" s="70" t="str">
        <x:f aca="0">IF(ABS(O850-P850)&lt;0.000001,"PASS","FAIL")</x:f>
        <x:v>PASS</x:v>
      </x:c>
      <x:c r="R850" s="70" t="s">
        <x:v>34</x:v>
      </x:c>
      <x:c r="S850" s="70" t="str">
        <x:v>Verified FY-end share basis; see Share Basis and Corporate Actions for source excerpts and normalization. Original source metadata superseded where the basis changed.</x:v>
      </x:c>
    </x:row>
    <x:row r="851" ht="15" hidden="0">
      <x:c r="A851" s="70" t="s">
        <x:v>2076</x:v>
      </x:c>
      <x:c r="B851" s="70" t="s">
        <x:v>31</x:v>
      </x:c>
      <x:c r="C851" s="70" t="s">
        <x:v>76</x:v>
      </x:c>
      <x:c r="D851" s="70" t="s">
        <x:v>494</x:v>
      </x:c>
      <x:c r="E851" s="70" t="s">
        <x:v>1221</x:v>
      </x:c>
      <x:c r="F851" s="70" t="s">
        <x:v>1625</x:v>
      </x:c>
      <x:c r="G851" s="70" t="s">
        <x:v>1672</x:v>
      </x:c>
      <x:c r="H851" s="70" t="s">
        <x:v>1211</x:v>
      </x:c>
      <x:c r="I851" s="70" t="s">
        <x:v>1218</x:v>
      </x:c>
      <x:c r="J851" s="70" t="n">
        <x:v>271</x:v>
      </x:c>
      <x:c r="K851" s="70" t="s">
        <x:v>2077</x:v>
      </x:c>
      <x:c r="L851" s="70"/>
      <x:c r="M851" s="70" t="s">
        <x:v>158</x:v>
      </x:c>
      <x:c r="N851" s="70" t="n">
        <x:v>10</x:v>
      </x:c>
      <x:c r="O851" s="70" t="n">
        <x:f aca="0">N851</x:f>
        <x:v>10</x:v>
      </x:c>
      <x:c r="P851" s="74" t="n">
        <x:f aca="0">LUCK!G127</x:f>
        <x:v>10</x:v>
      </x:c>
      <x:c r="Q851" s="70" t="str">
        <x:f aca="0">IF(ABS(O851-P851)&lt;0.000001,"PASS","FAIL")</x:f>
        <x:v>PASS</x:v>
      </x:c>
      <x:c r="R851" s="70" t="s">
        <x:v>34</x:v>
      </x:c>
      <x:c r="S851" s="70" t="str">
        <x:v>Verified FY-end share basis; see Share Basis and Corporate Actions for source excerpts and normalization. Original source metadata superseded where the basis changed.</x:v>
      </x:c>
    </x:row>
    <x:row r="852" ht="15" hidden="0">
      <x:c r="A852" s="70" t="s">
        <x:v>2078</x:v>
      </x:c>
      <x:c r="B852" s="70" t="s">
        <x:v>31</x:v>
      </x:c>
      <x:c r="C852" s="70" t="s">
        <x:v>77</x:v>
      </x:c>
      <x:c r="D852" s="70" t="s">
        <x:v>494</x:v>
      </x:c>
      <x:c r="E852" s="70" t="s">
        <x:v>1221</x:v>
      </x:c>
      <x:c r="F852" s="70" t="s">
        <x:v>1625</x:v>
      </x:c>
      <x:c r="G852" s="70" t="s">
        <x:v>1675</x:v>
      </x:c>
      <x:c r="H852" s="70" t="s">
        <x:v>1215</x:v>
      </x:c>
      <x:c r="I852" s="70" t="s">
        <x:v>1218</x:v>
      </x:c>
      <x:c r="J852" s="70" t="n">
        <x:v>274</x:v>
      </x:c>
      <x:c r="K852" s="70" t="s">
        <x:v>2079</x:v>
      </x:c>
      <x:c r="L852" s="70"/>
      <x:c r="M852" s="70" t="s">
        <x:v>158</x:v>
      </x:c>
      <x:c r="N852" s="70" t="n">
        <x:v>2</x:v>
      </x:c>
      <x:c r="O852" s="70" t="n">
        <x:f aca="0">N852</x:f>
        <x:v>2</x:v>
      </x:c>
      <x:c r="P852" s="74" t="n">
        <x:f aca="0">LUCK!H127</x:f>
        <x:v>2</x:v>
      </x:c>
      <x:c r="Q852" s="70" t="str">
        <x:f aca="0">IF(ABS(O852-P852)&lt;0.000001,"PASS","FAIL")</x:f>
        <x:v>PASS</x:v>
      </x:c>
      <x:c r="R852" s="70" t="s">
        <x:v>34</x:v>
      </x:c>
      <x:c r="S852" s="70" t="str">
        <x:v>Verified FY-end share basis; see Share Basis and Corporate Actions for source excerpts and normalization. Original source metadata superseded where the basis changed.</x:v>
      </x:c>
    </x:row>
    <x:row r="853" ht="15" hidden="0">
      <x:c r="A853" s="70" t="s">
        <x:v>2080</x:v>
      </x:c>
      <x:c r="B853" s="70" t="s">
        <x:v>31</x:v>
      </x:c>
      <x:c r="C853" s="70" t="s">
        <x:v>73</x:v>
      </x:c>
      <x:c r="D853" s="70" t="s">
        <x:v>499</x:v>
      </x:c>
      <x:c r="E853" s="70" t="s">
        <x:v>1221</x:v>
      </x:c>
      <x:c r="F853" s="70" t="s">
        <x:v>1632</x:v>
      </x:c>
      <x:c r="G853" s="70" t="str">
        <x:v>2021.pdf</x:v>
      </x:c>
      <x:c r="H853" s="70" t="s">
        <x:v>1198</x:v>
      </x:c>
      <x:c r="I853" s="70" t="s">
        <x:v>1218</x:v>
      </x:c>
      <x:c r="J853" s="70" t="n">
        <x:v>222</x:v>
      </x:c>
      <x:c r="K853" s="70" t="s">
        <x:v>1200</x:v>
      </x:c>
      <x:c r="L853" s="70"/>
      <x:c r="M853" s="70" t="s">
        <x:v>498</x:v>
      </x:c>
      <x:c r="N853" s="70" t="n">
        <x:v>323.375</x:v>
      </x:c>
      <x:c r="O853" s="70" t="n">
        <x:f aca="0">N853</x:f>
        <x:v>323.375</x:v>
      </x:c>
      <x:c r="P853" s="72" t="n">
        <x:f aca="0">LUCK!D129</x:f>
        <x:v>323.375</x:v>
      </x:c>
      <x:c r="Q853" s="70" t="str">
        <x:f aca="0">IF(ABS(O853-P853)&lt;0.000001,"PASS","FAIL")</x:f>
        <x:v>PASS</x:v>
      </x:c>
      <x:c r="R853" s="70" t="s">
        <x:v>34</x:v>
      </x:c>
      <x:c r="S853" s="70" t="str">
        <x:v>Verified FY-end share basis; see Share Basis and Corporate Actions for source excerpts and normalization. Original source metadata superseded where the basis changed.</x:v>
      </x:c>
    </x:row>
    <x:row r="854" ht="15" hidden="0">
      <x:c r="A854" s="70" t="s">
        <x:v>2081</x:v>
      </x:c>
      <x:c r="B854" s="70" t="s">
        <x:v>31</x:v>
      </x:c>
      <x:c r="C854" s="70" t="s">
        <x:v>74</x:v>
      </x:c>
      <x:c r="D854" s="70" t="s">
        <x:v>499</x:v>
      </x:c>
      <x:c r="E854" s="70" t="s">
        <x:v>1221</x:v>
      </x:c>
      <x:c r="F854" s="70" t="s">
        <x:v>1632</x:v>
      </x:c>
      <x:c r="G854" s="70" t="str">
        <x:v>2022.pdf</x:v>
      </x:c>
      <x:c r="H854" s="70" t="s">
        <x:v>1204</x:v>
      </x:c>
      <x:c r="I854" s="70" t="s">
        <x:v>1218</x:v>
      </x:c>
      <x:c r="J854" s="70" t="n">
        <x:v>258</x:v>
      </x:c>
      <x:c r="K854" s="70" t="s">
        <x:v>2016</x:v>
      </x:c>
      <x:c r="L854" s="70"/>
      <x:c r="M854" s="70" t="s">
        <x:v>498</x:v>
      </x:c>
      <x:c r="N854" s="70" t="n">
        <x:v>323.375</x:v>
      </x:c>
      <x:c r="O854" s="70" t="n">
        <x:f aca="0">N854</x:f>
        <x:v>323.375</x:v>
      </x:c>
      <x:c r="P854" s="72" t="n">
        <x:f aca="0">LUCK!E129</x:f>
        <x:v>323.375</x:v>
      </x:c>
      <x:c r="Q854" s="70" t="str">
        <x:f aca="0">IF(ABS(O854-P854)&lt;0.000001,"PASS","FAIL")</x:f>
        <x:v>PASS</x:v>
      </x:c>
      <x:c r="R854" s="70" t="s">
        <x:v>34</x:v>
      </x:c>
      <x:c r="S854" s="70" t="str">
        <x:v>Verified FY-end share basis; see Share Basis and Corporate Actions for source excerpts and normalization. Original source metadata superseded where the basis changed.</x:v>
      </x:c>
    </x:row>
    <x:row r="855" ht="15" hidden="0">
      <x:c r="A855" s="70" t="s">
        <x:v>2082</x:v>
      </x:c>
      <x:c r="B855" s="70" t="s">
        <x:v>31</x:v>
      </x:c>
      <x:c r="C855" s="70" t="s">
        <x:v>75</x:v>
      </x:c>
      <x:c r="D855" s="70" t="s">
        <x:v>499</x:v>
      </x:c>
      <x:c r="E855" s="70" t="s">
        <x:v>1221</x:v>
      </x:c>
      <x:c r="F855" s="70" t="s">
        <x:v>1632</x:v>
      </x:c>
      <x:c r="G855" s="70" t="str">
        <x:v>2023.pdf</x:v>
      </x:c>
      <x:c r="H855" s="70" t="s">
        <x:v>1208</x:v>
      </x:c>
      <x:c r="I855" s="70" t="s">
        <x:v>1218</x:v>
      </x:c>
      <x:c r="J855" s="70" t="n">
        <x:v>266</x:v>
      </x:c>
      <x:c r="K855" s="70" t="s">
        <x:v>2019</x:v>
      </x:c>
      <x:c r="L855" s="70"/>
      <x:c r="M855" s="70" t="s">
        <x:v>498</x:v>
      </x:c>
      <x:c r="N855" s="70" t="n">
        <x:v>318.749</x:v>
      </x:c>
      <x:c r="O855" s="70" t="n">
        <x:f aca="0">N855</x:f>
        <x:v>318.749</x:v>
      </x:c>
      <x:c r="P855" s="72" t="n">
        <x:f aca="0">LUCK!F129</x:f>
        <x:v>318.749</x:v>
      </x:c>
      <x:c r="Q855" s="70" t="str">
        <x:f aca="0">IF(ABS(O855-P855)&lt;0.000001,"PASS","FAIL")</x:f>
        <x:v>PASS</x:v>
      </x:c>
      <x:c r="R855" s="70" t="s">
        <x:v>34</x:v>
      </x:c>
      <x:c r="S855" s="70" t="str">
        <x:v>Verified FY-end share basis; see Share Basis and Corporate Actions for source excerpts and normalization. Original source metadata superseded where the basis changed.</x:v>
      </x:c>
    </x:row>
    <x:row r="856" ht="15" hidden="0">
      <x:c r="A856" s="70" t="s">
        <x:v>2083</x:v>
      </x:c>
      <x:c r="B856" s="70" t="s">
        <x:v>31</x:v>
      </x:c>
      <x:c r="C856" s="70" t="s">
        <x:v>76</x:v>
      </x:c>
      <x:c r="D856" s="70" t="s">
        <x:v>499</x:v>
      </x:c>
      <x:c r="E856" s="70" t="s">
        <x:v>1221</x:v>
      </x:c>
      <x:c r="F856" s="70" t="s">
        <x:v>1632</x:v>
      </x:c>
      <x:c r="G856" s="70" t="str">
        <x:v>2024.pdf</x:v>
      </x:c>
      <x:c r="H856" s="70" t="s">
        <x:v>1211</x:v>
      </x:c>
      <x:c r="I856" s="70" t="s">
        <x:v>1218</x:v>
      </x:c>
      <x:c r="J856" s="70" t="n">
        <x:v>271</x:v>
      </x:c>
      <x:c r="K856" s="70" t="s">
        <x:v>2077</x:v>
      </x:c>
      <x:c r="L856" s="70"/>
      <x:c r="M856" s="70" t="s">
        <x:v>498</x:v>
      </x:c>
      <x:c r="N856" s="70" t="n">
        <x:v>297.296</x:v>
      </x:c>
      <x:c r="O856" s="70" t="n">
        <x:f aca="0">N856</x:f>
        <x:v>297.296</x:v>
      </x:c>
      <x:c r="P856" s="72" t="n">
        <x:f aca="0">LUCK!G129</x:f>
        <x:v>297.296</x:v>
      </x:c>
      <x:c r="Q856" s="70" t="str">
        <x:f aca="0">IF(ABS(O856-P856)&lt;0.000001,"PASS","FAIL")</x:f>
        <x:v>PASS</x:v>
      </x:c>
      <x:c r="R856" s="70" t="s">
        <x:v>34</x:v>
      </x:c>
      <x:c r="S856" s="70" t="str">
        <x:v>Verified FY-end share basis; see Share Basis and Corporate Actions for source excerpts and normalization. Original source metadata superseded where the basis changed.</x:v>
      </x:c>
    </x:row>
    <x:row r="857" ht="15" hidden="0">
      <x:c r="A857" s="70" t="s">
        <x:v>2084</x:v>
      </x:c>
      <x:c r="B857" s="70" t="s">
        <x:v>31</x:v>
      </x:c>
      <x:c r="C857" s="70" t="s">
        <x:v>77</x:v>
      </x:c>
      <x:c r="D857" s="70" t="s">
        <x:v>499</x:v>
      </x:c>
      <x:c r="E857" s="70" t="s">
        <x:v>1221</x:v>
      </x:c>
      <x:c r="F857" s="70" t="s">
        <x:v>1632</x:v>
      </x:c>
      <x:c r="G857" s="70" t="str">
        <x:v>2025.pdf</x:v>
      </x:c>
      <x:c r="H857" s="70" t="s">
        <x:v>1215</x:v>
      </x:c>
      <x:c r="I857" s="70" t="s">
        <x:v>1218</x:v>
      </x:c>
      <x:c r="J857" s="70" t="n">
        <x:v>274</x:v>
      </x:c>
      <x:c r="K857" s="70" t="s">
        <x:v>2079</x:v>
      </x:c>
      <x:c r="L857" s="70"/>
      <x:c r="M857" s="70" t="s">
        <x:v>498</x:v>
      </x:c>
      <x:c r="N857" s="70" t="n">
        <x:v>1465</x:v>
      </x:c>
      <x:c r="O857" s="70" t="n">
        <x:f aca="0">N857</x:f>
        <x:v>1465</x:v>
      </x:c>
      <x:c r="P857" s="72" t="n">
        <x:f aca="0">LUCK!H129</x:f>
        <x:v>1465</x:v>
      </x:c>
      <x:c r="Q857" s="70" t="str">
        <x:f aca="0">IF(ABS(O857-P857)&lt;0.000001,"PASS","FAIL")</x:f>
        <x:v>PASS</x:v>
      </x:c>
      <x:c r="R857" s="70" t="s">
        <x:v>34</x:v>
      </x:c>
      <x:c r="S857" s="70" t="str">
        <x:v>Verified FY-end share basis; see Share Basis and Corporate Actions for source excerpts and normalization. Original source metadata superseded where the basis changed.</x:v>
      </x:c>
    </x:row>
    <x:row r="858" ht="15" hidden="0">
      <x:c r="A858" s="70" t="s">
        <x:v>2085</x:v>
      </x:c>
      <x:c r="B858" s="70" t="s">
        <x:v>31</x:v>
      </x:c>
      <x:c r="C858" s="70" t="s">
        <x:v>73</x:v>
      </x:c>
      <x:c r="D858" s="70" t="str">
        <x:v>Actual FY-end closing price (Rs; unadjusted)</x:v>
      </x:c>
      <x:c r="E858" s="70" t="s">
        <x:v>1221</x:v>
      </x:c>
      <x:c r="F858" s="70" t="str">
        <x:v>Official PSX historical CLOSE column</x:v>
      </x:c>
      <x:c r="G858" s="70" t="str">
        <x:v>PSX historical response; hash and raw row on Price Evidence</x:v>
      </x:c>
      <x:c r="H858" s="70" t="str">
        <x:v>https://dps.psx.com.pk/historical</x:v>
      </x:c>
      <x:c r="I858" s="70" t="str">
        <x:v>POST date=2021-06-30</x:v>
      </x:c>
      <x:c r="J858" s="70"/>
      <x:c r="K858" s="70"/>
      <x:c r="L858" s="70"/>
      <x:c r="M858" s="70" t="s">
        <x:v>158</x:v>
      </x:c>
      <x:c r="N858" s="70" t="n">
        <x:v>863.44</x:v>
      </x:c>
      <x:c r="O858" s="70" t="n">
        <x:f aca="0">N858</x:f>
        <x:v>863.44</x:v>
      </x:c>
      <x:c r="P858" s="74" t="n">
        <x:f aca="0">LUCK!D130</x:f>
        <x:v>863.44</x:v>
      </x:c>
      <x:c r="Q858" s="70" t="str">
        <x:f aca="0">IF(ABS(O858-P858)&lt;0.000001,"PASS","FAIL")</x:f>
        <x:v>PASS</x:v>
      </x:c>
      <x:c r="R858" s="70" t="s">
        <x:v>34</x:v>
      </x:c>
      <x:c r="S858" s="70" t="str">
        <x:v>Unadjusted traded close. No split factor applied to PSX price. Original report figure and date evidence preserved on PSX Prices / Price Evidence.</x:v>
      </x:c>
    </x:row>
    <x:row r="859" ht="15" hidden="0">
      <x:c r="A859" s="70" t="s">
        <x:v>2086</x:v>
      </x:c>
      <x:c r="B859" s="70" t="s">
        <x:v>31</x:v>
      </x:c>
      <x:c r="C859" s="70" t="s">
        <x:v>74</x:v>
      </x:c>
      <x:c r="D859" s="70" t="str">
        <x:v>Actual FY-end closing price (Rs; unadjusted)</x:v>
      </x:c>
      <x:c r="E859" s="70" t="s">
        <x:v>1221</x:v>
      </x:c>
      <x:c r="F859" s="70" t="str">
        <x:v>Official PSX historical CLOSE column</x:v>
      </x:c>
      <x:c r="G859" s="70" t="str">
        <x:v>PSX historical response; hash and raw row on Price Evidence</x:v>
      </x:c>
      <x:c r="H859" s="70" t="str">
        <x:v>https://dps.psx.com.pk/historical</x:v>
      </x:c>
      <x:c r="I859" s="70" t="str">
        <x:v>POST date=2022-06-30</x:v>
      </x:c>
      <x:c r="J859" s="70"/>
      <x:c r="K859" s="70"/>
      <x:c r="L859" s="70"/>
      <x:c r="M859" s="70" t="s">
        <x:v>158</x:v>
      </x:c>
      <x:c r="N859" s="70" t="n">
        <x:v>459.04</x:v>
      </x:c>
      <x:c r="O859" s="70" t="n">
        <x:f aca="0">N859</x:f>
        <x:v>459.04</x:v>
      </x:c>
      <x:c r="P859" s="74" t="n">
        <x:f aca="0">LUCK!E130</x:f>
        <x:v>459.04</x:v>
      </x:c>
      <x:c r="Q859" s="70" t="str">
        <x:f aca="0">IF(ABS(O859-P859)&lt;0.000001,"PASS","FAIL")</x:f>
        <x:v>PASS</x:v>
      </x:c>
      <x:c r="R859" s="70" t="s">
        <x:v>34</x:v>
      </x:c>
      <x:c r="S859" s="70" t="str">
        <x:v>Unadjusted traded close. No split factor applied to PSX price. Original report figure and date evidence preserved on PSX Prices / Price Evidence.</x:v>
      </x:c>
    </x:row>
    <x:row r="860" ht="15" hidden="0">
      <x:c r="A860" s="70" t="s">
        <x:v>2087</x:v>
      </x:c>
      <x:c r="B860" s="70" t="s">
        <x:v>31</x:v>
      </x:c>
      <x:c r="C860" s="70" t="s">
        <x:v>75</x:v>
      </x:c>
      <x:c r="D860" s="70" t="str">
        <x:v>Actual FY-end closing price (Rs; unadjusted)</x:v>
      </x:c>
      <x:c r="E860" s="70" t="s">
        <x:v>1221</x:v>
      </x:c>
      <x:c r="F860" s="70" t="str">
        <x:v>Official PSX historical CLOSE column</x:v>
      </x:c>
      <x:c r="G860" s="70" t="str">
        <x:v>PSX historical response; hash and raw row on Price Evidence</x:v>
      </x:c>
      <x:c r="H860" s="70" t="str">
        <x:v>https://dps.psx.com.pk/historical</x:v>
      </x:c>
      <x:c r="I860" s="70" t="str">
        <x:v>POST date=2023-06-27</x:v>
      </x:c>
      <x:c r="J860" s="70"/>
      <x:c r="K860" s="70"/>
      <x:c r="L860" s="70"/>
      <x:c r="M860" s="70" t="s">
        <x:v>158</x:v>
      </x:c>
      <x:c r="N860" s="70" t="n">
        <x:v>522.09</x:v>
      </x:c>
      <x:c r="O860" s="70" t="n">
        <x:f aca="0">N860</x:f>
        <x:v>522.09</x:v>
      </x:c>
      <x:c r="P860" s="74" t="n">
        <x:f aca="0">LUCK!F130</x:f>
        <x:v>522.09</x:v>
      </x:c>
      <x:c r="Q860" s="70" t="str">
        <x:f aca="0">IF(ABS(O860-P860)&lt;0.000001,"PASS","FAIL")</x:f>
        <x:v>PASS</x:v>
      </x:c>
      <x:c r="R860" s="70" t="s">
        <x:v>34</x:v>
      </x:c>
      <x:c r="S860" s="70" t="str">
        <x:v>Unadjusted traded close. No split factor applied to PSX price. Original report figure and date evidence preserved on PSX Prices / Price Evidence.</x:v>
      </x:c>
    </x:row>
    <x:row r="861" ht="15" hidden="0">
      <x:c r="A861" s="70" t="s">
        <x:v>2088</x:v>
      </x:c>
      <x:c r="B861" s="70" t="s">
        <x:v>31</x:v>
      </x:c>
      <x:c r="C861" s="70" t="s">
        <x:v>76</x:v>
      </x:c>
      <x:c r="D861" s="70" t="str">
        <x:v>Actual FY-end closing price (Rs; unadjusted)</x:v>
      </x:c>
      <x:c r="E861" s="70" t="s">
        <x:v>1221</x:v>
      </x:c>
      <x:c r="F861" s="70" t="str">
        <x:v>Official PSX historical CLOSE column</x:v>
      </x:c>
      <x:c r="G861" s="70" t="str">
        <x:v>PSX historical response; hash and raw row on Price Evidence</x:v>
      </x:c>
      <x:c r="H861" s="70" t="str">
        <x:v>https://dps.psx.com.pk/historical</x:v>
      </x:c>
      <x:c r="I861" s="70" t="str">
        <x:v>POST date=2024-06-28</x:v>
      </x:c>
      <x:c r="J861" s="70"/>
      <x:c r="K861" s="70"/>
      <x:c r="L861" s="70"/>
      <x:c r="M861" s="70" t="s">
        <x:v>158</x:v>
      </x:c>
      <x:c r="N861" s="70" t="n">
        <x:v>906.73</x:v>
      </x:c>
      <x:c r="O861" s="70" t="n">
        <x:f aca="0">N861</x:f>
        <x:v>906.73</x:v>
      </x:c>
      <x:c r="P861" s="74" t="n">
        <x:f aca="0">LUCK!G130</x:f>
        <x:v>906.73</x:v>
      </x:c>
      <x:c r="Q861" s="70" t="str">
        <x:f aca="0">IF(ABS(O861-P861)&lt;0.000001,"PASS","FAIL")</x:f>
        <x:v>PASS</x:v>
      </x:c>
      <x:c r="R861" s="70" t="s">
        <x:v>34</x:v>
      </x:c>
      <x:c r="S861" s="70" t="str">
        <x:v>Unadjusted traded close. No split factor applied to PSX price. Original report figure and date evidence preserved on PSX Prices / Price Evidence.</x:v>
      </x:c>
    </x:row>
    <x:row r="862" ht="15" hidden="0">
      <x:c r="A862" s="70" t="s">
        <x:v>2089</x:v>
      </x:c>
      <x:c r="B862" s="70" t="s">
        <x:v>31</x:v>
      </x:c>
      <x:c r="C862" s="70" t="s">
        <x:v>77</x:v>
      </x:c>
      <x:c r="D862" s="70" t="str">
        <x:v>Actual FY-end closing price (Rs; unadjusted)</x:v>
      </x:c>
      <x:c r="E862" s="70" t="s">
        <x:v>1221</x:v>
      </x:c>
      <x:c r="F862" s="70" t="str">
        <x:v>Official PSX historical CLOSE column</x:v>
      </x:c>
      <x:c r="G862" s="70" t="str">
        <x:v>PSX historical response; hash and raw row on Price Evidence</x:v>
      </x:c>
      <x:c r="H862" s="70" t="str">
        <x:v>https://dps.psx.com.pk/historical</x:v>
      </x:c>
      <x:c r="I862" s="70" t="str">
        <x:v>POST date=2025-06-30</x:v>
      </x:c>
      <x:c r="J862" s="70"/>
      <x:c r="K862" s="70"/>
      <x:c r="L862" s="70"/>
      <x:c r="M862" s="70" t="s">
        <x:v>158</x:v>
      </x:c>
      <x:c r="N862" s="70" t="n">
        <x:v>355.24</x:v>
      </x:c>
      <x:c r="O862" s="70" t="n">
        <x:f aca="0">N862</x:f>
        <x:v>355.24</x:v>
      </x:c>
      <x:c r="P862" s="74" t="n">
        <x:f aca="0">LUCK!H130</x:f>
        <x:v>355.24</x:v>
      </x:c>
      <x:c r="Q862" s="70" t="str">
        <x:f aca="0">IF(ABS(O862-P862)&lt;0.000001,"PASS","FAIL")</x:f>
        <x:v>PASS</x:v>
      </x:c>
      <x:c r="R862" s="70" t="s">
        <x:v>34</x:v>
      </x:c>
      <x:c r="S862" s="70" t="str">
        <x:v>Unadjusted traded close. No split factor applied to PSX price. Original report figure and date evidence preserved on PSX Prices / Price Evidence.</x:v>
      </x:c>
    </x:row>
    <x:row r="863" ht="15" hidden="0">
      <x:c r="A863" s="70" t="s">
        <x:v>2090</x:v>
      </x:c>
      <x:c r="B863" s="70" t="s">
        <x:v>31</x:v>
      </x:c>
      <x:c r="C863" s="70" t="s">
        <x:v>73</x:v>
      </x:c>
      <x:c r="D863" s="70" t="s">
        <x:v>502</x:v>
      </x:c>
      <x:c r="E863" s="70" t="s">
        <x:v>1221</x:v>
      </x:c>
      <x:c r="F863" s="70" t="s">
        <x:v>1643</x:v>
      </x:c>
      <x:c r="G863" s="70" t="s">
        <x:v>1675</x:v>
      </x:c>
      <x:c r="H863" s="70" t="s">
        <x:v>1215</x:v>
      </x:c>
      <x:c r="I863" s="70" t="s">
        <x:v>1199</x:v>
      </x:c>
      <x:c r="J863" s="70" t="n">
        <x:v>166</x:v>
      </x:c>
      <x:c r="K863" s="70" t="s">
        <x:v>2091</x:v>
      </x:c>
      <x:c r="L863" s="70"/>
      <x:c r="M863" s="70" t="s">
        <x:v>158</x:v>
      </x:c>
      <x:c r="N863" s="70" t="n">
        <x:v>0</x:v>
      </x:c>
      <x:c r="O863" s="70" t="n">
        <x:f aca="0">N863</x:f>
        <x:v>0</x:v>
      </x:c>
      <x:c r="P863" s="74" t="n">
        <x:f aca="0">LUCK!D131</x:f>
        <x:v>0</x:v>
      </x:c>
      <x:c r="Q863" s="70" t="str">
        <x:f aca="0">IF(ABS(O863-P863)&lt;0.000001,"PASS","FAIL")</x:f>
        <x:v>PASS</x:v>
      </x:c>
      <x:c r="R863" s="70" t="s">
        <x:v>34</x:v>
      </x:c>
      <x:c r="S863" s="70" t="str">
        <x:v>Verified FY-end share basis; see Share Basis and Corporate Actions for source excerpts and normalization. Original source metadata superseded where the basis changed.</x:v>
      </x:c>
    </x:row>
    <x:row r="864" ht="15" hidden="0">
      <x:c r="A864" s="70" t="s">
        <x:v>2092</x:v>
      </x:c>
      <x:c r="B864" s="70" t="s">
        <x:v>31</x:v>
      </x:c>
      <x:c r="C864" s="70" t="s">
        <x:v>74</x:v>
      </x:c>
      <x:c r="D864" s="70" t="s">
        <x:v>502</x:v>
      </x:c>
      <x:c r="E864" s="70" t="s">
        <x:v>1221</x:v>
      </x:c>
      <x:c r="F864" s="70" t="s">
        <x:v>1643</x:v>
      </x:c>
      <x:c r="G864" s="70" t="s">
        <x:v>1675</x:v>
      </x:c>
      <x:c r="H864" s="70" t="s">
        <x:v>1215</x:v>
      </x:c>
      <x:c r="I864" s="70" t="s">
        <x:v>1199</x:v>
      </x:c>
      <x:c r="J864" s="70" t="n">
        <x:v>166</x:v>
      </x:c>
      <x:c r="K864" s="70" t="s">
        <x:v>2091</x:v>
      </x:c>
      <x:c r="L864" s="70"/>
      <x:c r="M864" s="70" t="s">
        <x:v>158</x:v>
      </x:c>
      <x:c r="N864" s="70" t="n">
        <x:v>0</x:v>
      </x:c>
      <x:c r="O864" s="70" t="n">
        <x:f aca="0">N864</x:f>
        <x:v>0</x:v>
      </x:c>
      <x:c r="P864" s="74" t="n">
        <x:f aca="0">LUCK!E131</x:f>
        <x:v>0</x:v>
      </x:c>
      <x:c r="Q864" s="70" t="str">
        <x:f aca="0">IF(ABS(O864-P864)&lt;0.000001,"PASS","FAIL")</x:f>
        <x:v>PASS</x:v>
      </x:c>
      <x:c r="R864" s="70" t="s">
        <x:v>34</x:v>
      </x:c>
      <x:c r="S864" s="70" t="str">
        <x:v>Verified FY-end share basis; see Share Basis and Corporate Actions for source excerpts and normalization. Original source metadata superseded where the basis changed.</x:v>
      </x:c>
    </x:row>
    <x:row r="865" ht="15" hidden="0">
      <x:c r="A865" s="70" t="s">
        <x:v>2093</x:v>
      </x:c>
      <x:c r="B865" s="70" t="s">
        <x:v>31</x:v>
      </x:c>
      <x:c r="C865" s="70" t="s">
        <x:v>75</x:v>
      </x:c>
      <x:c r="D865" s="70" t="s">
        <x:v>502</x:v>
      </x:c>
      <x:c r="E865" s="70" t="s">
        <x:v>1221</x:v>
      </x:c>
      <x:c r="F865" s="70" t="s">
        <x:v>1643</x:v>
      </x:c>
      <x:c r="G865" s="70" t="s">
        <x:v>1675</x:v>
      </x:c>
      <x:c r="H865" s="70" t="s">
        <x:v>1215</x:v>
      </x:c>
      <x:c r="I865" s="70" t="s">
        <x:v>1199</x:v>
      </x:c>
      <x:c r="J865" s="70" t="n">
        <x:v>166</x:v>
      </x:c>
      <x:c r="K865" s="70" t="s">
        <x:v>2091</x:v>
      </x:c>
      <x:c r="L865" s="70"/>
      <x:c r="M865" s="70" t="s">
        <x:v>158</x:v>
      </x:c>
      <x:c r="N865" s="70" t="n">
        <x:v>18</x:v>
      </x:c>
      <x:c r="O865" s="70" t="n">
        <x:f aca="0">N865</x:f>
        <x:v>18</x:v>
      </x:c>
      <x:c r="P865" s="74" t="n">
        <x:f aca="0">LUCK!F131</x:f>
        <x:v>18</x:v>
      </x:c>
      <x:c r="Q865" s="70" t="str">
        <x:f aca="0">IF(ABS(O865-P865)&lt;0.000001,"PASS","FAIL")</x:f>
        <x:v>PASS</x:v>
      </x:c>
      <x:c r="R865" s="70" t="s">
        <x:v>34</x:v>
      </x:c>
      <x:c r="S865" s="70" t="str">
        <x:v>Verified FY-end share basis; see Share Basis and Corporate Actions for source excerpts and normalization. Original source metadata superseded where the basis changed.</x:v>
      </x:c>
    </x:row>
    <x:row r="866" ht="15" hidden="0">
      <x:c r="A866" s="70" t="s">
        <x:v>2094</x:v>
      </x:c>
      <x:c r="B866" s="70" t="s">
        <x:v>31</x:v>
      </x:c>
      <x:c r="C866" s="70" t="s">
        <x:v>76</x:v>
      </x:c>
      <x:c r="D866" s="70" t="s">
        <x:v>502</x:v>
      </x:c>
      <x:c r="E866" s="70" t="s">
        <x:v>1221</x:v>
      </x:c>
      <x:c r="F866" s="70" t="s">
        <x:v>1643</x:v>
      </x:c>
      <x:c r="G866" s="70" t="s">
        <x:v>1675</x:v>
      </x:c>
      <x:c r="H866" s="70" t="s">
        <x:v>1215</x:v>
      </x:c>
      <x:c r="I866" s="70" t="s">
        <x:v>1199</x:v>
      </x:c>
      <x:c r="J866" s="70" t="n">
        <x:v>166</x:v>
      </x:c>
      <x:c r="K866" s="70" t="s">
        <x:v>2091</x:v>
      </x:c>
      <x:c r="L866" s="70"/>
      <x:c r="M866" s="70" t="s">
        <x:v>158</x:v>
      </x:c>
      <x:c r="N866" s="70" t="n">
        <x:v>15</x:v>
      </x:c>
      <x:c r="O866" s="70" t="n">
        <x:f aca="0">N866</x:f>
        <x:v>15</x:v>
      </x:c>
      <x:c r="P866" s="74" t="n">
        <x:f aca="0">LUCK!G131</x:f>
        <x:v>15</x:v>
      </x:c>
      <x:c r="Q866" s="70" t="str">
        <x:f aca="0">IF(ABS(O866-P866)&lt;0.000001,"PASS","FAIL")</x:f>
        <x:v>PASS</x:v>
      </x:c>
      <x:c r="R866" s="70" t="s">
        <x:v>34</x:v>
      </x:c>
      <x:c r="S866" s="70" t="str">
        <x:v>Verified FY-end share basis; see Share Basis and Corporate Actions for source excerpts and normalization. Original source metadata superseded where the basis changed.</x:v>
      </x:c>
    </x:row>
    <x:row r="867" ht="15" hidden="0">
      <x:c r="A867" s="70" t="s">
        <x:v>2095</x:v>
      </x:c>
      <x:c r="B867" s="70" t="s">
        <x:v>31</x:v>
      </x:c>
      <x:c r="C867" s="70" t="s">
        <x:v>77</x:v>
      </x:c>
      <x:c r="D867" s="70" t="s">
        <x:v>502</x:v>
      </x:c>
      <x:c r="E867" s="70" t="s">
        <x:v>1221</x:v>
      </x:c>
      <x:c r="F867" s="70" t="s">
        <x:v>1643</x:v>
      </x:c>
      <x:c r="G867" s="70" t="s">
        <x:v>1675</x:v>
      </x:c>
      <x:c r="H867" s="70" t="s">
        <x:v>1215</x:v>
      </x:c>
      <x:c r="I867" s="70" t="s">
        <x:v>1218</x:v>
      </x:c>
      <x:c r="J867" s="70" t="n">
        <x:v>166</x:v>
      </x:c>
      <x:c r="K867" s="70" t="s">
        <x:v>2091</x:v>
      </x:c>
      <x:c r="L867" s="70"/>
      <x:c r="M867" s="70" t="s">
        <x:v>158</x:v>
      </x:c>
      <x:c r="N867" s="70" t="n">
        <x:v>4</x:v>
      </x:c>
      <x:c r="O867" s="70" t="n">
        <x:f aca="0">N867</x:f>
        <x:v>4</x:v>
      </x:c>
      <x:c r="P867" s="74" t="n">
        <x:f aca="0">LUCK!H131</x:f>
        <x:v>4</x:v>
      </x:c>
      <x:c r="Q867" s="70" t="str">
        <x:f aca="0">IF(ABS(O867-P867)&lt;0.000001,"PASS","FAIL")</x:f>
        <x:v>PASS</x:v>
      </x:c>
      <x:c r="R867" s="70" t="s">
        <x:v>34</x:v>
      </x:c>
      <x:c r="S867" s="70" t="str">
        <x:v>Verified FY-end share basis; see Share Basis and Corporate Actions for source excerpts and normalization. Original source metadata superseded where the basis changed.</x:v>
      </x:c>
    </x:row>
    <x:row r="868" ht="15" hidden="0">
      <x:c r="A868" s="70" t="s">
        <x:v>2096</x:v>
      </x:c>
      <x:c r="B868" s="70" t="s">
        <x:v>31</x:v>
      </x:c>
      <x:c r="C868" s="70" t="s">
        <x:v>73</x:v>
      </x:c>
      <x:c r="D868" s="70" t="s">
        <x:v>1649</x:v>
      </x:c>
      <x:c r="E868" s="70" t="s">
        <x:v>1472</x:v>
      </x:c>
      <x:c r="F868" s="70" t="s">
        <x:v>1650</x:v>
      </x:c>
      <x:c r="G868" s="70" t="str">
        <x:v>2021.pdf</x:v>
      </x:c>
      <x:c r="H868" s="70" t="s">
        <x:v>1198</x:v>
      </x:c>
      <x:c r="I868" s="70" t="s">
        <x:v>1218</x:v>
      </x:c>
      <x:c r="J868" s="70" t="n">
        <x:v>222</x:v>
      </x:c>
      <x:c r="K868" s="70" t="s">
        <x:v>1200</x:v>
      </x:c>
      <x:c r="L868" s="70"/>
      <x:c r="M868" s="70" t="s">
        <x:v>158</x:v>
      </x:c>
      <x:c r="N868" s="70" t="n">
        <x:v>43.51</x:v>
      </x:c>
      <x:c r="O868" s="70" t="n">
        <x:f aca="0">N868</x:f>
        <x:v>43.51</x:v>
      </x:c>
      <x:c r="P868" s="74" t="n">
        <x:f aca="0">LUCK!D132</x:f>
        <x:v>43.51</x:v>
      </x:c>
      <x:c r="Q868" s="70" t="str">
        <x:f aca="0">IF(ABS(O868-P868)&lt;0.000001,"PASS","FAIL")</x:f>
        <x:v>PASS</x:v>
      </x:c>
      <x:c r="R868" s="70" t="s">
        <x:v>34</x:v>
      </x:c>
      <x:c r="S868" s="70" t="str">
        <x:v>Verified FY-end share basis; see Share Basis and Corporate Actions for source excerpts and normalization. Original source metadata superseded where the basis changed.</x:v>
      </x:c>
    </x:row>
    <x:row r="869" ht="15" hidden="0">
      <x:c r="A869" s="70" t="s">
        <x:v>2097</x:v>
      </x:c>
      <x:c r="B869" s="70" t="s">
        <x:v>31</x:v>
      </x:c>
      <x:c r="C869" s="70" t="s">
        <x:v>74</x:v>
      </x:c>
      <x:c r="D869" s="70" t="s">
        <x:v>1649</x:v>
      </x:c>
      <x:c r="E869" s="70" t="s">
        <x:v>1472</x:v>
      </x:c>
      <x:c r="F869" s="70" t="s">
        <x:v>1650</x:v>
      </x:c>
      <x:c r="G869" s="70" t="str">
        <x:v>2022.pdf</x:v>
      </x:c>
      <x:c r="H869" s="70" t="s">
        <x:v>1204</x:v>
      </x:c>
      <x:c r="I869" s="70" t="s">
        <x:v>1218</x:v>
      </x:c>
      <x:c r="J869" s="70" t="n">
        <x:v>258</x:v>
      </x:c>
      <x:c r="K869" s="70" t="s">
        <x:v>1918</x:v>
      </x:c>
      <x:c r="L869" s="70"/>
      <x:c r="M869" s="70" t="s">
        <x:v>158</x:v>
      </x:c>
      <x:c r="N869" s="70" t="n">
        <x:v>47.31</x:v>
      </x:c>
      <x:c r="O869" s="70" t="n">
        <x:f aca="0">N869</x:f>
        <x:v>47.31</x:v>
      </x:c>
      <x:c r="P869" s="74" t="n">
        <x:f aca="0">LUCK!E132</x:f>
        <x:v>47.31</x:v>
      </x:c>
      <x:c r="Q869" s="70" t="str">
        <x:f aca="0">IF(ABS(O869-P869)&lt;0.000001,"PASS","FAIL")</x:f>
        <x:v>PASS</x:v>
      </x:c>
      <x:c r="R869" s="70" t="s">
        <x:v>34</x:v>
      </x:c>
      <x:c r="S869" s="70" t="str">
        <x:v>Verified FY-end share basis; see Share Basis and Corporate Actions for source excerpts and normalization. Original source metadata superseded where the basis changed.</x:v>
      </x:c>
    </x:row>
    <x:row r="870" ht="15" hidden="0">
      <x:c r="A870" s="70" t="s">
        <x:v>2098</x:v>
      </x:c>
      <x:c r="B870" s="70" t="s">
        <x:v>31</x:v>
      </x:c>
      <x:c r="C870" s="70" t="s">
        <x:v>75</x:v>
      </x:c>
      <x:c r="D870" s="70" t="s">
        <x:v>1649</x:v>
      </x:c>
      <x:c r="E870" s="70" t="s">
        <x:v>1472</x:v>
      </x:c>
      <x:c r="F870" s="70" t="s">
        <x:v>1650</x:v>
      </x:c>
      <x:c r="G870" s="70" t="str">
        <x:v>2023.pdf</x:v>
      </x:c>
      <x:c r="H870" s="70" t="s">
        <x:v>1208</x:v>
      </x:c>
      <x:c r="I870" s="70" t="s">
        <x:v>1218</x:v>
      </x:c>
      <x:c r="J870" s="70" t="n">
        <x:v>266</x:v>
      </x:c>
      <x:c r="K870" s="70" t="s">
        <x:v>1920</x:v>
      </x:c>
      <x:c r="L870" s="70"/>
      <x:c r="M870" s="70" t="s">
        <x:v>158</x:v>
      </x:c>
      <x:c r="N870" s="70" t="n">
        <x:v>43.06</x:v>
      </x:c>
      <x:c r="O870" s="70" t="n">
        <x:f aca="0">N870</x:f>
        <x:v>43.06</x:v>
      </x:c>
      <x:c r="P870" s="74" t="n">
        <x:f aca="0">LUCK!F132</x:f>
        <x:v>43.06</x:v>
      </x:c>
      <x:c r="Q870" s="70" t="str">
        <x:f aca="0">IF(ABS(O870-P870)&lt;0.000001,"PASS","FAIL")</x:f>
        <x:v>PASS</x:v>
      </x:c>
      <x:c r="R870" s="70" t="s">
        <x:v>34</x:v>
      </x:c>
      <x:c r="S870" s="70" t="str">
        <x:v>Verified FY-end share basis; see Share Basis and Corporate Actions for source excerpts and normalization. Original source metadata superseded where the basis changed.</x:v>
      </x:c>
    </x:row>
    <x:row r="871" ht="15" hidden="0">
      <x:c r="A871" s="70" t="s">
        <x:v>2099</x:v>
      </x:c>
      <x:c r="B871" s="70" t="s">
        <x:v>31</x:v>
      </x:c>
      <x:c r="C871" s="70" t="s">
        <x:v>76</x:v>
      </x:c>
      <x:c r="D871" s="70" t="s">
        <x:v>1649</x:v>
      </x:c>
      <x:c r="E871" s="70" t="s">
        <x:v>1472</x:v>
      </x:c>
      <x:c r="F871" s="70" t="s">
        <x:v>1650</x:v>
      </x:c>
      <x:c r="G871" s="70" t="str">
        <x:v>2024.pdf</x:v>
      </x:c>
      <x:c r="H871" s="70" t="s">
        <x:v>1211</x:v>
      </x:c>
      <x:c r="I871" s="70" t="s">
        <x:v>1218</x:v>
      </x:c>
      <x:c r="J871" s="70" t="n">
        <x:v>271</x:v>
      </x:c>
      <x:c r="K871" s="70" t="s">
        <x:v>1922</x:v>
      </x:c>
      <x:c r="L871" s="70"/>
      <x:c r="M871" s="70" t="s">
        <x:v>158</x:v>
      </x:c>
      <x:c r="N871" s="70" t="n">
        <x:v>94.54</x:v>
      </x:c>
      <x:c r="O871" s="70" t="n">
        <x:f aca="0">N871</x:f>
        <x:v>94.54</x:v>
      </x:c>
      <x:c r="P871" s="74" t="n">
        <x:f aca="0">LUCK!G132</x:f>
        <x:v>94.54</x:v>
      </x:c>
      <x:c r="Q871" s="70" t="str">
        <x:f aca="0">IF(ABS(O871-P871)&lt;0.000001,"PASS","FAIL")</x:f>
        <x:v>PASS</x:v>
      </x:c>
      <x:c r="R871" s="70" t="s">
        <x:v>34</x:v>
      </x:c>
      <x:c r="S871" s="70" t="str">
        <x:v>Verified FY-end share basis; see Share Basis and Corporate Actions for source excerpts and normalization. Original source metadata superseded where the basis changed.</x:v>
      </x:c>
    </x:row>
    <x:row r="872" ht="15" hidden="0">
      <x:c r="A872" s="70" t="s">
        <x:v>2100</x:v>
      </x:c>
      <x:c r="B872" s="70" t="s">
        <x:v>31</x:v>
      </x:c>
      <x:c r="C872" s="70" t="s">
        <x:v>77</x:v>
      </x:c>
      <x:c r="D872" s="70" t="s">
        <x:v>1649</x:v>
      </x:c>
      <x:c r="E872" s="70" t="s">
        <x:v>1472</x:v>
      </x:c>
      <x:c r="F872" s="70" t="s">
        <x:v>1650</x:v>
      </x:c>
      <x:c r="G872" s="70" t="str">
        <x:v>2025.pdf</x:v>
      </x:c>
      <x:c r="H872" s="70" t="s">
        <x:v>1215</x:v>
      </x:c>
      <x:c r="I872" s="70" t="s">
        <x:v>1218</x:v>
      </x:c>
      <x:c r="J872" s="70" t="n">
        <x:v>274</x:v>
      </x:c>
      <x:c r="K872" s="70" t="s">
        <x:v>1200</x:v>
      </x:c>
      <x:c r="L872" s="70"/>
      <x:c r="M872" s="70" t="s">
        <x:v>158</x:v>
      </x:c>
      <x:c r="N872" s="70" t="n">
        <x:v>22.59</x:v>
      </x:c>
      <x:c r="O872" s="70" t="n">
        <x:f aca="0">N872</x:f>
        <x:v>22.59</x:v>
      </x:c>
      <x:c r="P872" s="74" t="n">
        <x:f aca="0">LUCK!H132</x:f>
        <x:v>22.59</x:v>
      </x:c>
      <x:c r="Q872" s="70" t="str">
        <x:f aca="0">IF(ABS(O872-P872)&lt;0.000001,"PASS","FAIL")</x:f>
        <x:v>PASS</x:v>
      </x:c>
      <x:c r="R872" s="70" t="s">
        <x:v>34</x:v>
      </x:c>
      <x:c r="S872" s="70" t="str">
        <x:v>Verified FY-end share basis; see Share Basis and Corporate Actions for source excerpts and normalization. Original source metadata superseded where the basis changed.</x:v>
      </x:c>
    </x:row>
    <x:row r="873" ht="15" hidden="0">
      <x:c r="A873" s="70" t="s">
        <x:v>2101</x:v>
      </x:c>
      <x:c r="B873" s="70" t="s">
        <x:v>31</x:v>
      </x:c>
      <x:c r="C873" s="70" t="s">
        <x:v>73</x:v>
      </x:c>
      <x:c r="D873" s="70" t="s">
        <x:v>1656</x:v>
      </x:c>
      <x:c r="E873" s="70" t="s">
        <x:v>1221</x:v>
      </x:c>
      <x:c r="F873" s="70" t="s">
        <x:v>1657</x:v>
      </x:c>
      <x:c r="G873" s="70" t="s">
        <x:v>1675</x:v>
      </x:c>
      <x:c r="H873" s="70" t="s">
        <x:v>1215</x:v>
      </x:c>
      <x:c r="I873" s="70" t="s">
        <x:v>1199</x:v>
      </x:c>
      <x:c r="J873" s="70" t="n">
        <x:v>166</x:v>
      </x:c>
      <x:c r="K873" s="70" t="s">
        <x:v>2091</x:v>
      </x:c>
      <x:c r="L873" s="70"/>
      <x:c r="M873" s="70" t="s">
        <x:v>508</x:v>
      </x:c>
      <x:c r="N873" s="70" t="n">
        <x:v>5</x:v>
      </x:c>
      <x:c r="O873" s="70" t="n">
        <x:f aca="0">N873</x:f>
        <x:v>5</x:v>
      </x:c>
      <x:c r="P873" s="74" t="n">
        <x:f aca="0">LUCK!D134</x:f>
        <x:v>5</x:v>
      </x:c>
      <x:c r="Q873" s="70" t="str">
        <x:f aca="0">IF(ABS(O873-P873)&lt;0.000001,"PASS","FAIL")</x:f>
        <x:v>PASS</x:v>
      </x:c>
      <x:c r="R873" s="70" t="s">
        <x:v>34</x:v>
      </x:c>
      <x:c r="S873" s="70" t="str">
        <x:v>Verified FY-end share basis; see Share Basis and Corporate Actions for source excerpts and normalization. Original source metadata superseded where the basis changed.</x:v>
      </x:c>
    </x:row>
    <x:row r="874" ht="15" hidden="0">
      <x:c r="A874" s="70" t="s">
        <x:v>2102</x:v>
      </x:c>
      <x:c r="B874" s="70" t="s">
        <x:v>31</x:v>
      </x:c>
      <x:c r="C874" s="70" t="s">
        <x:v>74</x:v>
      </x:c>
      <x:c r="D874" s="70" t="s">
        <x:v>1656</x:v>
      </x:c>
      <x:c r="E874" s="70" t="s">
        <x:v>1221</x:v>
      </x:c>
      <x:c r="F874" s="70" t="s">
        <x:v>1657</x:v>
      </x:c>
      <x:c r="G874" s="70" t="s">
        <x:v>1675</x:v>
      </x:c>
      <x:c r="H874" s="70" t="s">
        <x:v>1215</x:v>
      </x:c>
      <x:c r="I874" s="70" t="s">
        <x:v>1199</x:v>
      </x:c>
      <x:c r="J874" s="70" t="n">
        <x:v>166</x:v>
      </x:c>
      <x:c r="K874" s="70" t="s">
        <x:v>2091</x:v>
      </x:c>
      <x:c r="L874" s="70"/>
      <x:c r="M874" s="70" t="s">
        <x:v>508</x:v>
      </x:c>
      <x:c r="N874" s="70" t="n">
        <x:v>5</x:v>
      </x:c>
      <x:c r="O874" s="70" t="n">
        <x:f aca="0">N874</x:f>
        <x:v>5</x:v>
      </x:c>
      <x:c r="P874" s="74" t="n">
        <x:f aca="0">LUCK!E134</x:f>
        <x:v>5</x:v>
      </x:c>
      <x:c r="Q874" s="70" t="str">
        <x:f aca="0">IF(ABS(O874-P874)&lt;0.000001,"PASS","FAIL")</x:f>
        <x:v>PASS</x:v>
      </x:c>
      <x:c r="R874" s="70" t="s">
        <x:v>34</x:v>
      </x:c>
      <x:c r="S874" s="70" t="str">
        <x:v>Verified FY-end share basis; see Share Basis and Corporate Actions for source excerpts and normalization. Original source metadata superseded where the basis changed.</x:v>
      </x:c>
    </x:row>
    <x:row r="875" ht="15" hidden="0">
      <x:c r="A875" s="70" t="s">
        <x:v>2103</x:v>
      </x:c>
      <x:c r="B875" s="70" t="s">
        <x:v>31</x:v>
      </x:c>
      <x:c r="C875" s="70" t="s">
        <x:v>75</x:v>
      </x:c>
      <x:c r="D875" s="70" t="s">
        <x:v>1656</x:v>
      </x:c>
      <x:c r="E875" s="70" t="s">
        <x:v>1221</x:v>
      </x:c>
      <x:c r="F875" s="70" t="s">
        <x:v>1657</x:v>
      </x:c>
      <x:c r="G875" s="70" t="s">
        <x:v>1675</x:v>
      </x:c>
      <x:c r="H875" s="70" t="s">
        <x:v>1215</x:v>
      </x:c>
      <x:c r="I875" s="70" t="s">
        <x:v>1199</x:v>
      </x:c>
      <x:c r="J875" s="70" t="n">
        <x:v>166</x:v>
      </x:c>
      <x:c r="K875" s="70" t="s">
        <x:v>2091</x:v>
      </x:c>
      <x:c r="L875" s="70"/>
      <x:c r="M875" s="70" t="s">
        <x:v>508</x:v>
      </x:c>
      <x:c r="N875" s="70" t="n">
        <x:v>5</x:v>
      </x:c>
      <x:c r="O875" s="70" t="n">
        <x:f aca="0">N875</x:f>
        <x:v>5</x:v>
      </x:c>
      <x:c r="P875" s="74" t="n">
        <x:f aca="0">LUCK!F134</x:f>
        <x:v>5</x:v>
      </x:c>
      <x:c r="Q875" s="70" t="str">
        <x:f aca="0">IF(ABS(O875-P875)&lt;0.000001,"PASS","FAIL")</x:f>
        <x:v>PASS</x:v>
      </x:c>
      <x:c r="R875" s="70" t="s">
        <x:v>34</x:v>
      </x:c>
      <x:c r="S875" s="70" t="str">
        <x:v>Verified FY-end share basis; see Share Basis and Corporate Actions for source excerpts and normalization. Original source metadata superseded where the basis changed.</x:v>
      </x:c>
    </x:row>
    <x:row r="876" ht="15" hidden="0">
      <x:c r="A876" s="70" t="s">
        <x:v>2104</x:v>
      </x:c>
      <x:c r="B876" s="70" t="s">
        <x:v>31</x:v>
      </x:c>
      <x:c r="C876" s="70" t="s">
        <x:v>76</x:v>
      </x:c>
      <x:c r="D876" s="70" t="s">
        <x:v>1656</x:v>
      </x:c>
      <x:c r="E876" s="70" t="s">
        <x:v>1221</x:v>
      </x:c>
      <x:c r="F876" s="70" t="s">
        <x:v>1657</x:v>
      </x:c>
      <x:c r="G876" s="70" t="s">
        <x:v>1675</x:v>
      </x:c>
      <x:c r="H876" s="70" t="s">
        <x:v>1215</x:v>
      </x:c>
      <x:c r="I876" s="70" t="s">
        <x:v>1199</x:v>
      </x:c>
      <x:c r="J876" s="70" t="n">
        <x:v>166</x:v>
      </x:c>
      <x:c r="K876" s="70" t="s">
        <x:v>2091</x:v>
      </x:c>
      <x:c r="L876" s="70"/>
      <x:c r="M876" s="70" t="s">
        <x:v>508</x:v>
      </x:c>
      <x:c r="N876" s="70" t="n">
        <x:v>5</x:v>
      </x:c>
      <x:c r="O876" s="70" t="n">
        <x:f aca="0">N876</x:f>
        <x:v>5</x:v>
      </x:c>
      <x:c r="P876" s="74" t="n">
        <x:f aca="0">LUCK!G134</x:f>
        <x:v>5</x:v>
      </x:c>
      <x:c r="Q876" s="70" t="str">
        <x:f aca="0">IF(ABS(O876-P876)&lt;0.000001,"PASS","FAIL")</x:f>
        <x:v>PASS</x:v>
      </x:c>
      <x:c r="R876" s="70" t="s">
        <x:v>34</x:v>
      </x:c>
      <x:c r="S876" s="70" t="str">
        <x:v>Verified FY-end share basis; see Share Basis and Corporate Actions for source excerpts and normalization. Original source metadata superseded where the basis changed.</x:v>
      </x:c>
    </x:row>
    <x:row r="877" ht="15" hidden="0">
      <x:c r="A877" s="70" t="s">
        <x:v>2105</x:v>
      </x:c>
      <x:c r="B877" s="70" t="s">
        <x:v>31</x:v>
      </x:c>
      <x:c r="C877" s="70" t="s">
        <x:v>77</x:v>
      </x:c>
      <x:c r="D877" s="70" t="s">
        <x:v>1656</x:v>
      </x:c>
      <x:c r="E877" s="70" t="s">
        <x:v>1221</x:v>
      </x:c>
      <x:c r="F877" s="70" t="s">
        <x:v>1657</x:v>
      </x:c>
      <x:c r="G877" s="70" t="s">
        <x:v>1675</x:v>
      </x:c>
      <x:c r="H877" s="70" t="s">
        <x:v>1215</x:v>
      </x:c>
      <x:c r="I877" s="70" t="s">
        <x:v>1218</x:v>
      </x:c>
      <x:c r="J877" s="70" t="n">
        <x:v>166</x:v>
      </x:c>
      <x:c r="K877" s="70" t="s">
        <x:v>2091</x:v>
      </x:c>
      <x:c r="L877" s="70"/>
      <x:c r="M877" s="70" t="s">
        <x:v>508</x:v>
      </x:c>
      <x:c r="N877" s="70" t="n">
        <x:v>1</x:v>
      </x:c>
      <x:c r="O877" s="70" t="n">
        <x:f aca="0">N877</x:f>
        <x:v>1</x:v>
      </x:c>
      <x:c r="P877" s="74" t="n">
        <x:f aca="0">LUCK!H134</x:f>
        <x:v>1</x:v>
      </x:c>
      <x:c r="Q877" s="70" t="str">
        <x:f aca="0">IF(ABS(O877-P877)&lt;0.000001,"PASS","FAIL")</x:f>
        <x:v>PASS</x:v>
      </x:c>
      <x:c r="R877" s="70" t="s">
        <x:v>34</x:v>
      </x:c>
      <x:c r="S877" s="70" t="str">
        <x:v>Verified FY-end share basis; see Share Basis and Corporate Actions for source excerpts and normalization. Original source metadata superseded where the basis changed.</x:v>
      </x:c>
    </x:row>
    <x:row r="878" ht="15" hidden="0">
      <x:c r="A878" s="70" t="s">
        <x:v>2106</x:v>
      </x:c>
      <x:c r="B878" s="70" t="s">
        <x:v>37</x:v>
      </x:c>
      <x:c r="C878" s="70" t="s">
        <x:v>1076</x:v>
      </x:c>
      <x:c r="D878" s="70" t="s">
        <x:v>296</x:v>
      </x:c>
      <x:c r="E878" s="70" t="s">
        <x:v>1129</x:v>
      </x:c>
      <x:c r="F878" s="70" t="s">
        <x:v>1196</x:v>
      </x:c>
      <x:c r="G878" s="70" t="s">
        <x:v>2107</x:v>
      </x:c>
      <x:c r="H878" s="70" t="s">
        <x:v>1198</x:v>
      </x:c>
      <x:c r="I878" s="70" t="s">
        <x:v>1199</x:v>
      </x:c>
      <x:c r="J878" s="70" t="n">
        <x:v>106</x:v>
      </x:c>
      <x:c r="K878" s="70" t="s">
        <x:v>2108</x:v>
      </x:c>
      <x:c r="L878" s="70" t="s">
        <x:v>1252</x:v>
      </x:c>
      <x:c r="M878" s="70" t="s">
        <x:v>40</x:v>
      </x:c>
      <x:c r="N878" s="71" t="n">
        <x:v>83537295</x:v>
      </x:c>
      <x:c r="O878" s="72" t="n">
        <x:f aca="0">N878/1000</x:f>
        <x:v>83537.295</x:v>
      </x:c>
      <x:c r="P878" s="73" t="n">
        <x:f aca="0">DGKC!C20</x:f>
        <x:v>83537.295</x:v>
      </x:c>
      <x:c r="Q878" s="70" t="str">
        <x:f aca="0">IF(ABS(O878-P878)&lt;0.000001,"PASS","FAIL")</x:f>
        <x:v>PASS</x:v>
      </x:c>
      <x:c r="R878" s="70" t="s">
        <x:v>34</x:v>
      </x:c>
      <x:c r="S878" s="70"/>
    </x:row>
    <x:row r="879" ht="15" hidden="0">
      <x:c r="A879" s="70" t="s">
        <x:v>2109</x:v>
      </x:c>
      <x:c r="B879" s="70" t="s">
        <x:v>37</x:v>
      </x:c>
      <x:c r="C879" s="70" t="s">
        <x:v>73</x:v>
      </x:c>
      <x:c r="D879" s="70" t="s">
        <x:v>296</x:v>
      </x:c>
      <x:c r="E879" s="70" t="s">
        <x:v>1129</x:v>
      </x:c>
      <x:c r="F879" s="70" t="s">
        <x:v>1196</x:v>
      </x:c>
      <x:c r="G879" s="70" t="s">
        <x:v>2110</x:v>
      </x:c>
      <x:c r="H879" s="70" t="s">
        <x:v>1204</x:v>
      </x:c>
      <x:c r="I879" s="70" t="s">
        <x:v>1199</x:v>
      </x:c>
      <x:c r="J879" s="70" t="n">
        <x:v>126</x:v>
      </x:c>
      <x:c r="K879" s="70" t="s">
        <x:v>2111</x:v>
      </x:c>
      <x:c r="L879" s="70" t="s">
        <x:v>1252</x:v>
      </x:c>
      <x:c r="M879" s="70" t="s">
        <x:v>40</x:v>
      </x:c>
      <x:c r="N879" s="71" t="n">
        <x:v>85020109</x:v>
      </x:c>
      <x:c r="O879" s="72" t="n">
        <x:f aca="0">N879/1000</x:f>
        <x:v>85020.109</x:v>
      </x:c>
      <x:c r="P879" s="73" t="n">
        <x:f aca="0">DGKC!D20</x:f>
        <x:v>85020.109</x:v>
      </x:c>
      <x:c r="Q879" s="70" t="str">
        <x:f aca="0">IF(ABS(O879-P879)&lt;0.000001,"PASS","FAIL")</x:f>
        <x:v>PASS</x:v>
      </x:c>
      <x:c r="R879" s="70" t="s">
        <x:v>34</x:v>
      </x:c>
      <x:c r="S879" s="70"/>
    </x:row>
    <x:row r="880" ht="15" hidden="0">
      <x:c r="A880" s="70" t="s">
        <x:v>2112</x:v>
      </x:c>
      <x:c r="B880" s="70" t="s">
        <x:v>37</x:v>
      </x:c>
      <x:c r="C880" s="70" t="s">
        <x:v>74</x:v>
      </x:c>
      <x:c r="D880" s="70" t="s">
        <x:v>296</x:v>
      </x:c>
      <x:c r="E880" s="70" t="s">
        <x:v>1129</x:v>
      </x:c>
      <x:c r="F880" s="70" t="s">
        <x:v>1196</x:v>
      </x:c>
      <x:c r="G880" s="70" t="s">
        <x:v>2113</x:v>
      </x:c>
      <x:c r="H880" s="70" t="s">
        <x:v>1208</x:v>
      </x:c>
      <x:c r="I880" s="70" t="s">
        <x:v>1199</x:v>
      </x:c>
      <x:c r="J880" s="70" t="n">
        <x:v>152</x:v>
      </x:c>
      <x:c r="K880" s="70" t="s">
        <x:v>2114</x:v>
      </x:c>
      <x:c r="L880" s="70" t="s">
        <x:v>1252</x:v>
      </x:c>
      <x:c r="M880" s="70" t="s">
        <x:v>40</x:v>
      </x:c>
      <x:c r="N880" s="71" t="n">
        <x:v>82803860</x:v>
      </x:c>
      <x:c r="O880" s="72" t="n">
        <x:f aca="0">N880/1000</x:f>
        <x:v>82803.86</x:v>
      </x:c>
      <x:c r="P880" s="73" t="n">
        <x:f aca="0">DGKC!E20</x:f>
        <x:v>82803.86</x:v>
      </x:c>
      <x:c r="Q880" s="70" t="str">
        <x:f aca="0">IF(ABS(O880-P880)&lt;0.000001,"PASS","FAIL")</x:f>
        <x:v>PASS</x:v>
      </x:c>
      <x:c r="R880" s="70" t="s">
        <x:v>34</x:v>
      </x:c>
      <x:c r="S880" s="70"/>
    </x:row>
    <x:row r="881" ht="15" hidden="0">
      <x:c r="A881" s="70" t="s">
        <x:v>2115</x:v>
      </x:c>
      <x:c r="B881" s="70" t="s">
        <x:v>37</x:v>
      </x:c>
      <x:c r="C881" s="70" t="s">
        <x:v>75</x:v>
      </x:c>
      <x:c r="D881" s="70" t="s">
        <x:v>296</x:v>
      </x:c>
      <x:c r="E881" s="70" t="s">
        <x:v>1129</x:v>
      </x:c>
      <x:c r="F881" s="70" t="s">
        <x:v>1196</x:v>
      </x:c>
      <x:c r="G881" s="70" t="s">
        <x:v>2116</x:v>
      </x:c>
      <x:c r="H881" s="70" t="s">
        <x:v>1211</x:v>
      </x:c>
      <x:c r="I881" s="70" t="s">
        <x:v>1199</x:v>
      </x:c>
      <x:c r="J881" s="70" t="n">
        <x:v>152</x:v>
      </x:c>
      <x:c r="K881" s="70" t="s">
        <x:v>2114</x:v>
      </x:c>
      <x:c r="L881" s="70" t="s">
        <x:v>1252</x:v>
      </x:c>
      <x:c r="M881" s="70" t="s">
        <x:v>40</x:v>
      </x:c>
      <x:c r="N881" s="71" t="n">
        <x:v>82245650</x:v>
      </x:c>
      <x:c r="O881" s="72" t="n">
        <x:f aca="0">N881/1000</x:f>
        <x:v>82245.65</x:v>
      </x:c>
      <x:c r="P881" s="73" t="n">
        <x:f aca="0">DGKC!F20</x:f>
        <x:v>82245.65</x:v>
      </x:c>
      <x:c r="Q881" s="70" t="str">
        <x:f aca="0">IF(ABS(O881-P881)&lt;0.000001,"PASS","FAIL")</x:f>
        <x:v>PASS</x:v>
      </x:c>
      <x:c r="R881" s="70" t="s">
        <x:v>34</x:v>
      </x:c>
      <x:c r="S881" s="70"/>
    </x:row>
    <x:row r="882" ht="15" hidden="0">
      <x:c r="A882" s="70" t="s">
        <x:v>2117</x:v>
      </x:c>
      <x:c r="B882" s="70" t="s">
        <x:v>37</x:v>
      </x:c>
      <x:c r="C882" s="70" t="s">
        <x:v>76</x:v>
      </x:c>
      <x:c r="D882" s="70" t="s">
        <x:v>296</x:v>
      </x:c>
      <x:c r="E882" s="70" t="s">
        <x:v>1129</x:v>
      </x:c>
      <x:c r="F882" s="70" t="s">
        <x:v>1196</x:v>
      </x:c>
      <x:c r="G882" s="70" t="s">
        <x:v>2118</x:v>
      </x:c>
      <x:c r="H882" s="70" t="s">
        <x:v>1215</x:v>
      </x:c>
      <x:c r="I882" s="70" t="s">
        <x:v>1199</x:v>
      </x:c>
      <x:c r="J882" s="70" t="n">
        <x:v>154</x:v>
      </x:c>
      <x:c r="K882" s="70" t="s">
        <x:v>2119</x:v>
      </x:c>
      <x:c r="L882" s="70" t="s">
        <x:v>1252</x:v>
      </x:c>
      <x:c r="M882" s="70" t="s">
        <x:v>40</x:v>
      </x:c>
      <x:c r="N882" s="71" t="n">
        <x:v>79877839</x:v>
      </x:c>
      <x:c r="O882" s="72" t="n">
        <x:f aca="0">N882/1000</x:f>
        <x:v>79877.839</x:v>
      </x:c>
      <x:c r="P882" s="73" t="n">
        <x:f aca="0">DGKC!G20</x:f>
        <x:v>79877.839</x:v>
      </x:c>
      <x:c r="Q882" s="70" t="str">
        <x:f aca="0">IF(ABS(O882-P882)&lt;0.000001,"PASS","FAIL")</x:f>
        <x:v>PASS</x:v>
      </x:c>
      <x:c r="R882" s="70" t="s">
        <x:v>34</x:v>
      </x:c>
      <x:c r="S882" s="70"/>
    </x:row>
    <x:row r="883" ht="15" hidden="0">
      <x:c r="A883" s="70" t="s">
        <x:v>2120</x:v>
      </x:c>
      <x:c r="B883" s="70" t="s">
        <x:v>37</x:v>
      </x:c>
      <x:c r="C883" s="70" t="s">
        <x:v>77</x:v>
      </x:c>
      <x:c r="D883" s="70" t="s">
        <x:v>296</x:v>
      </x:c>
      <x:c r="E883" s="70" t="s">
        <x:v>1129</x:v>
      </x:c>
      <x:c r="F883" s="70" t="s">
        <x:v>1196</x:v>
      </x:c>
      <x:c r="G883" s="70" t="s">
        <x:v>2118</x:v>
      </x:c>
      <x:c r="H883" s="70" t="s">
        <x:v>1215</x:v>
      </x:c>
      <x:c r="I883" s="70" t="s">
        <x:v>1218</x:v>
      </x:c>
      <x:c r="J883" s="70" t="n">
        <x:v>154</x:v>
      </x:c>
      <x:c r="K883" s="70" t="s">
        <x:v>2119</x:v>
      </x:c>
      <x:c r="L883" s="70" t="s">
        <x:v>1252</x:v>
      </x:c>
      <x:c r="M883" s="70" t="s">
        <x:v>40</x:v>
      </x:c>
      <x:c r="N883" s="71" t="n">
        <x:v>77252559</x:v>
      </x:c>
      <x:c r="O883" s="72" t="n">
        <x:f aca="0">N883/1000</x:f>
        <x:v>77252.559</x:v>
      </x:c>
      <x:c r="P883" s="73" t="n">
        <x:f aca="0">DGKC!H20</x:f>
        <x:v>77252.559</x:v>
      </x:c>
      <x:c r="Q883" s="70" t="str">
        <x:f aca="0">IF(ABS(O883-P883)&lt;0.000001,"PASS","FAIL")</x:f>
        <x:v>PASS</x:v>
      </x:c>
      <x:c r="R883" s="70" t="s">
        <x:v>34</x:v>
      </x:c>
      <x:c r="S883" s="70"/>
    </x:row>
    <x:row r="884" ht="15" hidden="0">
      <x:c r="A884" s="70" t="s">
        <x:v>2121</x:v>
      </x:c>
      <x:c r="B884" s="70" t="s">
        <x:v>37</x:v>
      </x:c>
      <x:c r="C884" s="70" t="s">
        <x:v>1076</x:v>
      </x:c>
      <x:c r="D884" s="70" t="s">
        <x:v>1220</x:v>
      </x:c>
      <x:c r="E884" s="70" t="s">
        <x:v>1221</x:v>
      </x:c>
      <x:c r="F884" s="70" t="s">
        <x:v>533</x:v>
      </x:c>
      <x:c r="G884" s="70" t="s">
        <x:v>2107</x:v>
      </x:c>
      <x:c r="H884" s="70" t="s">
        <x:v>1198</x:v>
      </x:c>
      <x:c r="I884" s="70" t="s">
        <x:v>1199</x:v>
      </x:c>
      <x:c r="J884" s="70" t="n">
        <x:v>139</x:v>
      </x:c>
      <x:c r="K884" s="70" t="s">
        <x:v>2122</x:v>
      </x:c>
      <x:c r="L884" s="70"/>
      <x:c r="M884" s="70" t="s">
        <x:v>40</x:v>
      </x:c>
      <x:c r="N884" s="71" t="n">
        <x:v>6358259</x:v>
      </x:c>
      <x:c r="O884" s="72" t="n">
        <x:f aca="0">N884/1000</x:f>
        <x:v>6358.259</x:v>
      </x:c>
      <x:c r="P884" s="73" t="n">
        <x:f aca="0">DGKC!C21</x:f>
        <x:v>6358.259</x:v>
      </x:c>
      <x:c r="Q884" s="70" t="str">
        <x:f aca="0">IF(ABS(O884-P884)&lt;0.000001,"PASS","FAIL")</x:f>
        <x:v>PASS</x:v>
      </x:c>
      <x:c r="R884" s="70" t="s">
        <x:v>34</x:v>
      </x:c>
      <x:c r="S884" s="70"/>
    </x:row>
    <x:row r="885" ht="15" hidden="0">
      <x:c r="A885" s="70" t="s">
        <x:v>2123</x:v>
      </x:c>
      <x:c r="B885" s="70" t="s">
        <x:v>37</x:v>
      </x:c>
      <x:c r="C885" s="70" t="s">
        <x:v>73</x:v>
      </x:c>
      <x:c r="D885" s="70" t="s">
        <x:v>1220</x:v>
      </x:c>
      <x:c r="E885" s="70" t="s">
        <x:v>1221</x:v>
      </x:c>
      <x:c r="F885" s="70" t="s">
        <x:v>533</x:v>
      </x:c>
      <x:c r="G885" s="70" t="s">
        <x:v>2110</x:v>
      </x:c>
      <x:c r="H885" s="70" t="s">
        <x:v>1204</x:v>
      </x:c>
      <x:c r="I885" s="70" t="s">
        <x:v>1199</x:v>
      </x:c>
      <x:c r="J885" s="70" t="n">
        <x:v>160</x:v>
      </x:c>
      <x:c r="K885" s="70" t="s">
        <x:v>2124</x:v>
      </x:c>
      <x:c r="L885" s="70"/>
      <x:c r="M885" s="70" t="s">
        <x:v>40</x:v>
      </x:c>
      <x:c r="N885" s="71" t="n">
        <x:v>7726720</x:v>
      </x:c>
      <x:c r="O885" s="72" t="n">
        <x:f aca="0">N885/1000</x:f>
        <x:v>7726.72</x:v>
      </x:c>
      <x:c r="P885" s="73" t="n">
        <x:f aca="0">DGKC!D21</x:f>
        <x:v>7726.72</x:v>
      </x:c>
      <x:c r="Q885" s="70" t="str">
        <x:f aca="0">IF(ABS(O885-P885)&lt;0.000001,"PASS","FAIL")</x:f>
        <x:v>PASS</x:v>
      </x:c>
      <x:c r="R885" s="70" t="s">
        <x:v>34</x:v>
      </x:c>
      <x:c r="S885" s="70"/>
    </x:row>
    <x:row r="886" ht="15" hidden="0">
      <x:c r="A886" s="70" t="s">
        <x:v>2125</x:v>
      </x:c>
      <x:c r="B886" s="70" t="s">
        <x:v>37</x:v>
      </x:c>
      <x:c r="C886" s="70" t="s">
        <x:v>74</x:v>
      </x:c>
      <x:c r="D886" s="70" t="s">
        <x:v>1220</x:v>
      </x:c>
      <x:c r="E886" s="70" t="s">
        <x:v>1221</x:v>
      </x:c>
      <x:c r="F886" s="70" t="s">
        <x:v>533</x:v>
      </x:c>
      <x:c r="G886" s="70" t="s">
        <x:v>2113</x:v>
      </x:c>
      <x:c r="H886" s="70" t="s">
        <x:v>1208</x:v>
      </x:c>
      <x:c r="I886" s="70" t="s">
        <x:v>1199</x:v>
      </x:c>
      <x:c r="J886" s="70" t="n">
        <x:v>185</x:v>
      </x:c>
      <x:c r="K886" s="70" t="s">
        <x:v>2126</x:v>
      </x:c>
      <x:c r="L886" s="70"/>
      <x:c r="M886" s="70" t="s">
        <x:v>40</x:v>
      </x:c>
      <x:c r="N886" s="71" t="n">
        <x:v>724168</x:v>
      </x:c>
      <x:c r="O886" s="72" t="n">
        <x:f aca="0">N886/1000</x:f>
        <x:v>724.168</x:v>
      </x:c>
      <x:c r="P886" s="73" t="n">
        <x:f aca="0">DGKC!E21</x:f>
        <x:v>724.168</x:v>
      </x:c>
      <x:c r="Q886" s="70" t="str">
        <x:f aca="0">IF(ABS(O886-P886)&lt;0.000001,"PASS","FAIL")</x:f>
        <x:v>PASS</x:v>
      </x:c>
      <x:c r="R886" s="70" t="s">
        <x:v>34</x:v>
      </x:c>
      <x:c r="S886" s="70"/>
    </x:row>
    <x:row r="887" ht="15" hidden="0">
      <x:c r="A887" s="70" t="s">
        <x:v>2127</x:v>
      </x:c>
      <x:c r="B887" s="70" t="s">
        <x:v>37</x:v>
      </x:c>
      <x:c r="C887" s="70" t="s">
        <x:v>75</x:v>
      </x:c>
      <x:c r="D887" s="70" t="s">
        <x:v>1220</x:v>
      </x:c>
      <x:c r="E887" s="70" t="s">
        <x:v>1221</x:v>
      </x:c>
      <x:c r="F887" s="70" t="s">
        <x:v>533</x:v>
      </x:c>
      <x:c r="G887" s="70" t="s">
        <x:v>2116</x:v>
      </x:c>
      <x:c r="H887" s="70" t="s">
        <x:v>1211</x:v>
      </x:c>
      <x:c r="I887" s="70" t="s">
        <x:v>1199</x:v>
      </x:c>
      <x:c r="J887" s="70" t="n">
        <x:v>187</x:v>
      </x:c>
      <x:c r="K887" s="70" t="s">
        <x:v>2128</x:v>
      </x:c>
      <x:c r="L887" s="70"/>
      <x:c r="M887" s="70" t="s">
        <x:v>40</x:v>
      </x:c>
      <x:c r="N887" s="71" t="n">
        <x:v>2006864</x:v>
      </x:c>
      <x:c r="O887" s="72" t="n">
        <x:f aca="0">N887/1000</x:f>
        <x:v>2006.864</x:v>
      </x:c>
      <x:c r="P887" s="73" t="n">
        <x:f aca="0">DGKC!F21</x:f>
        <x:v>2006.864</x:v>
      </x:c>
      <x:c r="Q887" s="70" t="str">
        <x:f aca="0">IF(ABS(O887-P887)&lt;0.000001,"PASS","FAIL")</x:f>
        <x:v>PASS</x:v>
      </x:c>
      <x:c r="R887" s="70" t="s">
        <x:v>34</x:v>
      </x:c>
      <x:c r="S887" s="70"/>
    </x:row>
    <x:row r="888" ht="15" hidden="0">
      <x:c r="A888" s="70" t="s">
        <x:v>2129</x:v>
      </x:c>
      <x:c r="B888" s="70" t="s">
        <x:v>37</x:v>
      </x:c>
      <x:c r="C888" s="70" t="s">
        <x:v>76</x:v>
      </x:c>
      <x:c r="D888" s="70" t="s">
        <x:v>1220</x:v>
      </x:c>
      <x:c r="E888" s="70" t="s">
        <x:v>1221</x:v>
      </x:c>
      <x:c r="F888" s="70" t="s">
        <x:v>533</x:v>
      </x:c>
      <x:c r="G888" s="70" t="s">
        <x:v>2118</x:v>
      </x:c>
      <x:c r="H888" s="70" t="s">
        <x:v>1215</x:v>
      </x:c>
      <x:c r="I888" s="70" t="s">
        <x:v>1199</x:v>
      </x:c>
      <x:c r="J888" s="70" t="n">
        <x:v>189</x:v>
      </x:c>
      <x:c r="K888" s="70" t="s">
        <x:v>2130</x:v>
      </x:c>
      <x:c r="L888" s="70"/>
      <x:c r="M888" s="70" t="s">
        <x:v>40</x:v>
      </x:c>
      <x:c r="N888" s="71" t="n">
        <x:v>1341029</x:v>
      </x:c>
      <x:c r="O888" s="72" t="n">
        <x:f aca="0">N888/1000</x:f>
        <x:v>1341.029</x:v>
      </x:c>
      <x:c r="P888" s="73" t="n">
        <x:f aca="0">DGKC!G21</x:f>
        <x:v>1341.029</x:v>
      </x:c>
      <x:c r="Q888" s="70" t="str">
        <x:f aca="0">IF(ABS(O888-P888)&lt;0.000001,"PASS","FAIL")</x:f>
        <x:v>PASS</x:v>
      </x:c>
      <x:c r="R888" s="70" t="s">
        <x:v>34</x:v>
      </x:c>
      <x:c r="S888" s="70"/>
    </x:row>
    <x:row r="889" ht="15" hidden="0">
      <x:c r="A889" s="70" t="s">
        <x:v>2131</x:v>
      </x:c>
      <x:c r="B889" s="70" t="s">
        <x:v>37</x:v>
      </x:c>
      <x:c r="C889" s="70" t="s">
        <x:v>77</x:v>
      </x:c>
      <x:c r="D889" s="70" t="s">
        <x:v>1220</x:v>
      </x:c>
      <x:c r="E889" s="70" t="s">
        <x:v>1221</x:v>
      </x:c>
      <x:c r="F889" s="70" t="s">
        <x:v>533</x:v>
      </x:c>
      <x:c r="G889" s="70" t="s">
        <x:v>2118</x:v>
      </x:c>
      <x:c r="H889" s="70" t="s">
        <x:v>1215</x:v>
      </x:c>
      <x:c r="I889" s="70" t="s">
        <x:v>1218</x:v>
      </x:c>
      <x:c r="J889" s="70" t="n">
        <x:v>189</x:v>
      </x:c>
      <x:c r="K889" s="70" t="s">
        <x:v>2130</x:v>
      </x:c>
      <x:c r="L889" s="70"/>
      <x:c r="M889" s="70" t="s">
        <x:v>40</x:v>
      </x:c>
      <x:c r="N889" s="71" t="n">
        <x:v>798312</x:v>
      </x:c>
      <x:c r="O889" s="72" t="n">
        <x:f aca="0">N889/1000</x:f>
        <x:v>798.312</x:v>
      </x:c>
      <x:c r="P889" s="73" t="n">
        <x:f aca="0">DGKC!H21</x:f>
        <x:v>798.312</x:v>
      </x:c>
      <x:c r="Q889" s="70" t="str">
        <x:f aca="0">IF(ABS(O889-P889)&lt;0.000001,"PASS","FAIL")</x:f>
        <x:v>PASS</x:v>
      </x:c>
      <x:c r="R889" s="70" t="s">
        <x:v>34</x:v>
      </x:c>
      <x:c r="S889" s="70"/>
    </x:row>
    <x:row r="890" ht="15" hidden="0">
      <x:c r="A890" s="70" t="s">
        <x:v>2132</x:v>
      </x:c>
      <x:c r="B890" s="70" t="s">
        <x:v>37</x:v>
      </x:c>
      <x:c r="C890" s="70" t="s">
        <x:v>1076</x:v>
      </x:c>
      <x:c r="D890" s="70" t="s">
        <x:v>302</x:v>
      </x:c>
      <x:c r="E890" s="70" t="s">
        <x:v>1129</x:v>
      </x:c>
      <x:c r="F890" s="70"/>
      <x:c r="G890" s="70" t="s">
        <x:v>2107</x:v>
      </x:c>
      <x:c r="H890" s="70" t="s">
        <x:v>1198</x:v>
      </x:c>
      <x:c r="I890" s="70" t="s">
        <x:v>1199</x:v>
      </x:c>
      <x:c r="J890" s="70" t="n">
        <x:v>105</x:v>
      </x:c>
      <x:c r="K890" s="70" t="s">
        <x:v>2133</x:v>
      </x:c>
      <x:c r="L890" s="70"/>
      <x:c r="M890" s="70" t="s">
        <x:v>40</x:v>
      </x:c>
      <x:c r="N890" s="71" t="n">
        <x:v>0</x:v>
      </x:c>
      <x:c r="O890" s="72" t="n">
        <x:f aca="0">N890/1000</x:f>
        <x:v>0</x:v>
      </x:c>
      <x:c r="P890" s="73" t="n">
        <x:f aca="0">DGKC!C23</x:f>
        <x:v>0</x:v>
      </x:c>
      <x:c r="Q890" s="70" t="str">
        <x:f aca="0">IF(ABS(O890-P890)&lt;0.000001,"PASS","FAIL")</x:f>
        <x:v>PASS</x:v>
      </x:c>
      <x:c r="R890" s="70" t="s">
        <x:v>34</x:v>
      </x:c>
      <x:c r="S890" s="70"/>
    </x:row>
    <x:row r="891" ht="15" hidden="0">
      <x:c r="A891" s="70" t="s">
        <x:v>2134</x:v>
      </x:c>
      <x:c r="B891" s="70" t="s">
        <x:v>37</x:v>
      </x:c>
      <x:c r="C891" s="70" t="s">
        <x:v>73</x:v>
      </x:c>
      <x:c r="D891" s="70" t="s">
        <x:v>302</x:v>
      </x:c>
      <x:c r="E891" s="70" t="s">
        <x:v>1129</x:v>
      </x:c>
      <x:c r="F891" s="70"/>
      <x:c r="G891" s="70" t="s">
        <x:v>2110</x:v>
      </x:c>
      <x:c r="H891" s="70" t="s">
        <x:v>1204</x:v>
      </x:c>
      <x:c r="I891" s="70" t="s">
        <x:v>1199</x:v>
      </x:c>
      <x:c r="J891" s="70" t="n">
        <x:v>125</x:v>
      </x:c>
      <x:c r="K891" s="70" t="s">
        <x:v>2135</x:v>
      </x:c>
      <x:c r="L891" s="70"/>
      <x:c r="M891" s="70" t="s">
        <x:v>40</x:v>
      </x:c>
      <x:c r="N891" s="71" t="n">
        <x:v>0</x:v>
      </x:c>
      <x:c r="O891" s="72" t="n">
        <x:f aca="0">N891/1000</x:f>
        <x:v>0</x:v>
      </x:c>
      <x:c r="P891" s="73" t="n">
        <x:f aca="0">DGKC!D23</x:f>
        <x:v>0</x:v>
      </x:c>
      <x:c r="Q891" s="70" t="str">
        <x:f aca="0">IF(ABS(O891-P891)&lt;0.000001,"PASS","FAIL")</x:f>
        <x:v>PASS</x:v>
      </x:c>
      <x:c r="R891" s="70" t="s">
        <x:v>34</x:v>
      </x:c>
      <x:c r="S891" s="70"/>
    </x:row>
    <x:row r="892" ht="15" hidden="0">
      <x:c r="A892" s="70" t="s">
        <x:v>2136</x:v>
      </x:c>
      <x:c r="B892" s="70" t="s">
        <x:v>37</x:v>
      </x:c>
      <x:c r="C892" s="70" t="s">
        <x:v>74</x:v>
      </x:c>
      <x:c r="D892" s="70" t="s">
        <x:v>302</x:v>
      </x:c>
      <x:c r="E892" s="70" t="s">
        <x:v>1129</x:v>
      </x:c>
      <x:c r="F892" s="70"/>
      <x:c r="G892" s="70" t="s">
        <x:v>2113</x:v>
      </x:c>
      <x:c r="H892" s="70" t="s">
        <x:v>1208</x:v>
      </x:c>
      <x:c r="I892" s="70" t="s">
        <x:v>1199</x:v>
      </x:c>
      <x:c r="J892" s="70" t="n">
        <x:v>151</x:v>
      </x:c>
      <x:c r="K892" s="70" t="s">
        <x:v>2137</x:v>
      </x:c>
      <x:c r="L892" s="70"/>
      <x:c r="M892" s="70" t="s">
        <x:v>40</x:v>
      </x:c>
      <x:c r="N892" s="71" t="n">
        <x:v>0</x:v>
      </x:c>
      <x:c r="O892" s="72" t="n">
        <x:f aca="0">N892/1000</x:f>
        <x:v>0</x:v>
      </x:c>
      <x:c r="P892" s="73" t="n">
        <x:f aca="0">DGKC!E23</x:f>
        <x:v>0</x:v>
      </x:c>
      <x:c r="Q892" s="70" t="str">
        <x:f aca="0">IF(ABS(O892-P892)&lt;0.000001,"PASS","FAIL")</x:f>
        <x:v>PASS</x:v>
      </x:c>
      <x:c r="R892" s="70" t="s">
        <x:v>34</x:v>
      </x:c>
      <x:c r="S892" s="70"/>
    </x:row>
    <x:row r="893" ht="15" hidden="0">
      <x:c r="A893" s="70" t="s">
        <x:v>2138</x:v>
      </x:c>
      <x:c r="B893" s="70" t="s">
        <x:v>37</x:v>
      </x:c>
      <x:c r="C893" s="70" t="s">
        <x:v>75</x:v>
      </x:c>
      <x:c r="D893" s="70" t="s">
        <x:v>302</x:v>
      </x:c>
      <x:c r="E893" s="70" t="s">
        <x:v>1129</x:v>
      </x:c>
      <x:c r="F893" s="70"/>
      <x:c r="G893" s="70" t="s">
        <x:v>2116</x:v>
      </x:c>
      <x:c r="H893" s="70" t="s">
        <x:v>1211</x:v>
      </x:c>
      <x:c r="I893" s="70" t="s">
        <x:v>1199</x:v>
      </x:c>
      <x:c r="J893" s="70" t="n">
        <x:v>151</x:v>
      </x:c>
      <x:c r="K893" s="70" t="s">
        <x:v>2137</x:v>
      </x:c>
      <x:c r="L893" s="70"/>
      <x:c r="M893" s="70" t="s">
        <x:v>40</x:v>
      </x:c>
      <x:c r="N893" s="71" t="n">
        <x:v>0</x:v>
      </x:c>
      <x:c r="O893" s="72" t="n">
        <x:f aca="0">N893/1000</x:f>
        <x:v>0</x:v>
      </x:c>
      <x:c r="P893" s="73" t="n">
        <x:f aca="0">DGKC!F23</x:f>
        <x:v>0</x:v>
      </x:c>
      <x:c r="Q893" s="70" t="str">
        <x:f aca="0">IF(ABS(O893-P893)&lt;0.000001,"PASS","FAIL")</x:f>
        <x:v>PASS</x:v>
      </x:c>
      <x:c r="R893" s="70" t="s">
        <x:v>34</x:v>
      </x:c>
      <x:c r="S893" s="70"/>
    </x:row>
    <x:row r="894" ht="15" hidden="0">
      <x:c r="A894" s="70" t="s">
        <x:v>2139</x:v>
      </x:c>
      <x:c r="B894" s="70" t="s">
        <x:v>37</x:v>
      </x:c>
      <x:c r="C894" s="70" t="s">
        <x:v>76</x:v>
      </x:c>
      <x:c r="D894" s="70" t="s">
        <x:v>302</x:v>
      </x:c>
      <x:c r="E894" s="70" t="s">
        <x:v>1129</x:v>
      </x:c>
      <x:c r="F894" s="70"/>
      <x:c r="G894" s="70" t="s">
        <x:v>2118</x:v>
      </x:c>
      <x:c r="H894" s="70" t="s">
        <x:v>1215</x:v>
      </x:c>
      <x:c r="I894" s="70" t="s">
        <x:v>1199</x:v>
      </x:c>
      <x:c r="J894" s="70" t="n">
        <x:v>153</x:v>
      </x:c>
      <x:c r="K894" s="70" t="s">
        <x:v>2140</x:v>
      </x:c>
      <x:c r="L894" s="70"/>
      <x:c r="M894" s="70" t="s">
        <x:v>40</x:v>
      </x:c>
      <x:c r="N894" s="71" t="n">
        <x:v>0</x:v>
      </x:c>
      <x:c r="O894" s="72" t="n">
        <x:f aca="0">N894/1000</x:f>
        <x:v>0</x:v>
      </x:c>
      <x:c r="P894" s="73" t="n">
        <x:f aca="0">DGKC!G23</x:f>
        <x:v>0</x:v>
      </x:c>
      <x:c r="Q894" s="70" t="str">
        <x:f aca="0">IF(ABS(O894-P894)&lt;0.000001,"PASS","FAIL")</x:f>
        <x:v>PASS</x:v>
      </x:c>
      <x:c r="R894" s="70" t="s">
        <x:v>34</x:v>
      </x:c>
      <x:c r="S894" s="70"/>
    </x:row>
    <x:row r="895" ht="15" hidden="0">
      <x:c r="A895" s="70" t="s">
        <x:v>2141</x:v>
      </x:c>
      <x:c r="B895" s="70" t="s">
        <x:v>37</x:v>
      </x:c>
      <x:c r="C895" s="70" t="s">
        <x:v>77</x:v>
      </x:c>
      <x:c r="D895" s="70" t="s">
        <x:v>302</x:v>
      </x:c>
      <x:c r="E895" s="70" t="s">
        <x:v>1129</x:v>
      </x:c>
      <x:c r="F895" s="70"/>
      <x:c r="G895" s="70" t="s">
        <x:v>2118</x:v>
      </x:c>
      <x:c r="H895" s="70" t="s">
        <x:v>1215</x:v>
      </x:c>
      <x:c r="I895" s="70" t="s">
        <x:v>1218</x:v>
      </x:c>
      <x:c r="J895" s="70" t="n">
        <x:v>153</x:v>
      </x:c>
      <x:c r="K895" s="70" t="s">
        <x:v>2140</x:v>
      </x:c>
      <x:c r="L895" s="70"/>
      <x:c r="M895" s="70" t="s">
        <x:v>40</x:v>
      </x:c>
      <x:c r="N895" s="71" t="n">
        <x:v>0</x:v>
      </x:c>
      <x:c r="O895" s="72" t="n">
        <x:f aca="0">N895/1000</x:f>
        <x:v>0</x:v>
      </x:c>
      <x:c r="P895" s="73" t="n">
        <x:f aca="0">DGKC!H23</x:f>
        <x:v>0</x:v>
      </x:c>
      <x:c r="Q895" s="70" t="str">
        <x:f aca="0">IF(ABS(O895-P895)&lt;0.000001,"PASS","FAIL")</x:f>
        <x:v>PASS</x:v>
      </x:c>
      <x:c r="R895" s="70" t="s">
        <x:v>34</x:v>
      </x:c>
      <x:c r="S895" s="70"/>
    </x:row>
    <x:row r="896" ht="15" hidden="0">
      <x:c r="A896" s="70" t="s">
        <x:v>2142</x:v>
      </x:c>
      <x:c r="B896" s="70" t="s">
        <x:v>37</x:v>
      </x:c>
      <x:c r="C896" s="70" t="s">
        <x:v>1076</x:v>
      </x:c>
      <x:c r="D896" s="70" t="s">
        <x:v>304</x:v>
      </x:c>
      <x:c r="E896" s="70" t="s">
        <x:v>1129</x:v>
      </x:c>
      <x:c r="F896" s="70"/>
      <x:c r="G896" s="70" t="s">
        <x:v>2107</x:v>
      </x:c>
      <x:c r="H896" s="70" t="s">
        <x:v>1198</x:v>
      </x:c>
      <x:c r="I896" s="70" t="s">
        <x:v>1199</x:v>
      </x:c>
      <x:c r="J896" s="70" t="n">
        <x:v>105</x:v>
      </x:c>
      <x:c r="K896" s="70" t="s">
        <x:v>2133</x:v>
      </x:c>
      <x:c r="L896" s="70"/>
      <x:c r="M896" s="70" t="s">
        <x:v>40</x:v>
      </x:c>
      <x:c r="N896" s="71" t="n">
        <x:v>0</x:v>
      </x:c>
      <x:c r="O896" s="72" t="n">
        <x:f aca="0">N896/1000</x:f>
        <x:v>0</x:v>
      </x:c>
      <x:c r="P896" s="73" t="n">
        <x:f aca="0">DGKC!C24</x:f>
        <x:v>0</x:v>
      </x:c>
      <x:c r="Q896" s="70" t="str">
        <x:f aca="0">IF(ABS(O896-P896)&lt;0.000001,"PASS","FAIL")</x:f>
        <x:v>PASS</x:v>
      </x:c>
      <x:c r="R896" s="70" t="s">
        <x:v>34</x:v>
      </x:c>
      <x:c r="S896" s="70"/>
    </x:row>
    <x:row r="897" ht="15" hidden="0">
      <x:c r="A897" s="70" t="s">
        <x:v>2143</x:v>
      </x:c>
      <x:c r="B897" s="70" t="s">
        <x:v>37</x:v>
      </x:c>
      <x:c r="C897" s="70" t="s">
        <x:v>73</x:v>
      </x:c>
      <x:c r="D897" s="70" t="s">
        <x:v>304</x:v>
      </x:c>
      <x:c r="E897" s="70" t="s">
        <x:v>1129</x:v>
      </x:c>
      <x:c r="F897" s="70" t="s">
        <x:v>2144</x:v>
      </x:c>
      <x:c r="G897" s="70" t="s">
        <x:v>2110</x:v>
      </x:c>
      <x:c r="H897" s="70" t="s">
        <x:v>1204</x:v>
      </x:c>
      <x:c r="I897" s="70" t="s">
        <x:v>1199</x:v>
      </x:c>
      <x:c r="J897" s="70" t="n">
        <x:v>126</x:v>
      </x:c>
      <x:c r="K897" s="70" t="s">
        <x:v>2111</x:v>
      </x:c>
      <x:c r="L897" s="70" t="s">
        <x:v>1246</x:v>
      </x:c>
      <x:c r="M897" s="70" t="s">
        <x:v>40</x:v>
      </x:c>
      <x:c r="N897" s="71" t="n">
        <x:v>0</x:v>
      </x:c>
      <x:c r="O897" s="72" t="n">
        <x:f aca="0">N897/1000</x:f>
        <x:v>0</x:v>
      </x:c>
      <x:c r="P897" s="73" t="n">
        <x:f aca="0">DGKC!D24</x:f>
        <x:v>0</x:v>
      </x:c>
      <x:c r="Q897" s="70" t="str">
        <x:f aca="0">IF(ABS(O897-P897)&lt;0.000001,"PASS","FAIL")</x:f>
        <x:v>PASS</x:v>
      </x:c>
      <x:c r="R897" s="70" t="s">
        <x:v>34</x:v>
      </x:c>
      <x:c r="S897" s="70"/>
    </x:row>
    <x:row r="898" ht="15" hidden="0">
      <x:c r="A898" s="70" t="s">
        <x:v>2145</x:v>
      </x:c>
      <x:c r="B898" s="70" t="s">
        <x:v>37</x:v>
      </x:c>
      <x:c r="C898" s="70" t="s">
        <x:v>74</x:v>
      </x:c>
      <x:c r="D898" s="70" t="s">
        <x:v>304</x:v>
      </x:c>
      <x:c r="E898" s="70" t="s">
        <x:v>1129</x:v>
      </x:c>
      <x:c r="F898" s="70" t="s">
        <x:v>2144</x:v>
      </x:c>
      <x:c r="G898" s="70" t="s">
        <x:v>2113</x:v>
      </x:c>
      <x:c r="H898" s="70" t="s">
        <x:v>1208</x:v>
      </x:c>
      <x:c r="I898" s="70" t="s">
        <x:v>1199</x:v>
      </x:c>
      <x:c r="J898" s="70" t="n">
        <x:v>152</x:v>
      </x:c>
      <x:c r="K898" s="70" t="s">
        <x:v>2114</x:v>
      </x:c>
      <x:c r="L898" s="70" t="s">
        <x:v>1246</x:v>
      </x:c>
      <x:c r="M898" s="70" t="s">
        <x:v>40</x:v>
      </x:c>
      <x:c r="N898" s="71" t="n">
        <x:v>17319</x:v>
      </x:c>
      <x:c r="O898" s="72" t="n">
        <x:f aca="0">N898/1000</x:f>
        <x:v>17.319</x:v>
      </x:c>
      <x:c r="P898" s="73" t="n">
        <x:f aca="0">DGKC!E24</x:f>
        <x:v>17.319</x:v>
      </x:c>
      <x:c r="Q898" s="70" t="str">
        <x:f aca="0">IF(ABS(O898-P898)&lt;0.000001,"PASS","FAIL")</x:f>
        <x:v>PASS</x:v>
      </x:c>
      <x:c r="R898" s="70" t="s">
        <x:v>34</x:v>
      </x:c>
      <x:c r="S898" s="70"/>
    </x:row>
    <x:row r="899" ht="15" hidden="0">
      <x:c r="A899" s="70" t="s">
        <x:v>2146</x:v>
      </x:c>
      <x:c r="B899" s="70" t="s">
        <x:v>37</x:v>
      </x:c>
      <x:c r="C899" s="70" t="s">
        <x:v>75</x:v>
      </x:c>
      <x:c r="D899" s="70" t="s">
        <x:v>304</x:v>
      </x:c>
      <x:c r="E899" s="70" t="s">
        <x:v>1129</x:v>
      </x:c>
      <x:c r="F899" s="70" t="s">
        <x:v>304</x:v>
      </x:c>
      <x:c r="G899" s="70" t="s">
        <x:v>2116</x:v>
      </x:c>
      <x:c r="H899" s="70" t="s">
        <x:v>1211</x:v>
      </x:c>
      <x:c r="I899" s="70" t="s">
        <x:v>1199</x:v>
      </x:c>
      <x:c r="J899" s="70" t="n">
        <x:v>152</x:v>
      </x:c>
      <x:c r="K899" s="70" t="s">
        <x:v>2114</x:v>
      </x:c>
      <x:c r="L899" s="70" t="s">
        <x:v>1246</x:v>
      </x:c>
      <x:c r="M899" s="70" t="s">
        <x:v>40</x:v>
      </x:c>
      <x:c r="N899" s="71" t="n">
        <x:v>10152</x:v>
      </x:c>
      <x:c r="O899" s="72" t="n">
        <x:f aca="0">N899/1000</x:f>
        <x:v>10.152</x:v>
      </x:c>
      <x:c r="P899" s="73" t="n">
        <x:f aca="0">DGKC!F24</x:f>
        <x:v>10.152</x:v>
      </x:c>
      <x:c r="Q899" s="70" t="str">
        <x:f aca="0">IF(ABS(O899-P899)&lt;0.000001,"PASS","FAIL")</x:f>
        <x:v>PASS</x:v>
      </x:c>
      <x:c r="R899" s="70" t="s">
        <x:v>34</x:v>
      </x:c>
      <x:c r="S899" s="70"/>
    </x:row>
    <x:row r="900" ht="15" hidden="0">
      <x:c r="A900" s="70" t="s">
        <x:v>2147</x:v>
      </x:c>
      <x:c r="B900" s="70" t="s">
        <x:v>37</x:v>
      </x:c>
      <x:c r="C900" s="70" t="s">
        <x:v>76</x:v>
      </x:c>
      <x:c r="D900" s="70" t="s">
        <x:v>304</x:v>
      </x:c>
      <x:c r="E900" s="70" t="s">
        <x:v>1129</x:v>
      </x:c>
      <x:c r="F900" s="70" t="s">
        <x:v>304</x:v>
      </x:c>
      <x:c r="G900" s="70" t="s">
        <x:v>2118</x:v>
      </x:c>
      <x:c r="H900" s="70" t="s">
        <x:v>1215</x:v>
      </x:c>
      <x:c r="I900" s="70" t="s">
        <x:v>1199</x:v>
      </x:c>
      <x:c r="J900" s="70" t="n">
        <x:v>154</x:v>
      </x:c>
      <x:c r="K900" s="70" t="s">
        <x:v>2119</x:v>
      </x:c>
      <x:c r="L900" s="70" t="s">
        <x:v>1246</x:v>
      </x:c>
      <x:c r="M900" s="70" t="s">
        <x:v>40</x:v>
      </x:c>
      <x:c r="N900" s="71" t="n">
        <x:v>42762</x:v>
      </x:c>
      <x:c r="O900" s="72" t="n">
        <x:f aca="0">N900/1000</x:f>
        <x:v>42.762</x:v>
      </x:c>
      <x:c r="P900" s="73" t="n">
        <x:f aca="0">DGKC!G24</x:f>
        <x:v>42.762</x:v>
      </x:c>
      <x:c r="Q900" s="70" t="str">
        <x:f aca="0">IF(ABS(O900-P900)&lt;0.000001,"PASS","FAIL")</x:f>
        <x:v>PASS</x:v>
      </x:c>
      <x:c r="R900" s="70" t="s">
        <x:v>34</x:v>
      </x:c>
      <x:c r="S900" s="70"/>
    </x:row>
    <x:row r="901" ht="15" hidden="0">
      <x:c r="A901" s="70" t="s">
        <x:v>2148</x:v>
      </x:c>
      <x:c r="B901" s="70" t="s">
        <x:v>37</x:v>
      </x:c>
      <x:c r="C901" s="70" t="s">
        <x:v>77</x:v>
      </x:c>
      <x:c r="D901" s="70" t="s">
        <x:v>304</x:v>
      </x:c>
      <x:c r="E901" s="70" t="s">
        <x:v>1129</x:v>
      </x:c>
      <x:c r="F901" s="70" t="s">
        <x:v>304</x:v>
      </x:c>
      <x:c r="G901" s="70" t="s">
        <x:v>2118</x:v>
      </x:c>
      <x:c r="H901" s="70" t="s">
        <x:v>1215</x:v>
      </x:c>
      <x:c r="I901" s="70" t="s">
        <x:v>1218</x:v>
      </x:c>
      <x:c r="J901" s="70" t="n">
        <x:v>154</x:v>
      </x:c>
      <x:c r="K901" s="70" t="s">
        <x:v>2119</x:v>
      </x:c>
      <x:c r="L901" s="70" t="s">
        <x:v>1246</x:v>
      </x:c>
      <x:c r="M901" s="70" t="s">
        <x:v>40</x:v>
      </x:c>
      <x:c r="N901" s="71" t="n">
        <x:v>13076</x:v>
      </x:c>
      <x:c r="O901" s="72" t="n">
        <x:f aca="0">N901/1000</x:f>
        <x:v>13.076</x:v>
      </x:c>
      <x:c r="P901" s="73" t="n">
        <x:f aca="0">DGKC!H24</x:f>
        <x:v>13.076</x:v>
      </x:c>
      <x:c r="Q901" s="70" t="str">
        <x:f aca="0">IF(ABS(O901-P901)&lt;0.000001,"PASS","FAIL")</x:f>
        <x:v>PASS</x:v>
      </x:c>
      <x:c r="R901" s="70" t="s">
        <x:v>34</x:v>
      </x:c>
      <x:c r="S901" s="70"/>
    </x:row>
    <x:row r="902" ht="15" hidden="0">
      <x:c r="A902" s="70" t="s">
        <x:v>2149</x:v>
      </x:c>
      <x:c r="B902" s="70" t="s">
        <x:v>37</x:v>
      </x:c>
      <x:c r="C902" s="70" t="s">
        <x:v>1076</x:v>
      </x:c>
      <x:c r="D902" s="70" t="s">
        <x:v>306</x:v>
      </x:c>
      <x:c r="E902" s="70" t="s">
        <x:v>1129</x:v>
      </x:c>
      <x:c r="F902" s="70"/>
      <x:c r="G902" s="70" t="s">
        <x:v>2107</x:v>
      </x:c>
      <x:c r="H902" s="70" t="s">
        <x:v>1198</x:v>
      </x:c>
      <x:c r="I902" s="70" t="s">
        <x:v>1199</x:v>
      </x:c>
      <x:c r="J902" s="70" t="n">
        <x:v>105</x:v>
      </x:c>
      <x:c r="K902" s="70" t="s">
        <x:v>2133</x:v>
      </x:c>
      <x:c r="L902" s="70"/>
      <x:c r="M902" s="70" t="s">
        <x:v>40</x:v>
      </x:c>
      <x:c r="N902" s="71" t="n">
        <x:v>0</x:v>
      </x:c>
      <x:c r="O902" s="72" t="n">
        <x:f aca="0">N902/1000</x:f>
        <x:v>0</x:v>
      </x:c>
      <x:c r="P902" s="73" t="n">
        <x:f aca="0">DGKC!C25</x:f>
        <x:v>0</x:v>
      </x:c>
      <x:c r="Q902" s="70" t="str">
        <x:f aca="0">IF(ABS(O902-P902)&lt;0.000001,"PASS","FAIL")</x:f>
        <x:v>PASS</x:v>
      </x:c>
      <x:c r="R902" s="70" t="s">
        <x:v>34</x:v>
      </x:c>
      <x:c r="S902" s="70"/>
    </x:row>
    <x:row r="903" ht="15" hidden="0">
      <x:c r="A903" s="70" t="s">
        <x:v>2150</x:v>
      </x:c>
      <x:c r="B903" s="70" t="s">
        <x:v>37</x:v>
      </x:c>
      <x:c r="C903" s="70" t="s">
        <x:v>73</x:v>
      </x:c>
      <x:c r="D903" s="70" t="s">
        <x:v>306</x:v>
      </x:c>
      <x:c r="E903" s="70" t="s">
        <x:v>1129</x:v>
      </x:c>
      <x:c r="F903" s="70"/>
      <x:c r="G903" s="70" t="s">
        <x:v>2110</x:v>
      </x:c>
      <x:c r="H903" s="70" t="s">
        <x:v>1204</x:v>
      </x:c>
      <x:c r="I903" s="70" t="s">
        <x:v>1199</x:v>
      </x:c>
      <x:c r="J903" s="70" t="n">
        <x:v>125</x:v>
      </x:c>
      <x:c r="K903" s="70" t="s">
        <x:v>2135</x:v>
      </x:c>
      <x:c r="L903" s="70"/>
      <x:c r="M903" s="70" t="s">
        <x:v>40</x:v>
      </x:c>
      <x:c r="N903" s="71" t="n">
        <x:v>0</x:v>
      </x:c>
      <x:c r="O903" s="72" t="n">
        <x:f aca="0">N903/1000</x:f>
        <x:v>0</x:v>
      </x:c>
      <x:c r="P903" s="73" t="n">
        <x:f aca="0">DGKC!D25</x:f>
        <x:v>0</x:v>
      </x:c>
      <x:c r="Q903" s="70" t="str">
        <x:f aca="0">IF(ABS(O903-P903)&lt;0.000001,"PASS","FAIL")</x:f>
        <x:v>PASS</x:v>
      </x:c>
      <x:c r="R903" s="70" t="s">
        <x:v>34</x:v>
      </x:c>
      <x:c r="S903" s="70"/>
    </x:row>
    <x:row r="904" ht="15" hidden="0">
      <x:c r="A904" s="70" t="s">
        <x:v>2151</x:v>
      </x:c>
      <x:c r="B904" s="70" t="s">
        <x:v>37</x:v>
      </x:c>
      <x:c r="C904" s="70" t="s">
        <x:v>74</x:v>
      </x:c>
      <x:c r="D904" s="70" t="s">
        <x:v>306</x:v>
      </x:c>
      <x:c r="E904" s="70" t="s">
        <x:v>1129</x:v>
      </x:c>
      <x:c r="F904" s="70"/>
      <x:c r="G904" s="70" t="s">
        <x:v>2113</x:v>
      </x:c>
      <x:c r="H904" s="70" t="s">
        <x:v>1208</x:v>
      </x:c>
      <x:c r="I904" s="70" t="s">
        <x:v>1199</x:v>
      </x:c>
      <x:c r="J904" s="70" t="n">
        <x:v>151</x:v>
      </x:c>
      <x:c r="K904" s="70" t="s">
        <x:v>2137</x:v>
      </x:c>
      <x:c r="L904" s="70"/>
      <x:c r="M904" s="70" t="s">
        <x:v>40</x:v>
      </x:c>
      <x:c r="N904" s="71" t="n">
        <x:v>0</x:v>
      </x:c>
      <x:c r="O904" s="72" t="n">
        <x:f aca="0">N904/1000</x:f>
        <x:v>0</x:v>
      </x:c>
      <x:c r="P904" s="73" t="n">
        <x:f aca="0">DGKC!E25</x:f>
        <x:v>0</x:v>
      </x:c>
      <x:c r="Q904" s="70" t="str">
        <x:f aca="0">IF(ABS(O904-P904)&lt;0.000001,"PASS","FAIL")</x:f>
        <x:v>PASS</x:v>
      </x:c>
      <x:c r="R904" s="70" t="s">
        <x:v>34</x:v>
      </x:c>
      <x:c r="S904" s="70"/>
    </x:row>
    <x:row r="905" ht="15" hidden="0">
      <x:c r="A905" s="70" t="s">
        <x:v>2152</x:v>
      </x:c>
      <x:c r="B905" s="70" t="s">
        <x:v>37</x:v>
      </x:c>
      <x:c r="C905" s="70" t="s">
        <x:v>75</x:v>
      </x:c>
      <x:c r="D905" s="70" t="s">
        <x:v>306</x:v>
      </x:c>
      <x:c r="E905" s="70" t="s">
        <x:v>1129</x:v>
      </x:c>
      <x:c r="F905" s="70"/>
      <x:c r="G905" s="70" t="s">
        <x:v>2116</x:v>
      </x:c>
      <x:c r="H905" s="70" t="s">
        <x:v>1211</x:v>
      </x:c>
      <x:c r="I905" s="70" t="s">
        <x:v>1199</x:v>
      </x:c>
      <x:c r="J905" s="70" t="n">
        <x:v>151</x:v>
      </x:c>
      <x:c r="K905" s="70" t="s">
        <x:v>2137</x:v>
      </x:c>
      <x:c r="L905" s="70"/>
      <x:c r="M905" s="70" t="s">
        <x:v>40</x:v>
      </x:c>
      <x:c r="N905" s="71" t="n">
        <x:v>0</x:v>
      </x:c>
      <x:c r="O905" s="72" t="n">
        <x:f aca="0">N905/1000</x:f>
        <x:v>0</x:v>
      </x:c>
      <x:c r="P905" s="73" t="n">
        <x:f aca="0">DGKC!F25</x:f>
        <x:v>0</x:v>
      </x:c>
      <x:c r="Q905" s="70" t="str">
        <x:f aca="0">IF(ABS(O905-P905)&lt;0.000001,"PASS","FAIL")</x:f>
        <x:v>PASS</x:v>
      </x:c>
      <x:c r="R905" s="70" t="s">
        <x:v>34</x:v>
      </x:c>
      <x:c r="S905" s="70"/>
    </x:row>
    <x:row r="906" ht="15" hidden="0">
      <x:c r="A906" s="70" t="s">
        <x:v>2153</x:v>
      </x:c>
      <x:c r="B906" s="70" t="s">
        <x:v>37</x:v>
      </x:c>
      <x:c r="C906" s="70" t="s">
        <x:v>76</x:v>
      </x:c>
      <x:c r="D906" s="70" t="s">
        <x:v>306</x:v>
      </x:c>
      <x:c r="E906" s="70" t="s">
        <x:v>1129</x:v>
      </x:c>
      <x:c r="F906" s="70"/>
      <x:c r="G906" s="70" t="s">
        <x:v>2118</x:v>
      </x:c>
      <x:c r="H906" s="70" t="s">
        <x:v>1215</x:v>
      </x:c>
      <x:c r="I906" s="70" t="s">
        <x:v>1199</x:v>
      </x:c>
      <x:c r="J906" s="70" t="n">
        <x:v>153</x:v>
      </x:c>
      <x:c r="K906" s="70" t="s">
        <x:v>2140</x:v>
      </x:c>
      <x:c r="L906" s="70"/>
      <x:c r="M906" s="70" t="s">
        <x:v>40</x:v>
      </x:c>
      <x:c r="N906" s="71" t="n">
        <x:v>0</x:v>
      </x:c>
      <x:c r="O906" s="72" t="n">
        <x:f aca="0">N906/1000</x:f>
        <x:v>0</x:v>
      </x:c>
      <x:c r="P906" s="73" t="n">
        <x:f aca="0">DGKC!G25</x:f>
        <x:v>0</x:v>
      </x:c>
      <x:c r="Q906" s="70" t="str">
        <x:f aca="0">IF(ABS(O906-P906)&lt;0.000001,"PASS","FAIL")</x:f>
        <x:v>PASS</x:v>
      </x:c>
      <x:c r="R906" s="70" t="s">
        <x:v>34</x:v>
      </x:c>
      <x:c r="S906" s="70"/>
    </x:row>
    <x:row r="907" ht="15" hidden="0">
      <x:c r="A907" s="70" t="s">
        <x:v>2154</x:v>
      </x:c>
      <x:c r="B907" s="70" t="s">
        <x:v>37</x:v>
      </x:c>
      <x:c r="C907" s="70" t="s">
        <x:v>77</x:v>
      </x:c>
      <x:c r="D907" s="70" t="s">
        <x:v>306</x:v>
      </x:c>
      <x:c r="E907" s="70" t="s">
        <x:v>1129</x:v>
      </x:c>
      <x:c r="F907" s="70"/>
      <x:c r="G907" s="70" t="s">
        <x:v>2118</x:v>
      </x:c>
      <x:c r="H907" s="70" t="s">
        <x:v>1215</x:v>
      </x:c>
      <x:c r="I907" s="70" t="s">
        <x:v>1218</x:v>
      </x:c>
      <x:c r="J907" s="70" t="n">
        <x:v>153</x:v>
      </x:c>
      <x:c r="K907" s="70" t="s">
        <x:v>2140</x:v>
      </x:c>
      <x:c r="L907" s="70"/>
      <x:c r="M907" s="70" t="s">
        <x:v>40</x:v>
      </x:c>
      <x:c r="N907" s="71" t="n">
        <x:v>0</x:v>
      </x:c>
      <x:c r="O907" s="72" t="n">
        <x:f aca="0">N907/1000</x:f>
        <x:v>0</x:v>
      </x:c>
      <x:c r="P907" s="73" t="n">
        <x:f aca="0">DGKC!H25</x:f>
        <x:v>0</x:v>
      </x:c>
      <x:c r="Q907" s="70" t="str">
        <x:f aca="0">IF(ABS(O907-P907)&lt;0.000001,"PASS","FAIL")</x:f>
        <x:v>PASS</x:v>
      </x:c>
      <x:c r="R907" s="70" t="s">
        <x:v>34</x:v>
      </x:c>
      <x:c r="S907" s="70"/>
    </x:row>
    <x:row r="908" ht="15" hidden="0">
      <x:c r="A908" s="70" t="s">
        <x:v>2155</x:v>
      </x:c>
      <x:c r="B908" s="70" t="s">
        <x:v>37</x:v>
      </x:c>
      <x:c r="C908" s="70" t="s">
        <x:v>1076</x:v>
      </x:c>
      <x:c r="D908" s="70" t="s">
        <x:v>308</x:v>
      </x:c>
      <x:c r="E908" s="70" t="s">
        <x:v>1129</x:v>
      </x:c>
      <x:c r="F908" s="70" t="s">
        <x:v>2156</x:v>
      </x:c>
      <x:c r="G908" s="70" t="s">
        <x:v>2107</x:v>
      </x:c>
      <x:c r="H908" s="70" t="s">
        <x:v>1198</x:v>
      </x:c>
      <x:c r="I908" s="70" t="s">
        <x:v>1199</x:v>
      </x:c>
      <x:c r="J908" s="70" t="n">
        <x:v>106</x:v>
      </x:c>
      <x:c r="K908" s="70" t="s">
        <x:v>2108</x:v>
      </x:c>
      <x:c r="L908" s="70" t="s">
        <x:v>1246</x:v>
      </x:c>
      <x:c r="M908" s="70" t="s">
        <x:v>40</x:v>
      </x:c>
      <x:c r="N908" s="71" t="n">
        <x:v>11849828</x:v>
      </x:c>
      <x:c r="O908" s="72" t="n">
        <x:f aca="0">N908/1000</x:f>
        <x:v>11849.828</x:v>
      </x:c>
      <x:c r="P908" s="73" t="n">
        <x:f aca="0">DGKC!C26</x:f>
        <x:v>11849.828</x:v>
      </x:c>
      <x:c r="Q908" s="70" t="str">
        <x:f aca="0">IF(ABS(O908-P908)&lt;0.000001,"PASS","FAIL")</x:f>
        <x:v>PASS</x:v>
      </x:c>
      <x:c r="R908" s="70" t="s">
        <x:v>34</x:v>
      </x:c>
      <x:c r="S908" s="70"/>
    </x:row>
    <x:row r="909" ht="15" hidden="0">
      <x:c r="A909" s="70" t="s">
        <x:v>2157</x:v>
      </x:c>
      <x:c r="B909" s="70" t="s">
        <x:v>37</x:v>
      </x:c>
      <x:c r="C909" s="70" t="s">
        <x:v>73</x:v>
      </x:c>
      <x:c r="D909" s="70" t="s">
        <x:v>308</x:v>
      </x:c>
      <x:c r="E909" s="70" t="s">
        <x:v>1129</x:v>
      </x:c>
      <x:c r="F909" s="70" t="s">
        <x:v>2156</x:v>
      </x:c>
      <x:c r="G909" s="70" t="s">
        <x:v>2110</x:v>
      </x:c>
      <x:c r="H909" s="70" t="s">
        <x:v>1204</x:v>
      </x:c>
      <x:c r="I909" s="70" t="s">
        <x:v>1199</x:v>
      </x:c>
      <x:c r="J909" s="70" t="n">
        <x:v>126</x:v>
      </x:c>
      <x:c r="K909" s="70" t="s">
        <x:v>2111</x:v>
      </x:c>
      <x:c r="L909" s="70" t="s">
        <x:v>1248</x:v>
      </x:c>
      <x:c r="M909" s="70" t="s">
        <x:v>40</x:v>
      </x:c>
      <x:c r="N909" s="71" t="n">
        <x:v>15965811</x:v>
      </x:c>
      <x:c r="O909" s="72" t="n">
        <x:f aca="0">N909/1000</x:f>
        <x:v>15965.811</x:v>
      </x:c>
      <x:c r="P909" s="73" t="n">
        <x:f aca="0">DGKC!D26</x:f>
        <x:v>15965.811</x:v>
      </x:c>
      <x:c r="Q909" s="70" t="str">
        <x:f aca="0">IF(ABS(O909-P909)&lt;0.000001,"PASS","FAIL")</x:f>
        <x:v>PASS</x:v>
      </x:c>
      <x:c r="R909" s="70" t="s">
        <x:v>34</x:v>
      </x:c>
      <x:c r="S909" s="70"/>
    </x:row>
    <x:row r="910" ht="15" hidden="0">
      <x:c r="A910" s="70" t="s">
        <x:v>2158</x:v>
      </x:c>
      <x:c r="B910" s="70" t="s">
        <x:v>37</x:v>
      </x:c>
      <x:c r="C910" s="70" t="s">
        <x:v>74</x:v>
      </x:c>
      <x:c r="D910" s="70" t="s">
        <x:v>308</x:v>
      </x:c>
      <x:c r="E910" s="70" t="s">
        <x:v>1129</x:v>
      </x:c>
      <x:c r="F910" s="70" t="s">
        <x:v>2156</x:v>
      </x:c>
      <x:c r="G910" s="70" t="s">
        <x:v>2113</x:v>
      </x:c>
      <x:c r="H910" s="70" t="s">
        <x:v>1208</x:v>
      </x:c>
      <x:c r="I910" s="70" t="s">
        <x:v>1199</x:v>
      </x:c>
      <x:c r="J910" s="70" t="n">
        <x:v>152</x:v>
      </x:c>
      <x:c r="K910" s="70" t="s">
        <x:v>2114</x:v>
      </x:c>
      <x:c r="L910" s="70" t="s">
        <x:v>1248</x:v>
      </x:c>
      <x:c r="M910" s="70" t="s">
        <x:v>40</x:v>
      </x:c>
      <x:c r="N910" s="71" t="n">
        <x:v>12866145</x:v>
      </x:c>
      <x:c r="O910" s="72" t="n">
        <x:f aca="0">N910/1000</x:f>
        <x:v>12866.145</x:v>
      </x:c>
      <x:c r="P910" s="73" t="n">
        <x:f aca="0">DGKC!E26</x:f>
        <x:v>12866.145</x:v>
      </x:c>
      <x:c r="Q910" s="70" t="str">
        <x:f aca="0">IF(ABS(O910-P910)&lt;0.000001,"PASS","FAIL")</x:f>
        <x:v>PASS</x:v>
      </x:c>
      <x:c r="R910" s="70" t="s">
        <x:v>34</x:v>
      </x:c>
      <x:c r="S910" s="70"/>
    </x:row>
    <x:row r="911" ht="15" hidden="0">
      <x:c r="A911" s="70" t="s">
        <x:v>2159</x:v>
      </x:c>
      <x:c r="B911" s="70" t="s">
        <x:v>37</x:v>
      </x:c>
      <x:c r="C911" s="70" t="s">
        <x:v>75</x:v>
      </x:c>
      <x:c r="D911" s="70" t="s">
        <x:v>308</x:v>
      </x:c>
      <x:c r="E911" s="70" t="s">
        <x:v>1129</x:v>
      </x:c>
      <x:c r="F911" s="70" t="s">
        <x:v>2156</x:v>
      </x:c>
      <x:c r="G911" s="70" t="s">
        <x:v>2116</x:v>
      </x:c>
      <x:c r="H911" s="70" t="s">
        <x:v>1211</x:v>
      </x:c>
      <x:c r="I911" s="70" t="s">
        <x:v>1199</x:v>
      </x:c>
      <x:c r="J911" s="70" t="n">
        <x:v>152</x:v>
      </x:c>
      <x:c r="K911" s="70" t="s">
        <x:v>2114</x:v>
      </x:c>
      <x:c r="L911" s="70" t="s">
        <x:v>1248</x:v>
      </x:c>
      <x:c r="M911" s="70" t="s">
        <x:v>40</x:v>
      </x:c>
      <x:c r="N911" s="71" t="n">
        <x:v>13366360</x:v>
      </x:c>
      <x:c r="O911" s="72" t="n">
        <x:f aca="0">N911/1000</x:f>
        <x:v>13366.36</x:v>
      </x:c>
      <x:c r="P911" s="73" t="n">
        <x:f aca="0">DGKC!F26</x:f>
        <x:v>13366.36</x:v>
      </x:c>
      <x:c r="Q911" s="70" t="str">
        <x:f aca="0">IF(ABS(O911-P911)&lt;0.000001,"PASS","FAIL")</x:f>
        <x:v>PASS</x:v>
      </x:c>
      <x:c r="R911" s="70" t="s">
        <x:v>34</x:v>
      </x:c>
      <x:c r="S911" s="70"/>
    </x:row>
    <x:row r="912" ht="15" hidden="0">
      <x:c r="A912" s="70" t="s">
        <x:v>2160</x:v>
      </x:c>
      <x:c r="B912" s="70" t="s">
        <x:v>37</x:v>
      </x:c>
      <x:c r="C912" s="70" t="s">
        <x:v>76</x:v>
      </x:c>
      <x:c r="D912" s="70" t="s">
        <x:v>308</x:v>
      </x:c>
      <x:c r="E912" s="70" t="s">
        <x:v>1129</x:v>
      </x:c>
      <x:c r="F912" s="70" t="s">
        <x:v>2161</x:v>
      </x:c>
      <x:c r="G912" s="70" t="s">
        <x:v>2118</x:v>
      </x:c>
      <x:c r="H912" s="70" t="s">
        <x:v>1215</x:v>
      </x:c>
      <x:c r="I912" s="70" t="s">
        <x:v>1199</x:v>
      </x:c>
      <x:c r="J912" s="70" t="n">
        <x:v>154</x:v>
      </x:c>
      <x:c r="K912" s="70" t="s">
        <x:v>2119</x:v>
      </x:c>
      <x:c r="L912" s="70" t="s">
        <x:v>1248</x:v>
      </x:c>
      <x:c r="M912" s="70" t="s">
        <x:v>40</x:v>
      </x:c>
      <x:c r="N912" s="71" t="n">
        <x:v>16633064</x:v>
      </x:c>
      <x:c r="O912" s="72" t="n">
        <x:f aca="0">N912/1000</x:f>
        <x:v>16633.064</x:v>
      </x:c>
      <x:c r="P912" s="73" t="n">
        <x:f aca="0">DGKC!G26</x:f>
        <x:v>16633.064</x:v>
      </x:c>
      <x:c r="Q912" s="70" t="str">
        <x:f aca="0">IF(ABS(O912-P912)&lt;0.000001,"PASS","FAIL")</x:f>
        <x:v>PASS</x:v>
      </x:c>
      <x:c r="R912" s="70" t="s">
        <x:v>34</x:v>
      </x:c>
      <x:c r="S912" s="70"/>
    </x:row>
    <x:row r="913" ht="15" hidden="0">
      <x:c r="A913" s="70" t="s">
        <x:v>2162</x:v>
      </x:c>
      <x:c r="B913" s="70" t="s">
        <x:v>37</x:v>
      </x:c>
      <x:c r="C913" s="70" t="s">
        <x:v>77</x:v>
      </x:c>
      <x:c r="D913" s="70" t="s">
        <x:v>308</x:v>
      </x:c>
      <x:c r="E913" s="70" t="s">
        <x:v>1129</x:v>
      </x:c>
      <x:c r="F913" s="70" t="s">
        <x:v>2161</x:v>
      </x:c>
      <x:c r="G913" s="70" t="s">
        <x:v>2118</x:v>
      </x:c>
      <x:c r="H913" s="70" t="s">
        <x:v>1215</x:v>
      </x:c>
      <x:c r="I913" s="70" t="s">
        <x:v>1218</x:v>
      </x:c>
      <x:c r="J913" s="70" t="n">
        <x:v>154</x:v>
      </x:c>
      <x:c r="K913" s="70" t="s">
        <x:v>2119</x:v>
      </x:c>
      <x:c r="L913" s="70" t="s">
        <x:v>1248</x:v>
      </x:c>
      <x:c r="M913" s="70" t="s">
        <x:v>40</x:v>
      </x:c>
      <x:c r="N913" s="71" t="n">
        <x:v>20689545</x:v>
      </x:c>
      <x:c r="O913" s="72" t="n">
        <x:f aca="0">N913/1000</x:f>
        <x:v>20689.545</x:v>
      </x:c>
      <x:c r="P913" s="73" t="n">
        <x:f aca="0">DGKC!H26</x:f>
        <x:v>20689.545</x:v>
      </x:c>
      <x:c r="Q913" s="70" t="str">
        <x:f aca="0">IF(ABS(O913-P913)&lt;0.000001,"PASS","FAIL")</x:f>
        <x:v>PASS</x:v>
      </x:c>
      <x:c r="R913" s="70" t="s">
        <x:v>34</x:v>
      </x:c>
      <x:c r="S913" s="70"/>
    </x:row>
    <x:row r="914" ht="15" hidden="0">
      <x:c r="A914" s="70" t="s">
        <x:v>2163</x:v>
      </x:c>
      <x:c r="B914" s="70" t="s">
        <x:v>37</x:v>
      </x:c>
      <x:c r="C914" s="70" t="s">
        <x:v>1076</x:v>
      </x:c>
      <x:c r="D914" s="70" t="s">
        <x:v>310</x:v>
      </x:c>
      <x:c r="E914" s="70" t="s">
        <x:v>1129</x:v>
      </x:c>
      <x:c r="F914" s="70" t="s">
        <x:v>2164</x:v>
      </x:c>
      <x:c r="G914" s="70" t="s">
        <x:v>2107</x:v>
      </x:c>
      <x:c r="H914" s="70" t="s">
        <x:v>1198</x:v>
      </x:c>
      <x:c r="I914" s="70" t="s">
        <x:v>1199</x:v>
      </x:c>
      <x:c r="J914" s="70" t="n">
        <x:v>106</x:v>
      </x:c>
      <x:c r="K914" s="70" t="s">
        <x:v>2108</x:v>
      </x:c>
      <x:c r="L914" s="70" t="s">
        <x:v>1248</x:v>
      </x:c>
      <x:c r="M914" s="70" t="s">
        <x:v>40</x:v>
      </x:c>
      <x:c r="N914" s="71" t="n">
        <x:v>57984</x:v>
      </x:c>
      <x:c r="O914" s="72" t="n">
        <x:f aca="0">N914/1000</x:f>
        <x:v>57.984</x:v>
      </x:c>
      <x:c r="P914" s="73" t="n">
        <x:f aca="0">DGKC!C27</x:f>
        <x:v>57.984</x:v>
      </x:c>
      <x:c r="Q914" s="70" t="str">
        <x:f aca="0">IF(ABS(O914-P914)&lt;0.000001,"PASS","FAIL")</x:f>
        <x:v>PASS</x:v>
      </x:c>
      <x:c r="R914" s="70" t="s">
        <x:v>34</x:v>
      </x:c>
      <x:c r="S914" s="70"/>
    </x:row>
    <x:row r="915" ht="15" hidden="0">
      <x:c r="A915" s="70" t="s">
        <x:v>2165</x:v>
      </x:c>
      <x:c r="B915" s="70" t="s">
        <x:v>37</x:v>
      </x:c>
      <x:c r="C915" s="70" t="s">
        <x:v>73</x:v>
      </x:c>
      <x:c r="D915" s="70" t="s">
        <x:v>310</x:v>
      </x:c>
      <x:c r="E915" s="70" t="s">
        <x:v>1129</x:v>
      </x:c>
      <x:c r="F915" s="70" t="s">
        <x:v>1261</x:v>
      </x:c>
      <x:c r="G915" s="70" t="s">
        <x:v>2110</x:v>
      </x:c>
      <x:c r="H915" s="70" t="s">
        <x:v>1204</x:v>
      </x:c>
      <x:c r="I915" s="70" t="s">
        <x:v>1199</x:v>
      </x:c>
      <x:c r="J915" s="70" t="n">
        <x:v>126</x:v>
      </x:c>
      <x:c r="K915" s="70" t="s">
        <x:v>2111</x:v>
      </x:c>
      <x:c r="L915" s="70" t="s">
        <x:v>1270</x:v>
      </x:c>
      <x:c r="M915" s="70" t="s">
        <x:v>40</x:v>
      </x:c>
      <x:c r="N915" s="71" t="n">
        <x:v>57513</x:v>
      </x:c>
      <x:c r="O915" s="72" t="n">
        <x:f aca="0">N915/1000</x:f>
        <x:v>57.513</x:v>
      </x:c>
      <x:c r="P915" s="73" t="n">
        <x:f aca="0">DGKC!D27</x:f>
        <x:v>57.513</x:v>
      </x:c>
      <x:c r="Q915" s="70" t="str">
        <x:f aca="0">IF(ABS(O915-P915)&lt;0.000001,"PASS","FAIL")</x:f>
        <x:v>PASS</x:v>
      </x:c>
      <x:c r="R915" s="70" t="s">
        <x:v>34</x:v>
      </x:c>
      <x:c r="S915" s="70"/>
    </x:row>
    <x:row r="916" ht="15" hidden="0">
      <x:c r="A916" s="70" t="s">
        <x:v>2166</x:v>
      </x:c>
      <x:c r="B916" s="70" t="s">
        <x:v>37</x:v>
      </x:c>
      <x:c r="C916" s="70" t="s">
        <x:v>74</x:v>
      </x:c>
      <x:c r="D916" s="70" t="s">
        <x:v>310</x:v>
      </x:c>
      <x:c r="E916" s="70" t="s">
        <x:v>1129</x:v>
      </x:c>
      <x:c r="F916" s="70" t="s">
        <x:v>1261</x:v>
      </x:c>
      <x:c r="G916" s="70" t="s">
        <x:v>2113</x:v>
      </x:c>
      <x:c r="H916" s="70" t="s">
        <x:v>1208</x:v>
      </x:c>
      <x:c r="I916" s="70" t="s">
        <x:v>1199</x:v>
      </x:c>
      <x:c r="J916" s="70" t="n">
        <x:v>152</x:v>
      </x:c>
      <x:c r="K916" s="70" t="s">
        <x:v>2114</x:v>
      </x:c>
      <x:c r="L916" s="70" t="s">
        <x:v>1270</x:v>
      </x:c>
      <x:c r="M916" s="70" t="s">
        <x:v>40</x:v>
      </x:c>
      <x:c r="N916" s="71" t="n">
        <x:v>61526</x:v>
      </x:c>
      <x:c r="O916" s="72" t="n">
        <x:f aca="0">N916/1000</x:f>
        <x:v>61.526</x:v>
      </x:c>
      <x:c r="P916" s="73" t="n">
        <x:f aca="0">DGKC!E27</x:f>
        <x:v>61.526</x:v>
      </x:c>
      <x:c r="Q916" s="70" t="str">
        <x:f aca="0">IF(ABS(O916-P916)&lt;0.000001,"PASS","FAIL")</x:f>
        <x:v>PASS</x:v>
      </x:c>
      <x:c r="R916" s="70" t="s">
        <x:v>34</x:v>
      </x:c>
      <x:c r="S916" s="70"/>
    </x:row>
    <x:row r="917" ht="15" hidden="0">
      <x:c r="A917" s="70" t="s">
        <x:v>2167</x:v>
      </x:c>
      <x:c r="B917" s="70" t="s">
        <x:v>37</x:v>
      </x:c>
      <x:c r="C917" s="70" t="s">
        <x:v>75</x:v>
      </x:c>
      <x:c r="D917" s="70" t="s">
        <x:v>310</x:v>
      </x:c>
      <x:c r="E917" s="70" t="s">
        <x:v>1129</x:v>
      </x:c>
      <x:c r="F917" s="70" t="s">
        <x:v>1261</x:v>
      </x:c>
      <x:c r="G917" s="70" t="s">
        <x:v>2116</x:v>
      </x:c>
      <x:c r="H917" s="70" t="s">
        <x:v>1211</x:v>
      </x:c>
      <x:c r="I917" s="70" t="s">
        <x:v>1199</x:v>
      </x:c>
      <x:c r="J917" s="70" t="n">
        <x:v>152</x:v>
      </x:c>
      <x:c r="K917" s="70" t="s">
        <x:v>2114</x:v>
      </x:c>
      <x:c r="L917" s="70" t="s">
        <x:v>1270</x:v>
      </x:c>
      <x:c r="M917" s="70" t="s">
        <x:v>40</x:v>
      </x:c>
      <x:c r="N917" s="71" t="n">
        <x:v>64426</x:v>
      </x:c>
      <x:c r="O917" s="72" t="n">
        <x:f aca="0">N917/1000</x:f>
        <x:v>64.426</x:v>
      </x:c>
      <x:c r="P917" s="73" t="n">
        <x:f aca="0">DGKC!F27</x:f>
        <x:v>64.426</x:v>
      </x:c>
      <x:c r="Q917" s="70" t="str">
        <x:f aca="0">IF(ABS(O917-P917)&lt;0.000001,"PASS","FAIL")</x:f>
        <x:v>PASS</x:v>
      </x:c>
      <x:c r="R917" s="70" t="s">
        <x:v>34</x:v>
      </x:c>
      <x:c r="S917" s="70"/>
    </x:row>
    <x:row r="918" ht="15" hidden="0">
      <x:c r="A918" s="70" t="s">
        <x:v>2168</x:v>
      </x:c>
      <x:c r="B918" s="70" t="s">
        <x:v>37</x:v>
      </x:c>
      <x:c r="C918" s="70" t="s">
        <x:v>76</x:v>
      </x:c>
      <x:c r="D918" s="70" t="s">
        <x:v>310</x:v>
      </x:c>
      <x:c r="E918" s="70" t="s">
        <x:v>1129</x:v>
      </x:c>
      <x:c r="F918" s="70" t="s">
        <x:v>1261</x:v>
      </x:c>
      <x:c r="G918" s="70" t="s">
        <x:v>2118</x:v>
      </x:c>
      <x:c r="H918" s="70" t="s">
        <x:v>1215</x:v>
      </x:c>
      <x:c r="I918" s="70" t="s">
        <x:v>1199</x:v>
      </x:c>
      <x:c r="J918" s="70" t="n">
        <x:v>154</x:v>
      </x:c>
      <x:c r="K918" s="70" t="s">
        <x:v>2119</x:v>
      </x:c>
      <x:c r="L918" s="70" t="s">
        <x:v>1270</x:v>
      </x:c>
      <x:c r="M918" s="70" t="s">
        <x:v>40</x:v>
      </x:c>
      <x:c r="N918" s="71" t="n">
        <x:v>61568</x:v>
      </x:c>
      <x:c r="O918" s="72" t="n">
        <x:f aca="0">N918/1000</x:f>
        <x:v>61.568</x:v>
      </x:c>
      <x:c r="P918" s="73" t="n">
        <x:f aca="0">DGKC!G27</x:f>
        <x:v>61.568</x:v>
      </x:c>
      <x:c r="Q918" s="70" t="str">
        <x:f aca="0">IF(ABS(O918-P918)&lt;0.000001,"PASS","FAIL")</x:f>
        <x:v>PASS</x:v>
      </x:c>
      <x:c r="R918" s="70" t="s">
        <x:v>34</x:v>
      </x:c>
      <x:c r="S918" s="70"/>
    </x:row>
    <x:row r="919" ht="15" hidden="0">
      <x:c r="A919" s="70" t="s">
        <x:v>2169</x:v>
      </x:c>
      <x:c r="B919" s="70" t="s">
        <x:v>37</x:v>
      </x:c>
      <x:c r="C919" s="70" t="s">
        <x:v>77</x:v>
      </x:c>
      <x:c r="D919" s="70" t="s">
        <x:v>310</x:v>
      </x:c>
      <x:c r="E919" s="70" t="s">
        <x:v>1129</x:v>
      </x:c>
      <x:c r="F919" s="70" t="s">
        <x:v>1261</x:v>
      </x:c>
      <x:c r="G919" s="70" t="s">
        <x:v>2118</x:v>
      </x:c>
      <x:c r="H919" s="70" t="s">
        <x:v>1215</x:v>
      </x:c>
      <x:c r="I919" s="70" t="s">
        <x:v>1218</x:v>
      </x:c>
      <x:c r="J919" s="70" t="n">
        <x:v>154</x:v>
      </x:c>
      <x:c r="K919" s="70" t="s">
        <x:v>2119</x:v>
      </x:c>
      <x:c r="L919" s="70" t="s">
        <x:v>1270</x:v>
      </x:c>
      <x:c r="M919" s="70" t="s">
        <x:v>40</x:v>
      </x:c>
      <x:c r="N919" s="71" t="n">
        <x:v>61013</x:v>
      </x:c>
      <x:c r="O919" s="72" t="n">
        <x:f aca="0">N919/1000</x:f>
        <x:v>61.013</x:v>
      </x:c>
      <x:c r="P919" s="73" t="n">
        <x:f aca="0">DGKC!H27</x:f>
        <x:v>61.013</x:v>
      </x:c>
      <x:c r="Q919" s="70" t="str">
        <x:f aca="0">IF(ABS(O919-P919)&lt;0.000001,"PASS","FAIL")</x:f>
        <x:v>PASS</x:v>
      </x:c>
      <x:c r="R919" s="70" t="s">
        <x:v>34</x:v>
      </x:c>
      <x:c r="S919" s="70"/>
    </x:row>
    <x:row r="920" ht="15" hidden="0">
      <x:c r="A920" s="70" t="s">
        <x:v>2170</x:v>
      </x:c>
      <x:c r="B920" s="70" t="s">
        <x:v>37</x:v>
      </x:c>
      <x:c r="C920" s="70" t="s">
        <x:v>1076</x:v>
      </x:c>
      <x:c r="D920" s="70" t="s">
        <x:v>315</x:v>
      </x:c>
      <x:c r="E920" s="70" t="s">
        <x:v>1129</x:v>
      </x:c>
      <x:c r="F920" s="70" t="s">
        <x:v>2171</x:v>
      </x:c>
      <x:c r="G920" s="70" t="s">
        <x:v>2107</x:v>
      </x:c>
      <x:c r="H920" s="70" t="s">
        <x:v>1198</x:v>
      </x:c>
      <x:c r="I920" s="70" t="s">
        <x:v>1199</x:v>
      </x:c>
      <x:c r="J920" s="70" t="n">
        <x:v>106</x:v>
      </x:c>
      <x:c r="K920" s="70" t="s">
        <x:v>2108</x:v>
      </x:c>
      <x:c r="L920" s="70" t="s">
        <x:v>1270</x:v>
      </x:c>
      <x:c r="M920" s="70" t="s">
        <x:v>40</x:v>
      </x:c>
      <x:c r="N920" s="71" t="n">
        <x:v>8237990</x:v>
      </x:c>
      <x:c r="O920" s="72" t="n">
        <x:f aca="0">N920/1000</x:f>
        <x:v>8237.99</x:v>
      </x:c>
      <x:c r="P920" s="73" t="n">
        <x:f aca="0">DGKC!C30</x:f>
        <x:v>8237.99</x:v>
      </x:c>
      <x:c r="Q920" s="70" t="str">
        <x:f aca="0">IF(ABS(O920-P920)&lt;0.000001,"PASS","FAIL")</x:f>
        <x:v>PASS</x:v>
      </x:c>
      <x:c r="R920" s="70" t="s">
        <x:v>34</x:v>
      </x:c>
      <x:c r="S920" s="70"/>
    </x:row>
    <x:row r="921" ht="15" hidden="0">
      <x:c r="A921" s="70" t="s">
        <x:v>2172</x:v>
      </x:c>
      <x:c r="B921" s="70" t="s">
        <x:v>37</x:v>
      </x:c>
      <x:c r="C921" s="70" t="s">
        <x:v>73</x:v>
      </x:c>
      <x:c r="D921" s="70" t="s">
        <x:v>315</x:v>
      </x:c>
      <x:c r="E921" s="70" t="s">
        <x:v>1129</x:v>
      </x:c>
      <x:c r="F921" s="70" t="s">
        <x:v>2171</x:v>
      </x:c>
      <x:c r="G921" s="70" t="s">
        <x:v>2110</x:v>
      </x:c>
      <x:c r="H921" s="70" t="s">
        <x:v>1204</x:v>
      </x:c>
      <x:c r="I921" s="70" t="s">
        <x:v>1199</x:v>
      </x:c>
      <x:c r="J921" s="70" t="n">
        <x:v>126</x:v>
      </x:c>
      <x:c r="K921" s="70" t="s">
        <x:v>2111</x:v>
      </x:c>
      <x:c r="L921" s="70" t="s">
        <x:v>1277</x:v>
      </x:c>
      <x:c r="M921" s="70" t="s">
        <x:v>40</x:v>
      </x:c>
      <x:c r="N921" s="71" t="n">
        <x:v>12879348</x:v>
      </x:c>
      <x:c r="O921" s="72" t="n">
        <x:f aca="0">N921/1000</x:f>
        <x:v>12879.348</x:v>
      </x:c>
      <x:c r="P921" s="73" t="n">
        <x:f aca="0">DGKC!D30</x:f>
        <x:v>12879.348</x:v>
      </x:c>
      <x:c r="Q921" s="70" t="str">
        <x:f aca="0">IF(ABS(O921-P921)&lt;0.000001,"PASS","FAIL")</x:f>
        <x:v>PASS</x:v>
      </x:c>
      <x:c r="R921" s="70" t="s">
        <x:v>34</x:v>
      </x:c>
      <x:c r="S921" s="70"/>
    </x:row>
    <x:row r="922" ht="15" hidden="0">
      <x:c r="A922" s="70" t="s">
        <x:v>2173</x:v>
      </x:c>
      <x:c r="B922" s="70" t="s">
        <x:v>37</x:v>
      </x:c>
      <x:c r="C922" s="70" t="s">
        <x:v>74</x:v>
      </x:c>
      <x:c r="D922" s="70" t="s">
        <x:v>315</x:v>
      </x:c>
      <x:c r="E922" s="70" t="s">
        <x:v>1129</x:v>
      </x:c>
      <x:c r="F922" s="70" t="s">
        <x:v>2171</x:v>
      </x:c>
      <x:c r="G922" s="70" t="s">
        <x:v>2113</x:v>
      </x:c>
      <x:c r="H922" s="70" t="s">
        <x:v>1208</x:v>
      </x:c>
      <x:c r="I922" s="70" t="s">
        <x:v>1199</x:v>
      </x:c>
      <x:c r="J922" s="70" t="n">
        <x:v>152</x:v>
      </x:c>
      <x:c r="K922" s="70" t="s">
        <x:v>2114</x:v>
      </x:c>
      <x:c r="L922" s="70" t="s">
        <x:v>1277</x:v>
      </x:c>
      <x:c r="M922" s="70" t="s">
        <x:v>40</x:v>
      </x:c>
      <x:c r="N922" s="71" t="n">
        <x:v>16813883</x:v>
      </x:c>
      <x:c r="O922" s="72" t="n">
        <x:f aca="0">N922/1000</x:f>
        <x:v>16813.883</x:v>
      </x:c>
      <x:c r="P922" s="73" t="n">
        <x:f aca="0">DGKC!E30</x:f>
        <x:v>16813.883</x:v>
      </x:c>
      <x:c r="Q922" s="70" t="str">
        <x:f aca="0">IF(ABS(O922-P922)&lt;0.000001,"PASS","FAIL")</x:f>
        <x:v>PASS</x:v>
      </x:c>
      <x:c r="R922" s="70" t="s">
        <x:v>34</x:v>
      </x:c>
      <x:c r="S922" s="70"/>
    </x:row>
    <x:row r="923" ht="15" hidden="0">
      <x:c r="A923" s="70" t="s">
        <x:v>2174</x:v>
      </x:c>
      <x:c r="B923" s="70" t="s">
        <x:v>37</x:v>
      </x:c>
      <x:c r="C923" s="70" t="s">
        <x:v>75</x:v>
      </x:c>
      <x:c r="D923" s="70" t="s">
        <x:v>315</x:v>
      </x:c>
      <x:c r="E923" s="70" t="s">
        <x:v>1129</x:v>
      </x:c>
      <x:c r="F923" s="70" t="s">
        <x:v>2171</x:v>
      </x:c>
      <x:c r="G923" s="70" t="s">
        <x:v>2116</x:v>
      </x:c>
      <x:c r="H923" s="70" t="s">
        <x:v>1211</x:v>
      </x:c>
      <x:c r="I923" s="70" t="s">
        <x:v>1199</x:v>
      </x:c>
      <x:c r="J923" s="70" t="n">
        <x:v>152</x:v>
      </x:c>
      <x:c r="K923" s="70" t="s">
        <x:v>2114</x:v>
      </x:c>
      <x:c r="L923" s="70" t="s">
        <x:v>1277</x:v>
      </x:c>
      <x:c r="M923" s="70" t="s">
        <x:v>40</x:v>
      </x:c>
      <x:c r="N923" s="71" t="n">
        <x:v>13852005</x:v>
      </x:c>
      <x:c r="O923" s="72" t="n">
        <x:f aca="0">N923/1000</x:f>
        <x:v>13852.005</x:v>
      </x:c>
      <x:c r="P923" s="73" t="n">
        <x:f aca="0">DGKC!F30</x:f>
        <x:v>13852.005</x:v>
      </x:c>
      <x:c r="Q923" s="70" t="str">
        <x:f aca="0">IF(ABS(O923-P923)&lt;0.000001,"PASS","FAIL")</x:f>
        <x:v>PASS</x:v>
      </x:c>
      <x:c r="R923" s="70" t="s">
        <x:v>34</x:v>
      </x:c>
      <x:c r="S923" s="70"/>
    </x:row>
    <x:row r="924" ht="15" hidden="0">
      <x:c r="A924" s="70" t="s">
        <x:v>2175</x:v>
      </x:c>
      <x:c r="B924" s="70" t="s">
        <x:v>37</x:v>
      </x:c>
      <x:c r="C924" s="70" t="s">
        <x:v>76</x:v>
      </x:c>
      <x:c r="D924" s="70" t="s">
        <x:v>315</x:v>
      </x:c>
      <x:c r="E924" s="70" t="s">
        <x:v>1129</x:v>
      </x:c>
      <x:c r="F924" s="70" t="s">
        <x:v>2171</x:v>
      </x:c>
      <x:c r="G924" s="70" t="s">
        <x:v>2118</x:v>
      </x:c>
      <x:c r="H924" s="70" t="s">
        <x:v>1215</x:v>
      </x:c>
      <x:c r="I924" s="70" t="s">
        <x:v>1199</x:v>
      </x:c>
      <x:c r="J924" s="70" t="n">
        <x:v>154</x:v>
      </x:c>
      <x:c r="K924" s="70" t="s">
        <x:v>2119</x:v>
      </x:c>
      <x:c r="L924" s="70" t="s">
        <x:v>1277</x:v>
      </x:c>
      <x:c r="M924" s="70" t="s">
        <x:v>40</x:v>
      </x:c>
      <x:c r="N924" s="71" t="n">
        <x:v>12559774</x:v>
      </x:c>
      <x:c r="O924" s="72" t="n">
        <x:f aca="0">N924/1000</x:f>
        <x:v>12559.774</x:v>
      </x:c>
      <x:c r="P924" s="73" t="n">
        <x:f aca="0">DGKC!G30</x:f>
        <x:v>12559.774</x:v>
      </x:c>
      <x:c r="Q924" s="70" t="str">
        <x:f aca="0">IF(ABS(O924-P924)&lt;0.000001,"PASS","FAIL")</x:f>
        <x:v>PASS</x:v>
      </x:c>
      <x:c r="R924" s="70" t="s">
        <x:v>34</x:v>
      </x:c>
      <x:c r="S924" s="70"/>
    </x:row>
    <x:row r="925" ht="15" hidden="0">
      <x:c r="A925" s="70" t="s">
        <x:v>2176</x:v>
      </x:c>
      <x:c r="B925" s="70" t="s">
        <x:v>37</x:v>
      </x:c>
      <x:c r="C925" s="70" t="s">
        <x:v>77</x:v>
      </x:c>
      <x:c r="D925" s="70" t="s">
        <x:v>315</x:v>
      </x:c>
      <x:c r="E925" s="70" t="s">
        <x:v>1129</x:v>
      </x:c>
      <x:c r="F925" s="70" t="s">
        <x:v>2171</x:v>
      </x:c>
      <x:c r="G925" s="70" t="s">
        <x:v>2118</x:v>
      </x:c>
      <x:c r="H925" s="70" t="s">
        <x:v>1215</x:v>
      </x:c>
      <x:c r="I925" s="70" t="s">
        <x:v>1218</x:v>
      </x:c>
      <x:c r="J925" s="70" t="n">
        <x:v>154</x:v>
      </x:c>
      <x:c r="K925" s="70" t="s">
        <x:v>2119</x:v>
      </x:c>
      <x:c r="L925" s="70" t="s">
        <x:v>1277</x:v>
      </x:c>
      <x:c r="M925" s="70" t="s">
        <x:v>40</x:v>
      </x:c>
      <x:c r="N925" s="71" t="n">
        <x:v>12306679</x:v>
      </x:c>
      <x:c r="O925" s="72" t="n">
        <x:f aca="0">N925/1000</x:f>
        <x:v>12306.679</x:v>
      </x:c>
      <x:c r="P925" s="73" t="n">
        <x:f aca="0">DGKC!H30</x:f>
        <x:v>12306.679</x:v>
      </x:c>
      <x:c r="Q925" s="70" t="str">
        <x:f aca="0">IF(ABS(O925-P925)&lt;0.000001,"PASS","FAIL")</x:f>
        <x:v>PASS</x:v>
      </x:c>
      <x:c r="R925" s="70" t="s">
        <x:v>34</x:v>
      </x:c>
      <x:c r="S925" s="70"/>
    </x:row>
    <x:row r="926" ht="15" hidden="0">
      <x:c r="A926" s="70" t="s">
        <x:v>2177</x:v>
      </x:c>
      <x:c r="B926" s="70" t="s">
        <x:v>37</x:v>
      </x:c>
      <x:c r="C926" s="70" t="s">
        <x:v>1076</x:v>
      </x:c>
      <x:c r="D926" s="70" t="s">
        <x:v>317</x:v>
      </x:c>
      <x:c r="E926" s="70" t="s">
        <x:v>1129</x:v>
      </x:c>
      <x:c r="F926" s="70" t="s">
        <x:v>317</x:v>
      </x:c>
      <x:c r="G926" s="70" t="s">
        <x:v>2107</x:v>
      </x:c>
      <x:c r="H926" s="70" t="s">
        <x:v>1198</x:v>
      </x:c>
      <x:c r="I926" s="70" t="s">
        <x:v>1199</x:v>
      </x:c>
      <x:c r="J926" s="70" t="n">
        <x:v>106</x:v>
      </x:c>
      <x:c r="K926" s="70" t="s">
        <x:v>2108</x:v>
      </x:c>
      <x:c r="L926" s="70" t="s">
        <x:v>1277</x:v>
      </x:c>
      <x:c r="M926" s="70" t="s">
        <x:v>40</x:v>
      </x:c>
      <x:c r="N926" s="71" t="n">
        <x:v>4352995</x:v>
      </x:c>
      <x:c r="O926" s="72" t="n">
        <x:f aca="0">N926/1000</x:f>
        <x:v>4352.995</x:v>
      </x:c>
      <x:c r="P926" s="73" t="n">
        <x:f aca="0">DGKC!C31</x:f>
        <x:v>4352.995</x:v>
      </x:c>
      <x:c r="Q926" s="70" t="str">
        <x:f aca="0">IF(ABS(O926-P926)&lt;0.000001,"PASS","FAIL")</x:f>
        <x:v>PASS</x:v>
      </x:c>
      <x:c r="R926" s="70" t="s">
        <x:v>34</x:v>
      </x:c>
      <x:c r="S926" s="70"/>
    </x:row>
    <x:row r="927" ht="15" hidden="0">
      <x:c r="A927" s="70" t="s">
        <x:v>2178</x:v>
      </x:c>
      <x:c r="B927" s="70" t="s">
        <x:v>37</x:v>
      </x:c>
      <x:c r="C927" s="70" t="s">
        <x:v>73</x:v>
      </x:c>
      <x:c r="D927" s="70" t="s">
        <x:v>317</x:v>
      </x:c>
      <x:c r="E927" s="70" t="s">
        <x:v>1129</x:v>
      </x:c>
      <x:c r="F927" s="70" t="s">
        <x:v>317</x:v>
      </x:c>
      <x:c r="G927" s="70" t="s">
        <x:v>2110</x:v>
      </x:c>
      <x:c r="H927" s="70" t="s">
        <x:v>1204</x:v>
      </x:c>
      <x:c r="I927" s="70" t="s">
        <x:v>1199</x:v>
      </x:c>
      <x:c r="J927" s="70" t="n">
        <x:v>126</x:v>
      </x:c>
      <x:c r="K927" s="70" t="s">
        <x:v>2111</x:v>
      </x:c>
      <x:c r="L927" s="70" t="s">
        <x:v>1285</x:v>
      </x:c>
      <x:c r="M927" s="70" t="s">
        <x:v>40</x:v>
      </x:c>
      <x:c r="N927" s="71" t="n">
        <x:v>2728589</x:v>
      </x:c>
      <x:c r="O927" s="72" t="n">
        <x:f aca="0">N927/1000</x:f>
        <x:v>2728.589</x:v>
      </x:c>
      <x:c r="P927" s="73" t="n">
        <x:f aca="0">DGKC!D31</x:f>
        <x:v>2728.589</x:v>
      </x:c>
      <x:c r="Q927" s="70" t="str">
        <x:f aca="0">IF(ABS(O927-P927)&lt;0.000001,"PASS","FAIL")</x:f>
        <x:v>PASS</x:v>
      </x:c>
      <x:c r="R927" s="70" t="s">
        <x:v>34</x:v>
      </x:c>
      <x:c r="S927" s="70"/>
    </x:row>
    <x:row r="928" ht="15" hidden="0">
      <x:c r="A928" s="70" t="s">
        <x:v>2179</x:v>
      </x:c>
      <x:c r="B928" s="70" t="s">
        <x:v>37</x:v>
      </x:c>
      <x:c r="C928" s="70" t="s">
        <x:v>74</x:v>
      </x:c>
      <x:c r="D928" s="70" t="s">
        <x:v>317</x:v>
      </x:c>
      <x:c r="E928" s="70" t="s">
        <x:v>1129</x:v>
      </x:c>
      <x:c r="F928" s="70" t="s">
        <x:v>317</x:v>
      </x:c>
      <x:c r="G928" s="70" t="s">
        <x:v>2113</x:v>
      </x:c>
      <x:c r="H928" s="70" t="s">
        <x:v>1208</x:v>
      </x:c>
      <x:c r="I928" s="70" t="s">
        <x:v>1199</x:v>
      </x:c>
      <x:c r="J928" s="70" t="n">
        <x:v>152</x:v>
      </x:c>
      <x:c r="K928" s="70" t="s">
        <x:v>2114</x:v>
      </x:c>
      <x:c r="L928" s="70" t="s">
        <x:v>1285</x:v>
      </x:c>
      <x:c r="M928" s="70" t="s">
        <x:v>40</x:v>
      </x:c>
      <x:c r="N928" s="71" t="n">
        <x:v>5981515</x:v>
      </x:c>
      <x:c r="O928" s="72" t="n">
        <x:f aca="0">N928/1000</x:f>
        <x:v>5981.515</x:v>
      </x:c>
      <x:c r="P928" s="73" t="n">
        <x:f aca="0">DGKC!E31</x:f>
        <x:v>5981.515</x:v>
      </x:c>
      <x:c r="Q928" s="70" t="str">
        <x:f aca="0">IF(ABS(O928-P928)&lt;0.000001,"PASS","FAIL")</x:f>
        <x:v>PASS</x:v>
      </x:c>
      <x:c r="R928" s="70" t="s">
        <x:v>34</x:v>
      </x:c>
      <x:c r="S928" s="70"/>
    </x:row>
    <x:row r="929" ht="15" hidden="0">
      <x:c r="A929" s="70" t="s">
        <x:v>2180</x:v>
      </x:c>
      <x:c r="B929" s="70" t="s">
        <x:v>37</x:v>
      </x:c>
      <x:c r="C929" s="70" t="s">
        <x:v>75</x:v>
      </x:c>
      <x:c r="D929" s="70" t="s">
        <x:v>317</x:v>
      </x:c>
      <x:c r="E929" s="70" t="s">
        <x:v>1129</x:v>
      </x:c>
      <x:c r="F929" s="70" t="s">
        <x:v>317</x:v>
      </x:c>
      <x:c r="G929" s="70" t="s">
        <x:v>2116</x:v>
      </x:c>
      <x:c r="H929" s="70" t="s">
        <x:v>1211</x:v>
      </x:c>
      <x:c r="I929" s="70" t="s">
        <x:v>1199</x:v>
      </x:c>
      <x:c r="J929" s="70" t="n">
        <x:v>152</x:v>
      </x:c>
      <x:c r="K929" s="70" t="s">
        <x:v>2114</x:v>
      </x:c>
      <x:c r="L929" s="70" t="s">
        <x:v>1285</x:v>
      </x:c>
      <x:c r="M929" s="70" t="s">
        <x:v>40</x:v>
      </x:c>
      <x:c r="N929" s="71" t="n">
        <x:v>8873170</x:v>
      </x:c>
      <x:c r="O929" s="72" t="n">
        <x:f aca="0">N929/1000</x:f>
        <x:v>8873.17</x:v>
      </x:c>
      <x:c r="P929" s="73" t="n">
        <x:f aca="0">DGKC!F31</x:f>
        <x:v>8873.17</x:v>
      </x:c>
      <x:c r="Q929" s="70" t="str">
        <x:f aca="0">IF(ABS(O929-P929)&lt;0.000001,"PASS","FAIL")</x:f>
        <x:v>PASS</x:v>
      </x:c>
      <x:c r="R929" s="70" t="s">
        <x:v>34</x:v>
      </x:c>
      <x:c r="S929" s="70"/>
    </x:row>
    <x:row r="930" ht="15" hidden="0">
      <x:c r="A930" s="70" t="s">
        <x:v>2181</x:v>
      </x:c>
      <x:c r="B930" s="70" t="s">
        <x:v>37</x:v>
      </x:c>
      <x:c r="C930" s="70" t="s">
        <x:v>76</x:v>
      </x:c>
      <x:c r="D930" s="70" t="s">
        <x:v>317</x:v>
      </x:c>
      <x:c r="E930" s="70" t="s">
        <x:v>1129</x:v>
      </x:c>
      <x:c r="F930" s="70" t="s">
        <x:v>317</x:v>
      </x:c>
      <x:c r="G930" s="70" t="s">
        <x:v>2118</x:v>
      </x:c>
      <x:c r="H930" s="70" t="s">
        <x:v>1215</x:v>
      </x:c>
      <x:c r="I930" s="70" t="s">
        <x:v>1199</x:v>
      </x:c>
      <x:c r="J930" s="70" t="n">
        <x:v>154</x:v>
      </x:c>
      <x:c r="K930" s="70" t="s">
        <x:v>2119</x:v>
      </x:c>
      <x:c r="L930" s="70" t="s">
        <x:v>1285</x:v>
      </x:c>
      <x:c r="M930" s="70" t="s">
        <x:v>40</x:v>
      </x:c>
      <x:c r="N930" s="71" t="n">
        <x:v>7693067</x:v>
      </x:c>
      <x:c r="O930" s="72" t="n">
        <x:f aca="0">N930/1000</x:f>
        <x:v>7693.067</x:v>
      </x:c>
      <x:c r="P930" s="73" t="n">
        <x:f aca="0">DGKC!G31</x:f>
        <x:v>7693.067</x:v>
      </x:c>
      <x:c r="Q930" s="70" t="str">
        <x:f aca="0">IF(ABS(O930-P930)&lt;0.000001,"PASS","FAIL")</x:f>
        <x:v>PASS</x:v>
      </x:c>
      <x:c r="R930" s="70" t="s">
        <x:v>34</x:v>
      </x:c>
      <x:c r="S930" s="70"/>
    </x:row>
    <x:row r="931" ht="15" hidden="0">
      <x:c r="A931" s="70" t="s">
        <x:v>2182</x:v>
      </x:c>
      <x:c r="B931" s="70" t="s">
        <x:v>37</x:v>
      </x:c>
      <x:c r="C931" s="70" t="s">
        <x:v>77</x:v>
      </x:c>
      <x:c r="D931" s="70" t="s">
        <x:v>317</x:v>
      </x:c>
      <x:c r="E931" s="70" t="s">
        <x:v>1129</x:v>
      </x:c>
      <x:c r="F931" s="70" t="s">
        <x:v>317</x:v>
      </x:c>
      <x:c r="G931" s="70" t="s">
        <x:v>2118</x:v>
      </x:c>
      <x:c r="H931" s="70" t="s">
        <x:v>1215</x:v>
      </x:c>
      <x:c r="I931" s="70" t="s">
        <x:v>1218</x:v>
      </x:c>
      <x:c r="J931" s="70" t="n">
        <x:v>154</x:v>
      </x:c>
      <x:c r="K931" s="70" t="s">
        <x:v>2119</x:v>
      </x:c>
      <x:c r="L931" s="70" t="s">
        <x:v>1285</x:v>
      </x:c>
      <x:c r="M931" s="70" t="s">
        <x:v>40</x:v>
      </x:c>
      <x:c r="N931" s="71" t="n">
        <x:v>8188678</x:v>
      </x:c>
      <x:c r="O931" s="72" t="n">
        <x:f aca="0">N931/1000</x:f>
        <x:v>8188.678</x:v>
      </x:c>
      <x:c r="P931" s="73" t="n">
        <x:f aca="0">DGKC!H31</x:f>
        <x:v>8188.678</x:v>
      </x:c>
      <x:c r="Q931" s="70" t="str">
        <x:f aca="0">IF(ABS(O931-P931)&lt;0.000001,"PASS","FAIL")</x:f>
        <x:v>PASS</x:v>
      </x:c>
      <x:c r="R931" s="70" t="s">
        <x:v>34</x:v>
      </x:c>
      <x:c r="S931" s="70"/>
    </x:row>
    <x:row r="932" ht="15" hidden="0">
      <x:c r="A932" s="70" t="s">
        <x:v>2183</x:v>
      </x:c>
      <x:c r="B932" s="70" t="s">
        <x:v>37</x:v>
      </x:c>
      <x:c r="C932" s="70" t="s">
        <x:v>1076</x:v>
      </x:c>
      <x:c r="D932" s="70" t="s">
        <x:v>319</x:v>
      </x:c>
      <x:c r="E932" s="70" t="s">
        <x:v>1129</x:v>
      </x:c>
      <x:c r="F932" s="70" t="s">
        <x:v>319</x:v>
      </x:c>
      <x:c r="G932" s="70" t="s">
        <x:v>2107</x:v>
      </x:c>
      <x:c r="H932" s="70" t="s">
        <x:v>1198</x:v>
      </x:c>
      <x:c r="I932" s="70" t="s">
        <x:v>1199</x:v>
      </x:c>
      <x:c r="J932" s="70" t="n">
        <x:v>106</x:v>
      </x:c>
      <x:c r="K932" s="70" t="s">
        <x:v>2108</x:v>
      </x:c>
      <x:c r="L932" s="70" t="s">
        <x:v>1285</x:v>
      </x:c>
      <x:c r="M932" s="70" t="s">
        <x:v>40</x:v>
      </x:c>
      <x:c r="N932" s="71" t="n">
        <x:v>2286084</x:v>
      </x:c>
      <x:c r="O932" s="72" t="n">
        <x:f aca="0">N932/1000</x:f>
        <x:v>2286.084</x:v>
      </x:c>
      <x:c r="P932" s="73" t="n">
        <x:f aca="0">DGKC!C32</x:f>
        <x:v>2286.084</x:v>
      </x:c>
      <x:c r="Q932" s="70" t="str">
        <x:f aca="0">IF(ABS(O932-P932)&lt;0.000001,"PASS","FAIL")</x:f>
        <x:v>PASS</x:v>
      </x:c>
      <x:c r="R932" s="70" t="s">
        <x:v>34</x:v>
      </x:c>
      <x:c r="S932" s="70"/>
    </x:row>
    <x:row r="933" ht="15" hidden="0">
      <x:c r="A933" s="70" t="s">
        <x:v>2184</x:v>
      </x:c>
      <x:c r="B933" s="70" t="s">
        <x:v>37</x:v>
      </x:c>
      <x:c r="C933" s="70" t="s">
        <x:v>73</x:v>
      </x:c>
      <x:c r="D933" s="70" t="s">
        <x:v>319</x:v>
      </x:c>
      <x:c r="E933" s="70" t="s">
        <x:v>1129</x:v>
      </x:c>
      <x:c r="F933" s="70" t="s">
        <x:v>319</x:v>
      </x:c>
      <x:c r="G933" s="70" t="s">
        <x:v>2110</x:v>
      </x:c>
      <x:c r="H933" s="70" t="s">
        <x:v>1204</x:v>
      </x:c>
      <x:c r="I933" s="70" t="s">
        <x:v>1199</x:v>
      </x:c>
      <x:c r="J933" s="70" t="n">
        <x:v>126</x:v>
      </x:c>
      <x:c r="K933" s="70" t="s">
        <x:v>2111</x:v>
      </x:c>
      <x:c r="L933" s="70" t="s">
        <x:v>1293</x:v>
      </x:c>
      <x:c r="M933" s="70" t="s">
        <x:v>40</x:v>
      </x:c>
      <x:c r="N933" s="71" t="n">
        <x:v>1676245</x:v>
      </x:c>
      <x:c r="O933" s="72" t="n">
        <x:f aca="0">N933/1000</x:f>
        <x:v>1676.245</x:v>
      </x:c>
      <x:c r="P933" s="73" t="n">
        <x:f aca="0">DGKC!D32</x:f>
        <x:v>1676.245</x:v>
      </x:c>
      <x:c r="Q933" s="70" t="str">
        <x:f aca="0">IF(ABS(O933-P933)&lt;0.000001,"PASS","FAIL")</x:f>
        <x:v>PASS</x:v>
      </x:c>
      <x:c r="R933" s="70" t="s">
        <x:v>34</x:v>
      </x:c>
      <x:c r="S933" s="70"/>
    </x:row>
    <x:row r="934" ht="15" hidden="0">
      <x:c r="A934" s="70" t="s">
        <x:v>2185</x:v>
      </x:c>
      <x:c r="B934" s="70" t="s">
        <x:v>37</x:v>
      </x:c>
      <x:c r="C934" s="70" t="s">
        <x:v>74</x:v>
      </x:c>
      <x:c r="D934" s="70" t="s">
        <x:v>319</x:v>
      </x:c>
      <x:c r="E934" s="70" t="s">
        <x:v>1129</x:v>
      </x:c>
      <x:c r="F934" s="70" t="s">
        <x:v>319</x:v>
      </x:c>
      <x:c r="G934" s="70" t="s">
        <x:v>2113</x:v>
      </x:c>
      <x:c r="H934" s="70" t="s">
        <x:v>1208</x:v>
      </x:c>
      <x:c r="I934" s="70" t="s">
        <x:v>1199</x:v>
      </x:c>
      <x:c r="J934" s="70" t="n">
        <x:v>152</x:v>
      </x:c>
      <x:c r="K934" s="70" t="s">
        <x:v>2114</x:v>
      </x:c>
      <x:c r="L934" s="70" t="s">
        <x:v>1293</x:v>
      </x:c>
      <x:c r="M934" s="70" t="s">
        <x:v>40</x:v>
      </x:c>
      <x:c r="N934" s="71" t="n">
        <x:v>1467862</x:v>
      </x:c>
      <x:c r="O934" s="72" t="n">
        <x:f aca="0">N934/1000</x:f>
        <x:v>1467.862</x:v>
      </x:c>
      <x:c r="P934" s="73" t="n">
        <x:f aca="0">DGKC!E32</x:f>
        <x:v>1467.862</x:v>
      </x:c>
      <x:c r="Q934" s="70" t="str">
        <x:f aca="0">IF(ABS(O934-P934)&lt;0.000001,"PASS","FAIL")</x:f>
        <x:v>PASS</x:v>
      </x:c>
      <x:c r="R934" s="70" t="s">
        <x:v>34</x:v>
      </x:c>
      <x:c r="S934" s="70"/>
    </x:row>
    <x:row r="935" ht="15" hidden="0">
      <x:c r="A935" s="70" t="s">
        <x:v>2186</x:v>
      </x:c>
      <x:c r="B935" s="70" t="s">
        <x:v>37</x:v>
      </x:c>
      <x:c r="C935" s="70" t="s">
        <x:v>75</x:v>
      </x:c>
      <x:c r="D935" s="70" t="s">
        <x:v>319</x:v>
      </x:c>
      <x:c r="E935" s="70" t="s">
        <x:v>1129</x:v>
      </x:c>
      <x:c r="F935" s="70" t="s">
        <x:v>319</x:v>
      </x:c>
      <x:c r="G935" s="70" t="s">
        <x:v>2116</x:v>
      </x:c>
      <x:c r="H935" s="70" t="s">
        <x:v>1211</x:v>
      </x:c>
      <x:c r="I935" s="70" t="s">
        <x:v>1199</x:v>
      </x:c>
      <x:c r="J935" s="70" t="n">
        <x:v>152</x:v>
      </x:c>
      <x:c r="K935" s="70" t="s">
        <x:v>2114</x:v>
      </x:c>
      <x:c r="L935" s="70" t="s">
        <x:v>1293</x:v>
      </x:c>
      <x:c r="M935" s="70" t="s">
        <x:v>40</x:v>
      </x:c>
      <x:c r="N935" s="71" t="n">
        <x:v>1193440</x:v>
      </x:c>
      <x:c r="O935" s="72" t="n">
        <x:f aca="0">N935/1000</x:f>
        <x:v>1193.44</x:v>
      </x:c>
      <x:c r="P935" s="73" t="n">
        <x:f aca="0">DGKC!F32</x:f>
        <x:v>1193.44</x:v>
      </x:c>
      <x:c r="Q935" s="70" t="str">
        <x:f aca="0">IF(ABS(O935-P935)&lt;0.000001,"PASS","FAIL")</x:f>
        <x:v>PASS</x:v>
      </x:c>
      <x:c r="R935" s="70" t="s">
        <x:v>34</x:v>
      </x:c>
      <x:c r="S935" s="70"/>
    </x:row>
    <x:row r="936" ht="15" hidden="0">
      <x:c r="A936" s="70" t="s">
        <x:v>2187</x:v>
      </x:c>
      <x:c r="B936" s="70" t="s">
        <x:v>37</x:v>
      </x:c>
      <x:c r="C936" s="70" t="s">
        <x:v>76</x:v>
      </x:c>
      <x:c r="D936" s="70" t="s">
        <x:v>319</x:v>
      </x:c>
      <x:c r="E936" s="70" t="s">
        <x:v>1129</x:v>
      </x:c>
      <x:c r="F936" s="70" t="s">
        <x:v>319</x:v>
      </x:c>
      <x:c r="G936" s="70" t="s">
        <x:v>2118</x:v>
      </x:c>
      <x:c r="H936" s="70" t="s">
        <x:v>1215</x:v>
      </x:c>
      <x:c r="I936" s="70" t="s">
        <x:v>1199</x:v>
      </x:c>
      <x:c r="J936" s="70" t="n">
        <x:v>154</x:v>
      </x:c>
      <x:c r="K936" s="70" t="s">
        <x:v>2119</x:v>
      </x:c>
      <x:c r="L936" s="70" t="s">
        <x:v>1293</x:v>
      </x:c>
      <x:c r="M936" s="70" t="s">
        <x:v>40</x:v>
      </x:c>
      <x:c r="N936" s="71" t="n">
        <x:v>855742</x:v>
      </x:c>
      <x:c r="O936" s="72" t="n">
        <x:f aca="0">N936/1000</x:f>
        <x:v>855.742</x:v>
      </x:c>
      <x:c r="P936" s="73" t="n">
        <x:f aca="0">DGKC!G32</x:f>
        <x:v>855.742</x:v>
      </x:c>
      <x:c r="Q936" s="70" t="str">
        <x:f aca="0">IF(ABS(O936-P936)&lt;0.000001,"PASS","FAIL")</x:f>
        <x:v>PASS</x:v>
      </x:c>
      <x:c r="R936" s="70" t="s">
        <x:v>34</x:v>
      </x:c>
      <x:c r="S936" s="70"/>
    </x:row>
    <x:row r="937" ht="15" hidden="0">
      <x:c r="A937" s="70" t="s">
        <x:v>2188</x:v>
      </x:c>
      <x:c r="B937" s="70" t="s">
        <x:v>37</x:v>
      </x:c>
      <x:c r="C937" s="70" t="s">
        <x:v>77</x:v>
      </x:c>
      <x:c r="D937" s="70" t="s">
        <x:v>319</x:v>
      </x:c>
      <x:c r="E937" s="70" t="s">
        <x:v>1129</x:v>
      </x:c>
      <x:c r="F937" s="70" t="s">
        <x:v>319</x:v>
      </x:c>
      <x:c r="G937" s="70" t="s">
        <x:v>2118</x:v>
      </x:c>
      <x:c r="H937" s="70" t="s">
        <x:v>1215</x:v>
      </x:c>
      <x:c r="I937" s="70" t="s">
        <x:v>1218</x:v>
      </x:c>
      <x:c r="J937" s="70" t="n">
        <x:v>154</x:v>
      </x:c>
      <x:c r="K937" s="70" t="s">
        <x:v>2119</x:v>
      </x:c>
      <x:c r="L937" s="70" t="s">
        <x:v>1293</x:v>
      </x:c>
      <x:c r="M937" s="70" t="s">
        <x:v>40</x:v>
      </x:c>
      <x:c r="N937" s="71" t="n">
        <x:v>1493080</x:v>
      </x:c>
      <x:c r="O937" s="72" t="n">
        <x:f aca="0">N937/1000</x:f>
        <x:v>1493.08</x:v>
      </x:c>
      <x:c r="P937" s="73" t="n">
        <x:f aca="0">DGKC!H32</x:f>
        <x:v>1493.08</x:v>
      </x:c>
      <x:c r="Q937" s="70" t="str">
        <x:f aca="0">IF(ABS(O937-P937)&lt;0.000001,"PASS","FAIL")</x:f>
        <x:v>PASS</x:v>
      </x:c>
      <x:c r="R937" s="70" t="s">
        <x:v>34</x:v>
      </x:c>
      <x:c r="S937" s="70"/>
    </x:row>
    <x:row r="938" ht="15" hidden="0">
      <x:c r="A938" s="70" t="s">
        <x:v>2189</x:v>
      </x:c>
      <x:c r="B938" s="70" t="s">
        <x:v>37</x:v>
      </x:c>
      <x:c r="C938" s="70" t="s">
        <x:v>1076</x:v>
      </x:c>
      <x:c r="D938" s="70" t="s">
        <x:v>321</x:v>
      </x:c>
      <x:c r="E938" s="70" t="s">
        <x:v>1129</x:v>
      </x:c>
      <x:c r="F938" s="70" t="s">
        <x:v>2156</x:v>
      </x:c>
      <x:c r="G938" s="70" t="s">
        <x:v>2107</x:v>
      </x:c>
      <x:c r="H938" s="70" t="s">
        <x:v>1198</x:v>
      </x:c>
      <x:c r="I938" s="70" t="s">
        <x:v>1199</x:v>
      </x:c>
      <x:c r="J938" s="70" t="n">
        <x:v>106</x:v>
      </x:c>
      <x:c r="K938" s="70" t="s">
        <x:v>2108</x:v>
      </x:c>
      <x:c r="L938" s="70" t="s">
        <x:v>1246</x:v>
      </x:c>
      <x:c r="M938" s="70" t="s">
        <x:v>40</x:v>
      </x:c>
      <x:c r="N938" s="71" t="n">
        <x:v>13126388</x:v>
      </x:c>
      <x:c r="O938" s="72" t="n">
        <x:f aca="0">N938/1000</x:f>
        <x:v>13126.388</x:v>
      </x:c>
      <x:c r="P938" s="73" t="n">
        <x:f aca="0">DGKC!C33</x:f>
        <x:v>13126.388</x:v>
      </x:c>
      <x:c r="Q938" s="70" t="str">
        <x:f aca="0">IF(ABS(O938-P938)&lt;0.000001,"PASS","FAIL")</x:f>
        <x:v>PASS</x:v>
      </x:c>
      <x:c r="R938" s="70" t="s">
        <x:v>34</x:v>
      </x:c>
      <x:c r="S938" s="70"/>
    </x:row>
    <x:row r="939" ht="15" hidden="0">
      <x:c r="A939" s="70" t="s">
        <x:v>2190</x:v>
      </x:c>
      <x:c r="B939" s="70" t="s">
        <x:v>37</x:v>
      </x:c>
      <x:c r="C939" s="70" t="s">
        <x:v>73</x:v>
      </x:c>
      <x:c r="D939" s="70" t="s">
        <x:v>321</x:v>
      </x:c>
      <x:c r="E939" s="70" t="s">
        <x:v>1129</x:v>
      </x:c>
      <x:c r="F939" s="70" t="s">
        <x:v>2156</x:v>
      </x:c>
      <x:c r="G939" s="70" t="s">
        <x:v>2110</x:v>
      </x:c>
      <x:c r="H939" s="70" t="s">
        <x:v>1204</x:v>
      </x:c>
      <x:c r="I939" s="70" t="s">
        <x:v>1199</x:v>
      </x:c>
      <x:c r="J939" s="70" t="n">
        <x:v>126</x:v>
      </x:c>
      <x:c r="K939" s="70" t="s">
        <x:v>2111</x:v>
      </x:c>
      <x:c r="L939" s="70" t="s">
        <x:v>1248</x:v>
      </x:c>
      <x:c r="M939" s="70" t="s">
        <x:v>40</x:v>
      </x:c>
      <x:c r="N939" s="71" t="n">
        <x:v>12946786</x:v>
      </x:c>
      <x:c r="O939" s="72" t="n">
        <x:f aca="0">N939/1000</x:f>
        <x:v>12946.786</x:v>
      </x:c>
      <x:c r="P939" s="73" t="n">
        <x:f aca="0">DGKC!D33</x:f>
        <x:v>12946.786</x:v>
      </x:c>
      <x:c r="Q939" s="70" t="str">
        <x:f aca="0">IF(ABS(O939-P939)&lt;0.000001,"PASS","FAIL")</x:f>
        <x:v>PASS</x:v>
      </x:c>
      <x:c r="R939" s="70" t="s">
        <x:v>34</x:v>
      </x:c>
      <x:c r="S939" s="70"/>
    </x:row>
    <x:row r="940" ht="15" hidden="0">
      <x:c r="A940" s="70" t="s">
        <x:v>2191</x:v>
      </x:c>
      <x:c r="B940" s="70" t="s">
        <x:v>37</x:v>
      </x:c>
      <x:c r="C940" s="70" t="s">
        <x:v>74</x:v>
      </x:c>
      <x:c r="D940" s="70" t="s">
        <x:v>321</x:v>
      </x:c>
      <x:c r="E940" s="70" t="s">
        <x:v>1129</x:v>
      </x:c>
      <x:c r="F940" s="70" t="s">
        <x:v>2156</x:v>
      </x:c>
      <x:c r="G940" s="70" t="s">
        <x:v>2113</x:v>
      </x:c>
      <x:c r="H940" s="70" t="s">
        <x:v>1208</x:v>
      </x:c>
      <x:c r="I940" s="70" t="s">
        <x:v>1199</x:v>
      </x:c>
      <x:c r="J940" s="70" t="n">
        <x:v>152</x:v>
      </x:c>
      <x:c r="K940" s="70" t="s">
        <x:v>2114</x:v>
      </x:c>
      <x:c r="L940" s="70" t="s">
        <x:v>1248</x:v>
      </x:c>
      <x:c r="M940" s="70" t="s">
        <x:v>40</x:v>
      </x:c>
      <x:c r="N940" s="71" t="n">
        <x:v>9962421</x:v>
      </x:c>
      <x:c r="O940" s="72" t="n">
        <x:f aca="0">N940/1000</x:f>
        <x:v>9962.421</x:v>
      </x:c>
      <x:c r="P940" s="73" t="n">
        <x:f aca="0">DGKC!E33</x:f>
        <x:v>9962.421</x:v>
      </x:c>
      <x:c r="Q940" s="70" t="str">
        <x:f aca="0">IF(ABS(O940-P940)&lt;0.000001,"PASS","FAIL")</x:f>
        <x:v>PASS</x:v>
      </x:c>
      <x:c r="R940" s="70" t="s">
        <x:v>34</x:v>
      </x:c>
      <x:c r="S940" s="70"/>
    </x:row>
    <x:row r="941" ht="15" hidden="0">
      <x:c r="A941" s="70" t="s">
        <x:v>2192</x:v>
      </x:c>
      <x:c r="B941" s="70" t="s">
        <x:v>37</x:v>
      </x:c>
      <x:c r="C941" s="70" t="s">
        <x:v>75</x:v>
      </x:c>
      <x:c r="D941" s="70" t="s">
        <x:v>321</x:v>
      </x:c>
      <x:c r="E941" s="70" t="s">
        <x:v>1129</x:v>
      </x:c>
      <x:c r="F941" s="70" t="s">
        <x:v>2156</x:v>
      </x:c>
      <x:c r="G941" s="70" t="s">
        <x:v>2116</x:v>
      </x:c>
      <x:c r="H941" s="70" t="s">
        <x:v>1211</x:v>
      </x:c>
      <x:c r="I941" s="70" t="s">
        <x:v>1199</x:v>
      </x:c>
      <x:c r="J941" s="70" t="n">
        <x:v>152</x:v>
      </x:c>
      <x:c r="K941" s="70" t="s">
        <x:v>2114</x:v>
      </x:c>
      <x:c r="L941" s="70" t="s">
        <x:v>1248</x:v>
      </x:c>
      <x:c r="M941" s="70" t="s">
        <x:v>40</x:v>
      </x:c>
      <x:c r="N941" s="71" t="n">
        <x:v>9270898</x:v>
      </x:c>
      <x:c r="O941" s="72" t="n">
        <x:f aca="0">N941/1000</x:f>
        <x:v>9270.898</x:v>
      </x:c>
      <x:c r="P941" s="73" t="n">
        <x:f aca="0">DGKC!F33</x:f>
        <x:v>9270.898</x:v>
      </x:c>
      <x:c r="Q941" s="70" t="str">
        <x:f aca="0">IF(ABS(O941-P941)&lt;0.000001,"PASS","FAIL")</x:f>
        <x:v>PASS</x:v>
      </x:c>
      <x:c r="R941" s="70" t="s">
        <x:v>34</x:v>
      </x:c>
      <x:c r="S941" s="70"/>
    </x:row>
    <x:row r="942" ht="15" hidden="0">
      <x:c r="A942" s="70" t="s">
        <x:v>2193</x:v>
      </x:c>
      <x:c r="B942" s="70" t="s">
        <x:v>37</x:v>
      </x:c>
      <x:c r="C942" s="70" t="s">
        <x:v>76</x:v>
      </x:c>
      <x:c r="D942" s="70" t="s">
        <x:v>321</x:v>
      </x:c>
      <x:c r="E942" s="70" t="s">
        <x:v>1129</x:v>
      </x:c>
      <x:c r="F942" s="70" t="s">
        <x:v>1291</x:v>
      </x:c>
      <x:c r="G942" s="70" t="s">
        <x:v>2118</x:v>
      </x:c>
      <x:c r="H942" s="70" t="s">
        <x:v>1215</x:v>
      </x:c>
      <x:c r="I942" s="70" t="s">
        <x:v>1199</x:v>
      </x:c>
      <x:c r="J942" s="70" t="n">
        <x:v>154</x:v>
      </x:c>
      <x:c r="K942" s="70" t="s">
        <x:v>2119</x:v>
      </x:c>
      <x:c r="L942" s="70" t="s">
        <x:v>1299</x:v>
      </x:c>
      <x:c r="M942" s="70" t="s">
        <x:v>40</x:v>
      </x:c>
      <x:c r="N942" s="71" t="n">
        <x:v>18384882</x:v>
      </x:c>
      <x:c r="O942" s="72" t="n">
        <x:f aca="0">N942/1000</x:f>
        <x:v>18384.882</x:v>
      </x:c>
      <x:c r="P942" s="73" t="n">
        <x:f aca="0">DGKC!G33</x:f>
        <x:v>18384.882</x:v>
      </x:c>
      <x:c r="Q942" s="70" t="str">
        <x:f aca="0">IF(ABS(O942-P942)&lt;0.000001,"PASS","FAIL")</x:f>
        <x:v>PASS</x:v>
      </x:c>
      <x:c r="R942" s="70" t="s">
        <x:v>34</x:v>
      </x:c>
      <x:c r="S942" s="70"/>
    </x:row>
    <x:row r="943" ht="15" hidden="0">
      <x:c r="A943" s="70" t="s">
        <x:v>2194</x:v>
      </x:c>
      <x:c r="B943" s="70" t="s">
        <x:v>37</x:v>
      </x:c>
      <x:c r="C943" s="70" t="s">
        <x:v>77</x:v>
      </x:c>
      <x:c r="D943" s="70" t="s">
        <x:v>321</x:v>
      </x:c>
      <x:c r="E943" s="70" t="s">
        <x:v>1129</x:v>
      </x:c>
      <x:c r="F943" s="70" t="s">
        <x:v>1291</x:v>
      </x:c>
      <x:c r="G943" s="70" t="s">
        <x:v>2118</x:v>
      </x:c>
      <x:c r="H943" s="70" t="s">
        <x:v>1215</x:v>
      </x:c>
      <x:c r="I943" s="70" t="s">
        <x:v>1218</x:v>
      </x:c>
      <x:c r="J943" s="70" t="n">
        <x:v>154</x:v>
      </x:c>
      <x:c r="K943" s="70" t="s">
        <x:v>2119</x:v>
      </x:c>
      <x:c r="L943" s="70" t="s">
        <x:v>1299</x:v>
      </x:c>
      <x:c r="M943" s="70" t="s">
        <x:v>40</x:v>
      </x:c>
      <x:c r="N943" s="71" t="n">
        <x:v>24005100</x:v>
      </x:c>
      <x:c r="O943" s="72" t="n">
        <x:f aca="0">N943/1000</x:f>
        <x:v>24005.1</x:v>
      </x:c>
      <x:c r="P943" s="73" t="n">
        <x:f aca="0">DGKC!H33</x:f>
        <x:v>24005.1</x:v>
      </x:c>
      <x:c r="Q943" s="70" t="str">
        <x:f aca="0">IF(ABS(O943-P943)&lt;0.000001,"PASS","FAIL")</x:f>
        <x:v>PASS</x:v>
      </x:c>
      <x:c r="R943" s="70" t="s">
        <x:v>34</x:v>
      </x:c>
      <x:c r="S943" s="70"/>
    </x:row>
    <x:row r="944" ht="15" hidden="0">
      <x:c r="A944" s="70" t="s">
        <x:v>2195</x:v>
      </x:c>
      <x:c r="B944" s="70" t="s">
        <x:v>37</x:v>
      </x:c>
      <x:c r="C944" s="70" t="s">
        <x:v>1076</x:v>
      </x:c>
      <x:c r="D944" s="70" t="s">
        <x:v>323</x:v>
      </x:c>
      <x:c r="E944" s="70" t="s">
        <x:v>1129</x:v>
      </x:c>
      <x:c r="F944" s="70" t="s">
        <x:v>323</x:v>
      </x:c>
      <x:c r="G944" s="70" t="s">
        <x:v>2107</x:v>
      </x:c>
      <x:c r="H944" s="70" t="s">
        <x:v>1198</x:v>
      </x:c>
      <x:c r="I944" s="70" t="s">
        <x:v>1199</x:v>
      </x:c>
      <x:c r="J944" s="70" t="n">
        <x:v>106</x:v>
      </x:c>
      <x:c r="K944" s="70" t="s">
        <x:v>2108</x:v>
      </x:c>
      <x:c r="L944" s="70" t="s">
        <x:v>1844</x:v>
      </x:c>
      <x:c r="M944" s="70" t="s">
        <x:v>40</x:v>
      </x:c>
      <x:c r="N944" s="71" t="n">
        <x:v>347834</x:v>
      </x:c>
      <x:c r="O944" s="72" t="n">
        <x:f aca="0">N944/1000</x:f>
        <x:v>347.834</x:v>
      </x:c>
      <x:c r="P944" s="73" t="n">
        <x:f aca="0">DGKC!C34</x:f>
        <x:v>347.834</x:v>
      </x:c>
      <x:c r="Q944" s="70" t="str">
        <x:f aca="0">IF(ABS(O944-P944)&lt;0.000001,"PASS","FAIL")</x:f>
        <x:v>PASS</x:v>
      </x:c>
      <x:c r="R944" s="70" t="s">
        <x:v>34</x:v>
      </x:c>
      <x:c r="S944" s="70"/>
    </x:row>
    <x:row r="945" ht="15" hidden="0">
      <x:c r="A945" s="70" t="s">
        <x:v>2196</x:v>
      </x:c>
      <x:c r="B945" s="70" t="s">
        <x:v>37</x:v>
      </x:c>
      <x:c r="C945" s="70" t="s">
        <x:v>73</x:v>
      </x:c>
      <x:c r="D945" s="70" t="s">
        <x:v>323</x:v>
      </x:c>
      <x:c r="E945" s="70" t="s">
        <x:v>1129</x:v>
      </x:c>
      <x:c r="F945" s="70" t="s">
        <x:v>323</x:v>
      </x:c>
      <x:c r="G945" s="70" t="s">
        <x:v>2110</x:v>
      </x:c>
      <x:c r="H945" s="70" t="s">
        <x:v>1204</x:v>
      </x:c>
      <x:c r="I945" s="70" t="s">
        <x:v>1199</x:v>
      </x:c>
      <x:c r="J945" s="70" t="n">
        <x:v>126</x:v>
      </x:c>
      <x:c r="K945" s="70" t="s">
        <x:v>2111</x:v>
      </x:c>
      <x:c r="L945" s="70" t="s">
        <x:v>2197</x:v>
      </x:c>
      <x:c r="M945" s="70" t="s">
        <x:v>40</x:v>
      </x:c>
      <x:c r="N945" s="71" t="n">
        <x:v>806373</x:v>
      </x:c>
      <x:c r="O945" s="72" t="n">
        <x:f aca="0">N945/1000</x:f>
        <x:v>806.373</x:v>
      </x:c>
      <x:c r="P945" s="73" t="n">
        <x:f aca="0">DGKC!D34</x:f>
        <x:v>806.373</x:v>
      </x:c>
      <x:c r="Q945" s="70" t="str">
        <x:f aca="0">IF(ABS(O945-P945)&lt;0.000001,"PASS","FAIL")</x:f>
        <x:v>PASS</x:v>
      </x:c>
      <x:c r="R945" s="70" t="s">
        <x:v>34</x:v>
      </x:c>
      <x:c r="S945" s="70"/>
    </x:row>
    <x:row r="946" ht="15" hidden="0">
      <x:c r="A946" s="70" t="s">
        <x:v>2198</x:v>
      </x:c>
      <x:c r="B946" s="70" t="s">
        <x:v>37</x:v>
      </x:c>
      <x:c r="C946" s="70" t="s">
        <x:v>74</x:v>
      </x:c>
      <x:c r="D946" s="70" t="s">
        <x:v>323</x:v>
      </x:c>
      <x:c r="E946" s="70" t="s">
        <x:v>1129</x:v>
      </x:c>
      <x:c r="F946" s="70" t="s">
        <x:v>323</x:v>
      </x:c>
      <x:c r="G946" s="70" t="s">
        <x:v>2113</x:v>
      </x:c>
      <x:c r="H946" s="70" t="s">
        <x:v>1208</x:v>
      </x:c>
      <x:c r="I946" s="70" t="s">
        <x:v>1199</x:v>
      </x:c>
      <x:c r="J946" s="70" t="n">
        <x:v>152</x:v>
      </x:c>
      <x:c r="K946" s="70" t="s">
        <x:v>2114</x:v>
      </x:c>
      <x:c r="L946" s="70" t="s">
        <x:v>1844</x:v>
      </x:c>
      <x:c r="M946" s="70" t="s">
        <x:v>40</x:v>
      </x:c>
      <x:c r="N946" s="71" t="n">
        <x:v>410803</x:v>
      </x:c>
      <x:c r="O946" s="72" t="n">
        <x:f aca="0">N946/1000</x:f>
        <x:v>410.803</x:v>
      </x:c>
      <x:c r="P946" s="73" t="n">
        <x:f aca="0">DGKC!E34</x:f>
        <x:v>410.803</x:v>
      </x:c>
      <x:c r="Q946" s="70" t="str">
        <x:f aca="0">IF(ABS(O946-P946)&lt;0.000001,"PASS","FAIL")</x:f>
        <x:v>PASS</x:v>
      </x:c>
      <x:c r="R946" s="70" t="s">
        <x:v>34</x:v>
      </x:c>
      <x:c r="S946" s="70"/>
    </x:row>
    <x:row r="947" ht="15" hidden="0">
      <x:c r="A947" s="70" t="s">
        <x:v>2199</x:v>
      </x:c>
      <x:c r="B947" s="70" t="s">
        <x:v>37</x:v>
      </x:c>
      <x:c r="C947" s="70" t="s">
        <x:v>75</x:v>
      </x:c>
      <x:c r="D947" s="70" t="s">
        <x:v>323</x:v>
      </x:c>
      <x:c r="E947" s="70" t="s">
        <x:v>1129</x:v>
      </x:c>
      <x:c r="F947" s="70" t="s">
        <x:v>323</x:v>
      </x:c>
      <x:c r="G947" s="70" t="s">
        <x:v>2116</x:v>
      </x:c>
      <x:c r="H947" s="70" t="s">
        <x:v>1211</x:v>
      </x:c>
      <x:c r="I947" s="70" t="s">
        <x:v>1199</x:v>
      </x:c>
      <x:c r="J947" s="70" t="n">
        <x:v>152</x:v>
      </x:c>
      <x:c r="K947" s="70" t="s">
        <x:v>2114</x:v>
      </x:c>
      <x:c r="L947" s="70" t="s">
        <x:v>1844</x:v>
      </x:c>
      <x:c r="M947" s="70" t="s">
        <x:v>40</x:v>
      </x:c>
      <x:c r="N947" s="71" t="n">
        <x:v>674972</x:v>
      </x:c>
      <x:c r="O947" s="72" t="n">
        <x:f aca="0">N947/1000</x:f>
        <x:v>674.972</x:v>
      </x:c>
      <x:c r="P947" s="73" t="n">
        <x:f aca="0">DGKC!F34</x:f>
        <x:v>674.972</x:v>
      </x:c>
      <x:c r="Q947" s="70" t="str">
        <x:f aca="0">IF(ABS(O947-P947)&lt;0.000001,"PASS","FAIL")</x:f>
        <x:v>PASS</x:v>
      </x:c>
      <x:c r="R947" s="70" t="s">
        <x:v>34</x:v>
      </x:c>
      <x:c r="S947" s="70"/>
    </x:row>
    <x:row r="948" ht="15" hidden="0">
      <x:c r="A948" s="70" t="s">
        <x:v>2200</x:v>
      </x:c>
      <x:c r="B948" s="70" t="s">
        <x:v>37</x:v>
      </x:c>
      <x:c r="C948" s="70" t="s">
        <x:v>76</x:v>
      </x:c>
      <x:c r="D948" s="70" t="s">
        <x:v>323</x:v>
      </x:c>
      <x:c r="E948" s="70" t="s">
        <x:v>1129</x:v>
      </x:c>
      <x:c r="F948" s="70" t="s">
        <x:v>323</x:v>
      </x:c>
      <x:c r="G948" s="70" t="s">
        <x:v>2118</x:v>
      </x:c>
      <x:c r="H948" s="70" t="s">
        <x:v>1215</x:v>
      </x:c>
      <x:c r="I948" s="70" t="s">
        <x:v>1199</x:v>
      </x:c>
      <x:c r="J948" s="70" t="n">
        <x:v>154</x:v>
      </x:c>
      <x:c r="K948" s="70" t="s">
        <x:v>2119</x:v>
      </x:c>
      <x:c r="L948" s="70" t="s">
        <x:v>1844</x:v>
      </x:c>
      <x:c r="M948" s="70" t="s">
        <x:v>40</x:v>
      </x:c>
      <x:c r="N948" s="71" t="n">
        <x:v>732168</x:v>
      </x:c>
      <x:c r="O948" s="72" t="n">
        <x:f aca="0">N948/1000</x:f>
        <x:v>732.168</x:v>
      </x:c>
      <x:c r="P948" s="73" t="n">
        <x:f aca="0">DGKC!G34</x:f>
        <x:v>732.168</x:v>
      </x:c>
      <x:c r="Q948" s="70" t="str">
        <x:f aca="0">IF(ABS(O948-P948)&lt;0.000001,"PASS","FAIL")</x:f>
        <x:v>PASS</x:v>
      </x:c>
      <x:c r="R948" s="70" t="s">
        <x:v>34</x:v>
      </x:c>
      <x:c r="S948" s="70"/>
    </x:row>
    <x:row r="949" ht="15" hidden="0">
      <x:c r="A949" s="70" t="s">
        <x:v>2201</x:v>
      </x:c>
      <x:c r="B949" s="70" t="s">
        <x:v>37</x:v>
      </x:c>
      <x:c r="C949" s="70" t="s">
        <x:v>77</x:v>
      </x:c>
      <x:c r="D949" s="70" t="s">
        <x:v>323</x:v>
      </x:c>
      <x:c r="E949" s="70" t="s">
        <x:v>1129</x:v>
      </x:c>
      <x:c r="F949" s="70" t="s">
        <x:v>323</x:v>
      </x:c>
      <x:c r="G949" s="70" t="s">
        <x:v>2118</x:v>
      </x:c>
      <x:c r="H949" s="70" t="s">
        <x:v>1215</x:v>
      </x:c>
      <x:c r="I949" s="70" t="s">
        <x:v>1218</x:v>
      </x:c>
      <x:c r="J949" s="70" t="n">
        <x:v>154</x:v>
      </x:c>
      <x:c r="K949" s="70" t="s">
        <x:v>2119</x:v>
      </x:c>
      <x:c r="L949" s="70" t="s">
        <x:v>1844</x:v>
      </x:c>
      <x:c r="M949" s="70" t="s">
        <x:v>40</x:v>
      </x:c>
      <x:c r="N949" s="71" t="n">
        <x:v>568832</x:v>
      </x:c>
      <x:c r="O949" s="72" t="n">
        <x:f aca="0">N949/1000</x:f>
        <x:v>568.832</x:v>
      </x:c>
      <x:c r="P949" s="73" t="n">
        <x:f aca="0">DGKC!H34</x:f>
        <x:v>568.832</x:v>
      </x:c>
      <x:c r="Q949" s="70" t="str">
        <x:f aca="0">IF(ABS(O949-P949)&lt;0.000001,"PASS","FAIL")</x:f>
        <x:v>PASS</x:v>
      </x:c>
      <x:c r="R949" s="70" t="s">
        <x:v>34</x:v>
      </x:c>
      <x:c r="S949" s="70"/>
    </x:row>
    <x:row r="950" ht="15" hidden="0">
      <x:c r="A950" s="70" t="s">
        <x:v>2202</x:v>
      </x:c>
      <x:c r="B950" s="70" t="s">
        <x:v>37</x:v>
      </x:c>
      <x:c r="C950" s="70" t="s">
        <x:v>1076</x:v>
      </x:c>
      <x:c r="D950" s="70" t="s">
        <x:v>325</x:v>
      </x:c>
      <x:c r="E950" s="70" t="s">
        <x:v>1129</x:v>
      </x:c>
      <x:c r="F950" s="70" t="s">
        <x:v>2203</x:v>
      </x:c>
      <x:c r="G950" s="70" t="s">
        <x:v>2107</x:v>
      </x:c>
      <x:c r="H950" s="70" t="s">
        <x:v>1198</x:v>
      </x:c>
      <x:c r="I950" s="70" t="s">
        <x:v>1199</x:v>
      </x:c>
      <x:c r="J950" s="70" t="n">
        <x:v>106</x:v>
      </x:c>
      <x:c r="K950" s="70" t="s">
        <x:v>2108</x:v>
      </x:c>
      <x:c r="L950" s="70"/>
      <x:c r="M950" s="70" t="s">
        <x:v>40</x:v>
      </x:c>
      <x:c r="N950" s="71" t="n">
        <x:v>5755136</x:v>
      </x:c>
      <x:c r="O950" s="72" t="n">
        <x:f aca="0">N950/1000</x:f>
        <x:v>5755.136</x:v>
      </x:c>
      <x:c r="P950" s="73" t="n">
        <x:f aca="0">DGKC!C35</x:f>
        <x:v>5755.136</x:v>
      </x:c>
      <x:c r="Q950" s="70" t="str">
        <x:f aca="0">IF(ABS(O950-P950)&lt;0.000001,"PASS","FAIL")</x:f>
        <x:v>PASS</x:v>
      </x:c>
      <x:c r="R950" s="70" t="s">
        <x:v>34</x:v>
      </x:c>
      <x:c r="S950" s="70"/>
    </x:row>
    <x:row r="951" ht="15" hidden="0">
      <x:c r="A951" s="70" t="s">
        <x:v>2204</x:v>
      </x:c>
      <x:c r="B951" s="70" t="s">
        <x:v>37</x:v>
      </x:c>
      <x:c r="C951" s="70" t="s">
        <x:v>73</x:v>
      </x:c>
      <x:c r="D951" s="70" t="s">
        <x:v>325</x:v>
      </x:c>
      <x:c r="E951" s="70" t="s">
        <x:v>1129</x:v>
      </x:c>
      <x:c r="F951" s="70" t="s">
        <x:v>2203</x:v>
      </x:c>
      <x:c r="G951" s="70" t="s">
        <x:v>2110</x:v>
      </x:c>
      <x:c r="H951" s="70" t="s">
        <x:v>1204</x:v>
      </x:c>
      <x:c r="I951" s="70" t="s">
        <x:v>1199</x:v>
      </x:c>
      <x:c r="J951" s="70" t="n">
        <x:v>126</x:v>
      </x:c>
      <x:c r="K951" s="70" t="s">
        <x:v>2111</x:v>
      </x:c>
      <x:c r="L951" s="70"/>
      <x:c r="M951" s="70" t="s">
        <x:v>40</x:v>
      </x:c>
      <x:c r="N951" s="71" t="n">
        <x:v>5813923</x:v>
      </x:c>
      <x:c r="O951" s="72" t="n">
        <x:f aca="0">N951/1000</x:f>
        <x:v>5813.923</x:v>
      </x:c>
      <x:c r="P951" s="73" t="n">
        <x:f aca="0">DGKC!D35</x:f>
        <x:v>5813.923</x:v>
      </x:c>
      <x:c r="Q951" s="70" t="str">
        <x:f aca="0">IF(ABS(O951-P951)&lt;0.000001,"PASS","FAIL")</x:f>
        <x:v>PASS</x:v>
      </x:c>
      <x:c r="R951" s="70" t="s">
        <x:v>34</x:v>
      </x:c>
      <x:c r="S951" s="70"/>
    </x:row>
    <x:row r="952" ht="15" hidden="0">
      <x:c r="A952" s="70" t="s">
        <x:v>2205</x:v>
      </x:c>
      <x:c r="B952" s="70" t="s">
        <x:v>37</x:v>
      </x:c>
      <x:c r="C952" s="70" t="s">
        <x:v>74</x:v>
      </x:c>
      <x:c r="D952" s="70" t="s">
        <x:v>325</x:v>
      </x:c>
      <x:c r="E952" s="70" t="s">
        <x:v>1129</x:v>
      </x:c>
      <x:c r="F952" s="70" t="s">
        <x:v>2206</x:v>
      </x:c>
      <x:c r="G952" s="70" t="s">
        <x:v>2113</x:v>
      </x:c>
      <x:c r="H952" s="70" t="s">
        <x:v>1208</x:v>
      </x:c>
      <x:c r="I952" s="70" t="s">
        <x:v>1199</x:v>
      </x:c>
      <x:c r="J952" s="70" t="n">
        <x:v>152</x:v>
      </x:c>
      <x:c r="K952" s="70" t="s">
        <x:v>2114</x:v>
      </x:c>
      <x:c r="L952" s="70"/>
      <x:c r="M952" s="70" t="s">
        <x:v>40</x:v>
      </x:c>
      <x:c r="N952" s="71" t="n">
        <x:v>6176679</x:v>
      </x:c>
      <x:c r="O952" s="72" t="n">
        <x:f aca="0">N952/1000</x:f>
        <x:v>6176.679</x:v>
      </x:c>
      <x:c r="P952" s="73" t="n">
        <x:f aca="0">DGKC!E35</x:f>
        <x:v>6176.679</x:v>
      </x:c>
      <x:c r="Q952" s="70" t="str">
        <x:f aca="0">IF(ABS(O952-P952)&lt;0.000001,"PASS","FAIL")</x:f>
        <x:v>PASS</x:v>
      </x:c>
      <x:c r="R952" s="70" t="s">
        <x:v>34</x:v>
      </x:c>
      <x:c r="S952" s="70"/>
    </x:row>
    <x:row r="953" ht="15" hidden="0">
      <x:c r="A953" s="70" t="s">
        <x:v>2207</x:v>
      </x:c>
      <x:c r="B953" s="70" t="s">
        <x:v>37</x:v>
      </x:c>
      <x:c r="C953" s="70" t="s">
        <x:v>75</x:v>
      </x:c>
      <x:c r="D953" s="70" t="s">
        <x:v>325</x:v>
      </x:c>
      <x:c r="E953" s="70" t="s">
        <x:v>1129</x:v>
      </x:c>
      <x:c r="F953" s="70" t="s">
        <x:v>2206</x:v>
      </x:c>
      <x:c r="G953" s="70" t="s">
        <x:v>2116</x:v>
      </x:c>
      <x:c r="H953" s="70" t="s">
        <x:v>1211</x:v>
      </x:c>
      <x:c r="I953" s="70" t="s">
        <x:v>1199</x:v>
      </x:c>
      <x:c r="J953" s="70" t="n">
        <x:v>152</x:v>
      </x:c>
      <x:c r="K953" s="70" t="s">
        <x:v>2114</x:v>
      </x:c>
      <x:c r="L953" s="70"/>
      <x:c r="M953" s="70" t="s">
        <x:v>40</x:v>
      </x:c>
      <x:c r="N953" s="71" t="n">
        <x:v>5162181</x:v>
      </x:c>
      <x:c r="O953" s="72" t="n">
        <x:f aca="0">N953/1000</x:f>
        <x:v>5162.181</x:v>
      </x:c>
      <x:c r="P953" s="73" t="n">
        <x:f aca="0">DGKC!F35</x:f>
        <x:v>5162.181</x:v>
      </x:c>
      <x:c r="Q953" s="70" t="str">
        <x:f aca="0">IF(ABS(O953-P953)&lt;0.000001,"PASS","FAIL")</x:f>
        <x:v>PASS</x:v>
      </x:c>
      <x:c r="R953" s="70" t="s">
        <x:v>34</x:v>
      </x:c>
      <x:c r="S953" s="70"/>
    </x:row>
    <x:row r="954" ht="15" hidden="0">
      <x:c r="A954" s="70" t="s">
        <x:v>2208</x:v>
      </x:c>
      <x:c r="B954" s="70" t="s">
        <x:v>37</x:v>
      </x:c>
      <x:c r="C954" s="70" t="s">
        <x:v>76</x:v>
      </x:c>
      <x:c r="D954" s="70" t="s">
        <x:v>325</x:v>
      </x:c>
      <x:c r="E954" s="70" t="s">
        <x:v>1129</x:v>
      </x:c>
      <x:c r="F954" s="70" t="s">
        <x:v>2206</x:v>
      </x:c>
      <x:c r="G954" s="70" t="s">
        <x:v>2118</x:v>
      </x:c>
      <x:c r="H954" s="70" t="s">
        <x:v>1215</x:v>
      </x:c>
      <x:c r="I954" s="70" t="s">
        <x:v>1199</x:v>
      </x:c>
      <x:c r="J954" s="70" t="n">
        <x:v>154</x:v>
      </x:c>
      <x:c r="K954" s="70" t="s">
        <x:v>2119</x:v>
      </x:c>
      <x:c r="L954" s="70"/>
      <x:c r="M954" s="70" t="s">
        <x:v>40</x:v>
      </x:c>
      <x:c r="N954" s="71" t="n">
        <x:v>1544888</x:v>
      </x:c>
      <x:c r="O954" s="72" t="n">
        <x:f aca="0">N954/1000</x:f>
        <x:v>1544.888</x:v>
      </x:c>
      <x:c r="P954" s="73" t="n">
        <x:f aca="0">DGKC!G35</x:f>
        <x:v>1544.888</x:v>
      </x:c>
      <x:c r="Q954" s="70" t="str">
        <x:f aca="0">IF(ABS(O954-P954)&lt;0.000001,"PASS","FAIL")</x:f>
        <x:v>PASS</x:v>
      </x:c>
      <x:c r="R954" s="70" t="s">
        <x:v>34</x:v>
      </x:c>
      <x:c r="S954" s="70"/>
    </x:row>
    <x:row r="955" ht="15" hidden="0">
      <x:c r="A955" s="70" t="s">
        <x:v>2209</x:v>
      </x:c>
      <x:c r="B955" s="70" t="s">
        <x:v>37</x:v>
      </x:c>
      <x:c r="C955" s="70" t="s">
        <x:v>77</x:v>
      </x:c>
      <x:c r="D955" s="70" t="s">
        <x:v>325</x:v>
      </x:c>
      <x:c r="E955" s="70" t="s">
        <x:v>1129</x:v>
      </x:c>
      <x:c r="F955" s="70" t="s">
        <x:v>2206</x:v>
      </x:c>
      <x:c r="G955" s="70" t="s">
        <x:v>2118</x:v>
      </x:c>
      <x:c r="H955" s="70" t="s">
        <x:v>1215</x:v>
      </x:c>
      <x:c r="I955" s="70" t="s">
        <x:v>1218</x:v>
      </x:c>
      <x:c r="J955" s="70" t="n">
        <x:v>154</x:v>
      </x:c>
      <x:c r="K955" s="70" t="s">
        <x:v>2119</x:v>
      </x:c>
      <x:c r="L955" s="70"/>
      <x:c r="M955" s="70" t="s">
        <x:v>40</x:v>
      </x:c>
      <x:c r="N955" s="71" t="n">
        <x:v>1345673</x:v>
      </x:c>
      <x:c r="O955" s="72" t="n">
        <x:f aca="0">N955/1000</x:f>
        <x:v>1345.673</x:v>
      </x:c>
      <x:c r="P955" s="73" t="n">
        <x:f aca="0">DGKC!H35</x:f>
        <x:v>1345.673</x:v>
      </x:c>
      <x:c r="Q955" s="70" t="str">
        <x:f aca="0">IF(ABS(O955-P955)&lt;0.000001,"PASS","FAIL")</x:f>
        <x:v>PASS</x:v>
      </x:c>
      <x:c r="R955" s="70" t="s">
        <x:v>34</x:v>
      </x:c>
      <x:c r="S955" s="70"/>
    </x:row>
    <x:row r="956" ht="15" hidden="0">
      <x:c r="A956" s="70" t="s">
        <x:v>2210</x:v>
      </x:c>
      <x:c r="B956" s="70" t="s">
        <x:v>37</x:v>
      </x:c>
      <x:c r="C956" s="70" t="s">
        <x:v>1076</x:v>
      </x:c>
      <x:c r="D956" s="70" t="s">
        <x:v>332</x:v>
      </x:c>
      <x:c r="E956" s="70" t="s">
        <x:v>1129</x:v>
      </x:c>
      <x:c r="F956" s="70" t="s">
        <x:v>2211</x:v>
      </x:c>
      <x:c r="G956" s="70" t="s">
        <x:v>2107</x:v>
      </x:c>
      <x:c r="H956" s="70" t="s">
        <x:v>1198</x:v>
      </x:c>
      <x:c r="I956" s="70" t="s">
        <x:v>1199</x:v>
      </x:c>
      <x:c r="J956" s="70" t="n">
        <x:v>105</x:v>
      </x:c>
      <x:c r="K956" s="70" t="s">
        <x:v>2133</x:v>
      </x:c>
      <x:c r="L956" s="70" t="s">
        <x:v>1664</x:v>
      </x:c>
      <x:c r="M956" s="70" t="s">
        <x:v>40</x:v>
      </x:c>
      <x:c r="N956" s="71" t="n">
        <x:v>4381191</x:v>
      </x:c>
      <x:c r="O956" s="72" t="n">
        <x:f aca="0">N956/1000</x:f>
        <x:v>4381.191</x:v>
      </x:c>
      <x:c r="P956" s="73" t="n">
        <x:f aca="0">DGKC!C39</x:f>
        <x:v>4381.191</x:v>
      </x:c>
      <x:c r="Q956" s="70" t="str">
        <x:f aca="0">IF(ABS(O956-P956)&lt;0.000001,"PASS","FAIL")</x:f>
        <x:v>PASS</x:v>
      </x:c>
      <x:c r="R956" s="70" t="s">
        <x:v>34</x:v>
      </x:c>
      <x:c r="S956" s="70"/>
    </x:row>
    <x:row r="957" ht="15" hidden="0">
      <x:c r="A957" s="70" t="s">
        <x:v>2212</x:v>
      </x:c>
      <x:c r="B957" s="70" t="s">
        <x:v>37</x:v>
      </x:c>
      <x:c r="C957" s="70" t="s">
        <x:v>73</x:v>
      </x:c>
      <x:c r="D957" s="70" t="s">
        <x:v>332</x:v>
      </x:c>
      <x:c r="E957" s="70" t="s">
        <x:v>1129</x:v>
      </x:c>
      <x:c r="F957" s="70" t="s">
        <x:v>2211</x:v>
      </x:c>
      <x:c r="G957" s="70" t="s">
        <x:v>2110</x:v>
      </x:c>
      <x:c r="H957" s="70" t="s">
        <x:v>1204</x:v>
      </x:c>
      <x:c r="I957" s="70" t="s">
        <x:v>1199</x:v>
      </x:c>
      <x:c r="J957" s="70" t="n">
        <x:v>125</x:v>
      </x:c>
      <x:c r="K957" s="70" t="s">
        <x:v>2135</x:v>
      </x:c>
      <x:c r="L957" s="70" t="s">
        <x:v>1664</x:v>
      </x:c>
      <x:c r="M957" s="70" t="s">
        <x:v>40</x:v>
      </x:c>
      <x:c r="N957" s="71" t="n">
        <x:v>4381191</x:v>
      </x:c>
      <x:c r="O957" s="72" t="n">
        <x:f aca="0">N957/1000</x:f>
        <x:v>4381.191</x:v>
      </x:c>
      <x:c r="P957" s="73" t="n">
        <x:f aca="0">DGKC!D39</x:f>
        <x:v>4381.191</x:v>
      </x:c>
      <x:c r="Q957" s="70" t="str">
        <x:f aca="0">IF(ABS(O957-P957)&lt;0.000001,"PASS","FAIL")</x:f>
        <x:v>PASS</x:v>
      </x:c>
      <x:c r="R957" s="70" t="s">
        <x:v>34</x:v>
      </x:c>
      <x:c r="S957" s="70"/>
    </x:row>
    <x:row r="958" ht="15" hidden="0">
      <x:c r="A958" s="70" t="s">
        <x:v>2213</x:v>
      </x:c>
      <x:c r="B958" s="70" t="s">
        <x:v>37</x:v>
      </x:c>
      <x:c r="C958" s="70" t="s">
        <x:v>74</x:v>
      </x:c>
      <x:c r="D958" s="70" t="s">
        <x:v>332</x:v>
      </x:c>
      <x:c r="E958" s="70" t="s">
        <x:v>1129</x:v>
      </x:c>
      <x:c r="F958" s="70" t="s">
        <x:v>2211</x:v>
      </x:c>
      <x:c r="G958" s="70" t="s">
        <x:v>2113</x:v>
      </x:c>
      <x:c r="H958" s="70" t="s">
        <x:v>1208</x:v>
      </x:c>
      <x:c r="I958" s="70" t="s">
        <x:v>1199</x:v>
      </x:c>
      <x:c r="J958" s="70" t="n">
        <x:v>151</x:v>
      </x:c>
      <x:c r="K958" s="70" t="s">
        <x:v>2137</x:v>
      </x:c>
      <x:c r="L958" s="70" t="s">
        <x:v>1664</x:v>
      </x:c>
      <x:c r="M958" s="70" t="s">
        <x:v>40</x:v>
      </x:c>
      <x:c r="N958" s="71" t="n">
        <x:v>4381191</x:v>
      </x:c>
      <x:c r="O958" s="72" t="n">
        <x:f aca="0">N958/1000</x:f>
        <x:v>4381.191</x:v>
      </x:c>
      <x:c r="P958" s="73" t="n">
        <x:f aca="0">DGKC!E39</x:f>
        <x:v>4381.191</x:v>
      </x:c>
      <x:c r="Q958" s="70" t="str">
        <x:f aca="0">IF(ABS(O958-P958)&lt;0.000001,"PASS","FAIL")</x:f>
        <x:v>PASS</x:v>
      </x:c>
      <x:c r="R958" s="70" t="s">
        <x:v>34</x:v>
      </x:c>
      <x:c r="S958" s="70"/>
    </x:row>
    <x:row r="959" ht="15" hidden="0">
      <x:c r="A959" s="70" t="s">
        <x:v>2214</x:v>
      </x:c>
      <x:c r="B959" s="70" t="s">
        <x:v>37</x:v>
      </x:c>
      <x:c r="C959" s="70" t="s">
        <x:v>75</x:v>
      </x:c>
      <x:c r="D959" s="70" t="s">
        <x:v>332</x:v>
      </x:c>
      <x:c r="E959" s="70" t="s">
        <x:v>1129</x:v>
      </x:c>
      <x:c r="F959" s="70" t="s">
        <x:v>2211</x:v>
      </x:c>
      <x:c r="G959" s="70" t="s">
        <x:v>2116</x:v>
      </x:c>
      <x:c r="H959" s="70" t="s">
        <x:v>1211</x:v>
      </x:c>
      <x:c r="I959" s="70" t="s">
        <x:v>1199</x:v>
      </x:c>
      <x:c r="J959" s="70" t="n">
        <x:v>151</x:v>
      </x:c>
      <x:c r="K959" s="70" t="s">
        <x:v>2137</x:v>
      </x:c>
      <x:c r="L959" s="70" t="s">
        <x:v>1664</x:v>
      </x:c>
      <x:c r="M959" s="70" t="s">
        <x:v>40</x:v>
      </x:c>
      <x:c r="N959" s="71" t="n">
        <x:v>4381191</x:v>
      </x:c>
      <x:c r="O959" s="72" t="n">
        <x:f aca="0">N959/1000</x:f>
        <x:v>4381.191</x:v>
      </x:c>
      <x:c r="P959" s="73" t="n">
        <x:f aca="0">DGKC!F39</x:f>
        <x:v>4381.191</x:v>
      </x:c>
      <x:c r="Q959" s="70" t="str">
        <x:f aca="0">IF(ABS(O959-P959)&lt;0.000001,"PASS","FAIL")</x:f>
        <x:v>PASS</x:v>
      </x:c>
      <x:c r="R959" s="70" t="s">
        <x:v>34</x:v>
      </x:c>
      <x:c r="S959" s="70"/>
    </x:row>
    <x:row r="960" ht="15" hidden="0">
      <x:c r="A960" s="70" t="s">
        <x:v>2215</x:v>
      </x:c>
      <x:c r="B960" s="70" t="s">
        <x:v>37</x:v>
      </x:c>
      <x:c r="C960" s="70" t="s">
        <x:v>76</x:v>
      </x:c>
      <x:c r="D960" s="70" t="s">
        <x:v>332</x:v>
      </x:c>
      <x:c r="E960" s="70" t="s">
        <x:v>1129</x:v>
      </x:c>
      <x:c r="F960" s="70" t="s">
        <x:v>2211</x:v>
      </x:c>
      <x:c r="G960" s="70" t="s">
        <x:v>2118</x:v>
      </x:c>
      <x:c r="H960" s="70" t="s">
        <x:v>1215</x:v>
      </x:c>
      <x:c r="I960" s="70" t="s">
        <x:v>1199</x:v>
      </x:c>
      <x:c r="J960" s="70" t="n">
        <x:v>153</x:v>
      </x:c>
      <x:c r="K960" s="70" t="s">
        <x:v>2140</x:v>
      </x:c>
      <x:c r="L960" s="70" t="s">
        <x:v>1664</x:v>
      </x:c>
      <x:c r="M960" s="70" t="s">
        <x:v>40</x:v>
      </x:c>
      <x:c r="N960" s="71" t="n">
        <x:v>4381191</x:v>
      </x:c>
      <x:c r="O960" s="72" t="n">
        <x:f aca="0">N960/1000</x:f>
        <x:v>4381.191</x:v>
      </x:c>
      <x:c r="P960" s="73" t="n">
        <x:f aca="0">DGKC!G39</x:f>
        <x:v>4381.191</x:v>
      </x:c>
      <x:c r="Q960" s="70" t="str">
        <x:f aca="0">IF(ABS(O960-P960)&lt;0.000001,"PASS","FAIL")</x:f>
        <x:v>PASS</x:v>
      </x:c>
      <x:c r="R960" s="70" t="s">
        <x:v>34</x:v>
      </x:c>
      <x:c r="S960" s="70"/>
    </x:row>
    <x:row r="961" ht="15" hidden="0">
      <x:c r="A961" s="70" t="s">
        <x:v>2216</x:v>
      </x:c>
      <x:c r="B961" s="70" t="s">
        <x:v>37</x:v>
      </x:c>
      <x:c r="C961" s="70" t="s">
        <x:v>77</x:v>
      </x:c>
      <x:c r="D961" s="70" t="s">
        <x:v>332</x:v>
      </x:c>
      <x:c r="E961" s="70" t="s">
        <x:v>1129</x:v>
      </x:c>
      <x:c r="F961" s="70" t="s">
        <x:v>2211</x:v>
      </x:c>
      <x:c r="G961" s="70" t="s">
        <x:v>2118</x:v>
      </x:c>
      <x:c r="H961" s="70" t="s">
        <x:v>1215</x:v>
      </x:c>
      <x:c r="I961" s="70" t="s">
        <x:v>1218</x:v>
      </x:c>
      <x:c r="J961" s="70" t="n">
        <x:v>153</x:v>
      </x:c>
      <x:c r="K961" s="70" t="s">
        <x:v>2140</x:v>
      </x:c>
      <x:c r="L961" s="70" t="s">
        <x:v>1664</x:v>
      </x:c>
      <x:c r="M961" s="70" t="s">
        <x:v>40</x:v>
      </x:c>
      <x:c r="N961" s="71" t="n">
        <x:v>4381191</x:v>
      </x:c>
      <x:c r="O961" s="72" t="n">
        <x:f aca="0">N961/1000</x:f>
        <x:v>4381.191</x:v>
      </x:c>
      <x:c r="P961" s="73" t="n">
        <x:f aca="0">DGKC!H39</x:f>
        <x:v>4381.191</x:v>
      </x:c>
      <x:c r="Q961" s="70" t="str">
        <x:f aca="0">IF(ABS(O961-P961)&lt;0.000001,"PASS","FAIL")</x:f>
        <x:v>PASS</x:v>
      </x:c>
      <x:c r="R961" s="70" t="s">
        <x:v>34</x:v>
      </x:c>
      <x:c r="S961" s="70"/>
    </x:row>
    <x:row r="962" ht="15" hidden="0">
      <x:c r="A962" s="70" t="s">
        <x:v>2217</x:v>
      </x:c>
      <x:c r="B962" s="70" t="s">
        <x:v>37</x:v>
      </x:c>
      <x:c r="C962" s="70" t="s">
        <x:v>1076</x:v>
      </x:c>
      <x:c r="D962" s="70" t="s">
        <x:v>334</x:v>
      </x:c>
      <x:c r="E962" s="70" t="s">
        <x:v>1129</x:v>
      </x:c>
      <x:c r="F962" s="70" t="s">
        <x:v>2218</x:v>
      </x:c>
      <x:c r="G962" s="70" t="s">
        <x:v>2107</x:v>
      </x:c>
      <x:c r="H962" s="70" t="s">
        <x:v>1198</x:v>
      </x:c>
      <x:c r="I962" s="70" t="s">
        <x:v>1199</x:v>
      </x:c>
      <x:c r="J962" s="70" t="n">
        <x:v>105</x:v>
      </x:c>
      <x:c r="K962" s="70" t="s">
        <x:v>2133</x:v>
      </x:c>
      <x:c r="L962" s="70" t="s">
        <x:v>1332</x:v>
      </x:c>
      <x:c r="M962" s="70" t="s">
        <x:v>40</x:v>
      </x:c>
      <x:c r="N962" s="71" t="n">
        <x:v>62262966</x:v>
      </x:c>
      <x:c r="O962" s="72" t="n">
        <x:f aca="0">N962/1000</x:f>
        <x:v>62262.966</x:v>
      </x:c>
      <x:c r="P962" s="73" t="n">
        <x:f aca="0">DGKC!C40</x:f>
        <x:v>62262.966</x:v>
      </x:c>
      <x:c r="Q962" s="70" t="str">
        <x:f aca="0">IF(ABS(O962-P962)&lt;0.000001,"PASS","FAIL")</x:f>
        <x:v>PASS</x:v>
      </x:c>
      <x:c r="R962" s="70" t="s">
        <x:v>34</x:v>
      </x:c>
      <x:c r="S962" s="70"/>
    </x:row>
    <x:row r="963" ht="15" hidden="0">
      <x:c r="A963" s="70" t="s">
        <x:v>2219</x:v>
      </x:c>
      <x:c r="B963" s="70" t="s">
        <x:v>37</x:v>
      </x:c>
      <x:c r="C963" s="70" t="s">
        <x:v>73</x:v>
      </x:c>
      <x:c r="D963" s="70" t="s">
        <x:v>334</x:v>
      </x:c>
      <x:c r="E963" s="70" t="s">
        <x:v>1129</x:v>
      </x:c>
      <x:c r="F963" s="70" t="s">
        <x:v>2218</x:v>
      </x:c>
      <x:c r="G963" s="70" t="s">
        <x:v>2110</x:v>
      </x:c>
      <x:c r="H963" s="70" t="s">
        <x:v>1204</x:v>
      </x:c>
      <x:c r="I963" s="70" t="s">
        <x:v>1199</x:v>
      </x:c>
      <x:c r="J963" s="70" t="n">
        <x:v>125</x:v>
      </x:c>
      <x:c r="K963" s="70" t="s">
        <x:v>2135</x:v>
      </x:c>
      <x:c r="L963" s="70" t="s">
        <x:v>1332</x:v>
      </x:c>
      <x:c r="M963" s="70" t="s">
        <x:v>40</x:v>
      </x:c>
      <x:c r="N963" s="71" t="n">
        <x:v>69096682</x:v>
      </x:c>
      <x:c r="O963" s="72" t="n">
        <x:f aca="0">N963/1000</x:f>
        <x:v>69096.682</x:v>
      </x:c>
      <x:c r="P963" s="73" t="n">
        <x:f aca="0">DGKC!D40</x:f>
        <x:v>69096.682</x:v>
      </x:c>
      <x:c r="Q963" s="70" t="str">
        <x:f aca="0">IF(ABS(O963-P963)&lt;0.000001,"PASS","FAIL")</x:f>
        <x:v>PASS</x:v>
      </x:c>
      <x:c r="R963" s="70" t="s">
        <x:v>34</x:v>
      </x:c>
      <x:c r="S963" s="70"/>
    </x:row>
    <x:row r="964" ht="15" hidden="0">
      <x:c r="A964" s="70" t="s">
        <x:v>2220</x:v>
      </x:c>
      <x:c r="B964" s="70" t="s">
        <x:v>37</x:v>
      </x:c>
      <x:c r="C964" s="70" t="s">
        <x:v>74</x:v>
      </x:c>
      <x:c r="D964" s="70" t="s">
        <x:v>334</x:v>
      </x:c>
      <x:c r="E964" s="70" t="s">
        <x:v>1129</x:v>
      </x:c>
      <x:c r="F964" s="70" t="s">
        <x:v>2218</x:v>
      </x:c>
      <x:c r="G964" s="70" t="s">
        <x:v>2113</x:v>
      </x:c>
      <x:c r="H964" s="70" t="s">
        <x:v>1208</x:v>
      </x:c>
      <x:c r="I964" s="70" t="s">
        <x:v>1199</x:v>
      </x:c>
      <x:c r="J964" s="70" t="n">
        <x:v>151</x:v>
      </x:c>
      <x:c r="K964" s="70" t="s">
        <x:v>2137</x:v>
      </x:c>
      <x:c r="L964" s="70" t="s">
        <x:v>1332</x:v>
      </x:c>
      <x:c r="M964" s="70" t="s">
        <x:v>40</x:v>
      </x:c>
      <x:c r="N964" s="71" t="n">
        <x:v>65536911</x:v>
      </x:c>
      <x:c r="O964" s="72" t="n">
        <x:f aca="0">N964/1000</x:f>
        <x:v>65536.911</x:v>
      </x:c>
      <x:c r="P964" s="73" t="n">
        <x:f aca="0">DGKC!E40</x:f>
        <x:v>65536.911</x:v>
      </x:c>
      <x:c r="Q964" s="70" t="str">
        <x:f aca="0">IF(ABS(O964-P964)&lt;0.000001,"PASS","FAIL")</x:f>
        <x:v>PASS</x:v>
      </x:c>
      <x:c r="R964" s="70" t="s">
        <x:v>34</x:v>
      </x:c>
      <x:c r="S964" s="70"/>
    </x:row>
    <x:row r="965" ht="15" hidden="0">
      <x:c r="A965" s="70" t="s">
        <x:v>2221</x:v>
      </x:c>
      <x:c r="B965" s="70" t="s">
        <x:v>37</x:v>
      </x:c>
      <x:c r="C965" s="70" t="s">
        <x:v>75</x:v>
      </x:c>
      <x:c r="D965" s="70" t="s">
        <x:v>334</x:v>
      </x:c>
      <x:c r="E965" s="70" t="s">
        <x:v>1129</x:v>
      </x:c>
      <x:c r="F965" s="70" t="s">
        <x:v>2218</x:v>
      </x:c>
      <x:c r="G965" s="70" t="s">
        <x:v>2116</x:v>
      </x:c>
      <x:c r="H965" s="70" t="s">
        <x:v>1211</x:v>
      </x:c>
      <x:c r="I965" s="70" t="s">
        <x:v>1199</x:v>
      </x:c>
      <x:c r="J965" s="70" t="n">
        <x:v>151</x:v>
      </x:c>
      <x:c r="K965" s="70" t="s">
        <x:v>2137</x:v>
      </x:c>
      <x:c r="L965" s="70" t="s">
        <x:v>1332</x:v>
      </x:c>
      <x:c r="M965" s="70" t="s">
        <x:v>40</x:v>
      </x:c>
      <x:c r="N965" s="71" t="n">
        <x:v>59811086</x:v>
      </x:c>
      <x:c r="O965" s="72" t="n">
        <x:f aca="0">N965/1000</x:f>
        <x:v>59811.086</x:v>
      </x:c>
      <x:c r="P965" s="73" t="n">
        <x:f aca="0">DGKC!F40</x:f>
        <x:v>59811.086</x:v>
      </x:c>
      <x:c r="Q965" s="70" t="str">
        <x:f aca="0">IF(ABS(O965-P965)&lt;0.000001,"PASS","FAIL")</x:f>
        <x:v>PASS</x:v>
      </x:c>
      <x:c r="R965" s="70" t="s">
        <x:v>34</x:v>
      </x:c>
      <x:c r="S965" s="70"/>
    </x:row>
    <x:row r="966" ht="15" hidden="0">
      <x:c r="A966" s="70" t="s">
        <x:v>2222</x:v>
      </x:c>
      <x:c r="B966" s="70" t="s">
        <x:v>37</x:v>
      </x:c>
      <x:c r="C966" s="70" t="s">
        <x:v>76</x:v>
      </x:c>
      <x:c r="D966" s="70" t="s">
        <x:v>334</x:v>
      </x:c>
      <x:c r="E966" s="70" t="s">
        <x:v>1129</x:v>
      </x:c>
      <x:c r="F966" s="70" t="s">
        <x:v>2218</x:v>
      </x:c>
      <x:c r="G966" s="70" t="s">
        <x:v>2118</x:v>
      </x:c>
      <x:c r="H966" s="70" t="s">
        <x:v>1215</x:v>
      </x:c>
      <x:c r="I966" s="70" t="s">
        <x:v>1199</x:v>
      </x:c>
      <x:c r="J966" s="70" t="n">
        <x:v>153</x:v>
      </x:c>
      <x:c r="K966" s="70" t="s">
        <x:v>2140</x:v>
      </x:c>
      <x:c r="L966" s="70" t="s">
        <x:v>1332</x:v>
      </x:c>
      <x:c r="M966" s="70" t="s">
        <x:v>40</x:v>
      </x:c>
      <x:c r="N966" s="71" t="n">
        <x:v>71466347</x:v>
      </x:c>
      <x:c r="O966" s="72" t="n">
        <x:f aca="0">N966/1000</x:f>
        <x:v>71466.347</x:v>
      </x:c>
      <x:c r="P966" s="73" t="n">
        <x:f aca="0">DGKC!G40</x:f>
        <x:v>71466.347</x:v>
      </x:c>
      <x:c r="Q966" s="70" t="str">
        <x:f aca="0">IF(ABS(O966-P966)&lt;0.000001,"PASS","FAIL")</x:f>
        <x:v>PASS</x:v>
      </x:c>
      <x:c r="R966" s="70" t="s">
        <x:v>34</x:v>
      </x:c>
      <x:c r="S966" s="70"/>
    </x:row>
    <x:row r="967" ht="15" hidden="0">
      <x:c r="A967" s="70" t="s">
        <x:v>2223</x:v>
      </x:c>
      <x:c r="B967" s="70" t="s">
        <x:v>37</x:v>
      </x:c>
      <x:c r="C967" s="70" t="s">
        <x:v>77</x:v>
      </x:c>
      <x:c r="D967" s="70" t="s">
        <x:v>334</x:v>
      </x:c>
      <x:c r="E967" s="70" t="s">
        <x:v>1129</x:v>
      </x:c>
      <x:c r="F967" s="70" t="s">
        <x:v>2218</x:v>
      </x:c>
      <x:c r="G967" s="70" t="s">
        <x:v>2118</x:v>
      </x:c>
      <x:c r="H967" s="70" t="s">
        <x:v>1215</x:v>
      </x:c>
      <x:c r="I967" s="70" t="s">
        <x:v>1218</x:v>
      </x:c>
      <x:c r="J967" s="70" t="n">
        <x:v>153</x:v>
      </x:c>
      <x:c r="K967" s="70" t="s">
        <x:v>2140</x:v>
      </x:c>
      <x:c r="L967" s="70" t="s">
        <x:v>1332</x:v>
      </x:c>
      <x:c r="M967" s="70" t="s">
        <x:v>40</x:v>
      </x:c>
      <x:c r="N967" s="71" t="n">
        <x:v>90286287</x:v>
      </x:c>
      <x:c r="O967" s="72" t="n">
        <x:f aca="0">N967/1000</x:f>
        <x:v>90286.287</x:v>
      </x:c>
      <x:c r="P967" s="73" t="n">
        <x:f aca="0">DGKC!H40</x:f>
        <x:v>90286.287</x:v>
      </x:c>
      <x:c r="Q967" s="70" t="str">
        <x:f aca="0">IF(ABS(O967-P967)&lt;0.000001,"PASS","FAIL")</x:f>
        <x:v>PASS</x:v>
      </x:c>
      <x:c r="R967" s="70" t="s">
        <x:v>34</x:v>
      </x:c>
      <x:c r="S967" s="70"/>
    </x:row>
    <x:row r="968" ht="15" hidden="0">
      <x:c r="A968" s="70" t="s">
        <x:v>2224</x:v>
      </x:c>
      <x:c r="B968" s="70" t="s">
        <x:v>37</x:v>
      </x:c>
      <x:c r="C968" s="70" t="s">
        <x:v>1076</x:v>
      </x:c>
      <x:c r="D968" s="70" t="s">
        <x:v>339</x:v>
      </x:c>
      <x:c r="E968" s="70" t="s">
        <x:v>1129</x:v>
      </x:c>
      <x:c r="F968" s="70" t="s">
        <x:v>2225</x:v>
      </x:c>
      <x:c r="G968" s="70" t="s">
        <x:v>2107</x:v>
      </x:c>
      <x:c r="H968" s="70" t="s">
        <x:v>1198</x:v>
      </x:c>
      <x:c r="I968" s="70" t="s">
        <x:v>1199</x:v>
      </x:c>
      <x:c r="J968" s="70" t="n">
        <x:v>105</x:v>
      </x:c>
      <x:c r="K968" s="70" t="s">
        <x:v>2133</x:v>
      </x:c>
      <x:c r="L968" s="70" t="s">
        <x:v>1707</x:v>
      </x:c>
      <x:c r="M968" s="70" t="s">
        <x:v>40</x:v>
      </x:c>
      <x:c r="N968" s="71" t="n">
        <x:v>21972000</x:v>
      </x:c>
      <x:c r="O968" s="72" t="n">
        <x:f aca="0">N968/1000</x:f>
        <x:v>21972</x:v>
      </x:c>
      <x:c r="P968" s="73" t="n">
        <x:f aca="0">DGKC!C43</x:f>
        <x:v>21972</x:v>
      </x:c>
      <x:c r="Q968" s="70" t="str">
        <x:f aca="0">IF(ABS(O968-P968)&lt;0.000001,"PASS","FAIL")</x:f>
        <x:v>PASS</x:v>
      </x:c>
      <x:c r="R968" s="70" t="s">
        <x:v>34</x:v>
      </x:c>
      <x:c r="S968" s="70"/>
    </x:row>
    <x:row r="969" ht="15" hidden="0">
      <x:c r="A969" s="70" t="s">
        <x:v>2226</x:v>
      </x:c>
      <x:c r="B969" s="70" t="s">
        <x:v>37</x:v>
      </x:c>
      <x:c r="C969" s="70" t="s">
        <x:v>73</x:v>
      </x:c>
      <x:c r="D969" s="70" t="s">
        <x:v>339</x:v>
      </x:c>
      <x:c r="E969" s="70" t="s">
        <x:v>1129</x:v>
      </x:c>
      <x:c r="F969" s="70" t="s">
        <x:v>2227</x:v>
      </x:c>
      <x:c r="G969" s="70" t="s">
        <x:v>2110</x:v>
      </x:c>
      <x:c r="H969" s="70" t="s">
        <x:v>1204</x:v>
      </x:c>
      <x:c r="I969" s="70" t="s">
        <x:v>1199</x:v>
      </x:c>
      <x:c r="J969" s="70" t="n">
        <x:v>125</x:v>
      </x:c>
      <x:c r="K969" s="70" t="s">
        <x:v>2135</x:v>
      </x:c>
      <x:c r="L969" s="70" t="s">
        <x:v>1707</x:v>
      </x:c>
      <x:c r="M969" s="70" t="s">
        <x:v>40</x:v>
      </x:c>
      <x:c r="N969" s="71" t="n">
        <x:v>19300064</x:v>
      </x:c>
      <x:c r="O969" s="72" t="n">
        <x:f aca="0">N969/1000</x:f>
        <x:v>19300.064</x:v>
      </x:c>
      <x:c r="P969" s="73" t="n">
        <x:f aca="0">DGKC!D43</x:f>
        <x:v>19300.064</x:v>
      </x:c>
      <x:c r="Q969" s="70" t="str">
        <x:f aca="0">IF(ABS(O969-P969)&lt;0.000001,"PASS","FAIL")</x:f>
        <x:v>PASS</x:v>
      </x:c>
      <x:c r="R969" s="70" t="s">
        <x:v>34</x:v>
      </x:c>
      <x:c r="S969" s="70"/>
    </x:row>
    <x:row r="970" ht="15" hidden="0">
      <x:c r="A970" s="70" t="s">
        <x:v>2228</x:v>
      </x:c>
      <x:c r="B970" s="70" t="s">
        <x:v>37</x:v>
      </x:c>
      <x:c r="C970" s="70" t="s">
        <x:v>74</x:v>
      </x:c>
      <x:c r="D970" s="70" t="s">
        <x:v>339</x:v>
      </x:c>
      <x:c r="E970" s="70" t="s">
        <x:v>1129</x:v>
      </x:c>
      <x:c r="F970" s="70" t="s">
        <x:v>2227</x:v>
      </x:c>
      <x:c r="G970" s="70" t="s">
        <x:v>2113</x:v>
      </x:c>
      <x:c r="H970" s="70" t="s">
        <x:v>1208</x:v>
      </x:c>
      <x:c r="I970" s="70" t="s">
        <x:v>1199</x:v>
      </x:c>
      <x:c r="J970" s="70" t="n">
        <x:v>151</x:v>
      </x:c>
      <x:c r="K970" s="70" t="s">
        <x:v>2137</x:v>
      </x:c>
      <x:c r="L970" s="70" t="s">
        <x:v>1707</x:v>
      </x:c>
      <x:c r="M970" s="70" t="s">
        <x:v>40</x:v>
      </x:c>
      <x:c r="N970" s="71" t="n">
        <x:v>14168229</x:v>
      </x:c>
      <x:c r="O970" s="72" t="n">
        <x:f aca="0">N970/1000</x:f>
        <x:v>14168.229</x:v>
      </x:c>
      <x:c r="P970" s="73" t="n">
        <x:f aca="0">DGKC!E43</x:f>
        <x:v>14168.229</x:v>
      </x:c>
      <x:c r="Q970" s="70" t="str">
        <x:f aca="0">IF(ABS(O970-P970)&lt;0.000001,"PASS","FAIL")</x:f>
        <x:v>PASS</x:v>
      </x:c>
      <x:c r="R970" s="70" t="s">
        <x:v>34</x:v>
      </x:c>
      <x:c r="S970" s="70"/>
    </x:row>
    <x:row r="971" ht="15" hidden="0">
      <x:c r="A971" s="70" t="s">
        <x:v>2229</x:v>
      </x:c>
      <x:c r="B971" s="70" t="s">
        <x:v>37</x:v>
      </x:c>
      <x:c r="C971" s="70" t="s">
        <x:v>75</x:v>
      </x:c>
      <x:c r="D971" s="70" t="s">
        <x:v>339</x:v>
      </x:c>
      <x:c r="E971" s="70" t="s">
        <x:v>1129</x:v>
      </x:c>
      <x:c r="F971" s="70" t="s">
        <x:v>2227</x:v>
      </x:c>
      <x:c r="G971" s="70" t="s">
        <x:v>2116</x:v>
      </x:c>
      <x:c r="H971" s="70" t="s">
        <x:v>1211</x:v>
      </x:c>
      <x:c r="I971" s="70" t="s">
        <x:v>1199</x:v>
      </x:c>
      <x:c r="J971" s="70" t="n">
        <x:v>151</x:v>
      </x:c>
      <x:c r="K971" s="70" t="s">
        <x:v>2137</x:v>
      </x:c>
      <x:c r="L971" s="70" t="s">
        <x:v>1707</x:v>
      </x:c>
      <x:c r="M971" s="70" t="s">
        <x:v>40</x:v>
      </x:c>
      <x:c r="N971" s="71" t="n">
        <x:v>9663619</x:v>
      </x:c>
      <x:c r="O971" s="72" t="n">
        <x:f aca="0">N971/1000</x:f>
        <x:v>9663.619</x:v>
      </x:c>
      <x:c r="P971" s="73" t="n">
        <x:f aca="0">DGKC!F43</x:f>
        <x:v>9663.619</x:v>
      </x:c>
      <x:c r="Q971" s="70" t="str">
        <x:f aca="0">IF(ABS(O971-P971)&lt;0.000001,"PASS","FAIL")</x:f>
        <x:v>PASS</x:v>
      </x:c>
      <x:c r="R971" s="70" t="s">
        <x:v>34</x:v>
      </x:c>
      <x:c r="S971" s="70"/>
    </x:row>
    <x:row r="972" ht="15" hidden="0">
      <x:c r="A972" s="70" t="s">
        <x:v>2230</x:v>
      </x:c>
      <x:c r="B972" s="70" t="s">
        <x:v>37</x:v>
      </x:c>
      <x:c r="C972" s="70" t="s">
        <x:v>76</x:v>
      </x:c>
      <x:c r="D972" s="70" t="s">
        <x:v>339</x:v>
      </x:c>
      <x:c r="E972" s="70" t="s">
        <x:v>1129</x:v>
      </x:c>
      <x:c r="F972" s="70" t="s">
        <x:v>2227</x:v>
      </x:c>
      <x:c r="G972" s="70" t="s">
        <x:v>2118</x:v>
      </x:c>
      <x:c r="H972" s="70" t="s">
        <x:v>1215</x:v>
      </x:c>
      <x:c r="I972" s="70" t="s">
        <x:v>1199</x:v>
      </x:c>
      <x:c r="J972" s="70" t="n">
        <x:v>153</x:v>
      </x:c>
      <x:c r="K972" s="70" t="s">
        <x:v>2140</x:v>
      </x:c>
      <x:c r="L972" s="70" t="s">
        <x:v>1707</x:v>
      </x:c>
      <x:c r="M972" s="70" t="s">
        <x:v>40</x:v>
      </x:c>
      <x:c r="N972" s="71" t="n">
        <x:v>15965116</x:v>
      </x:c>
      <x:c r="O972" s="72" t="n">
        <x:f aca="0">N972/1000</x:f>
        <x:v>15965.116</x:v>
      </x:c>
      <x:c r="P972" s="73" t="n">
        <x:f aca="0">DGKC!G43</x:f>
        <x:v>15965.116</x:v>
      </x:c>
      <x:c r="Q972" s="70" t="str">
        <x:f aca="0">IF(ABS(O972-P972)&lt;0.000001,"PASS","FAIL")</x:f>
        <x:v>PASS</x:v>
      </x:c>
      <x:c r="R972" s="70" t="s">
        <x:v>34</x:v>
      </x:c>
      <x:c r="S972" s="70"/>
    </x:row>
    <x:row r="973" ht="15" hidden="0">
      <x:c r="A973" s="70" t="s">
        <x:v>2231</x:v>
      </x:c>
      <x:c r="B973" s="70" t="s">
        <x:v>37</x:v>
      </x:c>
      <x:c r="C973" s="70" t="s">
        <x:v>77</x:v>
      </x:c>
      <x:c r="D973" s="70" t="s">
        <x:v>339</x:v>
      </x:c>
      <x:c r="E973" s="70" t="s">
        <x:v>1129</x:v>
      </x:c>
      <x:c r="F973" s="70" t="s">
        <x:v>2227</x:v>
      </x:c>
      <x:c r="G973" s="70" t="s">
        <x:v>2118</x:v>
      </x:c>
      <x:c r="H973" s="70" t="s">
        <x:v>1215</x:v>
      </x:c>
      <x:c r="I973" s="70" t="s">
        <x:v>1218</x:v>
      </x:c>
      <x:c r="J973" s="70" t="n">
        <x:v>153</x:v>
      </x:c>
      <x:c r="K973" s="70" t="s">
        <x:v>2140</x:v>
      </x:c>
      <x:c r="L973" s="70" t="s">
        <x:v>1707</x:v>
      </x:c>
      <x:c r="M973" s="70" t="s">
        <x:v>40</x:v>
      </x:c>
      <x:c r="N973" s="71" t="n">
        <x:v>10093829</x:v>
      </x:c>
      <x:c r="O973" s="72" t="n">
        <x:f aca="0">N973/1000</x:f>
        <x:v>10093.829</x:v>
      </x:c>
      <x:c r="P973" s="73" t="n">
        <x:f aca="0">DGKC!H43</x:f>
        <x:v>10093.829</x:v>
      </x:c>
      <x:c r="Q973" s="70" t="str">
        <x:f aca="0">IF(ABS(O973-P973)&lt;0.000001,"PASS","FAIL")</x:f>
        <x:v>PASS</x:v>
      </x:c>
      <x:c r="R973" s="70" t="s">
        <x:v>34</x:v>
      </x:c>
      <x:c r="S973" s="70"/>
    </x:row>
    <x:row r="974" ht="15" hidden="0">
      <x:c r="A974" s="70" t="s">
        <x:v>2232</x:v>
      </x:c>
      <x:c r="B974" s="70" t="s">
        <x:v>37</x:v>
      </x:c>
      <x:c r="C974" s="70" t="s">
        <x:v>1076</x:v>
      </x:c>
      <x:c r="D974" s="70" t="s">
        <x:v>341</x:v>
      </x:c>
      <x:c r="E974" s="70" t="s">
        <x:v>1129</x:v>
      </x:c>
      <x:c r="F974" s="70"/>
      <x:c r="G974" s="70" t="s">
        <x:v>2107</x:v>
      </x:c>
      <x:c r="H974" s="70" t="s">
        <x:v>1198</x:v>
      </x:c>
      <x:c r="I974" s="70" t="s">
        <x:v>1199</x:v>
      </x:c>
      <x:c r="J974" s="70" t="n">
        <x:v>105</x:v>
      </x:c>
      <x:c r="K974" s="70" t="s">
        <x:v>2133</x:v>
      </x:c>
      <x:c r="L974" s="70"/>
      <x:c r="M974" s="70" t="s">
        <x:v>40</x:v>
      </x:c>
      <x:c r="N974" s="71" t="n">
        <x:v>0</x:v>
      </x:c>
      <x:c r="O974" s="72" t="n">
        <x:f aca="0">N974/1000</x:f>
        <x:v>0</x:v>
      </x:c>
      <x:c r="P974" s="73" t="n">
        <x:f aca="0">DGKC!C44</x:f>
        <x:v>0</x:v>
      </x:c>
      <x:c r="Q974" s="70" t="str">
        <x:f aca="0">IF(ABS(O974-P974)&lt;0.000001,"PASS","FAIL")</x:f>
        <x:v>PASS</x:v>
      </x:c>
      <x:c r="R974" s="70" t="s">
        <x:v>34</x:v>
      </x:c>
      <x:c r="S974" s="70"/>
    </x:row>
    <x:row r="975" ht="15" hidden="0">
      <x:c r="A975" s="70" t="s">
        <x:v>2233</x:v>
      </x:c>
      <x:c r="B975" s="70" t="s">
        <x:v>37</x:v>
      </x:c>
      <x:c r="C975" s="70" t="s">
        <x:v>73</x:v>
      </x:c>
      <x:c r="D975" s="70" t="s">
        <x:v>341</x:v>
      </x:c>
      <x:c r="E975" s="70" t="s">
        <x:v>1129</x:v>
      </x:c>
      <x:c r="F975" s="70"/>
      <x:c r="G975" s="70" t="s">
        <x:v>2110</x:v>
      </x:c>
      <x:c r="H975" s="70" t="s">
        <x:v>1204</x:v>
      </x:c>
      <x:c r="I975" s="70" t="s">
        <x:v>1199</x:v>
      </x:c>
      <x:c r="J975" s="70" t="n">
        <x:v>125</x:v>
      </x:c>
      <x:c r="K975" s="70" t="s">
        <x:v>2135</x:v>
      </x:c>
      <x:c r="L975" s="70"/>
      <x:c r="M975" s="70" t="s">
        <x:v>40</x:v>
      </x:c>
      <x:c r="N975" s="71" t="n">
        <x:v>0</x:v>
      </x:c>
      <x:c r="O975" s="72" t="n">
        <x:f aca="0">N975/1000</x:f>
        <x:v>0</x:v>
      </x:c>
      <x:c r="P975" s="73" t="n">
        <x:f aca="0">DGKC!D44</x:f>
        <x:v>0</x:v>
      </x:c>
      <x:c r="Q975" s="70" t="str">
        <x:f aca="0">IF(ABS(O975-P975)&lt;0.000001,"PASS","FAIL")</x:f>
        <x:v>PASS</x:v>
      </x:c>
      <x:c r="R975" s="70" t="s">
        <x:v>34</x:v>
      </x:c>
      <x:c r="S975" s="70"/>
    </x:row>
    <x:row r="976" ht="15" hidden="0">
      <x:c r="A976" s="70" t="s">
        <x:v>2234</x:v>
      </x:c>
      <x:c r="B976" s="70" t="s">
        <x:v>37</x:v>
      </x:c>
      <x:c r="C976" s="70" t="s">
        <x:v>74</x:v>
      </x:c>
      <x:c r="D976" s="70" t="s">
        <x:v>341</x:v>
      </x:c>
      <x:c r="E976" s="70" t="s">
        <x:v>1129</x:v>
      </x:c>
      <x:c r="F976" s="70"/>
      <x:c r="G976" s="70" t="s">
        <x:v>2113</x:v>
      </x:c>
      <x:c r="H976" s="70" t="s">
        <x:v>1208</x:v>
      </x:c>
      <x:c r="I976" s="70" t="s">
        <x:v>1199</x:v>
      </x:c>
      <x:c r="J976" s="70" t="n">
        <x:v>151</x:v>
      </x:c>
      <x:c r="K976" s="70" t="s">
        <x:v>2137</x:v>
      </x:c>
      <x:c r="L976" s="70"/>
      <x:c r="M976" s="70" t="s">
        <x:v>40</x:v>
      </x:c>
      <x:c r="N976" s="71" t="n">
        <x:v>0</x:v>
      </x:c>
      <x:c r="O976" s="72" t="n">
        <x:f aca="0">N976/1000</x:f>
        <x:v>0</x:v>
      </x:c>
      <x:c r="P976" s="73" t="n">
        <x:f aca="0">DGKC!E44</x:f>
        <x:v>0</x:v>
      </x:c>
      <x:c r="Q976" s="70" t="str">
        <x:f aca="0">IF(ABS(O976-P976)&lt;0.000001,"PASS","FAIL")</x:f>
        <x:v>PASS</x:v>
      </x:c>
      <x:c r="R976" s="70" t="s">
        <x:v>34</x:v>
      </x:c>
      <x:c r="S976" s="70"/>
    </x:row>
    <x:row r="977" ht="15" hidden="0">
      <x:c r="A977" s="70" t="s">
        <x:v>2235</x:v>
      </x:c>
      <x:c r="B977" s="70" t="s">
        <x:v>37</x:v>
      </x:c>
      <x:c r="C977" s="70" t="s">
        <x:v>75</x:v>
      </x:c>
      <x:c r="D977" s="70" t="s">
        <x:v>341</x:v>
      </x:c>
      <x:c r="E977" s="70" t="s">
        <x:v>1129</x:v>
      </x:c>
      <x:c r="F977" s="70"/>
      <x:c r="G977" s="70" t="s">
        <x:v>2116</x:v>
      </x:c>
      <x:c r="H977" s="70" t="s">
        <x:v>1211</x:v>
      </x:c>
      <x:c r="I977" s="70" t="s">
        <x:v>1199</x:v>
      </x:c>
      <x:c r="J977" s="70" t="n">
        <x:v>151</x:v>
      </x:c>
      <x:c r="K977" s="70" t="s">
        <x:v>2137</x:v>
      </x:c>
      <x:c r="L977" s="70"/>
      <x:c r="M977" s="70" t="s">
        <x:v>40</x:v>
      </x:c>
      <x:c r="N977" s="71" t="n">
        <x:v>0</x:v>
      </x:c>
      <x:c r="O977" s="72" t="n">
        <x:f aca="0">N977/1000</x:f>
        <x:v>0</x:v>
      </x:c>
      <x:c r="P977" s="73" t="n">
        <x:f aca="0">DGKC!F44</x:f>
        <x:v>0</x:v>
      </x:c>
      <x:c r="Q977" s="70" t="str">
        <x:f aca="0">IF(ABS(O977-P977)&lt;0.000001,"PASS","FAIL")</x:f>
        <x:v>PASS</x:v>
      </x:c>
      <x:c r="R977" s="70" t="s">
        <x:v>34</x:v>
      </x:c>
      <x:c r="S977" s="70"/>
    </x:row>
    <x:row r="978" ht="15" hidden="0">
      <x:c r="A978" s="70" t="s">
        <x:v>2236</x:v>
      </x:c>
      <x:c r="B978" s="70" t="s">
        <x:v>37</x:v>
      </x:c>
      <x:c r="C978" s="70" t="s">
        <x:v>76</x:v>
      </x:c>
      <x:c r="D978" s="70" t="s">
        <x:v>341</x:v>
      </x:c>
      <x:c r="E978" s="70" t="s">
        <x:v>1129</x:v>
      </x:c>
      <x:c r="F978" s="70"/>
      <x:c r="G978" s="70" t="s">
        <x:v>2118</x:v>
      </x:c>
      <x:c r="H978" s="70" t="s">
        <x:v>1215</x:v>
      </x:c>
      <x:c r="I978" s="70" t="s">
        <x:v>1199</x:v>
      </x:c>
      <x:c r="J978" s="70" t="n">
        <x:v>153</x:v>
      </x:c>
      <x:c r="K978" s="70" t="s">
        <x:v>2140</x:v>
      </x:c>
      <x:c r="L978" s="70"/>
      <x:c r="M978" s="70" t="s">
        <x:v>40</x:v>
      </x:c>
      <x:c r="N978" s="71" t="n">
        <x:v>0</x:v>
      </x:c>
      <x:c r="O978" s="72" t="n">
        <x:f aca="0">N978/1000</x:f>
        <x:v>0</x:v>
      </x:c>
      <x:c r="P978" s="73" t="n">
        <x:f aca="0">DGKC!G44</x:f>
        <x:v>0</x:v>
      </x:c>
      <x:c r="Q978" s="70" t="str">
        <x:f aca="0">IF(ABS(O978-P978)&lt;0.000001,"PASS","FAIL")</x:f>
        <x:v>PASS</x:v>
      </x:c>
      <x:c r="R978" s="70" t="s">
        <x:v>34</x:v>
      </x:c>
      <x:c r="S978" s="70"/>
    </x:row>
    <x:row r="979" ht="15" hidden="0">
      <x:c r="A979" s="70" t="s">
        <x:v>2237</x:v>
      </x:c>
      <x:c r="B979" s="70" t="s">
        <x:v>37</x:v>
      </x:c>
      <x:c r="C979" s="70" t="s">
        <x:v>77</x:v>
      </x:c>
      <x:c r="D979" s="70" t="s">
        <x:v>341</x:v>
      </x:c>
      <x:c r="E979" s="70" t="s">
        <x:v>1129</x:v>
      </x:c>
      <x:c r="F979" s="70"/>
      <x:c r="G979" s="70" t="s">
        <x:v>2118</x:v>
      </x:c>
      <x:c r="H979" s="70" t="s">
        <x:v>1215</x:v>
      </x:c>
      <x:c r="I979" s="70" t="s">
        <x:v>1218</x:v>
      </x:c>
      <x:c r="J979" s="70" t="n">
        <x:v>153</x:v>
      </x:c>
      <x:c r="K979" s="70" t="s">
        <x:v>2140</x:v>
      </x:c>
      <x:c r="L979" s="70"/>
      <x:c r="M979" s="70" t="s">
        <x:v>40</x:v>
      </x:c>
      <x:c r="N979" s="71" t="n">
        <x:v>0</x:v>
      </x:c>
      <x:c r="O979" s="72" t="n">
        <x:f aca="0">N979/1000</x:f>
        <x:v>0</x:v>
      </x:c>
      <x:c r="P979" s="73" t="n">
        <x:f aca="0">DGKC!H44</x:f>
        <x:v>0</x:v>
      </x:c>
      <x:c r="Q979" s="70" t="str">
        <x:f aca="0">IF(ABS(O979-P979)&lt;0.000001,"PASS","FAIL")</x:f>
        <x:v>PASS</x:v>
      </x:c>
      <x:c r="R979" s="70" t="s">
        <x:v>34</x:v>
      </x:c>
      <x:c r="S979" s="70"/>
    </x:row>
    <x:row r="980" ht="15" hidden="0">
      <x:c r="A980" s="70" t="s">
        <x:v>2238</x:v>
      </x:c>
      <x:c r="B980" s="70" t="s">
        <x:v>37</x:v>
      </x:c>
      <x:c r="C980" s="70" t="s">
        <x:v>1076</x:v>
      </x:c>
      <x:c r="D980" s="70" t="s">
        <x:v>343</x:v>
      </x:c>
      <x:c r="E980" s="70" t="s">
        <x:v>1129</x:v>
      </x:c>
      <x:c r="F980" s="70" t="s">
        <x:v>2239</x:v>
      </x:c>
      <x:c r="G980" s="70" t="s">
        <x:v>2107</x:v>
      </x:c>
      <x:c r="H980" s="70" t="s">
        <x:v>1198</x:v>
      </x:c>
      <x:c r="I980" s="70" t="s">
        <x:v>1199</x:v>
      </x:c>
      <x:c r="J980" s="70" t="n">
        <x:v>105</x:v>
      </x:c>
      <x:c r="K980" s="70" t="s">
        <x:v>2133</x:v>
      </x:c>
      <x:c r="L980" s="70" t="s">
        <x:v>1720</x:v>
      </x:c>
      <x:c r="M980" s="70" t="s">
        <x:v>40</x:v>
      </x:c>
      <x:c r="N980" s="71" t="n">
        <x:v>0</x:v>
      </x:c>
      <x:c r="O980" s="72" t="n">
        <x:f aca="0">N980/1000</x:f>
        <x:v>0</x:v>
      </x:c>
      <x:c r="P980" s="73" t="n">
        <x:f aca="0">DGKC!C45</x:f>
        <x:v>0</x:v>
      </x:c>
      <x:c r="Q980" s="70" t="str">
        <x:f aca="0">IF(ABS(O980-P980)&lt;0.000001,"PASS","FAIL")</x:f>
        <x:v>PASS</x:v>
      </x:c>
      <x:c r="R980" s="70" t="s">
        <x:v>34</x:v>
      </x:c>
      <x:c r="S980" s="70"/>
    </x:row>
    <x:row r="981" ht="15" hidden="0">
      <x:c r="A981" s="70" t="s">
        <x:v>2240</x:v>
      </x:c>
      <x:c r="B981" s="70" t="s">
        <x:v>37</x:v>
      </x:c>
      <x:c r="C981" s="70" t="s">
        <x:v>73</x:v>
      </x:c>
      <x:c r="D981" s="70" t="s">
        <x:v>343</x:v>
      </x:c>
      <x:c r="E981" s="70" t="s">
        <x:v>1129</x:v>
      </x:c>
      <x:c r="F981" s="70" t="s">
        <x:v>2239</x:v>
      </x:c>
      <x:c r="G981" s="70" t="s">
        <x:v>2110</x:v>
      </x:c>
      <x:c r="H981" s="70" t="s">
        <x:v>1204</x:v>
      </x:c>
      <x:c r="I981" s="70" t="s">
        <x:v>1199</x:v>
      </x:c>
      <x:c r="J981" s="70" t="n">
        <x:v>125</x:v>
      </x:c>
      <x:c r="K981" s="70" t="s">
        <x:v>2135</x:v>
      </x:c>
      <x:c r="L981" s="70" t="s">
        <x:v>1720</x:v>
      </x:c>
      <x:c r="M981" s="70" t="s">
        <x:v>40</x:v>
      </x:c>
      <x:c r="N981" s="71" t="n">
        <x:v>664504</x:v>
      </x:c>
      <x:c r="O981" s="72" t="n">
        <x:f aca="0">N981/1000</x:f>
        <x:v>664.504</x:v>
      </x:c>
      <x:c r="P981" s="73" t="n">
        <x:f aca="0">DGKC!D45</x:f>
        <x:v>664.504</x:v>
      </x:c>
      <x:c r="Q981" s="70" t="str">
        <x:f aca="0">IF(ABS(O981-P981)&lt;0.000001,"PASS","FAIL")</x:f>
        <x:v>PASS</x:v>
      </x:c>
      <x:c r="R981" s="70" t="s">
        <x:v>34</x:v>
      </x:c>
      <x:c r="S981" s="70"/>
    </x:row>
    <x:row r="982" ht="15" hidden="0">
      <x:c r="A982" s="70" t="s">
        <x:v>2241</x:v>
      </x:c>
      <x:c r="B982" s="70" t="s">
        <x:v>37</x:v>
      </x:c>
      <x:c r="C982" s="70" t="s">
        <x:v>74</x:v>
      </x:c>
      <x:c r="D982" s="70" t="s">
        <x:v>343</x:v>
      </x:c>
      <x:c r="E982" s="70" t="s">
        <x:v>1129</x:v>
      </x:c>
      <x:c r="F982" s="70" t="s">
        <x:v>2239</x:v>
      </x:c>
      <x:c r="G982" s="70" t="s">
        <x:v>2113</x:v>
      </x:c>
      <x:c r="H982" s="70" t="s">
        <x:v>1208</x:v>
      </x:c>
      <x:c r="I982" s="70" t="s">
        <x:v>1199</x:v>
      </x:c>
      <x:c r="J982" s="70" t="n">
        <x:v>151</x:v>
      </x:c>
      <x:c r="K982" s="70" t="s">
        <x:v>2137</x:v>
      </x:c>
      <x:c r="L982" s="70" t="s">
        <x:v>1720</x:v>
      </x:c>
      <x:c r="M982" s="70" t="s">
        <x:v>40</x:v>
      </x:c>
      <x:c r="N982" s="71" t="n">
        <x:v>450684</x:v>
      </x:c>
      <x:c r="O982" s="72" t="n">
        <x:f aca="0">N982/1000</x:f>
        <x:v>450.684</x:v>
      </x:c>
      <x:c r="P982" s="73" t="n">
        <x:f aca="0">DGKC!E45</x:f>
        <x:v>450.684</x:v>
      </x:c>
      <x:c r="Q982" s="70" t="str">
        <x:f aca="0">IF(ABS(O982-P982)&lt;0.000001,"PASS","FAIL")</x:f>
        <x:v>PASS</x:v>
      </x:c>
      <x:c r="R982" s="70" t="s">
        <x:v>34</x:v>
      </x:c>
      <x:c r="S982" s="70"/>
    </x:row>
    <x:row r="983" ht="15" hidden="0">
      <x:c r="A983" s="70" t="s">
        <x:v>2242</x:v>
      </x:c>
      <x:c r="B983" s="70" t="s">
        <x:v>37</x:v>
      </x:c>
      <x:c r="C983" s="70" t="s">
        <x:v>75</x:v>
      </x:c>
      <x:c r="D983" s="70" t="s">
        <x:v>343</x:v>
      </x:c>
      <x:c r="E983" s="70" t="s">
        <x:v>1129</x:v>
      </x:c>
      <x:c r="F983" s="70" t="s">
        <x:v>2239</x:v>
      </x:c>
      <x:c r="G983" s="70" t="s">
        <x:v>2116</x:v>
      </x:c>
      <x:c r="H983" s="70" t="s">
        <x:v>1211</x:v>
      </x:c>
      <x:c r="I983" s="70" t="s">
        <x:v>1199</x:v>
      </x:c>
      <x:c r="J983" s="70" t="n">
        <x:v>151</x:v>
      </x:c>
      <x:c r="K983" s="70" t="s">
        <x:v>2137</x:v>
      </x:c>
      <x:c r="L983" s="70" t="s">
        <x:v>1720</x:v>
      </x:c>
      <x:c r="M983" s="70" t="s">
        <x:v>40</x:v>
      </x:c>
      <x:c r="N983" s="71" t="n">
        <x:v>278753</x:v>
      </x:c>
      <x:c r="O983" s="72" t="n">
        <x:f aca="0">N983/1000</x:f>
        <x:v>278.753</x:v>
      </x:c>
      <x:c r="P983" s="73" t="n">
        <x:f aca="0">DGKC!F45</x:f>
        <x:v>278.753</x:v>
      </x:c>
      <x:c r="Q983" s="70" t="str">
        <x:f aca="0">IF(ABS(O983-P983)&lt;0.000001,"PASS","FAIL")</x:f>
        <x:v>PASS</x:v>
      </x:c>
      <x:c r="R983" s="70" t="s">
        <x:v>34</x:v>
      </x:c>
      <x:c r="S983" s="70"/>
    </x:row>
    <x:row r="984" ht="15" hidden="0">
      <x:c r="A984" s="70" t="s">
        <x:v>2243</x:v>
      </x:c>
      <x:c r="B984" s="70" t="s">
        <x:v>37</x:v>
      </x:c>
      <x:c r="C984" s="70" t="s">
        <x:v>76</x:v>
      </x:c>
      <x:c r="D984" s="70" t="s">
        <x:v>343</x:v>
      </x:c>
      <x:c r="E984" s="70" t="s">
        <x:v>1129</x:v>
      </x:c>
      <x:c r="F984" s="70" t="s">
        <x:v>2239</x:v>
      </x:c>
      <x:c r="G984" s="70" t="s">
        <x:v>2118</x:v>
      </x:c>
      <x:c r="H984" s="70" t="s">
        <x:v>1215</x:v>
      </x:c>
      <x:c r="I984" s="70" t="s">
        <x:v>1199</x:v>
      </x:c>
      <x:c r="J984" s="70" t="n">
        <x:v>153</x:v>
      </x:c>
      <x:c r="K984" s="70" t="s">
        <x:v>2140</x:v>
      </x:c>
      <x:c r="L984" s="70" t="s">
        <x:v>1720</x:v>
      </x:c>
      <x:c r="M984" s="70" t="s">
        <x:v>40</x:v>
      </x:c>
      <x:c r="N984" s="71" t="n">
        <x:v>154614</x:v>
      </x:c>
      <x:c r="O984" s="72" t="n">
        <x:f aca="0">N984/1000</x:f>
        <x:v>154.614</x:v>
      </x:c>
      <x:c r="P984" s="73" t="n">
        <x:f aca="0">DGKC!G45</x:f>
        <x:v>154.614</x:v>
      </x:c>
      <x:c r="Q984" s="70" t="str">
        <x:f aca="0">IF(ABS(O984-P984)&lt;0.000001,"PASS","FAIL")</x:f>
        <x:v>PASS</x:v>
      </x:c>
      <x:c r="R984" s="70" t="s">
        <x:v>34</x:v>
      </x:c>
      <x:c r="S984" s="70"/>
    </x:row>
    <x:row r="985" ht="15" hidden="0">
      <x:c r="A985" s="70" t="s">
        <x:v>2244</x:v>
      </x:c>
      <x:c r="B985" s="70" t="s">
        <x:v>37</x:v>
      </x:c>
      <x:c r="C985" s="70" t="s">
        <x:v>77</x:v>
      </x:c>
      <x:c r="D985" s="70" t="s">
        <x:v>343</x:v>
      </x:c>
      <x:c r="E985" s="70" t="s">
        <x:v>1129</x:v>
      </x:c>
      <x:c r="F985" s="70" t="s">
        <x:v>2239</x:v>
      </x:c>
      <x:c r="G985" s="70" t="s">
        <x:v>2118</x:v>
      </x:c>
      <x:c r="H985" s="70" t="s">
        <x:v>1215</x:v>
      </x:c>
      <x:c r="I985" s="70" t="s">
        <x:v>1218</x:v>
      </x:c>
      <x:c r="J985" s="70" t="n">
        <x:v>153</x:v>
      </x:c>
      <x:c r="K985" s="70" t="s">
        <x:v>2140</x:v>
      </x:c>
      <x:c r="L985" s="70" t="s">
        <x:v>1720</x:v>
      </x:c>
      <x:c r="M985" s="70" t="s">
        <x:v>40</x:v>
      </x:c>
      <x:c r="N985" s="71" t="n">
        <x:v>70135</x:v>
      </x:c>
      <x:c r="O985" s="72" t="n">
        <x:f aca="0">N985/1000</x:f>
        <x:v>70.135</x:v>
      </x:c>
      <x:c r="P985" s="73" t="n">
        <x:f aca="0">DGKC!H45</x:f>
        <x:v>70.135</x:v>
      </x:c>
      <x:c r="Q985" s="70" t="str">
        <x:f aca="0">IF(ABS(O985-P985)&lt;0.000001,"PASS","FAIL")</x:f>
        <x:v>PASS</x:v>
      </x:c>
      <x:c r="R985" s="70" t="s">
        <x:v>34</x:v>
      </x:c>
      <x:c r="S985" s="70"/>
    </x:row>
    <x:row r="986" ht="15" hidden="0">
      <x:c r="A986" s="70" t="s">
        <x:v>2245</x:v>
      </x:c>
      <x:c r="B986" s="70" t="s">
        <x:v>37</x:v>
      </x:c>
      <x:c r="C986" s="70" t="s">
        <x:v>1076</x:v>
      </x:c>
      <x:c r="D986" s="70" t="s">
        <x:v>345</x:v>
      </x:c>
      <x:c r="E986" s="70" t="s">
        <x:v>1129</x:v>
      </x:c>
      <x:c r="F986" s="70" t="s">
        <x:v>2246</x:v>
      </x:c>
      <x:c r="G986" s="70" t="s">
        <x:v>2107</x:v>
      </x:c>
      <x:c r="H986" s="70" t="s">
        <x:v>1198</x:v>
      </x:c>
      <x:c r="I986" s="70" t="s">
        <x:v>1199</x:v>
      </x:c>
      <x:c r="J986" s="70" t="n">
        <x:v>105</x:v>
      </x:c>
      <x:c r="K986" s="70" t="s">
        <x:v>2133</x:v>
      </x:c>
      <x:c r="L986" s="70" t="s">
        <x:v>1406</x:v>
      </x:c>
      <x:c r="M986" s="70" t="s">
        <x:v>40</x:v>
      </x:c>
      <x:c r="N986" s="71" t="n">
        <x:v>2535349</x:v>
      </x:c>
      <x:c r="O986" s="72" t="n">
        <x:f aca="0">N986/1000</x:f>
        <x:v>2535.349</x:v>
      </x:c>
      <x:c r="P986" s="73" t="n">
        <x:f aca="0">DGKC!C46</x:f>
        <x:v>2535.349</x:v>
      </x:c>
      <x:c r="Q986" s="70" t="str">
        <x:f aca="0">IF(ABS(O986-P986)&lt;0.000001,"PASS","FAIL")</x:f>
        <x:v>PASS</x:v>
      </x:c>
      <x:c r="R986" s="70" t="s">
        <x:v>34</x:v>
      </x:c>
      <x:c r="S986" s="70"/>
    </x:row>
    <x:row r="987" ht="15" hidden="0">
      <x:c r="A987" s="70" t="s">
        <x:v>2247</x:v>
      </x:c>
      <x:c r="B987" s="70" t="s">
        <x:v>37</x:v>
      </x:c>
      <x:c r="C987" s="70" t="s">
        <x:v>73</x:v>
      </x:c>
      <x:c r="D987" s="70" t="s">
        <x:v>345</x:v>
      </x:c>
      <x:c r="E987" s="70" t="s">
        <x:v>1129</x:v>
      </x:c>
      <x:c r="F987" s="70" t="s">
        <x:v>2246</x:v>
      </x:c>
      <x:c r="G987" s="70" t="s">
        <x:v>2110</x:v>
      </x:c>
      <x:c r="H987" s="70" t="s">
        <x:v>1204</x:v>
      </x:c>
      <x:c r="I987" s="70" t="s">
        <x:v>1199</x:v>
      </x:c>
      <x:c r="J987" s="70" t="n">
        <x:v>125</x:v>
      </x:c>
      <x:c r="K987" s="70" t="s">
        <x:v>2135</x:v>
      </x:c>
      <x:c r="L987" s="70" t="s">
        <x:v>1406</x:v>
      </x:c>
      <x:c r="M987" s="70" t="s">
        <x:v>40</x:v>
      </x:c>
      <x:c r="N987" s="71" t="n">
        <x:v>3378941</x:v>
      </x:c>
      <x:c r="O987" s="72" t="n">
        <x:f aca="0">N987/1000</x:f>
        <x:v>3378.941</x:v>
      </x:c>
      <x:c r="P987" s="73" t="n">
        <x:f aca="0">DGKC!D46</x:f>
        <x:v>3378.941</x:v>
      </x:c>
      <x:c r="Q987" s="70" t="str">
        <x:f aca="0">IF(ABS(O987-P987)&lt;0.000001,"PASS","FAIL")</x:f>
        <x:v>PASS</x:v>
      </x:c>
      <x:c r="R987" s="70" t="s">
        <x:v>34</x:v>
      </x:c>
      <x:c r="S987" s="70"/>
    </x:row>
    <x:row r="988" ht="15" hidden="0">
      <x:c r="A988" s="70" t="s">
        <x:v>2248</x:v>
      </x:c>
      <x:c r="B988" s="70" t="s">
        <x:v>37</x:v>
      </x:c>
      <x:c r="C988" s="70" t="s">
        <x:v>74</x:v>
      </x:c>
      <x:c r="D988" s="70" t="s">
        <x:v>345</x:v>
      </x:c>
      <x:c r="E988" s="70" t="s">
        <x:v>1129</x:v>
      </x:c>
      <x:c r="F988" s="70" t="s">
        <x:v>2246</x:v>
      </x:c>
      <x:c r="G988" s="70" t="s">
        <x:v>2113</x:v>
      </x:c>
      <x:c r="H988" s="70" t="s">
        <x:v>1208</x:v>
      </x:c>
      <x:c r="I988" s="70" t="s">
        <x:v>1199</x:v>
      </x:c>
      <x:c r="J988" s="70" t="n">
        <x:v>151</x:v>
      </x:c>
      <x:c r="K988" s="70" t="s">
        <x:v>2137</x:v>
      </x:c>
      <x:c r="L988" s="70" t="s">
        <x:v>1406</x:v>
      </x:c>
      <x:c r="M988" s="70" t="s">
        <x:v>40</x:v>
      </x:c>
      <x:c r="N988" s="71" t="n">
        <x:v>4942150</x:v>
      </x:c>
      <x:c r="O988" s="72" t="n">
        <x:f aca="0">N988/1000</x:f>
        <x:v>4942.15</x:v>
      </x:c>
      <x:c r="P988" s="73" t="n">
        <x:f aca="0">DGKC!E46</x:f>
        <x:v>4942.15</x:v>
      </x:c>
      <x:c r="Q988" s="70" t="str">
        <x:f aca="0">IF(ABS(O988-P988)&lt;0.000001,"PASS","FAIL")</x:f>
        <x:v>PASS</x:v>
      </x:c>
      <x:c r="R988" s="70" t="s">
        <x:v>34</x:v>
      </x:c>
      <x:c r="S988" s="70"/>
    </x:row>
    <x:row r="989" ht="15" hidden="0">
      <x:c r="A989" s="70" t="s">
        <x:v>2249</x:v>
      </x:c>
      <x:c r="B989" s="70" t="s">
        <x:v>37</x:v>
      </x:c>
      <x:c r="C989" s="70" t="s">
        <x:v>75</x:v>
      </x:c>
      <x:c r="D989" s="70" t="s">
        <x:v>345</x:v>
      </x:c>
      <x:c r="E989" s="70" t="s">
        <x:v>1129</x:v>
      </x:c>
      <x:c r="F989" s="70" t="s">
        <x:v>2246</x:v>
      </x:c>
      <x:c r="G989" s="70" t="s">
        <x:v>2116</x:v>
      </x:c>
      <x:c r="H989" s="70" t="s">
        <x:v>1211</x:v>
      </x:c>
      <x:c r="I989" s="70" t="s">
        <x:v>1199</x:v>
      </x:c>
      <x:c r="J989" s="70" t="n">
        <x:v>151</x:v>
      </x:c>
      <x:c r="K989" s="70" t="s">
        <x:v>2137</x:v>
      </x:c>
      <x:c r="L989" s="70" t="s">
        <x:v>1406</x:v>
      </x:c>
      <x:c r="M989" s="70" t="s">
        <x:v>40</x:v>
      </x:c>
      <x:c r="N989" s="71" t="n">
        <x:v>10613603</x:v>
      </x:c>
      <x:c r="O989" s="72" t="n">
        <x:f aca="0">N989/1000</x:f>
        <x:v>10613.603</x:v>
      </x:c>
      <x:c r="P989" s="73" t="n">
        <x:f aca="0">DGKC!F46</x:f>
        <x:v>10613.603</x:v>
      </x:c>
      <x:c r="Q989" s="70" t="str">
        <x:f aca="0">IF(ABS(O989-P989)&lt;0.000001,"PASS","FAIL")</x:f>
        <x:v>PASS</x:v>
      </x:c>
      <x:c r="R989" s="70" t="s">
        <x:v>34</x:v>
      </x:c>
      <x:c r="S989" s="70"/>
    </x:row>
    <x:row r="990" ht="15" hidden="0">
      <x:c r="A990" s="70" t="s">
        <x:v>2250</x:v>
      </x:c>
      <x:c r="B990" s="70" t="s">
        <x:v>37</x:v>
      </x:c>
      <x:c r="C990" s="70" t="s">
        <x:v>76</x:v>
      </x:c>
      <x:c r="D990" s="70" t="s">
        <x:v>345</x:v>
      </x:c>
      <x:c r="E990" s="70" t="s">
        <x:v>1129</x:v>
      </x:c>
      <x:c r="F990" s="70" t="s">
        <x:v>2246</x:v>
      </x:c>
      <x:c r="G990" s="70" t="s">
        <x:v>2118</x:v>
      </x:c>
      <x:c r="H990" s="70" t="s">
        <x:v>1215</x:v>
      </x:c>
      <x:c r="I990" s="70" t="s">
        <x:v>1199</x:v>
      </x:c>
      <x:c r="J990" s="70" t="n">
        <x:v>153</x:v>
      </x:c>
      <x:c r="K990" s="70" t="s">
        <x:v>2140</x:v>
      </x:c>
      <x:c r="L990" s="70" t="s">
        <x:v>1406</x:v>
      </x:c>
      <x:c r="M990" s="70" t="s">
        <x:v>40</x:v>
      </x:c>
      <x:c r="N990" s="71" t="n">
        <x:v>12675472</x:v>
      </x:c>
      <x:c r="O990" s="72" t="n">
        <x:f aca="0">N990/1000</x:f>
        <x:v>12675.472</x:v>
      </x:c>
      <x:c r="P990" s="73" t="n">
        <x:f aca="0">DGKC!G46</x:f>
        <x:v>12675.472</x:v>
      </x:c>
      <x:c r="Q990" s="70" t="str">
        <x:f aca="0">IF(ABS(O990-P990)&lt;0.000001,"PASS","FAIL")</x:f>
        <x:v>PASS</x:v>
      </x:c>
      <x:c r="R990" s="70" t="s">
        <x:v>34</x:v>
      </x:c>
      <x:c r="S990" s="70"/>
    </x:row>
    <x:row r="991" ht="15" hidden="0">
      <x:c r="A991" s="70" t="s">
        <x:v>2251</x:v>
      </x:c>
      <x:c r="B991" s="70" t="s">
        <x:v>37</x:v>
      </x:c>
      <x:c r="C991" s="70" t="s">
        <x:v>77</x:v>
      </x:c>
      <x:c r="D991" s="70" t="s">
        <x:v>345</x:v>
      </x:c>
      <x:c r="E991" s="70" t="s">
        <x:v>1129</x:v>
      </x:c>
      <x:c r="F991" s="70" t="s">
        <x:v>2246</x:v>
      </x:c>
      <x:c r="G991" s="70" t="s">
        <x:v>2118</x:v>
      </x:c>
      <x:c r="H991" s="70" t="s">
        <x:v>1215</x:v>
      </x:c>
      <x:c r="I991" s="70" t="s">
        <x:v>1218</x:v>
      </x:c>
      <x:c r="J991" s="70" t="n">
        <x:v>153</x:v>
      </x:c>
      <x:c r="K991" s="70" t="s">
        <x:v>2140</x:v>
      </x:c>
      <x:c r="L991" s="70" t="s">
        <x:v>1406</x:v>
      </x:c>
      <x:c r="M991" s="70" t="s">
        <x:v>40</x:v>
      </x:c>
      <x:c r="N991" s="71" t="n">
        <x:v>13286942</x:v>
      </x:c>
      <x:c r="O991" s="72" t="n">
        <x:f aca="0">N991/1000</x:f>
        <x:v>13286.942</x:v>
      </x:c>
      <x:c r="P991" s="73" t="n">
        <x:f aca="0">DGKC!H46</x:f>
        <x:v>13286.942</x:v>
      </x:c>
      <x:c r="Q991" s="70" t="str">
        <x:f aca="0">IF(ABS(O991-P991)&lt;0.000001,"PASS","FAIL")</x:f>
        <x:v>PASS</x:v>
      </x:c>
      <x:c r="R991" s="70" t="s">
        <x:v>34</x:v>
      </x:c>
      <x:c r="S991" s="70"/>
    </x:row>
    <x:row r="992" ht="15" hidden="0">
      <x:c r="A992" s="70" t="s">
        <x:v>2252</x:v>
      </x:c>
      <x:c r="B992" s="70" t="s">
        <x:v>37</x:v>
      </x:c>
      <x:c r="C992" s="70" t="s">
        <x:v>1076</x:v>
      </x:c>
      <x:c r="D992" s="70" t="s">
        <x:v>347</x:v>
      </x:c>
      <x:c r="E992" s="70" t="s">
        <x:v>1129</x:v>
      </x:c>
      <x:c r="F992" s="70" t="s">
        <x:v>2253</x:v>
      </x:c>
      <x:c r="G992" s="70" t="s">
        <x:v>2107</x:v>
      </x:c>
      <x:c r="H992" s="70" t="s">
        <x:v>1198</x:v>
      </x:c>
      <x:c r="I992" s="70" t="s">
        <x:v>1199</x:v>
      </x:c>
      <x:c r="J992" s="70" t="n">
        <x:v>105</x:v>
      </x:c>
      <x:c r="K992" s="70" t="s">
        <x:v>2133</x:v>
      </x:c>
      <x:c r="L992" s="70" t="s">
        <x:v>1385</x:v>
      </x:c>
      <x:c r="M992" s="70" t="s">
        <x:v>40</x:v>
      </x:c>
      <x:c r="N992" s="71" t="n">
        <x:v>775771</x:v>
      </x:c>
      <x:c r="O992" s="72" t="n">
        <x:f aca="0">N992/1000</x:f>
        <x:v>775.771</x:v>
      </x:c>
      <x:c r="P992" s="73" t="n">
        <x:f aca="0">DGKC!C47</x:f>
        <x:v>775.771</x:v>
      </x:c>
      <x:c r="Q992" s="70" t="str">
        <x:f aca="0">IF(ABS(O992-P992)&lt;0.000001,"PASS","FAIL")</x:f>
        <x:v>PASS</x:v>
      </x:c>
      <x:c r="R992" s="70" t="s">
        <x:v>34</x:v>
      </x:c>
      <x:c r="S992" s="70"/>
    </x:row>
    <x:row r="993" ht="15" hidden="0">
      <x:c r="A993" s="70" t="s">
        <x:v>2254</x:v>
      </x:c>
      <x:c r="B993" s="70" t="s">
        <x:v>37</x:v>
      </x:c>
      <x:c r="C993" s="70" t="s">
        <x:v>73</x:v>
      </x:c>
      <x:c r="D993" s="70" t="s">
        <x:v>347</x:v>
      </x:c>
      <x:c r="E993" s="70" t="s">
        <x:v>1129</x:v>
      </x:c>
      <x:c r="F993" s="70" t="s">
        <x:v>2255</x:v>
      </x:c>
      <x:c r="G993" s="70" t="s">
        <x:v>2110</x:v>
      </x:c>
      <x:c r="H993" s="70" t="s">
        <x:v>1204</x:v>
      </x:c>
      <x:c r="I993" s="70" t="s">
        <x:v>1199</x:v>
      </x:c>
      <x:c r="J993" s="70" t="n">
        <x:v>125</x:v>
      </x:c>
      <x:c r="K993" s="70" t="s">
        <x:v>2135</x:v>
      </x:c>
      <x:c r="L993" s="70" t="s">
        <x:v>1385</x:v>
      </x:c>
      <x:c r="M993" s="70" t="s">
        <x:v>40</x:v>
      </x:c>
      <x:c r="N993" s="71" t="n">
        <x:v>777795</x:v>
      </x:c>
      <x:c r="O993" s="72" t="n">
        <x:f aca="0">N993/1000</x:f>
        <x:v>777.795</x:v>
      </x:c>
      <x:c r="P993" s="73" t="n">
        <x:f aca="0">DGKC!D47</x:f>
        <x:v>777.795</x:v>
      </x:c>
      <x:c r="Q993" s="70" t="str">
        <x:f aca="0">IF(ABS(O993-P993)&lt;0.000001,"PASS","FAIL")</x:f>
        <x:v>PASS</x:v>
      </x:c>
      <x:c r="R993" s="70" t="s">
        <x:v>34</x:v>
      </x:c>
      <x:c r="S993" s="70"/>
    </x:row>
    <x:row r="994" ht="15" hidden="0">
      <x:c r="A994" s="70" t="s">
        <x:v>2256</x:v>
      </x:c>
      <x:c r="B994" s="70" t="s">
        <x:v>37</x:v>
      </x:c>
      <x:c r="C994" s="70" t="s">
        <x:v>74</x:v>
      </x:c>
      <x:c r="D994" s="70" t="s">
        <x:v>347</x:v>
      </x:c>
      <x:c r="E994" s="70" t="s">
        <x:v>1129</x:v>
      </x:c>
      <x:c r="F994" s="70" t="s">
        <x:v>2255</x:v>
      </x:c>
      <x:c r="G994" s="70" t="s">
        <x:v>2113</x:v>
      </x:c>
      <x:c r="H994" s="70" t="s">
        <x:v>1208</x:v>
      </x:c>
      <x:c r="I994" s="70" t="s">
        <x:v>1199</x:v>
      </x:c>
      <x:c r="J994" s="70" t="n">
        <x:v>151</x:v>
      </x:c>
      <x:c r="K994" s="70" t="s">
        <x:v>2137</x:v>
      </x:c>
      <x:c r="L994" s="70" t="s">
        <x:v>1385</x:v>
      </x:c>
      <x:c r="M994" s="70" t="s">
        <x:v>40</x:v>
      </x:c>
      <x:c r="N994" s="71" t="n">
        <x:v>993817</x:v>
      </x:c>
      <x:c r="O994" s="72" t="n">
        <x:f aca="0">N994/1000</x:f>
        <x:v>993.817</x:v>
      </x:c>
      <x:c r="P994" s="73" t="n">
        <x:f aca="0">DGKC!E47</x:f>
        <x:v>993.817</x:v>
      </x:c>
      <x:c r="Q994" s="70" t="str">
        <x:f aca="0">IF(ABS(O994-P994)&lt;0.000001,"PASS","FAIL")</x:f>
        <x:v>PASS</x:v>
      </x:c>
      <x:c r="R994" s="70" t="s">
        <x:v>34</x:v>
      </x:c>
      <x:c r="S994" s="70"/>
    </x:row>
    <x:row r="995" ht="15" hidden="0">
      <x:c r="A995" s="70" t="s">
        <x:v>2257</x:v>
      </x:c>
      <x:c r="B995" s="70" t="s">
        <x:v>37</x:v>
      </x:c>
      <x:c r="C995" s="70" t="s">
        <x:v>75</x:v>
      </x:c>
      <x:c r="D995" s="70" t="s">
        <x:v>347</x:v>
      </x:c>
      <x:c r="E995" s="70" t="s">
        <x:v>1129</x:v>
      </x:c>
      <x:c r="F995" s="70" t="s">
        <x:v>2255</x:v>
      </x:c>
      <x:c r="G995" s="70" t="s">
        <x:v>2116</x:v>
      </x:c>
      <x:c r="H995" s="70" t="s">
        <x:v>1211</x:v>
      </x:c>
      <x:c r="I995" s="70" t="s">
        <x:v>1199</x:v>
      </x:c>
      <x:c r="J995" s="70" t="n">
        <x:v>151</x:v>
      </x:c>
      <x:c r="K995" s="70" t="s">
        <x:v>2137</x:v>
      </x:c>
      <x:c r="L995" s="70" t="s">
        <x:v>1385</x:v>
      </x:c>
      <x:c r="M995" s="70" t="s">
        <x:v>40</x:v>
      </x:c>
      <x:c r="N995" s="71" t="n">
        <x:v>1289212</x:v>
      </x:c>
      <x:c r="O995" s="72" t="n">
        <x:f aca="0">N995/1000</x:f>
        <x:v>1289.212</x:v>
      </x:c>
      <x:c r="P995" s="73" t="n">
        <x:f aca="0">DGKC!F47</x:f>
        <x:v>1289.212</x:v>
      </x:c>
      <x:c r="Q995" s="70" t="str">
        <x:f aca="0">IF(ABS(O995-P995)&lt;0.000001,"PASS","FAIL")</x:f>
        <x:v>PASS</x:v>
      </x:c>
      <x:c r="R995" s="70" t="s">
        <x:v>34</x:v>
      </x:c>
      <x:c r="S995" s="70"/>
    </x:row>
    <x:row r="996" ht="15" hidden="0">
      <x:c r="A996" s="70" t="s">
        <x:v>2258</x:v>
      </x:c>
      <x:c r="B996" s="70" t="s">
        <x:v>37</x:v>
      </x:c>
      <x:c r="C996" s="70" t="s">
        <x:v>76</x:v>
      </x:c>
      <x:c r="D996" s="70" t="s">
        <x:v>347</x:v>
      </x:c>
      <x:c r="E996" s="70" t="s">
        <x:v>1129</x:v>
      </x:c>
      <x:c r="F996" s="70" t="s">
        <x:v>2255</x:v>
      </x:c>
      <x:c r="G996" s="70" t="s">
        <x:v>2118</x:v>
      </x:c>
      <x:c r="H996" s="70" t="s">
        <x:v>1215</x:v>
      </x:c>
      <x:c r="I996" s="70" t="s">
        <x:v>1199</x:v>
      </x:c>
      <x:c r="J996" s="70" t="n">
        <x:v>153</x:v>
      </x:c>
      <x:c r="K996" s="70" t="s">
        <x:v>2140</x:v>
      </x:c>
      <x:c r="L996" s="70" t="s">
        <x:v>1385</x:v>
      </x:c>
      <x:c r="M996" s="70" t="s">
        <x:v>40</x:v>
      </x:c>
      <x:c r="N996" s="71" t="n">
        <x:v>1517297</x:v>
      </x:c>
      <x:c r="O996" s="72" t="n">
        <x:f aca="0">N996/1000</x:f>
        <x:v>1517.297</x:v>
      </x:c>
      <x:c r="P996" s="73" t="n">
        <x:f aca="0">DGKC!G47</x:f>
        <x:v>1517.297</x:v>
      </x:c>
      <x:c r="Q996" s="70" t="str">
        <x:f aca="0">IF(ABS(O996-P996)&lt;0.000001,"PASS","FAIL")</x:f>
        <x:v>PASS</x:v>
      </x:c>
      <x:c r="R996" s="70" t="s">
        <x:v>34</x:v>
      </x:c>
      <x:c r="S996" s="70"/>
    </x:row>
    <x:row r="997" ht="15" hidden="0">
      <x:c r="A997" s="70" t="s">
        <x:v>2259</x:v>
      </x:c>
      <x:c r="B997" s="70" t="s">
        <x:v>37</x:v>
      </x:c>
      <x:c r="C997" s="70" t="s">
        <x:v>77</x:v>
      </x:c>
      <x:c r="D997" s="70" t="s">
        <x:v>347</x:v>
      </x:c>
      <x:c r="E997" s="70" t="s">
        <x:v>1129</x:v>
      </x:c>
      <x:c r="F997" s="70" t="s">
        <x:v>2255</x:v>
      </x:c>
      <x:c r="G997" s="70" t="s">
        <x:v>2118</x:v>
      </x:c>
      <x:c r="H997" s="70" t="s">
        <x:v>1215</x:v>
      </x:c>
      <x:c r="I997" s="70" t="s">
        <x:v>1218</x:v>
      </x:c>
      <x:c r="J997" s="70" t="n">
        <x:v>153</x:v>
      </x:c>
      <x:c r="K997" s="70" t="s">
        <x:v>2140</x:v>
      </x:c>
      <x:c r="L997" s="70" t="s">
        <x:v>1385</x:v>
      </x:c>
      <x:c r="M997" s="70" t="s">
        <x:v>40</x:v>
      </x:c>
      <x:c r="N997" s="71" t="n">
        <x:v>1894931</x:v>
      </x:c>
      <x:c r="O997" s="72" t="n">
        <x:f aca="0">N997/1000</x:f>
        <x:v>1894.931</x:v>
      </x:c>
      <x:c r="P997" s="73" t="n">
        <x:f aca="0">DGKC!H47</x:f>
        <x:v>1894.931</x:v>
      </x:c>
      <x:c r="Q997" s="70" t="str">
        <x:f aca="0">IF(ABS(O997-P997)&lt;0.000001,"PASS","FAIL")</x:f>
        <x:v>PASS</x:v>
      </x:c>
      <x:c r="R997" s="70" t="s">
        <x:v>34</x:v>
      </x:c>
      <x:c r="S997" s="70"/>
    </x:row>
    <x:row r="998" ht="15" hidden="0">
      <x:c r="A998" s="70" t="s">
        <x:v>2260</x:v>
      </x:c>
      <x:c r="B998" s="70" t="s">
        <x:v>37</x:v>
      </x:c>
      <x:c r="C998" s="70" t="s">
        <x:v>1076</x:v>
      </x:c>
      <x:c r="D998" s="70" t="s">
        <x:v>352</x:v>
      </x:c>
      <x:c r="E998" s="70" t="s">
        <x:v>1129</x:v>
      </x:c>
      <x:c r="F998" s="70" t="s">
        <x:v>352</x:v>
      </x:c>
      <x:c r="G998" s="70" t="s">
        <x:v>2107</x:v>
      </x:c>
      <x:c r="H998" s="70" t="s">
        <x:v>1198</x:v>
      </x:c>
      <x:c r="I998" s="70" t="s">
        <x:v>1199</x:v>
      </x:c>
      <x:c r="J998" s="70" t="n">
        <x:v>105</x:v>
      </x:c>
      <x:c r="K998" s="70" t="s">
        <x:v>2133</x:v>
      </x:c>
      <x:c r="L998" s="70" t="s">
        <x:v>1397</x:v>
      </x:c>
      <x:c r="M998" s="70" t="s">
        <x:v>40</x:v>
      </x:c>
      <x:c r="N998" s="71" t="n">
        <x:v>11298187</x:v>
      </x:c>
      <x:c r="O998" s="72" t="n">
        <x:f aca="0">N998/1000</x:f>
        <x:v>11298.187</x:v>
      </x:c>
      <x:c r="P998" s="73" t="n">
        <x:f aca="0">DGKC!C50</x:f>
        <x:v>11298.187</x:v>
      </x:c>
      <x:c r="Q998" s="70" t="str">
        <x:f aca="0">IF(ABS(O998-P998)&lt;0.000001,"PASS","FAIL")</x:f>
        <x:v>PASS</x:v>
      </x:c>
      <x:c r="R998" s="70" t="s">
        <x:v>34</x:v>
      </x:c>
      <x:c r="S998" s="70"/>
    </x:row>
    <x:row r="999" ht="15" hidden="0">
      <x:c r="A999" s="70" t="s">
        <x:v>2261</x:v>
      </x:c>
      <x:c r="B999" s="70" t="s">
        <x:v>37</x:v>
      </x:c>
      <x:c r="C999" s="70" t="s">
        <x:v>73</x:v>
      </x:c>
      <x:c r="D999" s="70" t="s">
        <x:v>352</x:v>
      </x:c>
      <x:c r="E999" s="70" t="s">
        <x:v>1129</x:v>
      </x:c>
      <x:c r="F999" s="70" t="s">
        <x:v>352</x:v>
      </x:c>
      <x:c r="G999" s="70" t="s">
        <x:v>2110</x:v>
      </x:c>
      <x:c r="H999" s="70" t="s">
        <x:v>1204</x:v>
      </x:c>
      <x:c r="I999" s="70" t="s">
        <x:v>1199</x:v>
      </x:c>
      <x:c r="J999" s="70" t="n">
        <x:v>125</x:v>
      </x:c>
      <x:c r="K999" s="70" t="s">
        <x:v>2135</x:v>
      </x:c>
      <x:c r="L999" s="70" t="s">
        <x:v>1397</x:v>
      </x:c>
      <x:c r="M999" s="70" t="s">
        <x:v>40</x:v>
      </x:c>
      <x:c r="N999" s="71" t="n">
        <x:v>14923151</x:v>
      </x:c>
      <x:c r="O999" s="72" t="n">
        <x:f aca="0">N999/1000</x:f>
        <x:v>14923.151</x:v>
      </x:c>
      <x:c r="P999" s="73" t="n">
        <x:f aca="0">DGKC!D50</x:f>
        <x:v>14923.151</x:v>
      </x:c>
      <x:c r="Q999" s="70" t="str">
        <x:f aca="0">IF(ABS(O999-P999)&lt;0.000001,"PASS","FAIL")</x:f>
        <x:v>PASS</x:v>
      </x:c>
      <x:c r="R999" s="70" t="s">
        <x:v>34</x:v>
      </x:c>
      <x:c r="S999" s="70"/>
    </x:row>
    <x:row r="1000" ht="15" hidden="0">
      <x:c r="A1000" s="70" t="s">
        <x:v>2262</x:v>
      </x:c>
      <x:c r="B1000" s="70" t="s">
        <x:v>37</x:v>
      </x:c>
      <x:c r="C1000" s="70" t="s">
        <x:v>74</x:v>
      </x:c>
      <x:c r="D1000" s="70" t="s">
        <x:v>352</x:v>
      </x:c>
      <x:c r="E1000" s="70" t="s">
        <x:v>1129</x:v>
      </x:c>
      <x:c r="F1000" s="70" t="s">
        <x:v>352</x:v>
      </x:c>
      <x:c r="G1000" s="70" t="s">
        <x:v>2113</x:v>
      </x:c>
      <x:c r="H1000" s="70" t="s">
        <x:v>1208</x:v>
      </x:c>
      <x:c r="I1000" s="70" t="s">
        <x:v>1199</x:v>
      </x:c>
      <x:c r="J1000" s="70" t="n">
        <x:v>151</x:v>
      </x:c>
      <x:c r="K1000" s="70" t="s">
        <x:v>2137</x:v>
      </x:c>
      <x:c r="L1000" s="70" t="s">
        <x:v>1397</x:v>
      </x:c>
      <x:c r="M1000" s="70" t="s">
        <x:v>40</x:v>
      </x:c>
      <x:c r="N1000" s="71" t="n">
        <x:v>12591709</x:v>
      </x:c>
      <x:c r="O1000" s="72" t="n">
        <x:f aca="0">N1000/1000</x:f>
        <x:v>12591.709</x:v>
      </x:c>
      <x:c r="P1000" s="73" t="n">
        <x:f aca="0">DGKC!E50</x:f>
        <x:v>12591.709</x:v>
      </x:c>
      <x:c r="Q1000" s="70" t="str">
        <x:f aca="0">IF(ABS(O1000-P1000)&lt;0.000001,"PASS","FAIL")</x:f>
        <x:v>PASS</x:v>
      </x:c>
      <x:c r="R1000" s="70" t="s">
        <x:v>34</x:v>
      </x:c>
      <x:c r="S1000" s="70"/>
    </x:row>
    <x:row r="1001" ht="15" hidden="0">
      <x:c r="A1001" s="70" t="s">
        <x:v>2263</x:v>
      </x:c>
      <x:c r="B1001" s="70" t="s">
        <x:v>37</x:v>
      </x:c>
      <x:c r="C1001" s="70" t="s">
        <x:v>75</x:v>
      </x:c>
      <x:c r="D1001" s="70" t="s">
        <x:v>352</x:v>
      </x:c>
      <x:c r="E1001" s="70" t="s">
        <x:v>1129</x:v>
      </x:c>
      <x:c r="F1001" s="70" t="s">
        <x:v>352</x:v>
      </x:c>
      <x:c r="G1001" s="70" t="s">
        <x:v>2116</x:v>
      </x:c>
      <x:c r="H1001" s="70" t="s">
        <x:v>1211</x:v>
      </x:c>
      <x:c r="I1001" s="70" t="s">
        <x:v>1199</x:v>
      </x:c>
      <x:c r="J1001" s="70" t="n">
        <x:v>151</x:v>
      </x:c>
      <x:c r="K1001" s="70" t="s">
        <x:v>2137</x:v>
      </x:c>
      <x:c r="L1001" s="70" t="s">
        <x:v>1397</x:v>
      </x:c>
      <x:c r="M1001" s="70" t="s">
        <x:v>40</x:v>
      </x:c>
      <x:c r="N1001" s="71" t="n">
        <x:v>13783299</x:v>
      </x:c>
      <x:c r="O1001" s="72" t="n">
        <x:f aca="0">N1001/1000</x:f>
        <x:v>13783.299</x:v>
      </x:c>
      <x:c r="P1001" s="73" t="n">
        <x:f aca="0">DGKC!F50</x:f>
        <x:v>13783.299</x:v>
      </x:c>
      <x:c r="Q1001" s="70" t="str">
        <x:f aca="0">IF(ABS(O1001-P1001)&lt;0.000001,"PASS","FAIL")</x:f>
        <x:v>PASS</x:v>
      </x:c>
      <x:c r="R1001" s="70" t="s">
        <x:v>34</x:v>
      </x:c>
      <x:c r="S1001" s="70"/>
    </x:row>
    <x:row r="1002" ht="15" hidden="0">
      <x:c r="A1002" s="70" t="s">
        <x:v>2264</x:v>
      </x:c>
      <x:c r="B1002" s="70" t="s">
        <x:v>37</x:v>
      </x:c>
      <x:c r="C1002" s="70" t="s">
        <x:v>76</x:v>
      </x:c>
      <x:c r="D1002" s="70" t="s">
        <x:v>352</x:v>
      </x:c>
      <x:c r="E1002" s="70" t="s">
        <x:v>1129</x:v>
      </x:c>
      <x:c r="F1002" s="70" t="s">
        <x:v>352</x:v>
      </x:c>
      <x:c r="G1002" s="70" t="s">
        <x:v>2118</x:v>
      </x:c>
      <x:c r="H1002" s="70" t="s">
        <x:v>1215</x:v>
      </x:c>
      <x:c r="I1002" s="70" t="s">
        <x:v>1199</x:v>
      </x:c>
      <x:c r="J1002" s="70" t="n">
        <x:v>153</x:v>
      </x:c>
      <x:c r="K1002" s="70" t="s">
        <x:v>2140</x:v>
      </x:c>
      <x:c r="L1002" s="70" t="s">
        <x:v>1397</x:v>
      </x:c>
      <x:c r="M1002" s="70" t="s">
        <x:v>40</x:v>
      </x:c>
      <x:c r="N1002" s="71" t="n">
        <x:v>12394455</x:v>
      </x:c>
      <x:c r="O1002" s="72" t="n">
        <x:f aca="0">N1002/1000</x:f>
        <x:v>12394.455</x:v>
      </x:c>
      <x:c r="P1002" s="73" t="n">
        <x:f aca="0">DGKC!G50</x:f>
        <x:v>12394.455</x:v>
      </x:c>
      <x:c r="Q1002" s="70" t="str">
        <x:f aca="0">IF(ABS(O1002-P1002)&lt;0.000001,"PASS","FAIL")</x:f>
        <x:v>PASS</x:v>
      </x:c>
      <x:c r="R1002" s="70" t="s">
        <x:v>34</x:v>
      </x:c>
      <x:c r="S1002" s="70"/>
    </x:row>
    <x:row r="1003" ht="15" hidden="0">
      <x:c r="A1003" s="70" t="s">
        <x:v>2265</x:v>
      </x:c>
      <x:c r="B1003" s="70" t="s">
        <x:v>37</x:v>
      </x:c>
      <x:c r="C1003" s="70" t="s">
        <x:v>77</x:v>
      </x:c>
      <x:c r="D1003" s="70" t="s">
        <x:v>352</x:v>
      </x:c>
      <x:c r="E1003" s="70" t="s">
        <x:v>1129</x:v>
      </x:c>
      <x:c r="F1003" s="70" t="s">
        <x:v>352</x:v>
      </x:c>
      <x:c r="G1003" s="70" t="s">
        <x:v>2118</x:v>
      </x:c>
      <x:c r="H1003" s="70" t="s">
        <x:v>1215</x:v>
      </x:c>
      <x:c r="I1003" s="70" t="s">
        <x:v>1218</x:v>
      </x:c>
      <x:c r="J1003" s="70" t="n">
        <x:v>153</x:v>
      </x:c>
      <x:c r="K1003" s="70" t="s">
        <x:v>2140</x:v>
      </x:c>
      <x:c r="L1003" s="70" t="s">
        <x:v>1397</x:v>
      </x:c>
      <x:c r="M1003" s="70" t="s">
        <x:v>40</x:v>
      </x:c>
      <x:c r="N1003" s="71" t="n">
        <x:v>13333448</x:v>
      </x:c>
      <x:c r="O1003" s="72" t="n">
        <x:f aca="0">N1003/1000</x:f>
        <x:v>13333.448</x:v>
      </x:c>
      <x:c r="P1003" s="73" t="n">
        <x:f aca="0">DGKC!H50</x:f>
        <x:v>13333.448</x:v>
      </x:c>
      <x:c r="Q1003" s="70" t="str">
        <x:f aca="0">IF(ABS(O1003-P1003)&lt;0.000001,"PASS","FAIL")</x:f>
        <x:v>PASS</x:v>
      </x:c>
      <x:c r="R1003" s="70" t="s">
        <x:v>34</x:v>
      </x:c>
      <x:c r="S1003" s="70"/>
    </x:row>
    <x:row r="1004" ht="15" hidden="0">
      <x:c r="A1004" s="70" t="s">
        <x:v>2266</x:v>
      </x:c>
      <x:c r="B1004" s="70" t="s">
        <x:v>37</x:v>
      </x:c>
      <x:c r="C1004" s="70" t="s">
        <x:v>1076</x:v>
      </x:c>
      <x:c r="D1004" s="70" t="s">
        <x:v>1375</x:v>
      </x:c>
      <x:c r="E1004" s="70" t="s">
        <x:v>1221</x:v>
      </x:c>
      <x:c r="F1004" s="70" t="s">
        <x:v>2267</x:v>
      </x:c>
      <x:c r="G1004" s="70" t="s">
        <x:v>2107</x:v>
      </x:c>
      <x:c r="H1004" s="70" t="s">
        <x:v>1198</x:v>
      </x:c>
      <x:c r="I1004" s="70" t="s">
        <x:v>1199</x:v>
      </x:c>
      <x:c r="J1004" s="70" t="n">
        <x:v>135</x:v>
      </x:c>
      <x:c r="K1004" s="70" t="s">
        <x:v>2268</x:v>
      </x:c>
      <x:c r="L1004" s="70"/>
      <x:c r="M1004" s="70" t="s">
        <x:v>40</x:v>
      </x:c>
      <x:c r="N1004" s="71" t="n">
        <x:v>4325320</x:v>
      </x:c>
      <x:c r="O1004" s="72" t="n">
        <x:f aca="0">N1004/1000</x:f>
        <x:v>4325.32</x:v>
      </x:c>
      <x:c r="P1004" s="73" t="n">
        <x:f aca="0">DGKC!C51</x:f>
        <x:v>4325.32</x:v>
      </x:c>
      <x:c r="Q1004" s="70" t="str">
        <x:f aca="0">IF(ABS(O1004-P1004)&lt;0.000001,"PASS","FAIL")</x:f>
        <x:v>PASS</x:v>
      </x:c>
      <x:c r="R1004" s="70" t="s">
        <x:v>34</x:v>
      </x:c>
      <x:c r="S1004" s="70"/>
    </x:row>
    <x:row r="1005" ht="15" hidden="0">
      <x:c r="A1005" s="70" t="s">
        <x:v>2269</x:v>
      </x:c>
      <x:c r="B1005" s="70" t="s">
        <x:v>37</x:v>
      </x:c>
      <x:c r="C1005" s="70" t="s">
        <x:v>73</x:v>
      </x:c>
      <x:c r="D1005" s="70" t="s">
        <x:v>1375</x:v>
      </x:c>
      <x:c r="E1005" s="70" t="s">
        <x:v>1221</x:v>
      </x:c>
      <x:c r="F1005" s="70" t="s">
        <x:v>2267</x:v>
      </x:c>
      <x:c r="G1005" s="70" t="s">
        <x:v>2110</x:v>
      </x:c>
      <x:c r="H1005" s="70" t="s">
        <x:v>1204</x:v>
      </x:c>
      <x:c r="I1005" s="70" t="s">
        <x:v>1199</x:v>
      </x:c>
      <x:c r="J1005" s="70" t="n">
        <x:v>155</x:v>
      </x:c>
      <x:c r="K1005" s="70" t="s">
        <x:v>2270</x:v>
      </x:c>
      <x:c r="L1005" s="70"/>
      <x:c r="M1005" s="70" t="s">
        <x:v>40</x:v>
      </x:c>
      <x:c r="N1005" s="71" t="n">
        <x:v>7375630</x:v>
      </x:c>
      <x:c r="O1005" s="72" t="n">
        <x:f aca="0">N1005/1000</x:f>
        <x:v>7375.63</x:v>
      </x:c>
      <x:c r="P1005" s="73" t="n">
        <x:f aca="0">DGKC!D51</x:f>
        <x:v>7375.63</x:v>
      </x:c>
      <x:c r="Q1005" s="70" t="str">
        <x:f aca="0">IF(ABS(O1005-P1005)&lt;0.000001,"PASS","FAIL")</x:f>
        <x:v>PASS</x:v>
      </x:c>
      <x:c r="R1005" s="70" t="s">
        <x:v>34</x:v>
      </x:c>
      <x:c r="S1005" s="70"/>
    </x:row>
    <x:row r="1006" ht="15" hidden="0">
      <x:c r="A1006" s="70" t="s">
        <x:v>2271</x:v>
      </x:c>
      <x:c r="B1006" s="70" t="s">
        <x:v>37</x:v>
      </x:c>
      <x:c r="C1006" s="70" t="s">
        <x:v>74</x:v>
      </x:c>
      <x:c r="D1006" s="70" t="s">
        <x:v>1375</x:v>
      </x:c>
      <x:c r="E1006" s="70" t="s">
        <x:v>1221</x:v>
      </x:c>
      <x:c r="F1006" s="70" t="s">
        <x:v>2267</x:v>
      </x:c>
      <x:c r="G1006" s="70" t="s">
        <x:v>2113</x:v>
      </x:c>
      <x:c r="H1006" s="70" t="s">
        <x:v>1208</x:v>
      </x:c>
      <x:c r="I1006" s="70" t="s">
        <x:v>1199</x:v>
      </x:c>
      <x:c r="J1006" s="70" t="n">
        <x:v>180</x:v>
      </x:c>
      <x:c r="K1006" s="70" t="s">
        <x:v>2272</x:v>
      </x:c>
      <x:c r="L1006" s="70"/>
      <x:c r="M1006" s="70" t="s">
        <x:v>40</x:v>
      </x:c>
      <x:c r="N1006" s="71" t="n">
        <x:v>3871207</x:v>
      </x:c>
      <x:c r="O1006" s="72" t="n">
        <x:f aca="0">N1006/1000</x:f>
        <x:v>3871.207</x:v>
      </x:c>
      <x:c r="P1006" s="73" t="n">
        <x:f aca="0">DGKC!E51</x:f>
        <x:v>3871.207</x:v>
      </x:c>
      <x:c r="Q1006" s="70" t="str">
        <x:f aca="0">IF(ABS(O1006-P1006)&lt;0.000001,"PASS","FAIL")</x:f>
        <x:v>PASS</x:v>
      </x:c>
      <x:c r="R1006" s="70" t="s">
        <x:v>34</x:v>
      </x:c>
      <x:c r="S1006" s="70"/>
    </x:row>
    <x:row r="1007" ht="15" hidden="0">
      <x:c r="A1007" s="70" t="s">
        <x:v>2273</x:v>
      </x:c>
      <x:c r="B1007" s="70" t="s">
        <x:v>37</x:v>
      </x:c>
      <x:c r="C1007" s="70" t="s">
        <x:v>75</x:v>
      </x:c>
      <x:c r="D1007" s="70" t="s">
        <x:v>1375</x:v>
      </x:c>
      <x:c r="E1007" s="70" t="s">
        <x:v>1221</x:v>
      </x:c>
      <x:c r="F1007" s="70" t="s">
        <x:v>2267</x:v>
      </x:c>
      <x:c r="G1007" s="70" t="s">
        <x:v>2116</x:v>
      </x:c>
      <x:c r="H1007" s="70" t="s">
        <x:v>1211</x:v>
      </x:c>
      <x:c r="I1007" s="70" t="s">
        <x:v>1199</x:v>
      </x:c>
      <x:c r="J1007" s="70" t="n">
        <x:v>182</x:v>
      </x:c>
      <x:c r="K1007" s="70" t="s">
        <x:v>2274</x:v>
      </x:c>
      <x:c r="L1007" s="70"/>
      <x:c r="M1007" s="70" t="s">
        <x:v>40</x:v>
      </x:c>
      <x:c r="N1007" s="71" t="n">
        <x:v>6530049</x:v>
      </x:c>
      <x:c r="O1007" s="72" t="n">
        <x:f aca="0">N1007/1000</x:f>
        <x:v>6530.049</x:v>
      </x:c>
      <x:c r="P1007" s="73" t="n">
        <x:f aca="0">DGKC!F51</x:f>
        <x:v>6530.049</x:v>
      </x:c>
      <x:c r="Q1007" s="70" t="str">
        <x:f aca="0">IF(ABS(O1007-P1007)&lt;0.000001,"PASS","FAIL")</x:f>
        <x:v>PASS</x:v>
      </x:c>
      <x:c r="R1007" s="70" t="s">
        <x:v>34</x:v>
      </x:c>
      <x:c r="S1007" s="70"/>
    </x:row>
    <x:row r="1008" ht="15" hidden="0">
      <x:c r="A1008" s="70" t="s">
        <x:v>2275</x:v>
      </x:c>
      <x:c r="B1008" s="70" t="s">
        <x:v>37</x:v>
      </x:c>
      <x:c r="C1008" s="70" t="s">
        <x:v>76</x:v>
      </x:c>
      <x:c r="D1008" s="70" t="s">
        <x:v>1375</x:v>
      </x:c>
      <x:c r="E1008" s="70" t="s">
        <x:v>1221</x:v>
      </x:c>
      <x:c r="F1008" s="70" t="s">
        <x:v>2267</x:v>
      </x:c>
      <x:c r="G1008" s="70" t="s">
        <x:v>2118</x:v>
      </x:c>
      <x:c r="H1008" s="70" t="s">
        <x:v>1215</x:v>
      </x:c>
      <x:c r="I1008" s="70" t="s">
        <x:v>1199</x:v>
      </x:c>
      <x:c r="J1008" s="70" t="n">
        <x:v>183</x:v>
      </x:c>
      <x:c r="K1008" s="70" t="s">
        <x:v>2276</x:v>
      </x:c>
      <x:c r="L1008" s="70"/>
      <x:c r="M1008" s="70" t="s">
        <x:v>40</x:v>
      </x:c>
      <x:c r="N1008" s="71" t="n">
        <x:v>5046744</x:v>
      </x:c>
      <x:c r="O1008" s="72" t="n">
        <x:f aca="0">N1008/1000</x:f>
        <x:v>5046.744</x:v>
      </x:c>
      <x:c r="P1008" s="73" t="n">
        <x:f aca="0">DGKC!G51</x:f>
        <x:v>5046.744</x:v>
      </x:c>
      <x:c r="Q1008" s="70" t="str">
        <x:f aca="0">IF(ABS(O1008-P1008)&lt;0.000001,"PASS","FAIL")</x:f>
        <x:v>PASS</x:v>
      </x:c>
      <x:c r="R1008" s="70" t="s">
        <x:v>34</x:v>
      </x:c>
      <x:c r="S1008" s="70"/>
    </x:row>
    <x:row r="1009" ht="15" hidden="0">
      <x:c r="A1009" s="70" t="s">
        <x:v>2277</x:v>
      </x:c>
      <x:c r="B1009" s="70" t="s">
        <x:v>37</x:v>
      </x:c>
      <x:c r="C1009" s="70" t="s">
        <x:v>77</x:v>
      </x:c>
      <x:c r="D1009" s="70" t="s">
        <x:v>1375</x:v>
      </x:c>
      <x:c r="E1009" s="70" t="s">
        <x:v>1221</x:v>
      </x:c>
      <x:c r="F1009" s="70" t="s">
        <x:v>2267</x:v>
      </x:c>
      <x:c r="G1009" s="70" t="s">
        <x:v>2118</x:v>
      </x:c>
      <x:c r="H1009" s="70" t="s">
        <x:v>1215</x:v>
      </x:c>
      <x:c r="I1009" s="70" t="s">
        <x:v>1218</x:v>
      </x:c>
      <x:c r="J1009" s="70" t="n">
        <x:v>183</x:v>
      </x:c>
      <x:c r="K1009" s="70" t="s">
        <x:v>2276</x:v>
      </x:c>
      <x:c r="L1009" s="70"/>
      <x:c r="M1009" s="70" t="s">
        <x:v>40</x:v>
      </x:c>
      <x:c r="N1009" s="71" t="n">
        <x:v>3900142</x:v>
      </x:c>
      <x:c r="O1009" s="72" t="n">
        <x:f aca="0">N1009/1000</x:f>
        <x:v>3900.142</x:v>
      </x:c>
      <x:c r="P1009" s="73" t="n">
        <x:f aca="0">DGKC!H51</x:f>
        <x:v>3900.142</x:v>
      </x:c>
      <x:c r="Q1009" s="70" t="str">
        <x:f aca="0">IF(ABS(O1009-P1009)&lt;0.000001,"PASS","FAIL")</x:f>
        <x:v>PASS</x:v>
      </x:c>
      <x:c r="R1009" s="70" t="s">
        <x:v>34</x:v>
      </x:c>
      <x:c r="S1009" s="70"/>
    </x:row>
    <x:row r="1010" ht="15" hidden="0">
      <x:c r="A1010" s="70" t="s">
        <x:v>2278</x:v>
      </x:c>
      <x:c r="B1010" s="70" t="s">
        <x:v>37</x:v>
      </x:c>
      <x:c r="C1010" s="70" t="s">
        <x:v>1076</x:v>
      </x:c>
      <x:c r="D1010" s="70" t="s">
        <x:v>356</x:v>
      </x:c>
      <x:c r="E1010" s="70" t="s">
        <x:v>1129</x:v>
      </x:c>
      <x:c r="F1010" s="70"/>
      <x:c r="G1010" s="70" t="s">
        <x:v>2107</x:v>
      </x:c>
      <x:c r="H1010" s="70" t="s">
        <x:v>1198</x:v>
      </x:c>
      <x:c r="I1010" s="70" t="s">
        <x:v>1199</x:v>
      </x:c>
      <x:c r="J1010" s="70" t="n">
        <x:v>105</x:v>
      </x:c>
      <x:c r="K1010" s="70" t="s">
        <x:v>2133</x:v>
      </x:c>
      <x:c r="L1010" s="70"/>
      <x:c r="M1010" s="70" t="s">
        <x:v>40</x:v>
      </x:c>
      <x:c r="N1010" s="71" t="n">
        <x:v>0</x:v>
      </x:c>
      <x:c r="O1010" s="72" t="n">
        <x:f aca="0">N1010/1000</x:f>
        <x:v>0</x:v>
      </x:c>
      <x:c r="P1010" s="73" t="n">
        <x:f aca="0">DGKC!C52</x:f>
        <x:v>0</x:v>
      </x:c>
      <x:c r="Q1010" s="70" t="str">
        <x:f aca="0">IF(ABS(O1010-P1010)&lt;0.000001,"PASS","FAIL")</x:f>
        <x:v>PASS</x:v>
      </x:c>
      <x:c r="R1010" s="70" t="s">
        <x:v>34</x:v>
      </x:c>
      <x:c r="S1010" s="70"/>
    </x:row>
    <x:row r="1011" ht="15" hidden="0">
      <x:c r="A1011" s="70" t="s">
        <x:v>2279</x:v>
      </x:c>
      <x:c r="B1011" s="70" t="s">
        <x:v>37</x:v>
      </x:c>
      <x:c r="C1011" s="70" t="s">
        <x:v>73</x:v>
      </x:c>
      <x:c r="D1011" s="70" t="s">
        <x:v>356</x:v>
      </x:c>
      <x:c r="E1011" s="70" t="s">
        <x:v>1129</x:v>
      </x:c>
      <x:c r="F1011" s="70"/>
      <x:c r="G1011" s="70" t="s">
        <x:v>2110</x:v>
      </x:c>
      <x:c r="H1011" s="70" t="s">
        <x:v>1204</x:v>
      </x:c>
      <x:c r="I1011" s="70" t="s">
        <x:v>1199</x:v>
      </x:c>
      <x:c r="J1011" s="70" t="n">
        <x:v>125</x:v>
      </x:c>
      <x:c r="K1011" s="70" t="s">
        <x:v>2135</x:v>
      </x:c>
      <x:c r="L1011" s="70"/>
      <x:c r="M1011" s="70" t="s">
        <x:v>40</x:v>
      </x:c>
      <x:c r="N1011" s="71" t="n">
        <x:v>0</x:v>
      </x:c>
      <x:c r="O1011" s="72" t="n">
        <x:f aca="0">N1011/1000</x:f>
        <x:v>0</x:v>
      </x:c>
      <x:c r="P1011" s="73" t="n">
        <x:f aca="0">DGKC!D52</x:f>
        <x:v>0</x:v>
      </x:c>
      <x:c r="Q1011" s="70" t="str">
        <x:f aca="0">IF(ABS(O1011-P1011)&lt;0.000001,"PASS","FAIL")</x:f>
        <x:v>PASS</x:v>
      </x:c>
      <x:c r="R1011" s="70" t="s">
        <x:v>34</x:v>
      </x:c>
      <x:c r="S1011" s="70"/>
    </x:row>
    <x:row r="1012" ht="15" hidden="0">
      <x:c r="A1012" s="70" t="s">
        <x:v>2280</x:v>
      </x:c>
      <x:c r="B1012" s="70" t="s">
        <x:v>37</x:v>
      </x:c>
      <x:c r="C1012" s="70" t="s">
        <x:v>74</x:v>
      </x:c>
      <x:c r="D1012" s="70" t="s">
        <x:v>356</x:v>
      </x:c>
      <x:c r="E1012" s="70" t="s">
        <x:v>1129</x:v>
      </x:c>
      <x:c r="F1012" s="70"/>
      <x:c r="G1012" s="70" t="s">
        <x:v>2113</x:v>
      </x:c>
      <x:c r="H1012" s="70" t="s">
        <x:v>1208</x:v>
      </x:c>
      <x:c r="I1012" s="70" t="s">
        <x:v>1199</x:v>
      </x:c>
      <x:c r="J1012" s="70" t="n">
        <x:v>151</x:v>
      </x:c>
      <x:c r="K1012" s="70" t="s">
        <x:v>2137</x:v>
      </x:c>
      <x:c r="L1012" s="70"/>
      <x:c r="M1012" s="70" t="s">
        <x:v>40</x:v>
      </x:c>
      <x:c r="N1012" s="71" t="n">
        <x:v>0</x:v>
      </x:c>
      <x:c r="O1012" s="72" t="n">
        <x:f aca="0">N1012/1000</x:f>
        <x:v>0</x:v>
      </x:c>
      <x:c r="P1012" s="73" t="n">
        <x:f aca="0">DGKC!E52</x:f>
        <x:v>0</x:v>
      </x:c>
      <x:c r="Q1012" s="70" t="str">
        <x:f aca="0">IF(ABS(O1012-P1012)&lt;0.000001,"PASS","FAIL")</x:f>
        <x:v>PASS</x:v>
      </x:c>
      <x:c r="R1012" s="70" t="s">
        <x:v>34</x:v>
      </x:c>
      <x:c r="S1012" s="70"/>
    </x:row>
    <x:row r="1013" ht="15" hidden="0">
      <x:c r="A1013" s="70" t="s">
        <x:v>2281</x:v>
      </x:c>
      <x:c r="B1013" s="70" t="s">
        <x:v>37</x:v>
      </x:c>
      <x:c r="C1013" s="70" t="s">
        <x:v>75</x:v>
      </x:c>
      <x:c r="D1013" s="70" t="s">
        <x:v>356</x:v>
      </x:c>
      <x:c r="E1013" s="70" t="s">
        <x:v>1129</x:v>
      </x:c>
      <x:c r="F1013" s="70"/>
      <x:c r="G1013" s="70" t="s">
        <x:v>2116</x:v>
      </x:c>
      <x:c r="H1013" s="70" t="s">
        <x:v>1211</x:v>
      </x:c>
      <x:c r="I1013" s="70" t="s">
        <x:v>1199</x:v>
      </x:c>
      <x:c r="J1013" s="70" t="n">
        <x:v>151</x:v>
      </x:c>
      <x:c r="K1013" s="70" t="s">
        <x:v>2137</x:v>
      </x:c>
      <x:c r="L1013" s="70"/>
      <x:c r="M1013" s="70" t="s">
        <x:v>40</x:v>
      </x:c>
      <x:c r="N1013" s="71" t="n">
        <x:v>0</x:v>
      </x:c>
      <x:c r="O1013" s="72" t="n">
        <x:f aca="0">N1013/1000</x:f>
        <x:v>0</x:v>
      </x:c>
      <x:c r="P1013" s="73" t="n">
        <x:f aca="0">DGKC!F52</x:f>
        <x:v>0</x:v>
      </x:c>
      <x:c r="Q1013" s="70" t="str">
        <x:f aca="0">IF(ABS(O1013-P1013)&lt;0.000001,"PASS","FAIL")</x:f>
        <x:v>PASS</x:v>
      </x:c>
      <x:c r="R1013" s="70" t="s">
        <x:v>34</x:v>
      </x:c>
      <x:c r="S1013" s="70"/>
    </x:row>
    <x:row r="1014" ht="15" hidden="0">
      <x:c r="A1014" s="70" t="s">
        <x:v>2282</x:v>
      </x:c>
      <x:c r="B1014" s="70" t="s">
        <x:v>37</x:v>
      </x:c>
      <x:c r="C1014" s="70" t="s">
        <x:v>76</x:v>
      </x:c>
      <x:c r="D1014" s="70" t="s">
        <x:v>356</x:v>
      </x:c>
      <x:c r="E1014" s="70" t="s">
        <x:v>1129</x:v>
      </x:c>
      <x:c r="F1014" s="70"/>
      <x:c r="G1014" s="70" t="s">
        <x:v>2118</x:v>
      </x:c>
      <x:c r="H1014" s="70" t="s">
        <x:v>1215</x:v>
      </x:c>
      <x:c r="I1014" s="70" t="s">
        <x:v>1199</x:v>
      </x:c>
      <x:c r="J1014" s="70" t="n">
        <x:v>153</x:v>
      </x:c>
      <x:c r="K1014" s="70" t="s">
        <x:v>2140</x:v>
      </x:c>
      <x:c r="L1014" s="70"/>
      <x:c r="M1014" s="70" t="s">
        <x:v>40</x:v>
      </x:c>
      <x:c r="N1014" s="71" t="n">
        <x:v>0</x:v>
      </x:c>
      <x:c r="O1014" s="72" t="n">
        <x:f aca="0">N1014/1000</x:f>
        <x:v>0</x:v>
      </x:c>
      <x:c r="P1014" s="73" t="n">
        <x:f aca="0">DGKC!G52</x:f>
        <x:v>0</x:v>
      </x:c>
      <x:c r="Q1014" s="70" t="str">
        <x:f aca="0">IF(ABS(O1014-P1014)&lt;0.000001,"PASS","FAIL")</x:f>
        <x:v>PASS</x:v>
      </x:c>
      <x:c r="R1014" s="70" t="s">
        <x:v>34</x:v>
      </x:c>
      <x:c r="S1014" s="70"/>
    </x:row>
    <x:row r="1015" ht="15" hidden="0">
      <x:c r="A1015" s="70" t="s">
        <x:v>2283</x:v>
      </x:c>
      <x:c r="B1015" s="70" t="s">
        <x:v>37</x:v>
      </x:c>
      <x:c r="C1015" s="70" t="s">
        <x:v>77</x:v>
      </x:c>
      <x:c r="D1015" s="70" t="s">
        <x:v>356</x:v>
      </x:c>
      <x:c r="E1015" s="70" t="s">
        <x:v>1129</x:v>
      </x:c>
      <x:c r="F1015" s="70"/>
      <x:c r="G1015" s="70" t="s">
        <x:v>2118</x:v>
      </x:c>
      <x:c r="H1015" s="70" t="s">
        <x:v>1215</x:v>
      </x:c>
      <x:c r="I1015" s="70" t="s">
        <x:v>1218</x:v>
      </x:c>
      <x:c r="J1015" s="70" t="n">
        <x:v>153</x:v>
      </x:c>
      <x:c r="K1015" s="70" t="s">
        <x:v>2140</x:v>
      </x:c>
      <x:c r="L1015" s="70"/>
      <x:c r="M1015" s="70" t="s">
        <x:v>40</x:v>
      </x:c>
      <x:c r="N1015" s="71" t="n">
        <x:v>0</x:v>
      </x:c>
      <x:c r="O1015" s="72" t="n">
        <x:f aca="0">N1015/1000</x:f>
        <x:v>0</x:v>
      </x:c>
      <x:c r="P1015" s="73" t="n">
        <x:f aca="0">DGKC!H52</x:f>
        <x:v>0</x:v>
      </x:c>
      <x:c r="Q1015" s="70" t="str">
        <x:f aca="0">IF(ABS(O1015-P1015)&lt;0.000001,"PASS","FAIL")</x:f>
        <x:v>PASS</x:v>
      </x:c>
      <x:c r="R1015" s="70" t="s">
        <x:v>34</x:v>
      </x:c>
      <x:c r="S1015" s="70"/>
    </x:row>
    <x:row r="1016" ht="15" hidden="0">
      <x:c r="A1016" s="70" t="s">
        <x:v>2284</x:v>
      </x:c>
      <x:c r="B1016" s="70" t="s">
        <x:v>37</x:v>
      </x:c>
      <x:c r="C1016" s="70" t="s">
        <x:v>1076</x:v>
      </x:c>
      <x:c r="D1016" s="70" t="s">
        <x:v>358</x:v>
      </x:c>
      <x:c r="E1016" s="70" t="s">
        <x:v>1129</x:v>
      </x:c>
      <x:c r="F1016" s="70" t="s">
        <x:v>1836</x:v>
      </x:c>
      <x:c r="G1016" s="70" t="s">
        <x:v>2107</x:v>
      </x:c>
      <x:c r="H1016" s="70" t="s">
        <x:v>1198</x:v>
      </x:c>
      <x:c r="I1016" s="70" t="s">
        <x:v>1199</x:v>
      </x:c>
      <x:c r="J1016" s="70" t="n">
        <x:v>105</x:v>
      </x:c>
      <x:c r="K1016" s="70" t="s">
        <x:v>2133</x:v>
      </x:c>
      <x:c r="L1016" s="70" t="s">
        <x:v>1216</x:v>
      </x:c>
      <x:c r="M1016" s="70" t="s">
        <x:v>40</x:v>
      </x:c>
      <x:c r="N1016" s="71" t="n">
        <x:v>712275</x:v>
      </x:c>
      <x:c r="O1016" s="72" t="n">
        <x:f aca="0">N1016/1000</x:f>
        <x:v>712.275</x:v>
      </x:c>
      <x:c r="P1016" s="73" t="n">
        <x:f aca="0">DGKC!C53</x:f>
        <x:v>712.275</x:v>
      </x:c>
      <x:c r="Q1016" s="70" t="str">
        <x:f aca="0">IF(ABS(O1016-P1016)&lt;0.000001,"PASS","FAIL")</x:f>
        <x:v>PASS</x:v>
      </x:c>
      <x:c r="R1016" s="70" t="s">
        <x:v>34</x:v>
      </x:c>
      <x:c r="S1016" s="70"/>
    </x:row>
    <x:row r="1017" ht="15" hidden="0">
      <x:c r="A1017" s="70" t="s">
        <x:v>2285</x:v>
      </x:c>
      <x:c r="B1017" s="70" t="s">
        <x:v>37</x:v>
      </x:c>
      <x:c r="C1017" s="70" t="s">
        <x:v>73</x:v>
      </x:c>
      <x:c r="D1017" s="70" t="s">
        <x:v>358</x:v>
      </x:c>
      <x:c r="E1017" s="70" t="s">
        <x:v>1129</x:v>
      </x:c>
      <x:c r="F1017" s="70" t="s">
        <x:v>1836</x:v>
      </x:c>
      <x:c r="G1017" s="70" t="s">
        <x:v>2110</x:v>
      </x:c>
      <x:c r="H1017" s="70" t="s">
        <x:v>1204</x:v>
      </x:c>
      <x:c r="I1017" s="70" t="s">
        <x:v>1199</x:v>
      </x:c>
      <x:c r="J1017" s="70" t="n">
        <x:v>125</x:v>
      </x:c>
      <x:c r="K1017" s="70" t="s">
        <x:v>2135</x:v>
      </x:c>
      <x:c r="L1017" s="70" t="s">
        <x:v>1212</x:v>
      </x:c>
      <x:c r="M1017" s="70" t="s">
        <x:v>40</x:v>
      </x:c>
      <x:c r="N1017" s="71" t="n">
        <x:v>507769</x:v>
      </x:c>
      <x:c r="O1017" s="72" t="n">
        <x:f aca="0">N1017/1000</x:f>
        <x:v>507.769</x:v>
      </x:c>
      <x:c r="P1017" s="73" t="n">
        <x:f aca="0">DGKC!D53</x:f>
        <x:v>507.769</x:v>
      </x:c>
      <x:c r="Q1017" s="70" t="str">
        <x:f aca="0">IF(ABS(O1017-P1017)&lt;0.000001,"PASS","FAIL")</x:f>
        <x:v>PASS</x:v>
      </x:c>
      <x:c r="R1017" s="70" t="s">
        <x:v>34</x:v>
      </x:c>
      <x:c r="S1017" s="70"/>
    </x:row>
    <x:row r="1018" ht="15" hidden="0">
      <x:c r="A1018" s="70" t="s">
        <x:v>2286</x:v>
      </x:c>
      <x:c r="B1018" s="70" t="s">
        <x:v>37</x:v>
      </x:c>
      <x:c r="C1018" s="70" t="s">
        <x:v>74</x:v>
      </x:c>
      <x:c r="D1018" s="70" t="s">
        <x:v>358</x:v>
      </x:c>
      <x:c r="E1018" s="70" t="s">
        <x:v>1129</x:v>
      </x:c>
      <x:c r="F1018" s="70" t="s">
        <x:v>1836</x:v>
      </x:c>
      <x:c r="G1018" s="70" t="s">
        <x:v>2113</x:v>
      </x:c>
      <x:c r="H1018" s="70" t="s">
        <x:v>1208</x:v>
      </x:c>
      <x:c r="I1018" s="70" t="s">
        <x:v>1199</x:v>
      </x:c>
      <x:c r="J1018" s="70" t="n">
        <x:v>151</x:v>
      </x:c>
      <x:c r="K1018" s="70" t="s">
        <x:v>2137</x:v>
      </x:c>
      <x:c r="L1018" s="70" t="s">
        <x:v>1212</x:v>
      </x:c>
      <x:c r="M1018" s="70" t="s">
        <x:v>40</x:v>
      </x:c>
      <x:c r="N1018" s="71" t="n">
        <x:v>883229</x:v>
      </x:c>
      <x:c r="O1018" s="72" t="n">
        <x:f aca="0">N1018/1000</x:f>
        <x:v>883.229</x:v>
      </x:c>
      <x:c r="P1018" s="73" t="n">
        <x:f aca="0">DGKC!E53</x:f>
        <x:v>883.229</x:v>
      </x:c>
      <x:c r="Q1018" s="70" t="str">
        <x:f aca="0">IF(ABS(O1018-P1018)&lt;0.000001,"PASS","FAIL")</x:f>
        <x:v>PASS</x:v>
      </x:c>
      <x:c r="R1018" s="70" t="s">
        <x:v>34</x:v>
      </x:c>
      <x:c r="S1018" s="70"/>
    </x:row>
    <x:row r="1019" ht="15" hidden="0">
      <x:c r="A1019" s="70" t="s">
        <x:v>2287</x:v>
      </x:c>
      <x:c r="B1019" s="70" t="s">
        <x:v>37</x:v>
      </x:c>
      <x:c r="C1019" s="70" t="s">
        <x:v>75</x:v>
      </x:c>
      <x:c r="D1019" s="70" t="s">
        <x:v>358</x:v>
      </x:c>
      <x:c r="E1019" s="70" t="s">
        <x:v>1129</x:v>
      </x:c>
      <x:c r="F1019" s="70" t="s">
        <x:v>1104</x:v>
      </x:c>
      <x:c r="G1019" s="70" t="s">
        <x:v>2116</x:v>
      </x:c>
      <x:c r="H1019" s="70" t="s">
        <x:v>1211</x:v>
      </x:c>
      <x:c r="I1019" s="70" t="s">
        <x:v>1199</x:v>
      </x:c>
      <x:c r="J1019" s="70" t="n">
        <x:v>151</x:v>
      </x:c>
      <x:c r="K1019" s="70" t="s">
        <x:v>2137</x:v>
      </x:c>
      <x:c r="L1019" s="70" t="s">
        <x:v>1212</x:v>
      </x:c>
      <x:c r="M1019" s="70" t="s">
        <x:v>40</x:v>
      </x:c>
      <x:c r="N1019" s="71" t="n">
        <x:v>1739547</x:v>
      </x:c>
      <x:c r="O1019" s="72" t="n">
        <x:f aca="0">N1019/1000</x:f>
        <x:v>1739.547</x:v>
      </x:c>
      <x:c r="P1019" s="73" t="n">
        <x:f aca="0">DGKC!F53</x:f>
        <x:v>1739.547</x:v>
      </x:c>
      <x:c r="Q1019" s="70" t="str">
        <x:f aca="0">IF(ABS(O1019-P1019)&lt;0.000001,"PASS","FAIL")</x:f>
        <x:v>PASS</x:v>
      </x:c>
      <x:c r="R1019" s="70" t="s">
        <x:v>34</x:v>
      </x:c>
      <x:c r="S1019" s="70"/>
    </x:row>
    <x:row r="1020" ht="15" hidden="0">
      <x:c r="A1020" s="70" t="s">
        <x:v>2288</x:v>
      </x:c>
      <x:c r="B1020" s="70" t="s">
        <x:v>37</x:v>
      </x:c>
      <x:c r="C1020" s="70" t="s">
        <x:v>76</x:v>
      </x:c>
      <x:c r="D1020" s="70" t="s">
        <x:v>358</x:v>
      </x:c>
      <x:c r="E1020" s="70" t="s">
        <x:v>1129</x:v>
      </x:c>
      <x:c r="F1020" s="70" t="s">
        <x:v>1104</x:v>
      </x:c>
      <x:c r="G1020" s="70" t="s">
        <x:v>2118</x:v>
      </x:c>
      <x:c r="H1020" s="70" t="s">
        <x:v>1215</x:v>
      </x:c>
      <x:c r="I1020" s="70" t="s">
        <x:v>1199</x:v>
      </x:c>
      <x:c r="J1020" s="70" t="n">
        <x:v>153</x:v>
      </x:c>
      <x:c r="K1020" s="70" t="s">
        <x:v>2140</x:v>
      </x:c>
      <x:c r="L1020" s="70" t="s">
        <x:v>1212</x:v>
      </x:c>
      <x:c r="M1020" s="70" t="s">
        <x:v>40</x:v>
      </x:c>
      <x:c r="N1020" s="71" t="n">
        <x:v>1280446</x:v>
      </x:c>
      <x:c r="O1020" s="72" t="n">
        <x:f aca="0">N1020/1000</x:f>
        <x:v>1280.446</x:v>
      </x:c>
      <x:c r="P1020" s="73" t="n">
        <x:f aca="0">DGKC!G53</x:f>
        <x:v>1280.446</x:v>
      </x:c>
      <x:c r="Q1020" s="70" t="str">
        <x:f aca="0">IF(ABS(O1020-P1020)&lt;0.000001,"PASS","FAIL")</x:f>
        <x:v>PASS</x:v>
      </x:c>
      <x:c r="R1020" s="70" t="s">
        <x:v>34</x:v>
      </x:c>
      <x:c r="S1020" s="70"/>
    </x:row>
    <x:row r="1021" ht="15" hidden="0">
      <x:c r="A1021" s="70" t="s">
        <x:v>2289</x:v>
      </x:c>
      <x:c r="B1021" s="70" t="s">
        <x:v>37</x:v>
      </x:c>
      <x:c r="C1021" s="70" t="s">
        <x:v>77</x:v>
      </x:c>
      <x:c r="D1021" s="70" t="s">
        <x:v>358</x:v>
      </x:c>
      <x:c r="E1021" s="70" t="s">
        <x:v>1129</x:v>
      </x:c>
      <x:c r="F1021" s="70" t="s">
        <x:v>1104</x:v>
      </x:c>
      <x:c r="G1021" s="70" t="s">
        <x:v>2118</x:v>
      </x:c>
      <x:c r="H1021" s="70" t="s">
        <x:v>1215</x:v>
      </x:c>
      <x:c r="I1021" s="70" t="s">
        <x:v>1218</x:v>
      </x:c>
      <x:c r="J1021" s="70" t="n">
        <x:v>153</x:v>
      </x:c>
      <x:c r="K1021" s="70" t="s">
        <x:v>2140</x:v>
      </x:c>
      <x:c r="L1021" s="70" t="s">
        <x:v>1212</x:v>
      </x:c>
      <x:c r="M1021" s="70" t="s">
        <x:v>40</x:v>
      </x:c>
      <x:c r="N1021" s="71" t="n">
        <x:v>229652</x:v>
      </x:c>
      <x:c r="O1021" s="72" t="n">
        <x:f aca="0">N1021/1000</x:f>
        <x:v>229.652</x:v>
      </x:c>
      <x:c r="P1021" s="73" t="n">
        <x:f aca="0">DGKC!H53</x:f>
        <x:v>229.652</x:v>
      </x:c>
      <x:c r="Q1021" s="70" t="str">
        <x:f aca="0">IF(ABS(O1021-P1021)&lt;0.000001,"PASS","FAIL")</x:f>
        <x:v>PASS</x:v>
      </x:c>
      <x:c r="R1021" s="70" t="s">
        <x:v>34</x:v>
      </x:c>
      <x:c r="S1021" s="70"/>
    </x:row>
    <x:row r="1022" ht="15" hidden="0">
      <x:c r="A1022" s="70" t="s">
        <x:v>2290</x:v>
      </x:c>
      <x:c r="B1022" s="70" t="s">
        <x:v>37</x:v>
      </x:c>
      <x:c r="C1022" s="70" t="s">
        <x:v>1076</x:v>
      </x:c>
      <x:c r="D1022" s="70" t="s">
        <x:v>360</x:v>
      </x:c>
      <x:c r="E1022" s="70" t="s">
        <x:v>1129</x:v>
      </x:c>
      <x:c r="F1022" s="70" t="s">
        <x:v>1401</x:v>
      </x:c>
      <x:c r="G1022" s="70" t="s">
        <x:v>2107</x:v>
      </x:c>
      <x:c r="H1022" s="70" t="s">
        <x:v>1198</x:v>
      </x:c>
      <x:c r="I1022" s="70" t="s">
        <x:v>1199</x:v>
      </x:c>
      <x:c r="J1022" s="70" t="n">
        <x:v>105</x:v>
      </x:c>
      <x:c r="K1022" s="70" t="s">
        <x:v>2133</x:v>
      </x:c>
      <x:c r="L1022" s="70" t="s">
        <x:v>1212</x:v>
      </x:c>
      <x:c r="M1022" s="70" t="s">
        <x:v>40</x:v>
      </x:c>
      <x:c r="N1022" s="71" t="n">
        <x:v>23495967</x:v>
      </x:c>
      <x:c r="O1022" s="72" t="n">
        <x:f aca="0">N1022/1000</x:f>
        <x:v>23495.967</x:v>
      </x:c>
      <x:c r="P1022" s="73" t="n">
        <x:f aca="0">DGKC!C54</x:f>
        <x:v>23495.967</x:v>
      </x:c>
      <x:c r="Q1022" s="70" t="str">
        <x:f aca="0">IF(ABS(O1022-P1022)&lt;0.000001,"PASS","FAIL")</x:f>
        <x:v>PASS</x:v>
      </x:c>
      <x:c r="R1022" s="70" t="s">
        <x:v>34</x:v>
      </x:c>
      <x:c r="S1022" s="70"/>
    </x:row>
    <x:row r="1023" ht="15" hidden="0">
      <x:c r="A1023" s="70" t="s">
        <x:v>2291</x:v>
      </x:c>
      <x:c r="B1023" s="70" t="s">
        <x:v>37</x:v>
      </x:c>
      <x:c r="C1023" s="70" t="s">
        <x:v>73</x:v>
      </x:c>
      <x:c r="D1023" s="70" t="s">
        <x:v>360</x:v>
      </x:c>
      <x:c r="E1023" s="70" t="s">
        <x:v>1129</x:v>
      </x:c>
      <x:c r="F1023" s="70" t="s">
        <x:v>2292</x:v>
      </x:c>
      <x:c r="G1023" s="70" t="s">
        <x:v>2110</x:v>
      </x:c>
      <x:c r="H1023" s="70" t="s">
        <x:v>1204</x:v>
      </x:c>
      <x:c r="I1023" s="70" t="s">
        <x:v>1199</x:v>
      </x:c>
      <x:c r="J1023" s="70" t="n">
        <x:v>125</x:v>
      </x:c>
      <x:c r="K1023" s="70" t="s">
        <x:v>2135</x:v>
      </x:c>
      <x:c r="L1023" s="70" t="s">
        <x:v>1216</x:v>
      </x:c>
      <x:c r="M1023" s="70" t="s">
        <x:v>40</x:v>
      </x:c>
      <x:c r="N1023" s="71" t="n">
        <x:v>18362050</x:v>
      </x:c>
      <x:c r="O1023" s="72" t="n">
        <x:f aca="0">N1023/1000</x:f>
        <x:v>18362.05</x:v>
      </x:c>
      <x:c r="P1023" s="73" t="n">
        <x:f aca="0">DGKC!D54</x:f>
        <x:v>18362.05</x:v>
      </x:c>
      <x:c r="Q1023" s="70" t="str">
        <x:f aca="0">IF(ABS(O1023-P1023)&lt;0.000001,"PASS","FAIL")</x:f>
        <x:v>PASS</x:v>
      </x:c>
      <x:c r="R1023" s="70" t="s">
        <x:v>34</x:v>
      </x:c>
      <x:c r="S1023" s="70"/>
    </x:row>
    <x:row r="1024" ht="15" hidden="0">
      <x:c r="A1024" s="70" t="s">
        <x:v>2293</x:v>
      </x:c>
      <x:c r="B1024" s="70" t="s">
        <x:v>37</x:v>
      </x:c>
      <x:c r="C1024" s="70" t="s">
        <x:v>74</x:v>
      </x:c>
      <x:c r="D1024" s="70" t="s">
        <x:v>360</x:v>
      </x:c>
      <x:c r="E1024" s="70" t="s">
        <x:v>1129</x:v>
      </x:c>
      <x:c r="F1024" s="70" t="s">
        <x:v>2292</x:v>
      </x:c>
      <x:c r="G1024" s="70" t="s">
        <x:v>2113</x:v>
      </x:c>
      <x:c r="H1024" s="70" t="s">
        <x:v>1208</x:v>
      </x:c>
      <x:c r="I1024" s="70" t="s">
        <x:v>1199</x:v>
      </x:c>
      <x:c r="J1024" s="70" t="n">
        <x:v>151</x:v>
      </x:c>
      <x:c r="K1024" s="70" t="s">
        <x:v>2137</x:v>
      </x:c>
      <x:c r="L1024" s="70" t="s">
        <x:v>1216</x:v>
      </x:c>
      <x:c r="M1024" s="70" t="s">
        <x:v>40</x:v>
      </x:c>
      <x:c r="N1024" s="71" t="n">
        <x:v>25210506</x:v>
      </x:c>
      <x:c r="O1024" s="72" t="n">
        <x:f aca="0">N1024/1000</x:f>
        <x:v>25210.506</x:v>
      </x:c>
      <x:c r="P1024" s="73" t="n">
        <x:f aca="0">DGKC!E54</x:f>
        <x:v>25210.506</x:v>
      </x:c>
      <x:c r="Q1024" s="70" t="str">
        <x:f aca="0">IF(ABS(O1024-P1024)&lt;0.000001,"PASS","FAIL")</x:f>
        <x:v>PASS</x:v>
      </x:c>
      <x:c r="R1024" s="70" t="s">
        <x:v>34</x:v>
      </x:c>
      <x:c r="S1024" s="70"/>
    </x:row>
    <x:row r="1025" ht="15" hidden="0">
      <x:c r="A1025" s="70" t="s">
        <x:v>2294</x:v>
      </x:c>
      <x:c r="B1025" s="70" t="s">
        <x:v>37</x:v>
      </x:c>
      <x:c r="C1025" s="70" t="s">
        <x:v>75</x:v>
      </x:c>
      <x:c r="D1025" s="70" t="s">
        <x:v>360</x:v>
      </x:c>
      <x:c r="E1025" s="70" t="s">
        <x:v>1129</x:v>
      </x:c>
      <x:c r="F1025" s="70" t="s">
        <x:v>2292</x:v>
      </x:c>
      <x:c r="G1025" s="70" t="s">
        <x:v>2116</x:v>
      </x:c>
      <x:c r="H1025" s="70" t="s">
        <x:v>1211</x:v>
      </x:c>
      <x:c r="I1025" s="70" t="s">
        <x:v>1199</x:v>
      </x:c>
      <x:c r="J1025" s="70" t="n">
        <x:v>151</x:v>
      </x:c>
      <x:c r="K1025" s="70" t="s">
        <x:v>2137</x:v>
      </x:c>
      <x:c r="L1025" s="70" t="s">
        <x:v>1216</x:v>
      </x:c>
      <x:c r="M1025" s="70" t="s">
        <x:v>40</x:v>
      </x:c>
      <x:c r="N1025" s="71" t="n">
        <x:v>25494293</x:v>
      </x:c>
      <x:c r="O1025" s="72" t="n">
        <x:f aca="0">N1025/1000</x:f>
        <x:v>25494.293</x:v>
      </x:c>
      <x:c r="P1025" s="73" t="n">
        <x:f aca="0">DGKC!F54</x:f>
        <x:v>25494.293</x:v>
      </x:c>
      <x:c r="Q1025" s="70" t="str">
        <x:f aca="0">IF(ABS(O1025-P1025)&lt;0.000001,"PASS","FAIL")</x:f>
        <x:v>PASS</x:v>
      </x:c>
      <x:c r="R1025" s="70" t="s">
        <x:v>34</x:v>
      </x:c>
      <x:c r="S1025" s="70"/>
    </x:row>
    <x:row r="1026" ht="15" hidden="0">
      <x:c r="A1026" s="70" t="s">
        <x:v>2295</x:v>
      </x:c>
      <x:c r="B1026" s="70" t="s">
        <x:v>37</x:v>
      </x:c>
      <x:c r="C1026" s="70" t="s">
        <x:v>76</x:v>
      </x:c>
      <x:c r="D1026" s="70" t="s">
        <x:v>360</x:v>
      </x:c>
      <x:c r="E1026" s="70" t="s">
        <x:v>1129</x:v>
      </x:c>
      <x:c r="F1026" s="70" t="s">
        <x:v>2292</x:v>
      </x:c>
      <x:c r="G1026" s="70" t="s">
        <x:v>2118</x:v>
      </x:c>
      <x:c r="H1026" s="70" t="s">
        <x:v>1215</x:v>
      </x:c>
      <x:c r="I1026" s="70" t="s">
        <x:v>1199</x:v>
      </x:c>
      <x:c r="J1026" s="70" t="n">
        <x:v>153</x:v>
      </x:c>
      <x:c r="K1026" s="70" t="s">
        <x:v>2140</x:v>
      </x:c>
      <x:c r="L1026" s="70" t="s">
        <x:v>1216</x:v>
      </x:c>
      <x:c r="M1026" s="70" t="s">
        <x:v>40</x:v>
      </x:c>
      <x:c r="N1026" s="71" t="n">
        <x:v>13064718</x:v>
      </x:c>
      <x:c r="O1026" s="72" t="n">
        <x:f aca="0">N1026/1000</x:f>
        <x:v>13064.718</x:v>
      </x:c>
      <x:c r="P1026" s="73" t="n">
        <x:f aca="0">DGKC!G54</x:f>
        <x:v>13064.718</x:v>
      </x:c>
      <x:c r="Q1026" s="70" t="str">
        <x:f aca="0">IF(ABS(O1026-P1026)&lt;0.000001,"PASS","FAIL")</x:f>
        <x:v>PASS</x:v>
      </x:c>
      <x:c r="R1026" s="70" t="s">
        <x:v>34</x:v>
      </x:c>
      <x:c r="S1026" s="70"/>
    </x:row>
    <x:row r="1027" ht="15" hidden="0">
      <x:c r="A1027" s="70" t="s">
        <x:v>2296</x:v>
      </x:c>
      <x:c r="B1027" s="70" t="s">
        <x:v>37</x:v>
      </x:c>
      <x:c r="C1027" s="70" t="s">
        <x:v>77</x:v>
      </x:c>
      <x:c r="D1027" s="70" t="s">
        <x:v>360</x:v>
      </x:c>
      <x:c r="E1027" s="70" t="s">
        <x:v>1129</x:v>
      </x:c>
      <x:c r="F1027" s="70" t="s">
        <x:v>2292</x:v>
      </x:c>
      <x:c r="G1027" s="70" t="s">
        <x:v>2118</x:v>
      </x:c>
      <x:c r="H1027" s="70" t="s">
        <x:v>1215</x:v>
      </x:c>
      <x:c r="I1027" s="70" t="s">
        <x:v>1218</x:v>
      </x:c>
      <x:c r="J1027" s="70" t="n">
        <x:v>153</x:v>
      </x:c>
      <x:c r="K1027" s="70" t="s">
        <x:v>2140</x:v>
      </x:c>
      <x:c r="L1027" s="70" t="s">
        <x:v>1216</x:v>
      </x:c>
      <x:c r="M1027" s="70" t="s">
        <x:v>40</x:v>
      </x:c>
      <x:c r="N1027" s="71" t="n">
        <x:v>9878499</x:v>
      </x:c>
      <x:c r="O1027" s="72" t="n">
        <x:f aca="0">N1027/1000</x:f>
        <x:v>9878.499</x:v>
      </x:c>
      <x:c r="P1027" s="73" t="n">
        <x:f aca="0">DGKC!H54</x:f>
        <x:v>9878.499</x:v>
      </x:c>
      <x:c r="Q1027" s="70" t="str">
        <x:f aca="0">IF(ABS(O1027-P1027)&lt;0.000001,"PASS","FAIL")</x:f>
        <x:v>PASS</x:v>
      </x:c>
      <x:c r="R1027" s="70" t="s">
        <x:v>34</x:v>
      </x:c>
      <x:c r="S1027" s="70"/>
    </x:row>
    <x:row r="1028" ht="15" hidden="0">
      <x:c r="A1028" s="70" t="s">
        <x:v>2297</x:v>
      </x:c>
      <x:c r="B1028" s="70" t="s">
        <x:v>37</x:v>
      </x:c>
      <x:c r="C1028" s="70" t="s">
        <x:v>1076</x:v>
      </x:c>
      <x:c r="D1028" s="70" t="s">
        <x:v>362</x:v>
      </x:c>
      <x:c r="E1028" s="70" t="s">
        <x:v>1129</x:v>
      </x:c>
      <x:c r="F1028" s="70" t="s">
        <x:v>2298</x:v>
      </x:c>
      <x:c r="G1028" s="70" t="s">
        <x:v>2107</x:v>
      </x:c>
      <x:c r="H1028" s="70" t="s">
        <x:v>1198</x:v>
      </x:c>
      <x:c r="I1028" s="70" t="s">
        <x:v>1199</x:v>
      </x:c>
      <x:c r="J1028" s="70" t="n">
        <x:v>137</x:v>
      </x:c>
      <x:c r="K1028" s="70" t="s">
        <x:v>2299</x:v>
      </x:c>
      <x:c r="L1028" s="70"/>
      <x:c r="M1028" s="70" t="s">
        <x:v>40</x:v>
      </x:c>
      <x:c r="N1028" s="71" t="n">
        <x:v>2010621</x:v>
      </x:c>
      <x:c r="O1028" s="72" t="n">
        <x:f aca="0">N1028/1000</x:f>
        <x:v>2010.621</x:v>
      </x:c>
      <x:c r="P1028" s="73" t="n">
        <x:f aca="0">DGKC!C55</x:f>
        <x:v>2010.621</x:v>
      </x:c>
      <x:c r="Q1028" s="70" t="str">
        <x:f aca="0">IF(ABS(O1028-P1028)&lt;0.000001,"PASS","FAIL")</x:f>
        <x:v>PASS</x:v>
      </x:c>
      <x:c r="R1028" s="70" t="s">
        <x:v>34</x:v>
      </x:c>
      <x:c r="S1028" s="70" t="s">
        <x:v>2300</x:v>
      </x:c>
    </x:row>
    <x:row r="1029" ht="15" hidden="0">
      <x:c r="A1029" s="70" t="s">
        <x:v>2301</x:v>
      </x:c>
      <x:c r="B1029" s="70" t="s">
        <x:v>37</x:v>
      </x:c>
      <x:c r="C1029" s="70" t="s">
        <x:v>73</x:v>
      </x:c>
      <x:c r="D1029" s="70" t="s">
        <x:v>362</x:v>
      </x:c>
      <x:c r="E1029" s="70" t="s">
        <x:v>1129</x:v>
      </x:c>
      <x:c r="F1029" s="70" t="s">
        <x:v>2298</x:v>
      </x:c>
      <x:c r="G1029" s="70" t="s">
        <x:v>2110</x:v>
      </x:c>
      <x:c r="H1029" s="70" t="s">
        <x:v>1204</x:v>
      </x:c>
      <x:c r="I1029" s="70" t="s">
        <x:v>1199</x:v>
      </x:c>
      <x:c r="J1029" s="70" t="n">
        <x:v>157</x:v>
      </x:c>
      <x:c r="K1029" s="70" t="s">
        <x:v>2302</x:v>
      </x:c>
      <x:c r="L1029" s="70"/>
      <x:c r="M1029" s="70" t="s">
        <x:v>40</x:v>
      </x:c>
      <x:c r="N1029" s="71" t="n">
        <x:v>6130703</x:v>
      </x:c>
      <x:c r="O1029" s="72" t="n">
        <x:f aca="0">N1029/1000</x:f>
        <x:v>6130.703</x:v>
      </x:c>
      <x:c r="P1029" s="73" t="n">
        <x:f aca="0">DGKC!D55</x:f>
        <x:v>6130.703</x:v>
      </x:c>
      <x:c r="Q1029" s="70" t="str">
        <x:f aca="0">IF(ABS(O1029-P1029)&lt;0.000001,"PASS","FAIL")</x:f>
        <x:v>PASS</x:v>
      </x:c>
      <x:c r="R1029" s="70" t="s">
        <x:v>34</x:v>
      </x:c>
      <x:c r="S1029" s="70" t="s">
        <x:v>2300</x:v>
      </x:c>
    </x:row>
    <x:row r="1030" ht="15" hidden="0">
      <x:c r="A1030" s="70" t="s">
        <x:v>2303</x:v>
      </x:c>
      <x:c r="B1030" s="70" t="s">
        <x:v>37</x:v>
      </x:c>
      <x:c r="C1030" s="70" t="s">
        <x:v>74</x:v>
      </x:c>
      <x:c r="D1030" s="70" t="s">
        <x:v>362</x:v>
      </x:c>
      <x:c r="E1030" s="70" t="s">
        <x:v>1129</x:v>
      </x:c>
      <x:c r="F1030" s="70" t="s">
        <x:v>2298</x:v>
      </x:c>
      <x:c r="G1030" s="70" t="s">
        <x:v>2113</x:v>
      </x:c>
      <x:c r="H1030" s="70" t="s">
        <x:v>1208</x:v>
      </x:c>
      <x:c r="I1030" s="70" t="s">
        <x:v>1199</x:v>
      </x:c>
      <x:c r="J1030" s="70" t="n">
        <x:v>182</x:v>
      </x:c>
      <x:c r="K1030" s="70" t="s">
        <x:v>2274</x:v>
      </x:c>
      <x:c r="L1030" s="70"/>
      <x:c r="M1030" s="70" t="s">
        <x:v>40</x:v>
      </x:c>
      <x:c r="N1030" s="71" t="n">
        <x:v>7097166</x:v>
      </x:c>
      <x:c r="O1030" s="72" t="n">
        <x:f aca="0">N1030/1000</x:f>
        <x:v>7097.166</x:v>
      </x:c>
      <x:c r="P1030" s="73" t="n">
        <x:f aca="0">DGKC!E55</x:f>
        <x:v>7097.166</x:v>
      </x:c>
      <x:c r="Q1030" s="70" t="str">
        <x:f aca="0">IF(ABS(O1030-P1030)&lt;0.000001,"PASS","FAIL")</x:f>
        <x:v>PASS</x:v>
      </x:c>
      <x:c r="R1030" s="70" t="s">
        <x:v>34</x:v>
      </x:c>
      <x:c r="S1030" s="70" t="s">
        <x:v>2300</x:v>
      </x:c>
    </x:row>
    <x:row r="1031" ht="15" hidden="0">
      <x:c r="A1031" s="70" t="s">
        <x:v>2304</x:v>
      </x:c>
      <x:c r="B1031" s="70" t="s">
        <x:v>37</x:v>
      </x:c>
      <x:c r="C1031" s="70" t="s">
        <x:v>75</x:v>
      </x:c>
      <x:c r="D1031" s="70" t="s">
        <x:v>362</x:v>
      </x:c>
      <x:c r="E1031" s="70" t="s">
        <x:v>1129</x:v>
      </x:c>
      <x:c r="F1031" s="70" t="s">
        <x:v>2298</x:v>
      </x:c>
      <x:c r="G1031" s="70" t="s">
        <x:v>2116</x:v>
      </x:c>
      <x:c r="H1031" s="70" t="s">
        <x:v>1211</x:v>
      </x:c>
      <x:c r="I1031" s="70" t="s">
        <x:v>1199</x:v>
      </x:c>
      <x:c r="J1031" s="70" t="n">
        <x:v>184</x:v>
      </x:c>
      <x:c r="K1031" s="70" t="s">
        <x:v>2305</x:v>
      </x:c>
      <x:c r="L1031" s="70"/>
      <x:c r="M1031" s="70" t="s">
        <x:v>40</x:v>
      </x:c>
      <x:c r="N1031" s="71" t="n">
        <x:v>7370364</x:v>
      </x:c>
      <x:c r="O1031" s="72" t="n">
        <x:f aca="0">N1031/1000</x:f>
        <x:v>7370.364</x:v>
      </x:c>
      <x:c r="P1031" s="73" t="n">
        <x:f aca="0">DGKC!F55</x:f>
        <x:v>7370.364</x:v>
      </x:c>
      <x:c r="Q1031" s="70" t="str">
        <x:f aca="0">IF(ABS(O1031-P1031)&lt;0.000001,"PASS","FAIL")</x:f>
        <x:v>PASS</x:v>
      </x:c>
      <x:c r="R1031" s="70" t="s">
        <x:v>34</x:v>
      </x:c>
      <x:c r="S1031" s="70" t="s">
        <x:v>2300</x:v>
      </x:c>
    </x:row>
    <x:row r="1032" ht="15" hidden="0">
      <x:c r="A1032" s="70" t="s">
        <x:v>2306</x:v>
      </x:c>
      <x:c r="B1032" s="70" t="s">
        <x:v>37</x:v>
      </x:c>
      <x:c r="C1032" s="70" t="s">
        <x:v>76</x:v>
      </x:c>
      <x:c r="D1032" s="70" t="s">
        <x:v>362</x:v>
      </x:c>
      <x:c r="E1032" s="70" t="s">
        <x:v>1129</x:v>
      </x:c>
      <x:c r="F1032" s="70" t="s">
        <x:v>2298</x:v>
      </x:c>
      <x:c r="G1032" s="70" t="s">
        <x:v>2118</x:v>
      </x:c>
      <x:c r="H1032" s="70" t="s">
        <x:v>1215</x:v>
      </x:c>
      <x:c r="I1032" s="70" t="s">
        <x:v>1199</x:v>
      </x:c>
      <x:c r="J1032" s="70" t="n">
        <x:v>186</x:v>
      </x:c>
      <x:c r="K1032" s="70" t="s">
        <x:v>2307</x:v>
      </x:c>
      <x:c r="L1032" s="70"/>
      <x:c r="M1032" s="70" t="s">
        <x:v>40</x:v>
      </x:c>
      <x:c r="N1032" s="71" t="n">
        <x:v>5291972</x:v>
      </x:c>
      <x:c r="O1032" s="72" t="n">
        <x:f aca="0">N1032/1000</x:f>
        <x:v>5291.972</x:v>
      </x:c>
      <x:c r="P1032" s="73" t="n">
        <x:f aca="0">DGKC!G55</x:f>
        <x:v>5291.972</x:v>
      </x:c>
      <x:c r="Q1032" s="70" t="str">
        <x:f aca="0">IF(ABS(O1032-P1032)&lt;0.000001,"PASS","FAIL")</x:f>
        <x:v>PASS</x:v>
      </x:c>
      <x:c r="R1032" s="70" t="s">
        <x:v>34</x:v>
      </x:c>
      <x:c r="S1032" s="70" t="s">
        <x:v>2300</x:v>
      </x:c>
    </x:row>
    <x:row r="1033" ht="15" hidden="0">
      <x:c r="A1033" s="70" t="s">
        <x:v>2308</x:v>
      </x:c>
      <x:c r="B1033" s="70" t="s">
        <x:v>37</x:v>
      </x:c>
      <x:c r="C1033" s="70" t="s">
        <x:v>77</x:v>
      </x:c>
      <x:c r="D1033" s="70" t="s">
        <x:v>362</x:v>
      </x:c>
      <x:c r="E1033" s="70" t="s">
        <x:v>1129</x:v>
      </x:c>
      <x:c r="F1033" s="70" t="s">
        <x:v>2298</x:v>
      </x:c>
      <x:c r="G1033" s="70" t="s">
        <x:v>2118</x:v>
      </x:c>
      <x:c r="H1033" s="70" t="s">
        <x:v>1215</x:v>
      </x:c>
      <x:c r="I1033" s="70" t="s">
        <x:v>1218</x:v>
      </x:c>
      <x:c r="J1033" s="70" t="n">
        <x:v>186</x:v>
      </x:c>
      <x:c r="K1033" s="70" t="s">
        <x:v>2307</x:v>
      </x:c>
      <x:c r="L1033" s="70"/>
      <x:c r="M1033" s="70" t="s">
        <x:v>40</x:v>
      </x:c>
      <x:c r="N1033" s="71" t="n">
        <x:v>1934772</x:v>
      </x:c>
      <x:c r="O1033" s="72" t="n">
        <x:f aca="0">N1033/1000</x:f>
        <x:v>1934.772</x:v>
      </x:c>
      <x:c r="P1033" s="73" t="n">
        <x:f aca="0">DGKC!H55</x:f>
        <x:v>1934.772</x:v>
      </x:c>
      <x:c r="Q1033" s="70" t="str">
        <x:f aca="0">IF(ABS(O1033-P1033)&lt;0.000001,"PASS","FAIL")</x:f>
        <x:v>PASS</x:v>
      </x:c>
      <x:c r="R1033" s="70" t="s">
        <x:v>34</x:v>
      </x:c>
      <x:c r="S1033" s="70" t="s">
        <x:v>2300</x:v>
      </x:c>
    </x:row>
    <x:row r="1034" ht="15" hidden="0">
      <x:c r="A1034" s="70" t="s">
        <x:v>2309</x:v>
      </x:c>
      <x:c r="B1034" s="70" t="s">
        <x:v>37</x:v>
      </x:c>
      <x:c r="C1034" s="70" t="s">
        <x:v>1076</x:v>
      </x:c>
      <x:c r="D1034" s="70" t="s">
        <x:v>364</x:v>
      </x:c>
      <x:c r="E1034" s="70" t="s">
        <x:v>1129</x:v>
      </x:c>
      <x:c r="F1034" s="70"/>
      <x:c r="G1034" s="70" t="s">
        <x:v>2107</x:v>
      </x:c>
      <x:c r="H1034" s="70" t="s">
        <x:v>1198</x:v>
      </x:c>
      <x:c r="I1034" s="70" t="s">
        <x:v>1199</x:v>
      </x:c>
      <x:c r="J1034" s="70" t="n">
        <x:v>105</x:v>
      </x:c>
      <x:c r="K1034" s="70" t="s">
        <x:v>2133</x:v>
      </x:c>
      <x:c r="L1034" s="70"/>
      <x:c r="M1034" s="70" t="s">
        <x:v>40</x:v>
      </x:c>
      <x:c r="N1034" s="71" t="n">
        <x:v>0</x:v>
      </x:c>
      <x:c r="O1034" s="72" t="n">
        <x:f aca="0">N1034/1000</x:f>
        <x:v>0</x:v>
      </x:c>
      <x:c r="P1034" s="73" t="n">
        <x:f aca="0">DGKC!C56</x:f>
        <x:v>0</x:v>
      </x:c>
      <x:c r="Q1034" s="70" t="str">
        <x:f aca="0">IF(ABS(O1034-P1034)&lt;0.000001,"PASS","FAIL")</x:f>
        <x:v>PASS</x:v>
      </x:c>
      <x:c r="R1034" s="70" t="s">
        <x:v>34</x:v>
      </x:c>
      <x:c r="S1034" s="70"/>
    </x:row>
    <x:row r="1035" ht="15" hidden="0">
      <x:c r="A1035" s="70" t="s">
        <x:v>2310</x:v>
      </x:c>
      <x:c r="B1035" s="70" t="s">
        <x:v>37</x:v>
      </x:c>
      <x:c r="C1035" s="70" t="s">
        <x:v>73</x:v>
      </x:c>
      <x:c r="D1035" s="70" t="s">
        <x:v>364</x:v>
      </x:c>
      <x:c r="E1035" s="70" t="s">
        <x:v>1129</x:v>
      </x:c>
      <x:c r="F1035" s="70"/>
      <x:c r="G1035" s="70" t="s">
        <x:v>2110</x:v>
      </x:c>
      <x:c r="H1035" s="70" t="s">
        <x:v>1204</x:v>
      </x:c>
      <x:c r="I1035" s="70" t="s">
        <x:v>1199</x:v>
      </x:c>
      <x:c r="J1035" s="70" t="n">
        <x:v>125</x:v>
      </x:c>
      <x:c r="K1035" s="70" t="s">
        <x:v>2135</x:v>
      </x:c>
      <x:c r="L1035" s="70"/>
      <x:c r="M1035" s="70" t="s">
        <x:v>40</x:v>
      </x:c>
      <x:c r="N1035" s="71" t="n">
        <x:v>0</x:v>
      </x:c>
      <x:c r="O1035" s="72" t="n">
        <x:f aca="0">N1035/1000</x:f>
        <x:v>0</x:v>
      </x:c>
      <x:c r="P1035" s="73" t="n">
        <x:f aca="0">DGKC!D56</x:f>
        <x:v>0</x:v>
      </x:c>
      <x:c r="Q1035" s="70" t="str">
        <x:f aca="0">IF(ABS(O1035-P1035)&lt;0.000001,"PASS","FAIL")</x:f>
        <x:v>PASS</x:v>
      </x:c>
      <x:c r="R1035" s="70" t="s">
        <x:v>34</x:v>
      </x:c>
      <x:c r="S1035" s="70"/>
    </x:row>
    <x:row r="1036" ht="15" hidden="0">
      <x:c r="A1036" s="70" t="s">
        <x:v>2311</x:v>
      </x:c>
      <x:c r="B1036" s="70" t="s">
        <x:v>37</x:v>
      </x:c>
      <x:c r="C1036" s="70" t="s">
        <x:v>74</x:v>
      </x:c>
      <x:c r="D1036" s="70" t="s">
        <x:v>364</x:v>
      </x:c>
      <x:c r="E1036" s="70" t="s">
        <x:v>1129</x:v>
      </x:c>
      <x:c r="F1036" s="70"/>
      <x:c r="G1036" s="70" t="s">
        <x:v>2113</x:v>
      </x:c>
      <x:c r="H1036" s="70" t="s">
        <x:v>1208</x:v>
      </x:c>
      <x:c r="I1036" s="70" t="s">
        <x:v>1199</x:v>
      </x:c>
      <x:c r="J1036" s="70" t="n">
        <x:v>151</x:v>
      </x:c>
      <x:c r="K1036" s="70" t="s">
        <x:v>2137</x:v>
      </x:c>
      <x:c r="L1036" s="70"/>
      <x:c r="M1036" s="70" t="s">
        <x:v>40</x:v>
      </x:c>
      <x:c r="N1036" s="71" t="n">
        <x:v>0</x:v>
      </x:c>
      <x:c r="O1036" s="72" t="n">
        <x:f aca="0">N1036/1000</x:f>
        <x:v>0</x:v>
      </x:c>
      <x:c r="P1036" s="73" t="n">
        <x:f aca="0">DGKC!E56</x:f>
        <x:v>0</x:v>
      </x:c>
      <x:c r="Q1036" s="70" t="str">
        <x:f aca="0">IF(ABS(O1036-P1036)&lt;0.000001,"PASS","FAIL")</x:f>
        <x:v>PASS</x:v>
      </x:c>
      <x:c r="R1036" s="70" t="s">
        <x:v>34</x:v>
      </x:c>
      <x:c r="S1036" s="70"/>
    </x:row>
    <x:row r="1037" ht="15" hidden="0">
      <x:c r="A1037" s="70" t="s">
        <x:v>2312</x:v>
      </x:c>
      <x:c r="B1037" s="70" t="s">
        <x:v>37</x:v>
      </x:c>
      <x:c r="C1037" s="70" t="s">
        <x:v>75</x:v>
      </x:c>
      <x:c r="D1037" s="70" t="s">
        <x:v>364</x:v>
      </x:c>
      <x:c r="E1037" s="70" t="s">
        <x:v>1129</x:v>
      </x:c>
      <x:c r="F1037" s="70"/>
      <x:c r="G1037" s="70" t="s">
        <x:v>2116</x:v>
      </x:c>
      <x:c r="H1037" s="70" t="s">
        <x:v>1211</x:v>
      </x:c>
      <x:c r="I1037" s="70" t="s">
        <x:v>1199</x:v>
      </x:c>
      <x:c r="J1037" s="70" t="n">
        <x:v>151</x:v>
      </x:c>
      <x:c r="K1037" s="70" t="s">
        <x:v>2137</x:v>
      </x:c>
      <x:c r="L1037" s="70"/>
      <x:c r="M1037" s="70" t="s">
        <x:v>40</x:v>
      </x:c>
      <x:c r="N1037" s="71" t="n">
        <x:v>0</x:v>
      </x:c>
      <x:c r="O1037" s="72" t="n">
        <x:f aca="0">N1037/1000</x:f>
        <x:v>0</x:v>
      </x:c>
      <x:c r="P1037" s="73" t="n">
        <x:f aca="0">DGKC!F56</x:f>
        <x:v>0</x:v>
      </x:c>
      <x:c r="Q1037" s="70" t="str">
        <x:f aca="0">IF(ABS(O1037-P1037)&lt;0.000001,"PASS","FAIL")</x:f>
        <x:v>PASS</x:v>
      </x:c>
      <x:c r="R1037" s="70" t="s">
        <x:v>34</x:v>
      </x:c>
      <x:c r="S1037" s="70"/>
    </x:row>
    <x:row r="1038" ht="15" hidden="0">
      <x:c r="A1038" s="70" t="s">
        <x:v>2313</x:v>
      </x:c>
      <x:c r="B1038" s="70" t="s">
        <x:v>37</x:v>
      </x:c>
      <x:c r="C1038" s="70" t="s">
        <x:v>76</x:v>
      </x:c>
      <x:c r="D1038" s="70" t="s">
        <x:v>364</x:v>
      </x:c>
      <x:c r="E1038" s="70" t="s">
        <x:v>1129</x:v>
      </x:c>
      <x:c r="F1038" s="70"/>
      <x:c r="G1038" s="70" t="s">
        <x:v>2118</x:v>
      </x:c>
      <x:c r="H1038" s="70" t="s">
        <x:v>1215</x:v>
      </x:c>
      <x:c r="I1038" s="70" t="s">
        <x:v>1199</x:v>
      </x:c>
      <x:c r="J1038" s="70" t="n">
        <x:v>153</x:v>
      </x:c>
      <x:c r="K1038" s="70" t="s">
        <x:v>2140</x:v>
      </x:c>
      <x:c r="L1038" s="70"/>
      <x:c r="M1038" s="70" t="s">
        <x:v>40</x:v>
      </x:c>
      <x:c r="N1038" s="71" t="n">
        <x:v>0</x:v>
      </x:c>
      <x:c r="O1038" s="72" t="n">
        <x:f aca="0">N1038/1000</x:f>
        <x:v>0</x:v>
      </x:c>
      <x:c r="P1038" s="73" t="n">
        <x:f aca="0">DGKC!G56</x:f>
        <x:v>0</x:v>
      </x:c>
      <x:c r="Q1038" s="70" t="str">
        <x:f aca="0">IF(ABS(O1038-P1038)&lt;0.000001,"PASS","FAIL")</x:f>
        <x:v>PASS</x:v>
      </x:c>
      <x:c r="R1038" s="70" t="s">
        <x:v>34</x:v>
      </x:c>
      <x:c r="S1038" s="70"/>
    </x:row>
    <x:row r="1039" ht="15" hidden="0">
      <x:c r="A1039" s="70" t="s">
        <x:v>2314</x:v>
      </x:c>
      <x:c r="B1039" s="70" t="s">
        <x:v>37</x:v>
      </x:c>
      <x:c r="C1039" s="70" t="s">
        <x:v>77</x:v>
      </x:c>
      <x:c r="D1039" s="70" t="s">
        <x:v>364</x:v>
      </x:c>
      <x:c r="E1039" s="70" t="s">
        <x:v>1129</x:v>
      </x:c>
      <x:c r="F1039" s="70"/>
      <x:c r="G1039" s="70" t="s">
        <x:v>2118</x:v>
      </x:c>
      <x:c r="H1039" s="70" t="s">
        <x:v>1215</x:v>
      </x:c>
      <x:c r="I1039" s="70" t="s">
        <x:v>1218</x:v>
      </x:c>
      <x:c r="J1039" s="70" t="n">
        <x:v>153</x:v>
      </x:c>
      <x:c r="K1039" s="70" t="s">
        <x:v>2140</x:v>
      </x:c>
      <x:c r="L1039" s="70"/>
      <x:c r="M1039" s="70" t="s">
        <x:v>40</x:v>
      </x:c>
      <x:c r="N1039" s="71" t="n">
        <x:v>0</x:v>
      </x:c>
      <x:c r="O1039" s="72" t="n">
        <x:f aca="0">N1039/1000</x:f>
        <x:v>0</x:v>
      </x:c>
      <x:c r="P1039" s="73" t="n">
        <x:f aca="0">DGKC!H56</x:f>
        <x:v>0</x:v>
      </x:c>
      <x:c r="Q1039" s="70" t="str">
        <x:f aca="0">IF(ABS(O1039-P1039)&lt;0.000001,"PASS","FAIL")</x:f>
        <x:v>PASS</x:v>
      </x:c>
      <x:c r="R1039" s="70" t="s">
        <x:v>34</x:v>
      </x:c>
      <x:c r="S1039" s="70"/>
    </x:row>
    <x:row r="1040" ht="15" hidden="0">
      <x:c r="A1040" s="70" t="s">
        <x:v>2315</x:v>
      </x:c>
      <x:c r="B1040" s="70" t="s">
        <x:v>37</x:v>
      </x:c>
      <x:c r="C1040" s="70" t="s">
        <x:v>1076</x:v>
      </x:c>
      <x:c r="D1040" s="70" t="s">
        <x:v>366</x:v>
      </x:c>
      <x:c r="E1040" s="70" t="s">
        <x:v>1129</x:v>
      </x:c>
      <x:c r="F1040" s="70"/>
      <x:c r="G1040" s="70" t="s">
        <x:v>2107</x:v>
      </x:c>
      <x:c r="H1040" s="70" t="s">
        <x:v>1198</x:v>
      </x:c>
      <x:c r="I1040" s="70" t="s">
        <x:v>1199</x:v>
      </x:c>
      <x:c r="J1040" s="70" t="n">
        <x:v>105</x:v>
      </x:c>
      <x:c r="K1040" s="70" t="s">
        <x:v>2133</x:v>
      </x:c>
      <x:c r="L1040" s="70"/>
      <x:c r="M1040" s="70" t="s">
        <x:v>40</x:v>
      </x:c>
      <x:c r="N1040" s="71" t="n">
        <x:v>0</x:v>
      </x:c>
      <x:c r="O1040" s="72" t="n">
        <x:f aca="0">N1040/1000</x:f>
        <x:v>0</x:v>
      </x:c>
      <x:c r="P1040" s="73" t="n">
        <x:f aca="0">DGKC!C57</x:f>
        <x:v>0</x:v>
      </x:c>
      <x:c r="Q1040" s="70" t="str">
        <x:f aca="0">IF(ABS(O1040-P1040)&lt;0.000001,"PASS","FAIL")</x:f>
        <x:v>PASS</x:v>
      </x:c>
      <x:c r="R1040" s="70" t="s">
        <x:v>34</x:v>
      </x:c>
      <x:c r="S1040" s="70"/>
    </x:row>
    <x:row r="1041" ht="15" hidden="0">
      <x:c r="A1041" s="70" t="s">
        <x:v>2316</x:v>
      </x:c>
      <x:c r="B1041" s="70" t="s">
        <x:v>37</x:v>
      </x:c>
      <x:c r="C1041" s="70" t="s">
        <x:v>73</x:v>
      </x:c>
      <x:c r="D1041" s="70" t="s">
        <x:v>366</x:v>
      </x:c>
      <x:c r="E1041" s="70" t="s">
        <x:v>1129</x:v>
      </x:c>
      <x:c r="F1041" s="70"/>
      <x:c r="G1041" s="70" t="s">
        <x:v>2110</x:v>
      </x:c>
      <x:c r="H1041" s="70" t="s">
        <x:v>1204</x:v>
      </x:c>
      <x:c r="I1041" s="70" t="s">
        <x:v>1199</x:v>
      </x:c>
      <x:c r="J1041" s="70" t="n">
        <x:v>125</x:v>
      </x:c>
      <x:c r="K1041" s="70" t="s">
        <x:v>2135</x:v>
      </x:c>
      <x:c r="L1041" s="70"/>
      <x:c r="M1041" s="70" t="s">
        <x:v>40</x:v>
      </x:c>
      <x:c r="N1041" s="71" t="n">
        <x:v>262523</x:v>
      </x:c>
      <x:c r="O1041" s="72" t="n">
        <x:f aca="0">N1041/1000</x:f>
        <x:v>262.523</x:v>
      </x:c>
      <x:c r="P1041" s="73" t="n">
        <x:f aca="0">DGKC!D57</x:f>
        <x:v>262.523</x:v>
      </x:c>
      <x:c r="Q1041" s="70" t="str">
        <x:f aca="0">IF(ABS(O1041-P1041)&lt;0.000001,"PASS","FAIL")</x:f>
        <x:v>PASS</x:v>
      </x:c>
      <x:c r="R1041" s="70" t="s">
        <x:v>34</x:v>
      </x:c>
      <x:c r="S1041" s="70"/>
    </x:row>
    <x:row r="1042" ht="15" hidden="0">
      <x:c r="A1042" s="70" t="s">
        <x:v>2317</x:v>
      </x:c>
      <x:c r="B1042" s="70" t="s">
        <x:v>37</x:v>
      </x:c>
      <x:c r="C1042" s="70" t="s">
        <x:v>74</x:v>
      </x:c>
      <x:c r="D1042" s="70" t="s">
        <x:v>366</x:v>
      </x:c>
      <x:c r="E1042" s="70" t="s">
        <x:v>1129</x:v>
      </x:c>
      <x:c r="F1042" s="70"/>
      <x:c r="G1042" s="70" t="s">
        <x:v>2113</x:v>
      </x:c>
      <x:c r="H1042" s="70" t="s">
        <x:v>1208</x:v>
      </x:c>
      <x:c r="I1042" s="70" t="s">
        <x:v>1199</x:v>
      </x:c>
      <x:c r="J1042" s="70" t="n">
        <x:v>151</x:v>
      </x:c>
      <x:c r="K1042" s="70" t="s">
        <x:v>2137</x:v>
      </x:c>
      <x:c r="L1042" s="70"/>
      <x:c r="M1042" s="70" t="s">
        <x:v>40</x:v>
      </x:c>
      <x:c r="N1042" s="71" t="n">
        <x:v>213883</x:v>
      </x:c>
      <x:c r="O1042" s="72" t="n">
        <x:f aca="0">N1042/1000</x:f>
        <x:v>213.883</x:v>
      </x:c>
      <x:c r="P1042" s="73" t="n">
        <x:f aca="0">DGKC!E57</x:f>
        <x:v>213.883</x:v>
      </x:c>
      <x:c r="Q1042" s="70" t="str">
        <x:f aca="0">IF(ABS(O1042-P1042)&lt;0.000001,"PASS","FAIL")</x:f>
        <x:v>PASS</x:v>
      </x:c>
      <x:c r="R1042" s="70" t="s">
        <x:v>34</x:v>
      </x:c>
      <x:c r="S1042" s="70"/>
    </x:row>
    <x:row r="1043" ht="15" hidden="0">
      <x:c r="A1043" s="70" t="s">
        <x:v>2318</x:v>
      </x:c>
      <x:c r="B1043" s="70" t="s">
        <x:v>37</x:v>
      </x:c>
      <x:c r="C1043" s="70" t="s">
        <x:v>75</x:v>
      </x:c>
      <x:c r="D1043" s="70" t="s">
        <x:v>366</x:v>
      </x:c>
      <x:c r="E1043" s="70" t="s">
        <x:v>1129</x:v>
      </x:c>
      <x:c r="F1043" s="70"/>
      <x:c r="G1043" s="70" t="s">
        <x:v>2116</x:v>
      </x:c>
      <x:c r="H1043" s="70" t="s">
        <x:v>1211</x:v>
      </x:c>
      <x:c r="I1043" s="70" t="s">
        <x:v>1199</x:v>
      </x:c>
      <x:c r="J1043" s="70" t="n">
        <x:v>151</x:v>
      </x:c>
      <x:c r="K1043" s="70" t="s">
        <x:v>2137</x:v>
      </x:c>
      <x:c r="L1043" s="70"/>
      <x:c r="M1043" s="70" t="s">
        <x:v>40</x:v>
      </x:c>
      <x:c r="N1043" s="71" t="n">
        <x:v>171581</x:v>
      </x:c>
      <x:c r="O1043" s="72" t="n">
        <x:f aca="0">N1043/1000</x:f>
        <x:v>171.581</x:v>
      </x:c>
      <x:c r="P1043" s="73" t="n">
        <x:f aca="0">DGKC!F57</x:f>
        <x:v>171.581</x:v>
      </x:c>
      <x:c r="Q1043" s="70" t="str">
        <x:f aca="0">IF(ABS(O1043-P1043)&lt;0.000001,"PASS","FAIL")</x:f>
        <x:v>PASS</x:v>
      </x:c>
      <x:c r="R1043" s="70" t="s">
        <x:v>34</x:v>
      </x:c>
      <x:c r="S1043" s="70"/>
    </x:row>
    <x:row r="1044" ht="15" hidden="0">
      <x:c r="A1044" s="70" t="s">
        <x:v>2319</x:v>
      </x:c>
      <x:c r="B1044" s="70" t="s">
        <x:v>37</x:v>
      </x:c>
      <x:c r="C1044" s="70" t="s">
        <x:v>76</x:v>
      </x:c>
      <x:c r="D1044" s="70" t="s">
        <x:v>366</x:v>
      </x:c>
      <x:c r="E1044" s="70" t="s">
        <x:v>1129</x:v>
      </x:c>
      <x:c r="F1044" s="70"/>
      <x:c r="G1044" s="70" t="s">
        <x:v>2118</x:v>
      </x:c>
      <x:c r="H1044" s="70" t="s">
        <x:v>1215</x:v>
      </x:c>
      <x:c r="I1044" s="70" t="s">
        <x:v>1199</x:v>
      </x:c>
      <x:c r="J1044" s="70" t="n">
        <x:v>153</x:v>
      </x:c>
      <x:c r="K1044" s="70" t="s">
        <x:v>2140</x:v>
      </x:c>
      <x:c r="L1044" s="70"/>
      <x:c r="M1044" s="70" t="s">
        <x:v>40</x:v>
      </x:c>
      <x:c r="N1044" s="71" t="n">
        <x:v>124138</x:v>
      </x:c>
      <x:c r="O1044" s="72" t="n">
        <x:f aca="0">N1044/1000</x:f>
        <x:v>124.138</x:v>
      </x:c>
      <x:c r="P1044" s="73" t="n">
        <x:f aca="0">DGKC!G57</x:f>
        <x:v>124.138</x:v>
      </x:c>
      <x:c r="Q1044" s="70" t="str">
        <x:f aca="0">IF(ABS(O1044-P1044)&lt;0.000001,"PASS","FAIL")</x:f>
        <x:v>PASS</x:v>
      </x:c>
      <x:c r="R1044" s="70" t="s">
        <x:v>34</x:v>
      </x:c>
      <x:c r="S1044" s="70"/>
    </x:row>
    <x:row r="1045" ht="15" hidden="0">
      <x:c r="A1045" s="70" t="s">
        <x:v>2320</x:v>
      </x:c>
      <x:c r="B1045" s="70" t="s">
        <x:v>37</x:v>
      </x:c>
      <x:c r="C1045" s="70" t="s">
        <x:v>77</x:v>
      </x:c>
      <x:c r="D1045" s="70" t="s">
        <x:v>366</x:v>
      </x:c>
      <x:c r="E1045" s="70" t="s">
        <x:v>1129</x:v>
      </x:c>
      <x:c r="F1045" s="70"/>
      <x:c r="G1045" s="70" t="s">
        <x:v>2118</x:v>
      </x:c>
      <x:c r="H1045" s="70" t="s">
        <x:v>1215</x:v>
      </x:c>
      <x:c r="I1045" s="70" t="s">
        <x:v>1218</x:v>
      </x:c>
      <x:c r="J1045" s="70" t="n">
        <x:v>153</x:v>
      </x:c>
      <x:c r="K1045" s="70" t="s">
        <x:v>2140</x:v>
      </x:c>
      <x:c r="L1045" s="70"/>
      <x:c r="M1045" s="70" t="s">
        <x:v>40</x:v>
      </x:c>
      <x:c r="N1045" s="71" t="n">
        <x:v>79465</x:v>
      </x:c>
      <x:c r="O1045" s="72" t="n">
        <x:f aca="0">N1045/1000</x:f>
        <x:v>79.465</x:v>
      </x:c>
      <x:c r="P1045" s="73" t="n">
        <x:f aca="0">DGKC!H57</x:f>
        <x:v>79.465</x:v>
      </x:c>
      <x:c r="Q1045" s="70" t="str">
        <x:f aca="0">IF(ABS(O1045-P1045)&lt;0.000001,"PASS","FAIL")</x:f>
        <x:v>PASS</x:v>
      </x:c>
      <x:c r="R1045" s="70" t="s">
        <x:v>34</x:v>
      </x:c>
      <x:c r="S1045" s="70"/>
    </x:row>
    <x:row r="1046" ht="15" hidden="0">
      <x:c r="A1046" s="70" t="s">
        <x:v>2321</x:v>
      </x:c>
      <x:c r="B1046" s="70" t="s">
        <x:v>37</x:v>
      </x:c>
      <x:c r="C1046" s="70" t="s">
        <x:v>1076</x:v>
      </x:c>
      <x:c r="D1046" s="70" t="s">
        <x:v>368</x:v>
      </x:c>
      <x:c r="E1046" s="70" t="s">
        <x:v>1129</x:v>
      </x:c>
      <x:c r="F1046" s="70" t="s">
        <x:v>1874</x:v>
      </x:c>
      <x:c r="G1046" s="70" t="s">
        <x:v>2107</x:v>
      </x:c>
      <x:c r="H1046" s="70" t="s">
        <x:v>1198</x:v>
      </x:c>
      <x:c r="I1046" s="70" t="s">
        <x:v>1199</x:v>
      </x:c>
      <x:c r="J1046" s="70" t="n">
        <x:v>105</x:v>
      </x:c>
      <x:c r="K1046" s="70" t="s">
        <x:v>2133</x:v>
      </x:c>
      <x:c r="L1046" s="70"/>
      <x:c r="M1046" s="70" t="s">
        <x:v>40</x:v>
      </x:c>
      <x:c r="N1046" s="71" t="n">
        <x:v>33837</x:v>
      </x:c>
      <x:c r="O1046" s="72" t="n">
        <x:f aca="0">N1046/1000</x:f>
        <x:v>33.837</x:v>
      </x:c>
      <x:c r="P1046" s="73" t="n">
        <x:f aca="0">DGKC!C58</x:f>
        <x:v>33.837</x:v>
      </x:c>
      <x:c r="Q1046" s="70" t="str">
        <x:f aca="0">IF(ABS(O1046-P1046)&lt;0.000001,"PASS","FAIL")</x:f>
        <x:v>PASS</x:v>
      </x:c>
      <x:c r="R1046" s="70" t="s">
        <x:v>34</x:v>
      </x:c>
      <x:c r="S1046" s="70"/>
    </x:row>
    <x:row r="1047" ht="15" hidden="0">
      <x:c r="A1047" s="70" t="s">
        <x:v>2322</x:v>
      </x:c>
      <x:c r="B1047" s="70" t="s">
        <x:v>37</x:v>
      </x:c>
      <x:c r="C1047" s="70" t="s">
        <x:v>73</x:v>
      </x:c>
      <x:c r="D1047" s="70" t="s">
        <x:v>368</x:v>
      </x:c>
      <x:c r="E1047" s="70" t="s">
        <x:v>1129</x:v>
      </x:c>
      <x:c r="F1047" s="70" t="s">
        <x:v>1874</x:v>
      </x:c>
      <x:c r="G1047" s="70" t="s">
        <x:v>2110</x:v>
      </x:c>
      <x:c r="H1047" s="70" t="s">
        <x:v>1204</x:v>
      </x:c>
      <x:c r="I1047" s="70" t="s">
        <x:v>1199</x:v>
      </x:c>
      <x:c r="J1047" s="70" t="n">
        <x:v>125</x:v>
      </x:c>
      <x:c r="K1047" s="70" t="s">
        <x:v>2135</x:v>
      </x:c>
      <x:c r="L1047" s="70"/>
      <x:c r="M1047" s="70" t="s">
        <x:v>40</x:v>
      </x:c>
      <x:c r="N1047" s="71" t="n">
        <x:v>33517</x:v>
      </x:c>
      <x:c r="O1047" s="72" t="n">
        <x:f aca="0">N1047/1000</x:f>
        <x:v>33.517</x:v>
      </x:c>
      <x:c r="P1047" s="73" t="n">
        <x:f aca="0">DGKC!D58</x:f>
        <x:v>33.517</x:v>
      </x:c>
      <x:c r="Q1047" s="70" t="str">
        <x:f aca="0">IF(ABS(O1047-P1047)&lt;0.000001,"PASS","FAIL")</x:f>
        <x:v>PASS</x:v>
      </x:c>
      <x:c r="R1047" s="70" t="s">
        <x:v>34</x:v>
      </x:c>
      <x:c r="S1047" s="70"/>
    </x:row>
    <x:row r="1048" ht="15" hidden="0">
      <x:c r="A1048" s="70" t="s">
        <x:v>2323</x:v>
      </x:c>
      <x:c r="B1048" s="70" t="s">
        <x:v>37</x:v>
      </x:c>
      <x:c r="C1048" s="70" t="s">
        <x:v>74</x:v>
      </x:c>
      <x:c r="D1048" s="70" t="s">
        <x:v>368</x:v>
      </x:c>
      <x:c r="E1048" s="70" t="s">
        <x:v>1129</x:v>
      </x:c>
      <x:c r="F1048" s="70" t="s">
        <x:v>1874</x:v>
      </x:c>
      <x:c r="G1048" s="70" t="s">
        <x:v>2113</x:v>
      </x:c>
      <x:c r="H1048" s="70" t="s">
        <x:v>1208</x:v>
      </x:c>
      <x:c r="I1048" s="70" t="s">
        <x:v>1199</x:v>
      </x:c>
      <x:c r="J1048" s="70" t="n">
        <x:v>151</x:v>
      </x:c>
      <x:c r="K1048" s="70" t="s">
        <x:v>2137</x:v>
      </x:c>
      <x:c r="L1048" s="70"/>
      <x:c r="M1048" s="70" t="s">
        <x:v>40</x:v>
      </x:c>
      <x:c r="N1048" s="71" t="n">
        <x:v>34512</x:v>
      </x:c>
      <x:c r="O1048" s="72" t="n">
        <x:f aca="0">N1048/1000</x:f>
        <x:v>34.512</x:v>
      </x:c>
      <x:c r="P1048" s="73" t="n">
        <x:f aca="0">DGKC!E58</x:f>
        <x:v>34.512</x:v>
      </x:c>
      <x:c r="Q1048" s="70" t="str">
        <x:f aca="0">IF(ABS(O1048-P1048)&lt;0.000001,"PASS","FAIL")</x:f>
        <x:v>PASS</x:v>
      </x:c>
      <x:c r="R1048" s="70" t="s">
        <x:v>34</x:v>
      </x:c>
      <x:c r="S1048" s="70"/>
    </x:row>
    <x:row r="1049" ht="15" hidden="0">
      <x:c r="A1049" s="70" t="s">
        <x:v>2324</x:v>
      </x:c>
      <x:c r="B1049" s="70" t="s">
        <x:v>37</x:v>
      </x:c>
      <x:c r="C1049" s="70" t="s">
        <x:v>75</x:v>
      </x:c>
      <x:c r="D1049" s="70" t="s">
        <x:v>368</x:v>
      </x:c>
      <x:c r="E1049" s="70" t="s">
        <x:v>1129</x:v>
      </x:c>
      <x:c r="F1049" s="70" t="s">
        <x:v>1874</x:v>
      </x:c>
      <x:c r="G1049" s="70" t="s">
        <x:v>2116</x:v>
      </x:c>
      <x:c r="H1049" s="70" t="s">
        <x:v>1211</x:v>
      </x:c>
      <x:c r="I1049" s="70" t="s">
        <x:v>1199</x:v>
      </x:c>
      <x:c r="J1049" s="70" t="n">
        <x:v>151</x:v>
      </x:c>
      <x:c r="K1049" s="70" t="s">
        <x:v>2137</x:v>
      </x:c>
      <x:c r="L1049" s="70"/>
      <x:c r="M1049" s="70" t="s">
        <x:v>40</x:v>
      </x:c>
      <x:c r="N1049" s="71" t="n">
        <x:v>34704</x:v>
      </x:c>
      <x:c r="O1049" s="72" t="n">
        <x:f aca="0">N1049/1000</x:f>
        <x:v>34.704</x:v>
      </x:c>
      <x:c r="P1049" s="73" t="n">
        <x:f aca="0">DGKC!F58</x:f>
        <x:v>34.704</x:v>
      </x:c>
      <x:c r="Q1049" s="70" t="str">
        <x:f aca="0">IF(ABS(O1049-P1049)&lt;0.000001,"PASS","FAIL")</x:f>
        <x:v>PASS</x:v>
      </x:c>
      <x:c r="R1049" s="70" t="s">
        <x:v>34</x:v>
      </x:c>
      <x:c r="S1049" s="70"/>
    </x:row>
    <x:row r="1050" ht="15" hidden="0">
      <x:c r="A1050" s="70" t="s">
        <x:v>2325</x:v>
      </x:c>
      <x:c r="B1050" s="70" t="s">
        <x:v>37</x:v>
      </x:c>
      <x:c r="C1050" s="70" t="s">
        <x:v>76</x:v>
      </x:c>
      <x:c r="D1050" s="70" t="s">
        <x:v>368</x:v>
      </x:c>
      <x:c r="E1050" s="70" t="s">
        <x:v>1129</x:v>
      </x:c>
      <x:c r="F1050" s="70" t="s">
        <x:v>1874</x:v>
      </x:c>
      <x:c r="G1050" s="70" t="s">
        <x:v>2118</x:v>
      </x:c>
      <x:c r="H1050" s="70" t="s">
        <x:v>1215</x:v>
      </x:c>
      <x:c r="I1050" s="70" t="s">
        <x:v>1199</x:v>
      </x:c>
      <x:c r="J1050" s="70" t="n">
        <x:v>153</x:v>
      </x:c>
      <x:c r="K1050" s="70" t="s">
        <x:v>2140</x:v>
      </x:c>
      <x:c r="L1050" s="70"/>
      <x:c r="M1050" s="70" t="s">
        <x:v>40</x:v>
      </x:c>
      <x:c r="N1050" s="71" t="n">
        <x:v>34201</x:v>
      </x:c>
      <x:c r="O1050" s="72" t="n">
        <x:f aca="0">N1050/1000</x:f>
        <x:v>34.201</x:v>
      </x:c>
      <x:c r="P1050" s="73" t="n">
        <x:f aca="0">DGKC!G58</x:f>
        <x:v>34.201</x:v>
      </x:c>
      <x:c r="Q1050" s="70" t="str">
        <x:f aca="0">IF(ABS(O1050-P1050)&lt;0.000001,"PASS","FAIL")</x:f>
        <x:v>PASS</x:v>
      </x:c>
      <x:c r="R1050" s="70" t="s">
        <x:v>34</x:v>
      </x:c>
      <x:c r="S1050" s="70"/>
    </x:row>
    <x:row r="1051" ht="15" hidden="0">
      <x:c r="A1051" s="70" t="s">
        <x:v>2326</x:v>
      </x:c>
      <x:c r="B1051" s="70" t="s">
        <x:v>37</x:v>
      </x:c>
      <x:c r="C1051" s="70" t="s">
        <x:v>77</x:v>
      </x:c>
      <x:c r="D1051" s="70" t="s">
        <x:v>368</x:v>
      </x:c>
      <x:c r="E1051" s="70" t="s">
        <x:v>1129</x:v>
      </x:c>
      <x:c r="F1051" s="70" t="s">
        <x:v>1874</x:v>
      </x:c>
      <x:c r="G1051" s="70" t="s">
        <x:v>2118</x:v>
      </x:c>
      <x:c r="H1051" s="70" t="s">
        <x:v>1215</x:v>
      </x:c>
      <x:c r="I1051" s="70" t="s">
        <x:v>1218</x:v>
      </x:c>
      <x:c r="J1051" s="70" t="n">
        <x:v>153</x:v>
      </x:c>
      <x:c r="K1051" s="70" t="s">
        <x:v>2140</x:v>
      </x:c>
      <x:c r="L1051" s="70"/>
      <x:c r="M1051" s="70" t="s">
        <x:v>40</x:v>
      </x:c>
      <x:c r="N1051" s="71" t="n">
        <x:v>34154</x:v>
      </x:c>
      <x:c r="O1051" s="72" t="n">
        <x:f aca="0">N1051/1000</x:f>
        <x:v>34.154</x:v>
      </x:c>
      <x:c r="P1051" s="73" t="n">
        <x:f aca="0">DGKC!H58</x:f>
        <x:v>34.154</x:v>
      </x:c>
      <x:c r="Q1051" s="70" t="str">
        <x:f aca="0">IF(ABS(O1051-P1051)&lt;0.000001,"PASS","FAIL")</x:f>
        <x:v>PASS</x:v>
      </x:c>
      <x:c r="R1051" s="70" t="s">
        <x:v>34</x:v>
      </x:c>
      <x:c r="S1051" s="70"/>
    </x:row>
    <x:row r="1052" ht="15" hidden="0">
      <x:c r="A1052" s="70" t="s">
        <x:v>2327</x:v>
      </x:c>
      <x:c r="B1052" s="70" t="s">
        <x:v>37</x:v>
      </x:c>
      <x:c r="C1052" s="70" t="s">
        <x:v>1076</x:v>
      </x:c>
      <x:c r="D1052" s="70" t="s">
        <x:v>370</x:v>
      </x:c>
      <x:c r="E1052" s="70" t="s">
        <x:v>1129</x:v>
      </x:c>
      <x:c r="F1052" s="70" t="s">
        <x:v>2328</x:v>
      </x:c>
      <x:c r="G1052" s="70" t="s">
        <x:v>2107</x:v>
      </x:c>
      <x:c r="H1052" s="70" t="s">
        <x:v>1198</x:v>
      </x:c>
      <x:c r="I1052" s="70" t="s">
        <x:v>1199</x:v>
      </x:c>
      <x:c r="J1052" s="70" t="n">
        <x:v>105</x:v>
      </x:c>
      <x:c r="K1052" s="70" t="s">
        <x:v>2133</x:v>
      </x:c>
      <x:c r="L1052" s="70"/>
      <x:c r="M1052" s="70" t="s">
        <x:v>40</x:v>
      </x:c>
      <x:c r="N1052" s="71" t="n">
        <x:v>35090</x:v>
      </x:c>
      <x:c r="O1052" s="72" t="n">
        <x:f aca="0">N1052/1000</x:f>
        <x:v>35.09</x:v>
      </x:c>
      <x:c r="P1052" s="73" t="n">
        <x:f aca="0">DGKC!C59</x:f>
        <x:v>35.09</x:v>
      </x:c>
      <x:c r="Q1052" s="70" t="str">
        <x:f aca="0">IF(ABS(O1052-P1052)&lt;0.000001,"PASS","FAIL")</x:f>
        <x:v>PASS</x:v>
      </x:c>
      <x:c r="R1052" s="70" t="s">
        <x:v>34</x:v>
      </x:c>
      <x:c r="S1052" s="70"/>
    </x:row>
    <x:row r="1053" ht="15" hidden="0">
      <x:c r="A1053" s="70" t="s">
        <x:v>2329</x:v>
      </x:c>
      <x:c r="B1053" s="70" t="s">
        <x:v>37</x:v>
      </x:c>
      <x:c r="C1053" s="70" t="s">
        <x:v>73</x:v>
      </x:c>
      <x:c r="D1053" s="70" t="s">
        <x:v>370</x:v>
      </x:c>
      <x:c r="E1053" s="70" t="s">
        <x:v>1129</x:v>
      </x:c>
      <x:c r="F1053" s="70" t="s">
        <x:v>2328</x:v>
      </x:c>
      <x:c r="G1053" s="70" t="s">
        <x:v>2110</x:v>
      </x:c>
      <x:c r="H1053" s="70" t="s">
        <x:v>1204</x:v>
      </x:c>
      <x:c r="I1053" s="70" t="s">
        <x:v>1199</x:v>
      </x:c>
      <x:c r="J1053" s="70" t="n">
        <x:v>125</x:v>
      </x:c>
      <x:c r="K1053" s="70" t="s">
        <x:v>2135</x:v>
      </x:c>
      <x:c r="L1053" s="70"/>
      <x:c r="M1053" s="70" t="s">
        <x:v>40</x:v>
      </x:c>
      <x:c r="N1053" s="71" t="n">
        <x:v>35090</x:v>
      </x:c>
      <x:c r="O1053" s="72" t="n">
        <x:f aca="0">N1053/1000</x:f>
        <x:v>35.09</x:v>
      </x:c>
      <x:c r="P1053" s="73" t="n">
        <x:f aca="0">DGKC!D59</x:f>
        <x:v>35.09</x:v>
      </x:c>
      <x:c r="Q1053" s="70" t="str">
        <x:f aca="0">IF(ABS(O1053-P1053)&lt;0.000001,"PASS","FAIL")</x:f>
        <x:v>PASS</x:v>
      </x:c>
      <x:c r="R1053" s="70" t="s">
        <x:v>34</x:v>
      </x:c>
      <x:c r="S1053" s="70"/>
    </x:row>
    <x:row r="1054" ht="15" hidden="0">
      <x:c r="A1054" s="70" t="s">
        <x:v>2330</x:v>
      </x:c>
      <x:c r="B1054" s="70" t="s">
        <x:v>37</x:v>
      </x:c>
      <x:c r="C1054" s="70" t="s">
        <x:v>74</x:v>
      </x:c>
      <x:c r="D1054" s="70" t="s">
        <x:v>370</x:v>
      </x:c>
      <x:c r="E1054" s="70" t="s">
        <x:v>1129</x:v>
      </x:c>
      <x:c r="F1054" s="70" t="s">
        <x:v>2328</x:v>
      </x:c>
      <x:c r="G1054" s="70" t="s">
        <x:v>2113</x:v>
      </x:c>
      <x:c r="H1054" s="70" t="s">
        <x:v>1208</x:v>
      </x:c>
      <x:c r="I1054" s="70" t="s">
        <x:v>1199</x:v>
      </x:c>
      <x:c r="J1054" s="70" t="n">
        <x:v>151</x:v>
      </x:c>
      <x:c r="K1054" s="70" t="s">
        <x:v>2137</x:v>
      </x:c>
      <x:c r="L1054" s="70"/>
      <x:c r="M1054" s="70" t="s">
        <x:v>40</x:v>
      </x:c>
      <x:c r="N1054" s="71" t="n">
        <x:v>35090</x:v>
      </x:c>
      <x:c r="O1054" s="72" t="n">
        <x:f aca="0">N1054/1000</x:f>
        <x:v>35.09</x:v>
      </x:c>
      <x:c r="P1054" s="73" t="n">
        <x:f aca="0">DGKC!E59</x:f>
        <x:v>35.09</x:v>
      </x:c>
      <x:c r="Q1054" s="70" t="str">
        <x:f aca="0">IF(ABS(O1054-P1054)&lt;0.000001,"PASS","FAIL")</x:f>
        <x:v>PASS</x:v>
      </x:c>
      <x:c r="R1054" s="70" t="s">
        <x:v>34</x:v>
      </x:c>
      <x:c r="S1054" s="70"/>
    </x:row>
    <x:row r="1055" ht="15" hidden="0">
      <x:c r="A1055" s="70" t="s">
        <x:v>2331</x:v>
      </x:c>
      <x:c r="B1055" s="70" t="s">
        <x:v>37</x:v>
      </x:c>
      <x:c r="C1055" s="70" t="s">
        <x:v>75</x:v>
      </x:c>
      <x:c r="D1055" s="70" t="s">
        <x:v>370</x:v>
      </x:c>
      <x:c r="E1055" s="70" t="s">
        <x:v>1129</x:v>
      </x:c>
      <x:c r="F1055" s="70" t="s">
        <x:v>2328</x:v>
      </x:c>
      <x:c r="G1055" s="70" t="s">
        <x:v>2116</x:v>
      </x:c>
      <x:c r="H1055" s="70" t="s">
        <x:v>1211</x:v>
      </x:c>
      <x:c r="I1055" s="70" t="s">
        <x:v>1199</x:v>
      </x:c>
      <x:c r="J1055" s="70" t="n">
        <x:v>151</x:v>
      </x:c>
      <x:c r="K1055" s="70" t="s">
        <x:v>2137</x:v>
      </x:c>
      <x:c r="L1055" s="70"/>
      <x:c r="M1055" s="70" t="s">
        <x:v>40</x:v>
      </x:c>
      <x:c r="N1055" s="71" t="n">
        <x:v>35090</x:v>
      </x:c>
      <x:c r="O1055" s="72" t="n">
        <x:f aca="0">N1055/1000</x:f>
        <x:v>35.09</x:v>
      </x:c>
      <x:c r="P1055" s="73" t="n">
        <x:f aca="0">DGKC!F59</x:f>
        <x:v>35.09</x:v>
      </x:c>
      <x:c r="Q1055" s="70" t="str">
        <x:f aca="0">IF(ABS(O1055-P1055)&lt;0.000001,"PASS","FAIL")</x:f>
        <x:v>PASS</x:v>
      </x:c>
      <x:c r="R1055" s="70" t="s">
        <x:v>34</x:v>
      </x:c>
      <x:c r="S1055" s="70"/>
    </x:row>
    <x:row r="1056" ht="15" hidden="0">
      <x:c r="A1056" s="70" t="s">
        <x:v>2332</x:v>
      </x:c>
      <x:c r="B1056" s="70" t="s">
        <x:v>37</x:v>
      </x:c>
      <x:c r="C1056" s="70" t="s">
        <x:v>76</x:v>
      </x:c>
      <x:c r="D1056" s="70" t="s">
        <x:v>370</x:v>
      </x:c>
      <x:c r="E1056" s="70" t="s">
        <x:v>1129</x:v>
      </x:c>
      <x:c r="F1056" s="70" t="s">
        <x:v>2333</x:v>
      </x:c>
      <x:c r="G1056" s="70" t="s">
        <x:v>2118</x:v>
      </x:c>
      <x:c r="H1056" s="70" t="s">
        <x:v>1215</x:v>
      </x:c>
      <x:c r="I1056" s="70" t="s">
        <x:v>1199</x:v>
      </x:c>
      <x:c r="J1056" s="70" t="n">
        <x:v>153</x:v>
      </x:c>
      <x:c r="K1056" s="70" t="s">
        <x:v>2140</x:v>
      </x:c>
      <x:c r="L1056" s="70"/>
      <x:c r="M1056" s="70" t="s">
        <x:v>40</x:v>
      </x:c>
      <x:c r="N1056" s="71" t="n">
        <x:v>35090</x:v>
      </x:c>
      <x:c r="O1056" s="72" t="n">
        <x:f aca="0">N1056/1000</x:f>
        <x:v>35.09</x:v>
      </x:c>
      <x:c r="P1056" s="73" t="n">
        <x:f aca="0">DGKC!G59</x:f>
        <x:v>35.09</x:v>
      </x:c>
      <x:c r="Q1056" s="70" t="str">
        <x:f aca="0">IF(ABS(O1056-P1056)&lt;0.000001,"PASS","FAIL")</x:f>
        <x:v>PASS</x:v>
      </x:c>
      <x:c r="R1056" s="70" t="s">
        <x:v>34</x:v>
      </x:c>
      <x:c r="S1056" s="70"/>
    </x:row>
    <x:row r="1057" ht="15" hidden="0">
      <x:c r="A1057" s="70" t="s">
        <x:v>2334</x:v>
      </x:c>
      <x:c r="B1057" s="70" t="s">
        <x:v>37</x:v>
      </x:c>
      <x:c r="C1057" s="70" t="s">
        <x:v>77</x:v>
      </x:c>
      <x:c r="D1057" s="70" t="s">
        <x:v>370</x:v>
      </x:c>
      <x:c r="E1057" s="70" t="s">
        <x:v>1129</x:v>
      </x:c>
      <x:c r="F1057" s="70" t="s">
        <x:v>2333</x:v>
      </x:c>
      <x:c r="G1057" s="70" t="s">
        <x:v>2118</x:v>
      </x:c>
      <x:c r="H1057" s="70" t="s">
        <x:v>1215</x:v>
      </x:c>
      <x:c r="I1057" s="70" t="s">
        <x:v>1218</x:v>
      </x:c>
      <x:c r="J1057" s="70" t="n">
        <x:v>153</x:v>
      </x:c>
      <x:c r="K1057" s="70" t="s">
        <x:v>2140</x:v>
      </x:c>
      <x:c r="L1057" s="70"/>
      <x:c r="M1057" s="70" t="s">
        <x:v>40</x:v>
      </x:c>
      <x:c r="N1057" s="71" t="n">
        <x:v>365924</x:v>
      </x:c>
      <x:c r="O1057" s="72" t="n">
        <x:f aca="0">N1057/1000</x:f>
        <x:v>365.924</x:v>
      </x:c>
      <x:c r="P1057" s="73" t="n">
        <x:f aca="0">DGKC!H59</x:f>
        <x:v>365.924</x:v>
      </x:c>
      <x:c r="Q1057" s="70" t="str">
        <x:f aca="0">IF(ABS(O1057-P1057)&lt;0.000001,"PASS","FAIL")</x:f>
        <x:v>PASS</x:v>
      </x:c>
      <x:c r="R1057" s="70" t="s">
        <x:v>34</x:v>
      </x:c>
      <x:c r="S1057" s="70"/>
    </x:row>
    <x:row r="1058" ht="15" hidden="0">
      <x:c r="A1058" s="70" t="s">
        <x:v>2335</x:v>
      </x:c>
      <x:c r="B1058" s="70" t="s">
        <x:v>37</x:v>
      </x:c>
      <x:c r="C1058" s="70" t="s">
        <x:v>1076</x:v>
      </x:c>
      <x:c r="D1058" s="70" t="s">
        <x:v>372</x:v>
      </x:c>
      <x:c r="E1058" s="70" t="s">
        <x:v>1129</x:v>
      </x:c>
      <x:c r="F1058" s="70"/>
      <x:c r="G1058" s="70" t="s">
        <x:v>2107</x:v>
      </x:c>
      <x:c r="H1058" s="70" t="s">
        <x:v>1198</x:v>
      </x:c>
      <x:c r="I1058" s="70" t="s">
        <x:v>1199</x:v>
      </x:c>
      <x:c r="J1058" s="70" t="n">
        <x:v>105</x:v>
      </x:c>
      <x:c r="K1058" s="70" t="s">
        <x:v>2133</x:v>
      </x:c>
      <x:c r="L1058" s="70"/>
      <x:c r="M1058" s="70" t="s">
        <x:v>40</x:v>
      </x:c>
      <x:c r="N1058" s="71" t="n">
        <x:v>38280</x:v>
      </x:c>
      <x:c r="O1058" s="72" t="n">
        <x:f aca="0">N1058/1000</x:f>
        <x:v>38.28</x:v>
      </x:c>
      <x:c r="P1058" s="73" t="n">
        <x:f aca="0">DGKC!C60</x:f>
        <x:v>38.28</x:v>
      </x:c>
      <x:c r="Q1058" s="70" t="str">
        <x:f aca="0">IF(ABS(O1058-P1058)&lt;0.000001,"PASS","FAIL")</x:f>
        <x:v>PASS</x:v>
      </x:c>
      <x:c r="R1058" s="70" t="s">
        <x:v>34</x:v>
      </x:c>
      <x:c r="S1058" s="70"/>
    </x:row>
    <x:row r="1059" ht="15" hidden="0">
      <x:c r="A1059" s="70" t="s">
        <x:v>2336</x:v>
      </x:c>
      <x:c r="B1059" s="70" t="s">
        <x:v>37</x:v>
      </x:c>
      <x:c r="C1059" s="70" t="s">
        <x:v>73</x:v>
      </x:c>
      <x:c r="D1059" s="70" t="s">
        <x:v>372</x:v>
      </x:c>
      <x:c r="E1059" s="70" t="s">
        <x:v>1129</x:v>
      </x:c>
      <x:c r="F1059" s="70"/>
      <x:c r="G1059" s="70" t="s">
        <x:v>2110</x:v>
      </x:c>
      <x:c r="H1059" s="70" t="s">
        <x:v>1204</x:v>
      </x:c>
      <x:c r="I1059" s="70" t="s">
        <x:v>1199</x:v>
      </x:c>
      <x:c r="J1059" s="70" t="n">
        <x:v>125</x:v>
      </x:c>
      <x:c r="K1059" s="70" t="s">
        <x:v>2135</x:v>
      </x:c>
      <x:c r="L1059" s="70"/>
      <x:c r="M1059" s="70" t="s">
        <x:v>40</x:v>
      </x:c>
      <x:c r="N1059" s="71" t="n">
        <x:v>40717</x:v>
      </x:c>
      <x:c r="O1059" s="72" t="n">
        <x:f aca="0">N1059/1000</x:f>
        <x:v>40.717</x:v>
      </x:c>
      <x:c r="P1059" s="73" t="n">
        <x:f aca="0">DGKC!D60</x:f>
        <x:v>40.717</x:v>
      </x:c>
      <x:c r="Q1059" s="70" t="str">
        <x:f aca="0">IF(ABS(O1059-P1059)&lt;0.000001,"PASS","FAIL")</x:f>
        <x:v>PASS</x:v>
      </x:c>
      <x:c r="R1059" s="70" t="s">
        <x:v>34</x:v>
      </x:c>
      <x:c r="S1059" s="70"/>
    </x:row>
    <x:row r="1060" ht="15" hidden="0">
      <x:c r="A1060" s="70" t="s">
        <x:v>2337</x:v>
      </x:c>
      <x:c r="B1060" s="70" t="s">
        <x:v>37</x:v>
      </x:c>
      <x:c r="C1060" s="70" t="s">
        <x:v>74</x:v>
      </x:c>
      <x:c r="D1060" s="70" t="s">
        <x:v>372</x:v>
      </x:c>
      <x:c r="E1060" s="70" t="s">
        <x:v>1129</x:v>
      </x:c>
      <x:c r="F1060" s="70"/>
      <x:c r="G1060" s="70" t="s">
        <x:v>2113</x:v>
      </x:c>
      <x:c r="H1060" s="70" t="s">
        <x:v>1208</x:v>
      </x:c>
      <x:c r="I1060" s="70" t="s">
        <x:v>1199</x:v>
      </x:c>
      <x:c r="J1060" s="70" t="n">
        <x:v>151</x:v>
      </x:c>
      <x:c r="K1060" s="70" t="s">
        <x:v>2137</x:v>
      </x:c>
      <x:c r="L1060" s="70"/>
      <x:c r="M1060" s="70" t="s">
        <x:v>40</x:v>
      </x:c>
      <x:c r="N1060" s="71" t="n">
        <x:v>22936</x:v>
      </x:c>
      <x:c r="O1060" s="72" t="n">
        <x:f aca="0">N1060/1000</x:f>
        <x:v>22.936</x:v>
      </x:c>
      <x:c r="P1060" s="73" t="n">
        <x:f aca="0">DGKC!E60</x:f>
        <x:v>22.936</x:v>
      </x:c>
      <x:c r="Q1060" s="70" t="str">
        <x:f aca="0">IF(ABS(O1060-P1060)&lt;0.000001,"PASS","FAIL")</x:f>
        <x:v>PASS</x:v>
      </x:c>
      <x:c r="R1060" s="70" t="s">
        <x:v>34</x:v>
      </x:c>
      <x:c r="S1060" s="70"/>
    </x:row>
    <x:row r="1061" ht="15" hidden="0">
      <x:c r="A1061" s="70" t="s">
        <x:v>2338</x:v>
      </x:c>
      <x:c r="B1061" s="70" t="s">
        <x:v>37</x:v>
      </x:c>
      <x:c r="C1061" s="70" t="s">
        <x:v>75</x:v>
      </x:c>
      <x:c r="D1061" s="70" t="s">
        <x:v>372</x:v>
      </x:c>
      <x:c r="E1061" s="70" t="s">
        <x:v>1129</x:v>
      </x:c>
      <x:c r="F1061" s="70"/>
      <x:c r="G1061" s="70" t="s">
        <x:v>2116</x:v>
      </x:c>
      <x:c r="H1061" s="70" t="s">
        <x:v>1211</x:v>
      </x:c>
      <x:c r="I1061" s="70" t="s">
        <x:v>1199</x:v>
      </x:c>
      <x:c r="J1061" s="70" t="n">
        <x:v>151</x:v>
      </x:c>
      <x:c r="K1061" s="70" t="s">
        <x:v>2137</x:v>
      </x:c>
      <x:c r="L1061" s="70"/>
      <x:c r="M1061" s="70" t="s">
        <x:v>40</x:v>
      </x:c>
      <x:c r="N1061" s="71" t="n">
        <x:v>46912</x:v>
      </x:c>
      <x:c r="O1061" s="72" t="n">
        <x:f aca="0">N1061/1000</x:f>
        <x:v>46.912</x:v>
      </x:c>
      <x:c r="P1061" s="73" t="n">
        <x:f aca="0">DGKC!F60</x:f>
        <x:v>46.912</x:v>
      </x:c>
      <x:c r="Q1061" s="70" t="str">
        <x:f aca="0">IF(ABS(O1061-P1061)&lt;0.000001,"PASS","FAIL")</x:f>
        <x:v>PASS</x:v>
      </x:c>
      <x:c r="R1061" s="70" t="s">
        <x:v>34</x:v>
      </x:c>
      <x:c r="S1061" s="70"/>
    </x:row>
    <x:row r="1062" ht="15" hidden="0">
      <x:c r="A1062" s="70" t="s">
        <x:v>2339</x:v>
      </x:c>
      <x:c r="B1062" s="70" t="s">
        <x:v>37</x:v>
      </x:c>
      <x:c r="C1062" s="70" t="s">
        <x:v>76</x:v>
      </x:c>
      <x:c r="D1062" s="70" t="s">
        <x:v>372</x:v>
      </x:c>
      <x:c r="E1062" s="70" t="s">
        <x:v>1129</x:v>
      </x:c>
      <x:c r="F1062" s="70"/>
      <x:c r="G1062" s="70" t="s">
        <x:v>2118</x:v>
      </x:c>
      <x:c r="H1062" s="70" t="s">
        <x:v>1215</x:v>
      </x:c>
      <x:c r="I1062" s="70" t="s">
        <x:v>1199</x:v>
      </x:c>
      <x:c r="J1062" s="70" t="n">
        <x:v>153</x:v>
      </x:c>
      <x:c r="K1062" s="70" t="s">
        <x:v>2140</x:v>
      </x:c>
      <x:c r="L1062" s="70"/>
      <x:c r="M1062" s="70" t="s">
        <x:v>40</x:v>
      </x:c>
      <x:c r="N1062" s="71" t="n">
        <x:v>697</x:v>
      </x:c>
      <x:c r="O1062" s="72" t="n">
        <x:f aca="0">N1062/1000</x:f>
        <x:v>0.697</x:v>
      </x:c>
      <x:c r="P1062" s="73" t="n">
        <x:f aca="0">DGKC!G60</x:f>
        <x:v>0.697</x:v>
      </x:c>
      <x:c r="Q1062" s="70" t="str">
        <x:f aca="0">IF(ABS(O1062-P1062)&lt;0.000001,"PASS","FAIL")</x:f>
        <x:v>PASS</x:v>
      </x:c>
      <x:c r="R1062" s="70" t="s">
        <x:v>34</x:v>
      </x:c>
      <x:c r="S1062" s="70"/>
    </x:row>
    <x:row r="1063" ht="15" hidden="0">
      <x:c r="A1063" s="70" t="s">
        <x:v>2340</x:v>
      </x:c>
      <x:c r="B1063" s="70" t="s">
        <x:v>37</x:v>
      </x:c>
      <x:c r="C1063" s="70" t="s">
        <x:v>77</x:v>
      </x:c>
      <x:c r="D1063" s="70" t="s">
        <x:v>372</x:v>
      </x:c>
      <x:c r="E1063" s="70" t="s">
        <x:v>1129</x:v>
      </x:c>
      <x:c r="F1063" s="70"/>
      <x:c r="G1063" s="70" t="s">
        <x:v>2118</x:v>
      </x:c>
      <x:c r="H1063" s="70" t="s">
        <x:v>1215</x:v>
      </x:c>
      <x:c r="I1063" s="70" t="s">
        <x:v>1218</x:v>
      </x:c>
      <x:c r="J1063" s="70" t="n">
        <x:v>153</x:v>
      </x:c>
      <x:c r="K1063" s="70" t="s">
        <x:v>2140</x:v>
      </x:c>
      <x:c r="L1063" s="70"/>
      <x:c r="M1063" s="70" t="s">
        <x:v>40</x:v>
      </x:c>
      <x:c r="N1063" s="71" t="n">
        <x:v>55006</x:v>
      </x:c>
      <x:c r="O1063" s="72" t="n">
        <x:f aca="0">N1063/1000</x:f>
        <x:v>55.006</x:v>
      </x:c>
      <x:c r="P1063" s="73" t="n">
        <x:f aca="0">DGKC!H60</x:f>
        <x:v>55.006</x:v>
      </x:c>
      <x:c r="Q1063" s="70" t="str">
        <x:f aca="0">IF(ABS(O1063-P1063)&lt;0.000001,"PASS","FAIL")</x:f>
        <x:v>PASS</x:v>
      </x:c>
      <x:c r="R1063" s="70" t="s">
        <x:v>34</x:v>
      </x:c>
      <x:c r="S1063" s="70"/>
    </x:row>
    <x:row r="1064" ht="15" hidden="0">
      <x:c r="A1064" s="70" t="s">
        <x:v>2341</x:v>
      </x:c>
      <x:c r="B1064" s="70" t="s">
        <x:v>37</x:v>
      </x:c>
      <x:c r="C1064" s="70" t="s">
        <x:v>1076</x:v>
      </x:c>
      <x:c r="D1064" s="70" t="s">
        <x:v>401</x:v>
      </x:c>
      <x:c r="E1064" s="70" t="s">
        <x:v>1129</x:v>
      </x:c>
      <x:c r="F1064" s="70"/>
      <x:c r="G1064" s="70" t="s">
        <x:v>2107</x:v>
      </x:c>
      <x:c r="H1064" s="70" t="s">
        <x:v>1198</x:v>
      </x:c>
      <x:c r="I1064" s="70" t="s">
        <x:v>1199</x:v>
      </x:c>
      <x:c r="J1064" s="70" t="n">
        <x:v>106</x:v>
      </x:c>
      <x:c r="K1064" s="70" t="s">
        <x:v>2108</x:v>
      </x:c>
      <x:c r="L1064" s="70"/>
      <x:c r="M1064" s="70" t="s">
        <x:v>40</x:v>
      </x:c>
      <x:c r="N1064" s="71" t="n">
        <x:v>129551534</x:v>
      </x:c>
      <x:c r="O1064" s="72" t="n">
        <x:f aca="0">N1064/1000</x:f>
        <x:v>129551.534</x:v>
      </x:c>
      <x:c r="P1064" s="73" t="n">
        <x:f aca="0">DGKC!C75</x:f>
        <x:v>129551.534</x:v>
      </x:c>
      <x:c r="Q1064" s="70" t="str">
        <x:f aca="0">IF(ABS(O1064-P1064)&lt;0.000001,"PASS","FAIL")</x:f>
        <x:v>PASS</x:v>
      </x:c>
      <x:c r="R1064" s="70" t="s">
        <x:v>34</x:v>
      </x:c>
      <x:c r="S1064" s="70"/>
    </x:row>
    <x:row r="1065" ht="15" hidden="0">
      <x:c r="A1065" s="70" t="s">
        <x:v>2342</x:v>
      </x:c>
      <x:c r="B1065" s="70" t="s">
        <x:v>37</x:v>
      </x:c>
      <x:c r="C1065" s="70" t="s">
        <x:v>73</x:v>
      </x:c>
      <x:c r="D1065" s="70" t="s">
        <x:v>401</x:v>
      </x:c>
      <x:c r="E1065" s="70" t="s">
        <x:v>1129</x:v>
      </x:c>
      <x:c r="F1065" s="70"/>
      <x:c r="G1065" s="70" t="s">
        <x:v>2110</x:v>
      </x:c>
      <x:c r="H1065" s="70" t="s">
        <x:v>1204</x:v>
      </x:c>
      <x:c r="I1065" s="70" t="s">
        <x:v>1199</x:v>
      </x:c>
      <x:c r="J1065" s="70" t="n">
        <x:v>126</x:v>
      </x:c>
      <x:c r="K1065" s="70" t="s">
        <x:v>2111</x:v>
      </x:c>
      <x:c r="L1065" s="70"/>
      <x:c r="M1065" s="70" t="s">
        <x:v>40</x:v>
      </x:c>
      <x:c r="N1065" s="71" t="n">
        <x:v>137894697</x:v>
      </x:c>
      <x:c r="O1065" s="72" t="n">
        <x:f aca="0">N1065/1000</x:f>
        <x:v>137894.697</x:v>
      </x:c>
      <x:c r="P1065" s="73" t="n">
        <x:f aca="0">DGKC!D75</x:f>
        <x:v>137894.697</x:v>
      </x:c>
      <x:c r="Q1065" s="70" t="str">
        <x:f aca="0">IF(ABS(O1065-P1065)&lt;0.000001,"PASS","FAIL")</x:f>
        <x:v>PASS</x:v>
      </x:c>
      <x:c r="R1065" s="70" t="s">
        <x:v>34</x:v>
      </x:c>
      <x:c r="S1065" s="70"/>
    </x:row>
    <x:row r="1066" ht="15" hidden="0">
      <x:c r="A1066" s="70" t="s">
        <x:v>2343</x:v>
      </x:c>
      <x:c r="B1066" s="70" t="s">
        <x:v>37</x:v>
      </x:c>
      <x:c r="C1066" s="70" t="s">
        <x:v>74</x:v>
      </x:c>
      <x:c r="D1066" s="70" t="s">
        <x:v>401</x:v>
      </x:c>
      <x:c r="E1066" s="70" t="s">
        <x:v>1129</x:v>
      </x:c>
      <x:c r="F1066" s="70"/>
      <x:c r="G1066" s="70" t="s">
        <x:v>2113</x:v>
      </x:c>
      <x:c r="H1066" s="70" t="s">
        <x:v>1208</x:v>
      </x:c>
      <x:c r="I1066" s="70" t="s">
        <x:v>1199</x:v>
      </x:c>
      <x:c r="J1066" s="70" t="n">
        <x:v>152</x:v>
      </x:c>
      <x:c r="K1066" s="70" t="s">
        <x:v>2114</x:v>
      </x:c>
      <x:c r="L1066" s="70"/>
      <x:c r="M1066" s="70" t="s">
        <x:v>40</x:v>
      </x:c>
      <x:c r="N1066" s="71" t="n">
        <x:v>136562013</x:v>
      </x:c>
      <x:c r="O1066" s="72" t="n">
        <x:f aca="0">N1066/1000</x:f>
        <x:v>136562.013</x:v>
      </x:c>
      <x:c r="P1066" s="73" t="n">
        <x:f aca="0">DGKC!E75</x:f>
        <x:v>136562.013</x:v>
      </x:c>
      <x:c r="Q1066" s="70" t="str">
        <x:f aca="0">IF(ABS(O1066-P1066)&lt;0.000001,"PASS","FAIL")</x:f>
        <x:v>PASS</x:v>
      </x:c>
      <x:c r="R1066" s="70" t="s">
        <x:v>34</x:v>
      </x:c>
      <x:c r="S1066" s="70"/>
    </x:row>
    <x:row r="1067" ht="15" hidden="0">
      <x:c r="A1067" s="70" t="s">
        <x:v>2344</x:v>
      </x:c>
      <x:c r="B1067" s="70" t="s">
        <x:v>37</x:v>
      </x:c>
      <x:c r="C1067" s="70" t="s">
        <x:v>75</x:v>
      </x:c>
      <x:c r="D1067" s="70" t="s">
        <x:v>401</x:v>
      </x:c>
      <x:c r="E1067" s="70" t="s">
        <x:v>1129</x:v>
      </x:c>
      <x:c r="F1067" s="70"/>
      <x:c r="G1067" s="70" t="s">
        <x:v>2116</x:v>
      </x:c>
      <x:c r="H1067" s="70" t="s">
        <x:v>1211</x:v>
      </x:c>
      <x:c r="I1067" s="70" t="s">
        <x:v>1199</x:v>
      </x:c>
      <x:c r="J1067" s="70" t="n">
        <x:v>152</x:v>
      </x:c>
      <x:c r="K1067" s="70" t="s">
        <x:v>2114</x:v>
      </x:c>
      <x:c r="L1067" s="70"/>
      <x:c r="M1067" s="70" t="s">
        <x:v>40</x:v>
      </x:c>
      <x:c r="N1067" s="71" t="n">
        <x:v>134713254</x:v>
      </x:c>
      <x:c r="O1067" s="72" t="n">
        <x:f aca="0">N1067/1000</x:f>
        <x:v>134713.254</x:v>
      </x:c>
      <x:c r="P1067" s="73" t="n">
        <x:f aca="0">DGKC!F75</x:f>
        <x:v>134713.254</x:v>
      </x:c>
      <x:c r="Q1067" s="70" t="str">
        <x:f aca="0">IF(ABS(O1067-P1067)&lt;0.000001,"PASS","FAIL")</x:f>
        <x:v>PASS</x:v>
      </x:c>
      <x:c r="R1067" s="70" t="s">
        <x:v>34</x:v>
      </x:c>
      <x:c r="S1067" s="70"/>
    </x:row>
    <x:row r="1068" ht="15" hidden="0">
      <x:c r="A1068" s="70" t="s">
        <x:v>2345</x:v>
      </x:c>
      <x:c r="B1068" s="70" t="s">
        <x:v>37</x:v>
      </x:c>
      <x:c r="C1068" s="70" t="s">
        <x:v>76</x:v>
      </x:c>
      <x:c r="D1068" s="70" t="s">
        <x:v>401</x:v>
      </x:c>
      <x:c r="E1068" s="70" t="s">
        <x:v>1129</x:v>
      </x:c>
      <x:c r="F1068" s="70"/>
      <x:c r="G1068" s="70" t="s">
        <x:v>2118</x:v>
      </x:c>
      <x:c r="H1068" s="70" t="s">
        <x:v>1215</x:v>
      </x:c>
      <x:c r="I1068" s="70" t="s">
        <x:v>1199</x:v>
      </x:c>
      <x:c r="J1068" s="70" t="n">
        <x:v>154</x:v>
      </x:c>
      <x:c r="K1068" s="70" t="s">
        <x:v>2119</x:v>
      </x:c>
      <x:c r="L1068" s="70"/>
      <x:c r="M1068" s="70" t="s">
        <x:v>40</x:v>
      </x:c>
      <x:c r="N1068" s="71" t="n">
        <x:v>138385754</x:v>
      </x:c>
      <x:c r="O1068" s="72" t="n">
        <x:f aca="0">N1068/1000</x:f>
        <x:v>138385.754</x:v>
      </x:c>
      <x:c r="P1068" s="73" t="n">
        <x:f aca="0">DGKC!G75</x:f>
        <x:v>138385.754</x:v>
      </x:c>
      <x:c r="Q1068" s="70" t="str">
        <x:f aca="0">IF(ABS(O1068-P1068)&lt;0.000001,"PASS","FAIL")</x:f>
        <x:v>PASS</x:v>
      </x:c>
      <x:c r="R1068" s="70" t="s">
        <x:v>34</x:v>
      </x:c>
      <x:c r="S1068" s="70"/>
    </x:row>
    <x:row r="1069" ht="15" hidden="0">
      <x:c r="A1069" s="70" t="s">
        <x:v>2346</x:v>
      </x:c>
      <x:c r="B1069" s="70" t="s">
        <x:v>37</x:v>
      </x:c>
      <x:c r="C1069" s="70" t="s">
        <x:v>77</x:v>
      </x:c>
      <x:c r="D1069" s="70" t="s">
        <x:v>401</x:v>
      </x:c>
      <x:c r="E1069" s="70" t="s">
        <x:v>1129</x:v>
      </x:c>
      <x:c r="F1069" s="70"/>
      <x:c r="G1069" s="70" t="s">
        <x:v>2118</x:v>
      </x:c>
      <x:c r="H1069" s="70" t="s">
        <x:v>1215</x:v>
      </x:c>
      <x:c r="I1069" s="70" t="s">
        <x:v>1218</x:v>
      </x:c>
      <x:c r="J1069" s="70" t="n">
        <x:v>154</x:v>
      </x:c>
      <x:c r="K1069" s="70" t="s">
        <x:v>2119</x:v>
      </x:c>
      <x:c r="L1069" s="70"/>
      <x:c r="M1069" s="70" t="s">
        <x:v>40</x:v>
      </x:c>
      <x:c r="N1069" s="71" t="n">
        <x:v>145924235</x:v>
      </x:c>
      <x:c r="O1069" s="72" t="n">
        <x:f aca="0">N1069/1000</x:f>
        <x:v>145924.235</x:v>
      </x:c>
      <x:c r="P1069" s="73" t="n">
        <x:f aca="0">DGKC!H75</x:f>
        <x:v>145924.235</x:v>
      </x:c>
      <x:c r="Q1069" s="70" t="str">
        <x:f aca="0">IF(ABS(O1069-P1069)&lt;0.000001,"PASS","FAIL")</x:f>
        <x:v>PASS</x:v>
      </x:c>
      <x:c r="R1069" s="70" t="s">
        <x:v>34</x:v>
      </x:c>
      <x:c r="S1069" s="70"/>
    </x:row>
    <x:row r="1070" ht="15" hidden="0">
      <x:c r="A1070" s="70" t="s">
        <x:v>2347</x:v>
      </x:c>
      <x:c r="B1070" s="70" t="s">
        <x:v>37</x:v>
      </x:c>
      <x:c r="C1070" s="70" t="s">
        <x:v>1076</x:v>
      </x:c>
      <x:c r="D1070" s="70" t="s">
        <x:v>403</x:v>
      </x:c>
      <x:c r="E1070" s="70" t="s">
        <x:v>1129</x:v>
      </x:c>
      <x:c r="F1070" s="70"/>
      <x:c r="G1070" s="70" t="s">
        <x:v>2107</x:v>
      </x:c>
      <x:c r="H1070" s="70" t="s">
        <x:v>1198</x:v>
      </x:c>
      <x:c r="I1070" s="70" t="s">
        <x:v>1199</x:v>
      </x:c>
      <x:c r="J1070" s="70" t="n">
        <x:v>105</x:v>
      </x:c>
      <x:c r="K1070" s="70" t="s">
        <x:v>2133</x:v>
      </x:c>
      <x:c r="L1070" s="70"/>
      <x:c r="M1070" s="70" t="s">
        <x:v>40</x:v>
      </x:c>
      <x:c r="N1070" s="71" t="n">
        <x:v>66644157</x:v>
      </x:c>
      <x:c r="O1070" s="72" t="n">
        <x:f aca="0">N1070/1000</x:f>
        <x:v>66644.157</x:v>
      </x:c>
      <x:c r="P1070" s="73" t="n">
        <x:f aca="0">DGKC!C76</x:f>
        <x:v>66644.157</x:v>
      </x:c>
      <x:c r="Q1070" s="70" t="str">
        <x:f aca="0">IF(ABS(O1070-P1070)&lt;0.000001,"PASS","FAIL")</x:f>
        <x:v>PASS</x:v>
      </x:c>
      <x:c r="R1070" s="70" t="s">
        <x:v>34</x:v>
      </x:c>
      <x:c r="S1070" s="70"/>
    </x:row>
    <x:row r="1071" ht="15" hidden="0">
      <x:c r="A1071" s="70" t="s">
        <x:v>2348</x:v>
      </x:c>
      <x:c r="B1071" s="70" t="s">
        <x:v>37</x:v>
      </x:c>
      <x:c r="C1071" s="70" t="s">
        <x:v>73</x:v>
      </x:c>
      <x:c r="D1071" s="70" t="s">
        <x:v>403</x:v>
      </x:c>
      <x:c r="E1071" s="70" t="s">
        <x:v>1129</x:v>
      </x:c>
      <x:c r="F1071" s="70"/>
      <x:c r="G1071" s="70" t="s">
        <x:v>2110</x:v>
      </x:c>
      <x:c r="H1071" s="70" t="s">
        <x:v>1204</x:v>
      </x:c>
      <x:c r="I1071" s="70" t="s">
        <x:v>1199</x:v>
      </x:c>
      <x:c r="J1071" s="70" t="n">
        <x:v>125</x:v>
      </x:c>
      <x:c r="K1071" s="70" t="s">
        <x:v>2135</x:v>
      </x:c>
      <x:c r="L1071" s="70"/>
      <x:c r="M1071" s="70" t="s">
        <x:v>40</x:v>
      </x:c>
      <x:c r="N1071" s="71" t="n">
        <x:v>73477873</x:v>
      </x:c>
      <x:c r="O1071" s="72" t="n">
        <x:f aca="0">N1071/1000</x:f>
        <x:v>73477.873</x:v>
      </x:c>
      <x:c r="P1071" s="73" t="n">
        <x:f aca="0">DGKC!D76</x:f>
        <x:v>73477.873</x:v>
      </x:c>
      <x:c r="Q1071" s="70" t="str">
        <x:f aca="0">IF(ABS(O1071-P1071)&lt;0.000001,"PASS","FAIL")</x:f>
        <x:v>PASS</x:v>
      </x:c>
      <x:c r="R1071" s="70" t="s">
        <x:v>34</x:v>
      </x:c>
      <x:c r="S1071" s="70"/>
    </x:row>
    <x:row r="1072" ht="15" hidden="0">
      <x:c r="A1072" s="70" t="s">
        <x:v>2349</x:v>
      </x:c>
      <x:c r="B1072" s="70" t="s">
        <x:v>37</x:v>
      </x:c>
      <x:c r="C1072" s="70" t="s">
        <x:v>74</x:v>
      </x:c>
      <x:c r="D1072" s="70" t="s">
        <x:v>403</x:v>
      </x:c>
      <x:c r="E1072" s="70" t="s">
        <x:v>1129</x:v>
      </x:c>
      <x:c r="F1072" s="70"/>
      <x:c r="G1072" s="70" t="s">
        <x:v>2113</x:v>
      </x:c>
      <x:c r="H1072" s="70" t="s">
        <x:v>1208</x:v>
      </x:c>
      <x:c r="I1072" s="70" t="s">
        <x:v>1199</x:v>
      </x:c>
      <x:c r="J1072" s="70" t="n">
        <x:v>151</x:v>
      </x:c>
      <x:c r="K1072" s="70" t="s">
        <x:v>2137</x:v>
      </x:c>
      <x:c r="L1072" s="70"/>
      <x:c r="M1072" s="70" t="s">
        <x:v>40</x:v>
      </x:c>
      <x:c r="N1072" s="71" t="n">
        <x:v>69918102</x:v>
      </x:c>
      <x:c r="O1072" s="72" t="n">
        <x:f aca="0">N1072/1000</x:f>
        <x:v>69918.102</x:v>
      </x:c>
      <x:c r="P1072" s="73" t="n">
        <x:f aca="0">DGKC!E76</x:f>
        <x:v>69918.102</x:v>
      </x:c>
      <x:c r="Q1072" s="70" t="str">
        <x:f aca="0">IF(ABS(O1072-P1072)&lt;0.000001,"PASS","FAIL")</x:f>
        <x:v>PASS</x:v>
      </x:c>
      <x:c r="R1072" s="70" t="s">
        <x:v>34</x:v>
      </x:c>
      <x:c r="S1072" s="70"/>
    </x:row>
    <x:row r="1073" ht="15" hidden="0">
      <x:c r="A1073" s="70" t="s">
        <x:v>2350</x:v>
      </x:c>
      <x:c r="B1073" s="70" t="s">
        <x:v>37</x:v>
      </x:c>
      <x:c r="C1073" s="70" t="s">
        <x:v>75</x:v>
      </x:c>
      <x:c r="D1073" s="70" t="s">
        <x:v>403</x:v>
      </x:c>
      <x:c r="E1073" s="70" t="s">
        <x:v>1129</x:v>
      </x:c>
      <x:c r="F1073" s="70"/>
      <x:c r="G1073" s="70" t="s">
        <x:v>2116</x:v>
      </x:c>
      <x:c r="H1073" s="70" t="s">
        <x:v>1211</x:v>
      </x:c>
      <x:c r="I1073" s="70" t="s">
        <x:v>1199</x:v>
      </x:c>
      <x:c r="J1073" s="70" t="n">
        <x:v>151</x:v>
      </x:c>
      <x:c r="K1073" s="70" t="s">
        <x:v>2137</x:v>
      </x:c>
      <x:c r="L1073" s="70"/>
      <x:c r="M1073" s="70" t="s">
        <x:v>40</x:v>
      </x:c>
      <x:c r="N1073" s="71" t="n">
        <x:v>64192277</x:v>
      </x:c>
      <x:c r="O1073" s="72" t="n">
        <x:f aca="0">N1073/1000</x:f>
        <x:v>64192.277</x:v>
      </x:c>
      <x:c r="P1073" s="73" t="n">
        <x:f aca="0">DGKC!F76</x:f>
        <x:v>64192.277</x:v>
      </x:c>
      <x:c r="Q1073" s="70" t="str">
        <x:f aca="0">IF(ABS(O1073-P1073)&lt;0.000001,"PASS","FAIL")</x:f>
        <x:v>PASS</x:v>
      </x:c>
      <x:c r="R1073" s="70" t="s">
        <x:v>34</x:v>
      </x:c>
      <x:c r="S1073" s="70"/>
    </x:row>
    <x:row r="1074" ht="15" hidden="0">
      <x:c r="A1074" s="70" t="s">
        <x:v>2351</x:v>
      </x:c>
      <x:c r="B1074" s="70" t="s">
        <x:v>37</x:v>
      </x:c>
      <x:c r="C1074" s="70" t="s">
        <x:v>76</x:v>
      </x:c>
      <x:c r="D1074" s="70" t="s">
        <x:v>403</x:v>
      </x:c>
      <x:c r="E1074" s="70" t="s">
        <x:v>1129</x:v>
      </x:c>
      <x:c r="F1074" s="70"/>
      <x:c r="G1074" s="70" t="s">
        <x:v>2118</x:v>
      </x:c>
      <x:c r="H1074" s="70" t="s">
        <x:v>1215</x:v>
      </x:c>
      <x:c r="I1074" s="70" t="s">
        <x:v>1199</x:v>
      </x:c>
      <x:c r="J1074" s="70" t="n">
        <x:v>153</x:v>
      </x:c>
      <x:c r="K1074" s="70" t="s">
        <x:v>2140</x:v>
      </x:c>
      <x:c r="L1074" s="70"/>
      <x:c r="M1074" s="70" t="s">
        <x:v>40</x:v>
      </x:c>
      <x:c r="N1074" s="71" t="n">
        <x:v>75847538</x:v>
      </x:c>
      <x:c r="O1074" s="72" t="n">
        <x:f aca="0">N1074/1000</x:f>
        <x:v>75847.538</x:v>
      </x:c>
      <x:c r="P1074" s="73" t="n">
        <x:f aca="0">DGKC!G76</x:f>
        <x:v>75847.538</x:v>
      </x:c>
      <x:c r="Q1074" s="70" t="str">
        <x:f aca="0">IF(ABS(O1074-P1074)&lt;0.000001,"PASS","FAIL")</x:f>
        <x:v>PASS</x:v>
      </x:c>
      <x:c r="R1074" s="70" t="s">
        <x:v>34</x:v>
      </x:c>
      <x:c r="S1074" s="70"/>
    </x:row>
    <x:row r="1075" ht="15" hidden="0">
      <x:c r="A1075" s="70" t="s">
        <x:v>2352</x:v>
      </x:c>
      <x:c r="B1075" s="70" t="s">
        <x:v>37</x:v>
      </x:c>
      <x:c r="C1075" s="70" t="s">
        <x:v>77</x:v>
      </x:c>
      <x:c r="D1075" s="70" t="s">
        <x:v>403</x:v>
      </x:c>
      <x:c r="E1075" s="70" t="s">
        <x:v>1129</x:v>
      </x:c>
      <x:c r="F1075" s="70"/>
      <x:c r="G1075" s="70" t="s">
        <x:v>2118</x:v>
      </x:c>
      <x:c r="H1075" s="70" t="s">
        <x:v>1215</x:v>
      </x:c>
      <x:c r="I1075" s="70" t="s">
        <x:v>1218</x:v>
      </x:c>
      <x:c r="J1075" s="70" t="n">
        <x:v>153</x:v>
      </x:c>
      <x:c r="K1075" s="70" t="s">
        <x:v>2140</x:v>
      </x:c>
      <x:c r="L1075" s="70"/>
      <x:c r="M1075" s="70" t="s">
        <x:v>40</x:v>
      </x:c>
      <x:c r="N1075" s="71" t="n">
        <x:v>94667478</x:v>
      </x:c>
      <x:c r="O1075" s="72" t="n">
        <x:f aca="0">N1075/1000</x:f>
        <x:v>94667.478</x:v>
      </x:c>
      <x:c r="P1075" s="73" t="n">
        <x:f aca="0">DGKC!H76</x:f>
        <x:v>94667.478</x:v>
      </x:c>
      <x:c r="Q1075" s="70" t="str">
        <x:f aca="0">IF(ABS(O1075-P1075)&lt;0.000001,"PASS","FAIL")</x:f>
        <x:v>PASS</x:v>
      </x:c>
      <x:c r="R1075" s="70" t="s">
        <x:v>34</x:v>
      </x:c>
      <x:c r="S1075" s="70"/>
    </x:row>
    <x:row r="1076" ht="15" hidden="0">
      <x:c r="A1076" s="70" t="s">
        <x:v>2353</x:v>
      </x:c>
      <x:c r="B1076" s="70" t="s">
        <x:v>37</x:v>
      </x:c>
      <x:c r="C1076" s="70" t="s">
        <x:v>1076</x:v>
      </x:c>
      <x:c r="D1076" s="70" t="s">
        <x:v>405</x:v>
      </x:c>
      <x:c r="E1076" s="70" t="s">
        <x:v>1129</x:v>
      </x:c>
      <x:c r="F1076" s="70"/>
      <x:c r="G1076" s="70" t="s">
        <x:v>2107</x:v>
      </x:c>
      <x:c r="H1076" s="70" t="s">
        <x:v>1198</x:v>
      </x:c>
      <x:c r="I1076" s="70" t="s">
        <x:v>1199</x:v>
      </x:c>
      <x:c r="J1076" s="70" t="n">
        <x:v>105</x:v>
      </x:c>
      <x:c r="K1076" s="70" t="s">
        <x:v>2133</x:v>
      </x:c>
      <x:c r="L1076" s="70"/>
      <x:c r="M1076" s="70" t="s">
        <x:v>40</x:v>
      </x:c>
      <x:c r="N1076" s="71" t="n">
        <x:v>34106427</x:v>
      </x:c>
      <x:c r="O1076" s="72" t="n">
        <x:f aca="0">N1076/1000</x:f>
        <x:v>34106.427</x:v>
      </x:c>
      <x:c r="P1076" s="73" t="n">
        <x:f aca="0">DGKC!C77</x:f>
        <x:v>34106.427</x:v>
      </x:c>
      <x:c r="Q1076" s="70" t="str">
        <x:f aca="0">IF(ABS(O1076-P1076)&lt;0.000001,"PASS","FAIL")</x:f>
        <x:v>PASS</x:v>
      </x:c>
      <x:c r="R1076" s="70" t="s">
        <x:v>34</x:v>
      </x:c>
      <x:c r="S1076" s="70"/>
    </x:row>
    <x:row r="1077" ht="15" hidden="0">
      <x:c r="A1077" s="70" t="s">
        <x:v>2354</x:v>
      </x:c>
      <x:c r="B1077" s="70" t="s">
        <x:v>37</x:v>
      </x:c>
      <x:c r="C1077" s="70" t="s">
        <x:v>73</x:v>
      </x:c>
      <x:c r="D1077" s="70" t="s">
        <x:v>405</x:v>
      </x:c>
      <x:c r="E1077" s="70" t="s">
        <x:v>1129</x:v>
      </x:c>
      <x:c r="F1077" s="70"/>
      <x:c r="G1077" s="70" t="s">
        <x:v>2110</x:v>
      </x:c>
      <x:c r="H1077" s="70" t="s">
        <x:v>1204</x:v>
      </x:c>
      <x:c r="I1077" s="70" t="s">
        <x:v>1199</x:v>
      </x:c>
      <x:c r="J1077" s="70" t="n">
        <x:v>125</x:v>
      </x:c>
      <x:c r="K1077" s="70" t="s">
        <x:v>2135</x:v>
      </x:c>
      <x:c r="L1077" s="70"/>
      <x:c r="M1077" s="70" t="s">
        <x:v>40</x:v>
      </x:c>
      <x:c r="N1077" s="71" t="n">
        <x:v>36851264</x:v>
      </x:c>
      <x:c r="O1077" s="72" t="n">
        <x:f aca="0">N1077/1000</x:f>
        <x:v>36851.264</x:v>
      </x:c>
      <x:c r="P1077" s="73" t="n">
        <x:f aca="0">DGKC!D77</x:f>
        <x:v>36851.264</x:v>
      </x:c>
      <x:c r="Q1077" s="70" t="str">
        <x:f aca="0">IF(ABS(O1077-P1077)&lt;0.000001,"PASS","FAIL")</x:f>
        <x:v>PASS</x:v>
      </x:c>
      <x:c r="R1077" s="70" t="s">
        <x:v>34</x:v>
      </x:c>
      <x:c r="S1077" s="70"/>
    </x:row>
    <x:row r="1078" ht="15" hidden="0">
      <x:c r="A1078" s="70" t="s">
        <x:v>2355</x:v>
      </x:c>
      <x:c r="B1078" s="70" t="s">
        <x:v>37</x:v>
      </x:c>
      <x:c r="C1078" s="70" t="s">
        <x:v>74</x:v>
      </x:c>
      <x:c r="D1078" s="70" t="s">
        <x:v>405</x:v>
      </x:c>
      <x:c r="E1078" s="70" t="s">
        <x:v>1129</x:v>
      </x:c>
      <x:c r="F1078" s="70"/>
      <x:c r="G1078" s="70" t="s">
        <x:v>2113</x:v>
      </x:c>
      <x:c r="H1078" s="70" t="s">
        <x:v>1208</x:v>
      </x:c>
      <x:c r="I1078" s="70" t="s">
        <x:v>1199</x:v>
      </x:c>
      <x:c r="J1078" s="70" t="n">
        <x:v>151</x:v>
      </x:c>
      <x:c r="K1078" s="70" t="s">
        <x:v>2137</x:v>
      </x:c>
      <x:c r="L1078" s="70"/>
      <x:c r="M1078" s="70" t="s">
        <x:v>40</x:v>
      </x:c>
      <x:c r="N1078" s="71" t="n">
        <x:v>40813163</x:v>
      </x:c>
      <x:c r="O1078" s="72" t="n">
        <x:f aca="0">N1078/1000</x:f>
        <x:v>40813.163</x:v>
      </x:c>
      <x:c r="P1078" s="73" t="n">
        <x:f aca="0">DGKC!E77</x:f>
        <x:v>40813.163</x:v>
      </x:c>
      <x:c r="Q1078" s="70" t="str">
        <x:f aca="0">IF(ABS(O1078-P1078)&lt;0.000001,"PASS","FAIL")</x:f>
        <x:v>PASS</x:v>
      </x:c>
      <x:c r="R1078" s="70" t="s">
        <x:v>34</x:v>
      </x:c>
      <x:c r="S1078" s="70"/>
    </x:row>
    <x:row r="1079" ht="15" hidden="0">
      <x:c r="A1079" s="70" t="s">
        <x:v>2356</x:v>
      </x:c>
      <x:c r="B1079" s="70" t="s">
        <x:v>37</x:v>
      </x:c>
      <x:c r="C1079" s="70" t="s">
        <x:v>75</x:v>
      </x:c>
      <x:c r="D1079" s="70" t="s">
        <x:v>405</x:v>
      </x:c>
      <x:c r="E1079" s="70" t="s">
        <x:v>1129</x:v>
      </x:c>
      <x:c r="F1079" s="70"/>
      <x:c r="G1079" s="70" t="s">
        <x:v>2116</x:v>
      </x:c>
      <x:c r="H1079" s="70" t="s">
        <x:v>1211</x:v>
      </x:c>
      <x:c r="I1079" s="70" t="s">
        <x:v>1199</x:v>
      </x:c>
      <x:c r="J1079" s="70" t="n">
        <x:v>151</x:v>
      </x:c>
      <x:c r="K1079" s="70" t="s">
        <x:v>2137</x:v>
      </x:c>
      <x:c r="L1079" s="70"/>
      <x:c r="M1079" s="70" t="s">
        <x:v>40</x:v>
      </x:c>
      <x:c r="N1079" s="71" t="n">
        <x:v>39026666</x:v>
      </x:c>
      <x:c r="O1079" s="72" t="n">
        <x:f aca="0">N1079/1000</x:f>
        <x:v>39026.666</x:v>
      </x:c>
      <x:c r="P1079" s="73" t="n">
        <x:f aca="0">DGKC!F77</x:f>
        <x:v>39026.666</x:v>
      </x:c>
      <x:c r="Q1079" s="70" t="str">
        <x:f aca="0">IF(ABS(O1079-P1079)&lt;0.000001,"PASS","FAIL")</x:f>
        <x:v>PASS</x:v>
      </x:c>
      <x:c r="R1079" s="70" t="s">
        <x:v>34</x:v>
      </x:c>
      <x:c r="S1079" s="70"/>
    </x:row>
    <x:row r="1080" ht="15" hidden="0">
      <x:c r="A1080" s="70" t="s">
        <x:v>2357</x:v>
      </x:c>
      <x:c r="B1080" s="70" t="s">
        <x:v>37</x:v>
      </x:c>
      <x:c r="C1080" s="70" t="s">
        <x:v>76</x:v>
      </x:c>
      <x:c r="D1080" s="70" t="s">
        <x:v>405</x:v>
      </x:c>
      <x:c r="E1080" s="70" t="s">
        <x:v>1129</x:v>
      </x:c>
      <x:c r="F1080" s="70"/>
      <x:c r="G1080" s="70" t="s">
        <x:v>2118</x:v>
      </x:c>
      <x:c r="H1080" s="70" t="s">
        <x:v>1215</x:v>
      </x:c>
      <x:c r="I1080" s="70" t="s">
        <x:v>1199</x:v>
      </x:c>
      <x:c r="J1080" s="70" t="n">
        <x:v>153</x:v>
      </x:c>
      <x:c r="K1080" s="70" t="s">
        <x:v>2140</x:v>
      </x:c>
      <x:c r="L1080" s="70"/>
      <x:c r="M1080" s="70" t="s">
        <x:v>40</x:v>
      </x:c>
      <x:c r="N1080" s="71" t="n">
        <x:v>41770521</x:v>
      </x:c>
      <x:c r="O1080" s="72" t="n">
        <x:f aca="0">N1080/1000</x:f>
        <x:v>41770.521</x:v>
      </x:c>
      <x:c r="P1080" s="73" t="n">
        <x:f aca="0">DGKC!G77</x:f>
        <x:v>41770.521</x:v>
      </x:c>
      <x:c r="Q1080" s="70" t="str">
        <x:f aca="0">IF(ABS(O1080-P1080)&lt;0.000001,"PASS","FAIL")</x:f>
        <x:v>PASS</x:v>
      </x:c>
      <x:c r="R1080" s="70" t="s">
        <x:v>34</x:v>
      </x:c>
      <x:c r="S1080" s="70"/>
    </x:row>
    <x:row r="1081" ht="15" hidden="0">
      <x:c r="A1081" s="70" t="s">
        <x:v>2358</x:v>
      </x:c>
      <x:c r="B1081" s="70" t="s">
        <x:v>37</x:v>
      </x:c>
      <x:c r="C1081" s="70" t="s">
        <x:v>77</x:v>
      </x:c>
      <x:c r="D1081" s="70" t="s">
        <x:v>405</x:v>
      </x:c>
      <x:c r="E1081" s="70" t="s">
        <x:v>1129</x:v>
      </x:c>
      <x:c r="F1081" s="70"/>
      <x:c r="G1081" s="70" t="s">
        <x:v>2118</x:v>
      </x:c>
      <x:c r="H1081" s="70" t="s">
        <x:v>1215</x:v>
      </x:c>
      <x:c r="I1081" s="70" t="s">
        <x:v>1218</x:v>
      </x:c>
      <x:c r="J1081" s="70" t="n">
        <x:v>153</x:v>
      </x:c>
      <x:c r="K1081" s="70" t="s">
        <x:v>2140</x:v>
      </x:c>
      <x:c r="L1081" s="70"/>
      <x:c r="M1081" s="70" t="s">
        <x:v>40</x:v>
      </x:c>
      <x:c r="N1081" s="71" t="n">
        <x:v>47908042</x:v>
      </x:c>
      <x:c r="O1081" s="72" t="n">
        <x:f aca="0">N1081/1000</x:f>
        <x:v>47908.042</x:v>
      </x:c>
      <x:c r="P1081" s="73" t="n">
        <x:f aca="0">DGKC!H77</x:f>
        <x:v>47908.042</x:v>
      </x:c>
      <x:c r="Q1081" s="70" t="str">
        <x:f aca="0">IF(ABS(O1081-P1081)&lt;0.000001,"PASS","FAIL")</x:f>
        <x:v>PASS</x:v>
      </x:c>
      <x:c r="R1081" s="70" t="s">
        <x:v>34</x:v>
      </x:c>
      <x:c r="S1081" s="70"/>
    </x:row>
    <x:row r="1082" ht="15" hidden="0">
      <x:c r="A1082" s="70" t="s">
        <x:v>2359</x:v>
      </x:c>
      <x:c r="B1082" s="70" t="s">
        <x:v>37</x:v>
      </x:c>
      <x:c r="C1082" s="70" t="s">
        <x:v>1076</x:v>
      </x:c>
      <x:c r="D1082" s="70" t="s">
        <x:v>407</x:v>
      </x:c>
      <x:c r="E1082" s="70" t="s">
        <x:v>1129</x:v>
      </x:c>
      <x:c r="F1082" s="70"/>
      <x:c r="G1082" s="70" t="s">
        <x:v>2107</x:v>
      </x:c>
      <x:c r="H1082" s="70" t="s">
        <x:v>1198</x:v>
      </x:c>
      <x:c r="I1082" s="70" t="s">
        <x:v>1199</x:v>
      </x:c>
      <x:c r="J1082" s="70" t="n">
        <x:v>105</x:v>
      </x:c>
      <x:c r="K1082" s="70" t="s">
        <x:v>2133</x:v>
      </x:c>
      <x:c r="L1082" s="70"/>
      <x:c r="M1082" s="70" t="s">
        <x:v>40</x:v>
      </x:c>
      <x:c r="N1082" s="71" t="n">
        <x:v>37624257</x:v>
      </x:c>
      <x:c r="O1082" s="72" t="n">
        <x:f aca="0">N1082/1000</x:f>
        <x:v>37624.257</x:v>
      </x:c>
      <x:c r="P1082" s="73" t="n">
        <x:f aca="0">DGKC!C78</x:f>
        <x:v>37624.257</x:v>
      </x:c>
      <x:c r="Q1082" s="70" t="str">
        <x:f aca="0">IF(ABS(O1082-P1082)&lt;0.000001,"PASS","FAIL")</x:f>
        <x:v>PASS</x:v>
      </x:c>
      <x:c r="R1082" s="70" t="s">
        <x:v>34</x:v>
      </x:c>
      <x:c r="S1082" s="70"/>
    </x:row>
    <x:row r="1083" ht="15" hidden="0">
      <x:c r="A1083" s="70" t="s">
        <x:v>2360</x:v>
      </x:c>
      <x:c r="B1083" s="70" t="s">
        <x:v>37</x:v>
      </x:c>
      <x:c r="C1083" s="70" t="s">
        <x:v>73</x:v>
      </x:c>
      <x:c r="D1083" s="70" t="s">
        <x:v>407</x:v>
      </x:c>
      <x:c r="E1083" s="70" t="s">
        <x:v>1129</x:v>
      </x:c>
      <x:c r="F1083" s="70"/>
      <x:c r="G1083" s="70" t="s">
        <x:v>2110</x:v>
      </x:c>
      <x:c r="H1083" s="70" t="s">
        <x:v>1204</x:v>
      </x:c>
      <x:c r="I1083" s="70" t="s">
        <x:v>1199</x:v>
      </x:c>
      <x:c r="J1083" s="70" t="n">
        <x:v>125</x:v>
      </x:c>
      <x:c r="K1083" s="70" t="s">
        <x:v>2135</x:v>
      </x:c>
      <x:c r="L1083" s="70"/>
      <x:c r="M1083" s="70" t="s">
        <x:v>40</x:v>
      </x:c>
      <x:c r="N1083" s="71" t="n">
        <x:v>40295520</x:v>
      </x:c>
      <x:c r="O1083" s="72" t="n">
        <x:f aca="0">N1083/1000</x:f>
        <x:v>40295.52</x:v>
      </x:c>
      <x:c r="P1083" s="73" t="n">
        <x:f aca="0">DGKC!D78</x:f>
        <x:v>40295.52</x:v>
      </x:c>
      <x:c r="Q1083" s="70" t="str">
        <x:f aca="0">IF(ABS(O1083-P1083)&lt;0.000001,"PASS","FAIL")</x:f>
        <x:v>PASS</x:v>
      </x:c>
      <x:c r="R1083" s="70" t="s">
        <x:v>34</x:v>
      </x:c>
      <x:c r="S1083" s="70"/>
    </x:row>
    <x:row r="1084" ht="15" hidden="0">
      <x:c r="A1084" s="70" t="s">
        <x:v>2361</x:v>
      </x:c>
      <x:c r="B1084" s="70" t="s">
        <x:v>37</x:v>
      </x:c>
      <x:c r="C1084" s="70" t="s">
        <x:v>74</x:v>
      </x:c>
      <x:c r="D1084" s="70" t="s">
        <x:v>407</x:v>
      </x:c>
      <x:c r="E1084" s="70" t="s">
        <x:v>1129</x:v>
      </x:c>
      <x:c r="F1084" s="70"/>
      <x:c r="G1084" s="70" t="s">
        <x:v>2113</x:v>
      </x:c>
      <x:c r="H1084" s="70" t="s">
        <x:v>1208</x:v>
      </x:c>
      <x:c r="I1084" s="70" t="s">
        <x:v>1199</x:v>
      </x:c>
      <x:c r="J1084" s="70" t="n">
        <x:v>151</x:v>
      </x:c>
      <x:c r="K1084" s="70" t="s">
        <x:v>2137</x:v>
      </x:c>
      <x:c r="L1084" s="70"/>
      <x:c r="M1084" s="70" t="s">
        <x:v>40</x:v>
      </x:c>
      <x:c r="N1084" s="71" t="n">
        <x:v>46089031</x:v>
      </x:c>
      <x:c r="O1084" s="72" t="n">
        <x:f aca="0">N1084/1000</x:f>
        <x:v>46089.031</x:v>
      </x:c>
      <x:c r="P1084" s="73" t="n">
        <x:f aca="0">DGKC!E78</x:f>
        <x:v>46089.031</x:v>
      </x:c>
      <x:c r="Q1084" s="70" t="str">
        <x:f aca="0">IF(ABS(O1084-P1084)&lt;0.000001,"PASS","FAIL")</x:f>
        <x:v>PASS</x:v>
      </x:c>
      <x:c r="R1084" s="70" t="s">
        <x:v>34</x:v>
      </x:c>
      <x:c r="S1084" s="70"/>
    </x:row>
    <x:row r="1085" ht="15" hidden="0">
      <x:c r="A1085" s="70" t="s">
        <x:v>2362</x:v>
      </x:c>
      <x:c r="B1085" s="70" t="s">
        <x:v>37</x:v>
      </x:c>
      <x:c r="C1085" s="70" t="s">
        <x:v>75</x:v>
      </x:c>
      <x:c r="D1085" s="70" t="s">
        <x:v>407</x:v>
      </x:c>
      <x:c r="E1085" s="70" t="s">
        <x:v>1129</x:v>
      </x:c>
      <x:c r="F1085" s="70"/>
      <x:c r="G1085" s="70" t="s">
        <x:v>2116</x:v>
      </x:c>
      <x:c r="H1085" s="70" t="s">
        <x:v>1211</x:v>
      </x:c>
      <x:c r="I1085" s="70" t="s">
        <x:v>1199</x:v>
      </x:c>
      <x:c r="J1085" s="70" t="n">
        <x:v>151</x:v>
      </x:c>
      <x:c r="K1085" s="70" t="s">
        <x:v>2137</x:v>
      </x:c>
      <x:c r="L1085" s="70"/>
      <x:c r="M1085" s="70" t="s">
        <x:v>40</x:v>
      </x:c>
      <x:c r="N1085" s="71" t="n">
        <x:v>48675790</x:v>
      </x:c>
      <x:c r="O1085" s="72" t="n">
        <x:f aca="0">N1085/1000</x:f>
        <x:v>48675.79</x:v>
      </x:c>
      <x:c r="P1085" s="73" t="n">
        <x:f aca="0">DGKC!F78</x:f>
        <x:v>48675.79</x:v>
      </x:c>
      <x:c r="Q1085" s="70" t="str">
        <x:f aca="0">IF(ABS(O1085-P1085)&lt;0.000001,"PASS","FAIL")</x:f>
        <x:v>PASS</x:v>
      </x:c>
      <x:c r="R1085" s="70" t="s">
        <x:v>34</x:v>
      </x:c>
      <x:c r="S1085" s="70"/>
    </x:row>
    <x:row r="1086" ht="15" hidden="0">
      <x:c r="A1086" s="70" t="s">
        <x:v>2363</x:v>
      </x:c>
      <x:c r="B1086" s="70" t="s">
        <x:v>37</x:v>
      </x:c>
      <x:c r="C1086" s="70" t="s">
        <x:v>76</x:v>
      </x:c>
      <x:c r="D1086" s="70" t="s">
        <x:v>407</x:v>
      </x:c>
      <x:c r="E1086" s="70" t="s">
        <x:v>1129</x:v>
      </x:c>
      <x:c r="F1086" s="70"/>
      <x:c r="G1086" s="70" t="s">
        <x:v>2118</x:v>
      </x:c>
      <x:c r="H1086" s="70" t="s">
        <x:v>1215</x:v>
      </x:c>
      <x:c r="I1086" s="70" t="s">
        <x:v>1199</x:v>
      </x:c>
      <x:c r="J1086" s="70" t="n">
        <x:v>153</x:v>
      </x:c>
      <x:c r="K1086" s="70" t="s">
        <x:v>2140</x:v>
      </x:c>
      <x:c r="L1086" s="70"/>
      <x:c r="M1086" s="70" t="s">
        <x:v>40</x:v>
      </x:c>
      <x:c r="N1086" s="71" t="n">
        <x:v>32225717</x:v>
      </x:c>
      <x:c r="O1086" s="72" t="n">
        <x:f aca="0">N1086/1000</x:f>
        <x:v>32225.717</x:v>
      </x:c>
      <x:c r="P1086" s="73" t="n">
        <x:f aca="0">DGKC!G78</x:f>
        <x:v>32225.717</x:v>
      </x:c>
      <x:c r="Q1086" s="70" t="str">
        <x:f aca="0">IF(ABS(O1086-P1086)&lt;0.000001,"PASS","FAIL")</x:f>
        <x:v>PASS</x:v>
      </x:c>
      <x:c r="R1086" s="70" t="s">
        <x:v>34</x:v>
      </x:c>
      <x:c r="S1086" s="70"/>
    </x:row>
    <x:row r="1087" ht="15" hidden="0">
      <x:c r="A1087" s="70" t="s">
        <x:v>2364</x:v>
      </x:c>
      <x:c r="B1087" s="70" t="s">
        <x:v>37</x:v>
      </x:c>
      <x:c r="C1087" s="70" t="s">
        <x:v>77</x:v>
      </x:c>
      <x:c r="D1087" s="70" t="s">
        <x:v>407</x:v>
      </x:c>
      <x:c r="E1087" s="70" t="s">
        <x:v>1129</x:v>
      </x:c>
      <x:c r="F1087" s="70"/>
      <x:c r="G1087" s="70" t="s">
        <x:v>2118</x:v>
      </x:c>
      <x:c r="H1087" s="70" t="s">
        <x:v>1215</x:v>
      </x:c>
      <x:c r="I1087" s="70" t="s">
        <x:v>1218</x:v>
      </x:c>
      <x:c r="J1087" s="70" t="n">
        <x:v>153</x:v>
      </x:c>
      <x:c r="K1087" s="70" t="s">
        <x:v>2140</x:v>
      </x:c>
      <x:c r="L1087" s="70"/>
      <x:c r="M1087" s="70" t="s">
        <x:v>40</x:v>
      </x:c>
      <x:c r="N1087" s="71" t="n">
        <x:v>25910920</x:v>
      </x:c>
      <x:c r="O1087" s="72" t="n">
        <x:f aca="0">N1087/1000</x:f>
        <x:v>25910.92</x:v>
      </x:c>
      <x:c r="P1087" s="73" t="n">
        <x:f aca="0">DGKC!H78</x:f>
        <x:v>25910.92</x:v>
      </x:c>
      <x:c r="Q1087" s="70" t="str">
        <x:f aca="0">IF(ABS(O1087-P1087)&lt;0.000001,"PASS","FAIL")</x:f>
        <x:v>PASS</x:v>
      </x:c>
      <x:c r="R1087" s="70" t="s">
        <x:v>34</x:v>
      </x:c>
      <x:c r="S1087" s="70"/>
    </x:row>
    <x:row r="1088" ht="15" hidden="0">
      <x:c r="A1088" s="70" t="s">
        <x:v>2365</x:v>
      </x:c>
      <x:c r="B1088" s="70" t="s">
        <x:v>37</x:v>
      </x:c>
      <x:c r="C1088" s="70" t="s">
        <x:v>73</x:v>
      </x:c>
      <x:c r="D1088" s="70" t="s">
        <x:v>414</x:v>
      </x:c>
      <x:c r="E1088" s="70" t="s">
        <x:v>1472</x:v>
      </x:c>
      <x:c r="F1088" s="70" t="s">
        <x:v>2366</x:v>
      </x:c>
      <x:c r="G1088" s="70" t="s">
        <x:v>2110</x:v>
      </x:c>
      <x:c r="H1088" s="70" t="s">
        <x:v>1204</x:v>
      </x:c>
      <x:c r="I1088" s="70" t="s">
        <x:v>1199</x:v>
      </x:c>
      <x:c r="J1088" s="70" t="n">
        <x:v>127</x:v>
      </x:c>
      <x:c r="K1088" s="70" t="s">
        <x:v>2367</x:v>
      </x:c>
      <x:c r="L1088" s="70"/>
      <x:c r="M1088" s="70" t="s">
        <x:v>40</x:v>
      </x:c>
      <x:c r="N1088" s="71" t="n">
        <x:v>45107690</x:v>
      </x:c>
      <x:c r="O1088" s="72" t="n">
        <x:f aca="0">N1088/1000</x:f>
        <x:v>45107.69</x:v>
      </x:c>
      <x:c r="P1088" s="73" t="n">
        <x:f aca="0">DGKC!D84</x:f>
        <x:v>45107.69</x:v>
      </x:c>
      <x:c r="Q1088" s="70" t="str">
        <x:f aca="0">IF(ABS(O1088-P1088)&lt;0.000001,"PASS","FAIL")</x:f>
        <x:v>PASS</x:v>
      </x:c>
      <x:c r="R1088" s="70" t="s">
        <x:v>34</x:v>
      </x:c>
      <x:c r="S1088" s="70"/>
    </x:row>
    <x:row r="1089" ht="15" hidden="0">
      <x:c r="A1089" s="70" t="s">
        <x:v>2368</x:v>
      </x:c>
      <x:c r="B1089" s="70" t="s">
        <x:v>37</x:v>
      </x:c>
      <x:c r="C1089" s="70" t="s">
        <x:v>74</x:v>
      </x:c>
      <x:c r="D1089" s="70" t="s">
        <x:v>414</x:v>
      </x:c>
      <x:c r="E1089" s="70" t="s">
        <x:v>1472</x:v>
      </x:c>
      <x:c r="F1089" s="70" t="s">
        <x:v>2366</x:v>
      </x:c>
      <x:c r="G1089" s="70" t="s">
        <x:v>2113</x:v>
      </x:c>
      <x:c r="H1089" s="70" t="s">
        <x:v>1208</x:v>
      </x:c>
      <x:c r="I1089" s="70" t="s">
        <x:v>1199</x:v>
      </x:c>
      <x:c r="J1089" s="70" t="n">
        <x:v>153</x:v>
      </x:c>
      <x:c r="K1089" s="70" t="s">
        <x:v>2140</x:v>
      </x:c>
      <x:c r="L1089" s="70"/>
      <x:c r="M1089" s="70" t="s">
        <x:v>40</x:v>
      </x:c>
      <x:c r="N1089" s="71" t="n">
        <x:v>58043863</x:v>
      </x:c>
      <x:c r="O1089" s="72" t="n">
        <x:f aca="0">N1089/1000</x:f>
        <x:v>58043.863</x:v>
      </x:c>
      <x:c r="P1089" s="73" t="n">
        <x:f aca="0">DGKC!E84</x:f>
        <x:v>58043.863</x:v>
      </x:c>
      <x:c r="Q1089" s="70" t="str">
        <x:f aca="0">IF(ABS(O1089-P1089)&lt;0.000001,"PASS","FAIL")</x:f>
        <x:v>PASS</x:v>
      </x:c>
      <x:c r="R1089" s="70" t="s">
        <x:v>34</x:v>
      </x:c>
      <x:c r="S1089" s="70"/>
    </x:row>
    <x:row r="1090" ht="15" hidden="0">
      <x:c r="A1090" s="70" t="s">
        <x:v>2369</x:v>
      </x:c>
      <x:c r="B1090" s="70" t="s">
        <x:v>37</x:v>
      </x:c>
      <x:c r="C1090" s="70" t="s">
        <x:v>75</x:v>
      </x:c>
      <x:c r="D1090" s="70" t="s">
        <x:v>414</x:v>
      </x:c>
      <x:c r="E1090" s="70" t="s">
        <x:v>1472</x:v>
      </x:c>
      <x:c r="F1090" s="70" t="s">
        <x:v>2366</x:v>
      </x:c>
      <x:c r="G1090" s="70" t="s">
        <x:v>2116</x:v>
      </x:c>
      <x:c r="H1090" s="70" t="s">
        <x:v>1211</x:v>
      </x:c>
      <x:c r="I1090" s="70" t="s">
        <x:v>1199</x:v>
      </x:c>
      <x:c r="J1090" s="70" t="n">
        <x:v>153</x:v>
      </x:c>
      <x:c r="K1090" s="70" t="s">
        <x:v>2140</x:v>
      </x:c>
      <x:c r="L1090" s="70"/>
      <x:c r="M1090" s="70" t="s">
        <x:v>40</x:v>
      </x:c>
      <x:c r="N1090" s="71" t="n">
        <x:v>64983821</x:v>
      </x:c>
      <x:c r="O1090" s="72" t="n">
        <x:f aca="0">N1090/1000</x:f>
        <x:v>64983.821</x:v>
      </x:c>
      <x:c r="P1090" s="73" t="n">
        <x:f aca="0">DGKC!F84</x:f>
        <x:v>64983.821</x:v>
      </x:c>
      <x:c r="Q1090" s="70" t="str">
        <x:f aca="0">IF(ABS(O1090-P1090)&lt;0.000001,"PASS","FAIL")</x:f>
        <x:v>PASS</x:v>
      </x:c>
      <x:c r="R1090" s="70" t="s">
        <x:v>34</x:v>
      </x:c>
      <x:c r="S1090" s="70"/>
    </x:row>
    <x:row r="1091" ht="15" hidden="0">
      <x:c r="A1091" s="70" t="s">
        <x:v>2370</x:v>
      </x:c>
      <x:c r="B1091" s="70" t="s">
        <x:v>37</x:v>
      </x:c>
      <x:c r="C1091" s="70" t="s">
        <x:v>76</x:v>
      </x:c>
      <x:c r="D1091" s="70" t="s">
        <x:v>414</x:v>
      </x:c>
      <x:c r="E1091" s="70" t="s">
        <x:v>1472</x:v>
      </x:c>
      <x:c r="F1091" s="70" t="s">
        <x:v>2371</x:v>
      </x:c>
      <x:c r="G1091" s="70" t="s">
        <x:v>2118</x:v>
      </x:c>
      <x:c r="H1091" s="70" t="s">
        <x:v>1215</x:v>
      </x:c>
      <x:c r="I1091" s="70" t="s">
        <x:v>1199</x:v>
      </x:c>
      <x:c r="J1091" s="70" t="n">
        <x:v>155</x:v>
      </x:c>
      <x:c r="K1091" s="70" t="s">
        <x:v>2270</x:v>
      </x:c>
      <x:c r="L1091" s="70"/>
      <x:c r="M1091" s="70" t="s">
        <x:v>40</x:v>
      </x:c>
      <x:c r="N1091" s="71" t="n">
        <x:v>66038689</x:v>
      </x:c>
      <x:c r="O1091" s="72" t="n">
        <x:f aca="0">N1091/1000</x:f>
        <x:v>66038.689</x:v>
      </x:c>
      <x:c r="P1091" s="73" t="n">
        <x:f aca="0">DGKC!G84</x:f>
        <x:v>66038.689</x:v>
      </x:c>
      <x:c r="Q1091" s="70" t="str">
        <x:f aca="0">IF(ABS(O1091-P1091)&lt;0.000001,"PASS","FAIL")</x:f>
        <x:v>PASS</x:v>
      </x:c>
      <x:c r="R1091" s="70" t="s">
        <x:v>34</x:v>
      </x:c>
      <x:c r="S1091" s="70"/>
    </x:row>
    <x:row r="1092" ht="15" hidden="0">
      <x:c r="A1092" s="70" t="s">
        <x:v>2372</x:v>
      </x:c>
      <x:c r="B1092" s="70" t="s">
        <x:v>37</x:v>
      </x:c>
      <x:c r="C1092" s="70" t="s">
        <x:v>77</x:v>
      </x:c>
      <x:c r="D1092" s="70" t="s">
        <x:v>414</x:v>
      </x:c>
      <x:c r="E1092" s="70" t="s">
        <x:v>1472</x:v>
      </x:c>
      <x:c r="F1092" s="70" t="s">
        <x:v>2371</x:v>
      </x:c>
      <x:c r="G1092" s="70" t="s">
        <x:v>2118</x:v>
      </x:c>
      <x:c r="H1092" s="70" t="s">
        <x:v>1215</x:v>
      </x:c>
      <x:c r="I1092" s="70" t="s">
        <x:v>1218</x:v>
      </x:c>
      <x:c r="J1092" s="70" t="n">
        <x:v>155</x:v>
      </x:c>
      <x:c r="K1092" s="70" t="s">
        <x:v>2270</x:v>
      </x:c>
      <x:c r="L1092" s="70"/>
      <x:c r="M1092" s="70" t="s">
        <x:v>40</x:v>
      </x:c>
      <x:c r="N1092" s="71" t="n">
        <x:v>71892837</x:v>
      </x:c>
      <x:c r="O1092" s="72" t="n">
        <x:f aca="0">N1092/1000</x:f>
        <x:v>71892.837</x:v>
      </x:c>
      <x:c r="P1092" s="73" t="n">
        <x:f aca="0">DGKC!H84</x:f>
        <x:v>71892.837</x:v>
      </x:c>
      <x:c r="Q1092" s="70" t="str">
        <x:f aca="0">IF(ABS(O1092-P1092)&lt;0.000001,"PASS","FAIL")</x:f>
        <x:v>PASS</x:v>
      </x:c>
      <x:c r="R1092" s="70" t="s">
        <x:v>34</x:v>
      </x:c>
      <x:c r="S1092" s="70"/>
    </x:row>
    <x:row r="1093" ht="15" hidden="0">
      <x:c r="A1093" s="70" t="s">
        <x:v>2373</x:v>
      </x:c>
      <x:c r="B1093" s="70" t="s">
        <x:v>37</x:v>
      </x:c>
      <x:c r="C1093" s="70" t="s">
        <x:v>73</x:v>
      </x:c>
      <x:c r="D1093" s="70" t="s">
        <x:v>416</x:v>
      </x:c>
      <x:c r="E1093" s="70" t="s">
        <x:v>1472</x:v>
      </x:c>
      <x:c r="F1093" s="70" t="s">
        <x:v>416</x:v>
      </x:c>
      <x:c r="G1093" s="70" t="s">
        <x:v>2110</x:v>
      </x:c>
      <x:c r="H1093" s="70" t="s">
        <x:v>1204</x:v>
      </x:c>
      <x:c r="I1093" s="70" t="s">
        <x:v>1199</x:v>
      </x:c>
      <x:c r="J1093" s="70" t="n">
        <x:v>127</x:v>
      </x:c>
      <x:c r="K1093" s="70" t="s">
        <x:v>2367</x:v>
      </x:c>
      <x:c r="L1093" s="70"/>
      <x:c r="M1093" s="70" t="s">
        <x:v>40</x:v>
      </x:c>
      <x:c r="N1093" s="71" t="n">
        <x:v>-37035798</x:v>
      </x:c>
      <x:c r="O1093" s="72" t="n">
        <x:f aca="0">N1093/1000</x:f>
        <x:v>-37035.798</x:v>
      </x:c>
      <x:c r="P1093" s="73" t="n">
        <x:f aca="0">DGKC!D85</x:f>
        <x:v>-37035.798</x:v>
      </x:c>
      <x:c r="Q1093" s="70" t="str">
        <x:f aca="0">IF(ABS(O1093-P1093)&lt;0.000001,"PASS","FAIL")</x:f>
        <x:v>PASS</x:v>
      </x:c>
      <x:c r="R1093" s="70" t="s">
        <x:v>34</x:v>
      </x:c>
      <x:c r="S1093" s="70"/>
    </x:row>
    <x:row r="1094" ht="15" hidden="0">
      <x:c r="A1094" s="70" t="s">
        <x:v>2374</x:v>
      </x:c>
      <x:c r="B1094" s="70" t="s">
        <x:v>37</x:v>
      </x:c>
      <x:c r="C1094" s="70" t="s">
        <x:v>74</x:v>
      </x:c>
      <x:c r="D1094" s="70" t="s">
        <x:v>416</x:v>
      </x:c>
      <x:c r="E1094" s="70" t="s">
        <x:v>1472</x:v>
      </x:c>
      <x:c r="F1094" s="70" t="s">
        <x:v>416</x:v>
      </x:c>
      <x:c r="G1094" s="70" t="s">
        <x:v>2113</x:v>
      </x:c>
      <x:c r="H1094" s="70" t="s">
        <x:v>1208</x:v>
      </x:c>
      <x:c r="I1094" s="70" t="s">
        <x:v>1199</x:v>
      </x:c>
      <x:c r="J1094" s="70" t="n">
        <x:v>153</x:v>
      </x:c>
      <x:c r="K1094" s="70" t="s">
        <x:v>2140</x:v>
      </x:c>
      <x:c r="L1094" s="70"/>
      <x:c r="M1094" s="70" t="s">
        <x:v>40</x:v>
      </x:c>
      <x:c r="N1094" s="71" t="n">
        <x:v>-47615551</x:v>
      </x:c>
      <x:c r="O1094" s="72" t="n">
        <x:f aca="0">N1094/1000</x:f>
        <x:v>-47615.551</x:v>
      </x:c>
      <x:c r="P1094" s="73" t="n">
        <x:f aca="0">DGKC!E85</x:f>
        <x:v>-47615.551</x:v>
      </x:c>
      <x:c r="Q1094" s="70" t="str">
        <x:f aca="0">IF(ABS(O1094-P1094)&lt;0.000001,"PASS","FAIL")</x:f>
        <x:v>PASS</x:v>
      </x:c>
      <x:c r="R1094" s="70" t="s">
        <x:v>34</x:v>
      </x:c>
      <x:c r="S1094" s="70"/>
    </x:row>
    <x:row r="1095" ht="15" hidden="0">
      <x:c r="A1095" s="70" t="s">
        <x:v>2375</x:v>
      </x:c>
      <x:c r="B1095" s="70" t="s">
        <x:v>37</x:v>
      </x:c>
      <x:c r="C1095" s="70" t="s">
        <x:v>75</x:v>
      </x:c>
      <x:c r="D1095" s="70" t="s">
        <x:v>416</x:v>
      </x:c>
      <x:c r="E1095" s="70" t="s">
        <x:v>1472</x:v>
      </x:c>
      <x:c r="F1095" s="70" t="s">
        <x:v>416</x:v>
      </x:c>
      <x:c r="G1095" s="70" t="s">
        <x:v>2116</x:v>
      </x:c>
      <x:c r="H1095" s="70" t="s">
        <x:v>1211</x:v>
      </x:c>
      <x:c r="I1095" s="70" t="s">
        <x:v>1199</x:v>
      </x:c>
      <x:c r="J1095" s="70" t="n">
        <x:v>153</x:v>
      </x:c>
      <x:c r="K1095" s="70" t="s">
        <x:v>2140</x:v>
      </x:c>
      <x:c r="L1095" s="70"/>
      <x:c r="M1095" s="70" t="s">
        <x:v>40</x:v>
      </x:c>
      <x:c r="N1095" s="71" t="n">
        <x:v>-55428046</x:v>
      </x:c>
      <x:c r="O1095" s="72" t="n">
        <x:f aca="0">N1095/1000</x:f>
        <x:v>-55428.046</x:v>
      </x:c>
      <x:c r="P1095" s="73" t="n">
        <x:f aca="0">DGKC!F85</x:f>
        <x:v>-55428.046</x:v>
      </x:c>
      <x:c r="Q1095" s="70" t="str">
        <x:f aca="0">IF(ABS(O1095-P1095)&lt;0.000001,"PASS","FAIL")</x:f>
        <x:v>PASS</x:v>
      </x:c>
      <x:c r="R1095" s="70" t="s">
        <x:v>34</x:v>
      </x:c>
      <x:c r="S1095" s="70"/>
    </x:row>
    <x:row r="1096" ht="15" hidden="0">
      <x:c r="A1096" s="70" t="s">
        <x:v>2376</x:v>
      </x:c>
      <x:c r="B1096" s="70" t="s">
        <x:v>37</x:v>
      </x:c>
      <x:c r="C1096" s="70" t="s">
        <x:v>76</x:v>
      </x:c>
      <x:c r="D1096" s="70" t="s">
        <x:v>416</x:v>
      </x:c>
      <x:c r="E1096" s="70" t="s">
        <x:v>1472</x:v>
      </x:c>
      <x:c r="F1096" s="70" t="s">
        <x:v>416</x:v>
      </x:c>
      <x:c r="G1096" s="70" t="s">
        <x:v>2118</x:v>
      </x:c>
      <x:c r="H1096" s="70" t="s">
        <x:v>1215</x:v>
      </x:c>
      <x:c r="I1096" s="70" t="s">
        <x:v>1199</x:v>
      </x:c>
      <x:c r="J1096" s="70" t="n">
        <x:v>155</x:v>
      </x:c>
      <x:c r="K1096" s="70" t="s">
        <x:v>2270</x:v>
      </x:c>
      <x:c r="L1096" s="70"/>
      <x:c r="M1096" s="70" t="s">
        <x:v>40</x:v>
      </x:c>
      <x:c r="N1096" s="71" t="n">
        <x:v>-55510429</x:v>
      </x:c>
      <x:c r="O1096" s="72" t="n">
        <x:f aca="0">N1096/1000</x:f>
        <x:v>-55510.429</x:v>
      </x:c>
      <x:c r="P1096" s="73" t="n">
        <x:f aca="0">DGKC!G85</x:f>
        <x:v>-55510.429</x:v>
      </x:c>
      <x:c r="Q1096" s="70" t="str">
        <x:f aca="0">IF(ABS(O1096-P1096)&lt;0.000001,"PASS","FAIL")</x:f>
        <x:v>PASS</x:v>
      </x:c>
      <x:c r="R1096" s="70" t="s">
        <x:v>34</x:v>
      </x:c>
      <x:c r="S1096" s="70"/>
    </x:row>
    <x:row r="1097" ht="15" hidden="0">
      <x:c r="A1097" s="70" t="s">
        <x:v>2377</x:v>
      </x:c>
      <x:c r="B1097" s="70" t="s">
        <x:v>37</x:v>
      </x:c>
      <x:c r="C1097" s="70" t="s">
        <x:v>77</x:v>
      </x:c>
      <x:c r="D1097" s="70" t="s">
        <x:v>416</x:v>
      </x:c>
      <x:c r="E1097" s="70" t="s">
        <x:v>1472</x:v>
      </x:c>
      <x:c r="F1097" s="70" t="s">
        <x:v>416</x:v>
      </x:c>
      <x:c r="G1097" s="70" t="s">
        <x:v>2118</x:v>
      </x:c>
      <x:c r="H1097" s="70" t="s">
        <x:v>1215</x:v>
      </x:c>
      <x:c r="I1097" s="70" t="s">
        <x:v>1218</x:v>
      </x:c>
      <x:c r="J1097" s="70" t="n">
        <x:v>155</x:v>
      </x:c>
      <x:c r="K1097" s="70" t="s">
        <x:v>2270</x:v>
      </x:c>
      <x:c r="L1097" s="70"/>
      <x:c r="M1097" s="70" t="s">
        <x:v>40</x:v>
      </x:c>
      <x:c r="N1097" s="71" t="n">
        <x:v>-53387166</x:v>
      </x:c>
      <x:c r="O1097" s="72" t="n">
        <x:f aca="0">N1097/1000</x:f>
        <x:v>-53387.166</x:v>
      </x:c>
      <x:c r="P1097" s="73" t="n">
        <x:f aca="0">DGKC!H85</x:f>
        <x:v>-53387.166</x:v>
      </x:c>
      <x:c r="Q1097" s="70" t="str">
        <x:f aca="0">IF(ABS(O1097-P1097)&lt;0.000001,"PASS","FAIL")</x:f>
        <x:v>PASS</x:v>
      </x:c>
      <x:c r="R1097" s="70" t="s">
        <x:v>34</x:v>
      </x:c>
      <x:c r="S1097" s="70"/>
    </x:row>
    <x:row r="1098" ht="15" hidden="0">
      <x:c r="A1098" s="70" t="s">
        <x:v>2378</x:v>
      </x:c>
      <x:c r="B1098" s="70" t="s">
        <x:v>37</x:v>
      </x:c>
      <x:c r="C1098" s="70" t="s">
        <x:v>73</x:v>
      </x:c>
      <x:c r="D1098" s="70" t="s">
        <x:v>420</x:v>
      </x:c>
      <x:c r="E1098" s="70" t="s">
        <x:v>1472</x:v>
      </x:c>
      <x:c r="F1098" s="70" t="s">
        <x:v>420</x:v>
      </x:c>
      <x:c r="G1098" s="70" t="s">
        <x:v>2110</x:v>
      </x:c>
      <x:c r="H1098" s="70" t="s">
        <x:v>1204</x:v>
      </x:c>
      <x:c r="I1098" s="70" t="s">
        <x:v>1199</x:v>
      </x:c>
      <x:c r="J1098" s="70" t="n">
        <x:v>127</x:v>
      </x:c>
      <x:c r="K1098" s="70" t="s">
        <x:v>2367</x:v>
      </x:c>
      <x:c r="L1098" s="70"/>
      <x:c r="M1098" s="70" t="s">
        <x:v>40</x:v>
      </x:c>
      <x:c r="N1098" s="71" t="n">
        <x:v>-1950056</x:v>
      </x:c>
      <x:c r="O1098" s="72" t="n">
        <x:f aca="0">N1098/1000</x:f>
        <x:v>-1950.056</x:v>
      </x:c>
      <x:c r="P1098" s="73" t="n">
        <x:f aca="0">DGKC!D87</x:f>
        <x:v>-1950.056</x:v>
      </x:c>
      <x:c r="Q1098" s="70" t="str">
        <x:f aca="0">IF(ABS(O1098-P1098)&lt;0.000001,"PASS","FAIL")</x:f>
        <x:v>PASS</x:v>
      </x:c>
      <x:c r="R1098" s="70" t="s">
        <x:v>34</x:v>
      </x:c>
      <x:c r="S1098" s="70"/>
    </x:row>
    <x:row r="1099" ht="15" hidden="0">
      <x:c r="A1099" s="70" t="s">
        <x:v>2379</x:v>
      </x:c>
      <x:c r="B1099" s="70" t="s">
        <x:v>37</x:v>
      </x:c>
      <x:c r="C1099" s="70" t="s">
        <x:v>74</x:v>
      </x:c>
      <x:c r="D1099" s="70" t="s">
        <x:v>420</x:v>
      </x:c>
      <x:c r="E1099" s="70" t="s">
        <x:v>1472</x:v>
      </x:c>
      <x:c r="F1099" s="70" t="s">
        <x:v>420</x:v>
      </x:c>
      <x:c r="G1099" s="70" t="s">
        <x:v>2113</x:v>
      </x:c>
      <x:c r="H1099" s="70" t="s">
        <x:v>1208</x:v>
      </x:c>
      <x:c r="I1099" s="70" t="s">
        <x:v>1199</x:v>
      </x:c>
      <x:c r="J1099" s="70" t="n">
        <x:v>153</x:v>
      </x:c>
      <x:c r="K1099" s="70" t="s">
        <x:v>2140</x:v>
      </x:c>
      <x:c r="L1099" s="70"/>
      <x:c r="M1099" s="70" t="s">
        <x:v>40</x:v>
      </x:c>
      <x:c r="N1099" s="71" t="n">
        <x:v>-1748859</x:v>
      </x:c>
      <x:c r="O1099" s="72" t="n">
        <x:f aca="0">N1099/1000</x:f>
        <x:v>-1748.859</x:v>
      </x:c>
      <x:c r="P1099" s="73" t="n">
        <x:f aca="0">DGKC!E87</x:f>
        <x:v>-1748.859</x:v>
      </x:c>
      <x:c r="Q1099" s="70" t="str">
        <x:f aca="0">IF(ABS(O1099-P1099)&lt;0.000001,"PASS","FAIL")</x:f>
        <x:v>PASS</x:v>
      </x:c>
      <x:c r="R1099" s="70" t="s">
        <x:v>34</x:v>
      </x:c>
      <x:c r="S1099" s="70"/>
    </x:row>
    <x:row r="1100" ht="15" hidden="0">
      <x:c r="A1100" s="70" t="s">
        <x:v>2380</x:v>
      </x:c>
      <x:c r="B1100" s="70" t="s">
        <x:v>37</x:v>
      </x:c>
      <x:c r="C1100" s="70" t="s">
        <x:v>75</x:v>
      </x:c>
      <x:c r="D1100" s="70" t="s">
        <x:v>420</x:v>
      </x:c>
      <x:c r="E1100" s="70" t="s">
        <x:v>1472</x:v>
      </x:c>
      <x:c r="F1100" s="70" t="s">
        <x:v>420</x:v>
      </x:c>
      <x:c r="G1100" s="70" t="s">
        <x:v>2116</x:v>
      </x:c>
      <x:c r="H1100" s="70" t="s">
        <x:v>1211</x:v>
      </x:c>
      <x:c r="I1100" s="70" t="s">
        <x:v>1199</x:v>
      </x:c>
      <x:c r="J1100" s="70" t="n">
        <x:v>153</x:v>
      </x:c>
      <x:c r="K1100" s="70" t="s">
        <x:v>2140</x:v>
      </x:c>
      <x:c r="L1100" s="70"/>
      <x:c r="M1100" s="70" t="s">
        <x:v>40</x:v>
      </x:c>
      <x:c r="N1100" s="71" t="n">
        <x:v>-1818028</x:v>
      </x:c>
      <x:c r="O1100" s="72" t="n">
        <x:f aca="0">N1100/1000</x:f>
        <x:v>-1818.028</x:v>
      </x:c>
      <x:c r="P1100" s="73" t="n">
        <x:f aca="0">DGKC!F87</x:f>
        <x:v>-1818.028</x:v>
      </x:c>
      <x:c r="Q1100" s="70" t="str">
        <x:f aca="0">IF(ABS(O1100-P1100)&lt;0.000001,"PASS","FAIL")</x:f>
        <x:v>PASS</x:v>
      </x:c>
      <x:c r="R1100" s="70" t="s">
        <x:v>34</x:v>
      </x:c>
      <x:c r="S1100" s="70"/>
    </x:row>
    <x:row r="1101" ht="15" hidden="0">
      <x:c r="A1101" s="70" t="s">
        <x:v>2381</x:v>
      </x:c>
      <x:c r="B1101" s="70" t="s">
        <x:v>37</x:v>
      </x:c>
      <x:c r="C1101" s="70" t="s">
        <x:v>76</x:v>
      </x:c>
      <x:c r="D1101" s="70" t="s">
        <x:v>420</x:v>
      </x:c>
      <x:c r="E1101" s="70" t="s">
        <x:v>1472</x:v>
      </x:c>
      <x:c r="F1101" s="70" t="s">
        <x:v>420</x:v>
      </x:c>
      <x:c r="G1101" s="70" t="s">
        <x:v>2118</x:v>
      </x:c>
      <x:c r="H1101" s="70" t="s">
        <x:v>1215</x:v>
      </x:c>
      <x:c r="I1101" s="70" t="s">
        <x:v>1199</x:v>
      </x:c>
      <x:c r="J1101" s="70" t="n">
        <x:v>155</x:v>
      </x:c>
      <x:c r="K1101" s="70" t="s">
        <x:v>2270</x:v>
      </x:c>
      <x:c r="L1101" s="70"/>
      <x:c r="M1101" s="70" t="s">
        <x:v>40</x:v>
      </x:c>
      <x:c r="N1101" s="71" t="n">
        <x:v>-2608537</x:v>
      </x:c>
      <x:c r="O1101" s="72" t="n">
        <x:f aca="0">N1101/1000</x:f>
        <x:v>-2608.537</x:v>
      </x:c>
      <x:c r="P1101" s="73" t="n">
        <x:f aca="0">DGKC!G87</x:f>
        <x:v>-2608.537</x:v>
      </x:c>
      <x:c r="Q1101" s="70" t="str">
        <x:f aca="0">IF(ABS(O1101-P1101)&lt;0.000001,"PASS","FAIL")</x:f>
        <x:v>PASS</x:v>
      </x:c>
      <x:c r="R1101" s="70" t="s">
        <x:v>34</x:v>
      </x:c>
      <x:c r="S1101" s="70"/>
    </x:row>
    <x:row r="1102" ht="15" hidden="0">
      <x:c r="A1102" s="70" t="s">
        <x:v>2382</x:v>
      </x:c>
      <x:c r="B1102" s="70" t="s">
        <x:v>37</x:v>
      </x:c>
      <x:c r="C1102" s="70" t="s">
        <x:v>77</x:v>
      </x:c>
      <x:c r="D1102" s="70" t="s">
        <x:v>420</x:v>
      </x:c>
      <x:c r="E1102" s="70" t="s">
        <x:v>1472</x:v>
      </x:c>
      <x:c r="F1102" s="70" t="s">
        <x:v>420</x:v>
      </x:c>
      <x:c r="G1102" s="70" t="s">
        <x:v>2118</x:v>
      </x:c>
      <x:c r="H1102" s="70" t="s">
        <x:v>1215</x:v>
      </x:c>
      <x:c r="I1102" s="70" t="s">
        <x:v>1218</x:v>
      </x:c>
      <x:c r="J1102" s="70" t="n">
        <x:v>155</x:v>
      </x:c>
      <x:c r="K1102" s="70" t="s">
        <x:v>2270</x:v>
      </x:c>
      <x:c r="L1102" s="70"/>
      <x:c r="M1102" s="70" t="s">
        <x:v>40</x:v>
      </x:c>
      <x:c r="N1102" s="71" t="n">
        <x:v>-3874688</x:v>
      </x:c>
      <x:c r="O1102" s="72" t="n">
        <x:f aca="0">N1102/1000</x:f>
        <x:v>-3874.688</x:v>
      </x:c>
      <x:c r="P1102" s="73" t="n">
        <x:f aca="0">DGKC!H87</x:f>
        <x:v>-3874.688</x:v>
      </x:c>
      <x:c r="Q1102" s="70" t="str">
        <x:f aca="0">IF(ABS(O1102-P1102)&lt;0.000001,"PASS","FAIL")</x:f>
        <x:v>PASS</x:v>
      </x:c>
      <x:c r="R1102" s="70" t="s">
        <x:v>34</x:v>
      </x:c>
      <x:c r="S1102" s="70"/>
    </x:row>
    <x:row r="1103" ht="15" hidden="0">
      <x:c r="A1103" s="70" t="s">
        <x:v>2383</x:v>
      </x:c>
      <x:c r="B1103" s="70" t="s">
        <x:v>37</x:v>
      </x:c>
      <x:c r="C1103" s="70" t="s">
        <x:v>73</x:v>
      </x:c>
      <x:c r="D1103" s="70" t="s">
        <x:v>422</x:v>
      </x:c>
      <x:c r="E1103" s="70" t="s">
        <x:v>1472</x:v>
      </x:c>
      <x:c r="F1103" s="70" t="s">
        <x:v>422</x:v>
      </x:c>
      <x:c r="G1103" s="70" t="s">
        <x:v>2110</x:v>
      </x:c>
      <x:c r="H1103" s="70" t="s">
        <x:v>1204</x:v>
      </x:c>
      <x:c r="I1103" s="70" t="s">
        <x:v>1199</x:v>
      </x:c>
      <x:c r="J1103" s="70" t="n">
        <x:v>127</x:v>
      </x:c>
      <x:c r="K1103" s="70" t="s">
        <x:v>2367</x:v>
      </x:c>
      <x:c r="L1103" s="70"/>
      <x:c r="M1103" s="70" t="s">
        <x:v>40</x:v>
      </x:c>
      <x:c r="N1103" s="71" t="n">
        <x:v>-646762</x:v>
      </x:c>
      <x:c r="O1103" s="72" t="n">
        <x:f aca="0">N1103/1000</x:f>
        <x:v>-646.762</x:v>
      </x:c>
      <x:c r="P1103" s="73" t="n">
        <x:f aca="0">DGKC!D88</x:f>
        <x:v>-646.762</x:v>
      </x:c>
      <x:c r="Q1103" s="70" t="str">
        <x:f aca="0">IF(ABS(O1103-P1103)&lt;0.000001,"PASS","FAIL")</x:f>
        <x:v>PASS</x:v>
      </x:c>
      <x:c r="R1103" s="70" t="s">
        <x:v>34</x:v>
      </x:c>
      <x:c r="S1103" s="70"/>
    </x:row>
    <x:row r="1104" ht="15" hidden="0">
      <x:c r="A1104" s="70" t="s">
        <x:v>2384</x:v>
      </x:c>
      <x:c r="B1104" s="70" t="s">
        <x:v>37</x:v>
      </x:c>
      <x:c r="C1104" s="70" t="s">
        <x:v>74</x:v>
      </x:c>
      <x:c r="D1104" s="70" t="s">
        <x:v>422</x:v>
      </x:c>
      <x:c r="E1104" s="70" t="s">
        <x:v>1472</x:v>
      </x:c>
      <x:c r="F1104" s="70" t="s">
        <x:v>422</x:v>
      </x:c>
      <x:c r="G1104" s="70" t="s">
        <x:v>2113</x:v>
      </x:c>
      <x:c r="H1104" s="70" t="s">
        <x:v>1208</x:v>
      </x:c>
      <x:c r="I1104" s="70" t="s">
        <x:v>1199</x:v>
      </x:c>
      <x:c r="J1104" s="70" t="n">
        <x:v>153</x:v>
      </x:c>
      <x:c r="K1104" s="70" t="s">
        <x:v>2140</x:v>
      </x:c>
      <x:c r="L1104" s="70"/>
      <x:c r="M1104" s="70" t="s">
        <x:v>40</x:v>
      </x:c>
      <x:c r="N1104" s="71" t="n">
        <x:v>-751052</x:v>
      </x:c>
      <x:c r="O1104" s="72" t="n">
        <x:f aca="0">N1104/1000</x:f>
        <x:v>-751.052</x:v>
      </x:c>
      <x:c r="P1104" s="73" t="n">
        <x:f aca="0">DGKC!E88</x:f>
        <x:v>-751.052</x:v>
      </x:c>
      <x:c r="Q1104" s="70" t="str">
        <x:f aca="0">IF(ABS(O1104-P1104)&lt;0.000001,"PASS","FAIL")</x:f>
        <x:v>PASS</x:v>
      </x:c>
      <x:c r="R1104" s="70" t="s">
        <x:v>34</x:v>
      </x:c>
      <x:c r="S1104" s="70"/>
    </x:row>
    <x:row r="1105" ht="15" hidden="0">
      <x:c r="A1105" s="70" t="s">
        <x:v>2385</x:v>
      </x:c>
      <x:c r="B1105" s="70" t="s">
        <x:v>37</x:v>
      </x:c>
      <x:c r="C1105" s="70" t="s">
        <x:v>75</x:v>
      </x:c>
      <x:c r="D1105" s="70" t="s">
        <x:v>422</x:v>
      </x:c>
      <x:c r="E1105" s="70" t="s">
        <x:v>1472</x:v>
      </x:c>
      <x:c r="F1105" s="70" t="s">
        <x:v>422</x:v>
      </x:c>
      <x:c r="G1105" s="70" t="s">
        <x:v>2116</x:v>
      </x:c>
      <x:c r="H1105" s="70" t="s">
        <x:v>1211</x:v>
      </x:c>
      <x:c r="I1105" s="70" t="s">
        <x:v>1199</x:v>
      </x:c>
      <x:c r="J1105" s="70" t="n">
        <x:v>153</x:v>
      </x:c>
      <x:c r="K1105" s="70" t="s">
        <x:v>2140</x:v>
      </x:c>
      <x:c r="L1105" s="70"/>
      <x:c r="M1105" s="70" t="s">
        <x:v>40</x:v>
      </x:c>
      <x:c r="N1105" s="71" t="n">
        <x:v>-879356</x:v>
      </x:c>
      <x:c r="O1105" s="72" t="n">
        <x:f aca="0">N1105/1000</x:f>
        <x:v>-879.356</x:v>
      </x:c>
      <x:c r="P1105" s="73" t="n">
        <x:f aca="0">DGKC!F88</x:f>
        <x:v>-879.356</x:v>
      </x:c>
      <x:c r="Q1105" s="70" t="str">
        <x:f aca="0">IF(ABS(O1105-P1105)&lt;0.000001,"PASS","FAIL")</x:f>
        <x:v>PASS</x:v>
      </x:c>
      <x:c r="R1105" s="70" t="s">
        <x:v>34</x:v>
      </x:c>
      <x:c r="S1105" s="70"/>
    </x:row>
    <x:row r="1106" ht="15" hidden="0">
      <x:c r="A1106" s="70" t="s">
        <x:v>2386</x:v>
      </x:c>
      <x:c r="B1106" s="70" t="s">
        <x:v>37</x:v>
      </x:c>
      <x:c r="C1106" s="70" t="s">
        <x:v>76</x:v>
      </x:c>
      <x:c r="D1106" s="70" t="s">
        <x:v>422</x:v>
      </x:c>
      <x:c r="E1106" s="70" t="s">
        <x:v>1472</x:v>
      </x:c>
      <x:c r="F1106" s="70" t="s">
        <x:v>422</x:v>
      </x:c>
      <x:c r="G1106" s="70" t="s">
        <x:v>2118</x:v>
      </x:c>
      <x:c r="H1106" s="70" t="s">
        <x:v>1215</x:v>
      </x:c>
      <x:c r="I1106" s="70" t="s">
        <x:v>1199</x:v>
      </x:c>
      <x:c r="J1106" s="70" t="n">
        <x:v>155</x:v>
      </x:c>
      <x:c r="K1106" s="70" t="s">
        <x:v>2270</x:v>
      </x:c>
      <x:c r="L1106" s="70"/>
      <x:c r="M1106" s="70" t="s">
        <x:v>40</x:v>
      </x:c>
      <x:c r="N1106" s="71" t="n">
        <x:v>-1206105</x:v>
      </x:c>
      <x:c r="O1106" s="72" t="n">
        <x:f aca="0">N1106/1000</x:f>
        <x:v>-1206.105</x:v>
      </x:c>
      <x:c r="P1106" s="73" t="n">
        <x:f aca="0">DGKC!G88</x:f>
        <x:v>-1206.105</x:v>
      </x:c>
      <x:c r="Q1106" s="70" t="str">
        <x:f aca="0">IF(ABS(O1106-P1106)&lt;0.000001,"PASS","FAIL")</x:f>
        <x:v>PASS</x:v>
      </x:c>
      <x:c r="R1106" s="70" t="s">
        <x:v>34</x:v>
      </x:c>
      <x:c r="S1106" s="70"/>
    </x:row>
    <x:row r="1107" ht="15" hidden="0">
      <x:c r="A1107" s="70" t="s">
        <x:v>2387</x:v>
      </x:c>
      <x:c r="B1107" s="70" t="s">
        <x:v>37</x:v>
      </x:c>
      <x:c r="C1107" s="70" t="s">
        <x:v>77</x:v>
      </x:c>
      <x:c r="D1107" s="70" t="s">
        <x:v>422</x:v>
      </x:c>
      <x:c r="E1107" s="70" t="s">
        <x:v>1472</x:v>
      </x:c>
      <x:c r="F1107" s="70" t="s">
        <x:v>422</x:v>
      </x:c>
      <x:c r="G1107" s="70" t="s">
        <x:v>2118</x:v>
      </x:c>
      <x:c r="H1107" s="70" t="s">
        <x:v>1215</x:v>
      </x:c>
      <x:c r="I1107" s="70" t="s">
        <x:v>1218</x:v>
      </x:c>
      <x:c r="J1107" s="70" t="n">
        <x:v>155</x:v>
      </x:c>
      <x:c r="K1107" s="70" t="s">
        <x:v>2270</x:v>
      </x:c>
      <x:c r="L1107" s="70"/>
      <x:c r="M1107" s="70" t="s">
        <x:v>40</x:v>
      </x:c>
      <x:c r="N1107" s="71" t="n">
        <x:v>-1294974</x:v>
      </x:c>
      <x:c r="O1107" s="72" t="n">
        <x:f aca="0">N1107/1000</x:f>
        <x:v>-1294.974</x:v>
      </x:c>
      <x:c r="P1107" s="73" t="n">
        <x:f aca="0">DGKC!H88</x:f>
        <x:v>-1294.974</x:v>
      </x:c>
      <x:c r="Q1107" s="70" t="str">
        <x:f aca="0">IF(ABS(O1107-P1107)&lt;0.000001,"PASS","FAIL")</x:f>
        <x:v>PASS</x:v>
      </x:c>
      <x:c r="R1107" s="70" t="s">
        <x:v>34</x:v>
      </x:c>
      <x:c r="S1107" s="70"/>
    </x:row>
    <x:row r="1108" ht="15" hidden="0">
      <x:c r="A1108" s="70" t="s">
        <x:v>2388</x:v>
      </x:c>
      <x:c r="B1108" s="70" t="s">
        <x:v>37</x:v>
      </x:c>
      <x:c r="C1108" s="70" t="s">
        <x:v>73</x:v>
      </x:c>
      <x:c r="D1108" s="70" t="s">
        <x:v>424</x:v>
      </x:c>
      <x:c r="E1108" s="70" t="s">
        <x:v>1472</x:v>
      </x:c>
      <x:c r="F1108" s="70" t="s">
        <x:v>2389</x:v>
      </x:c>
      <x:c r="G1108" s="70" t="s">
        <x:v>2110</x:v>
      </x:c>
      <x:c r="H1108" s="70" t="s">
        <x:v>1204</x:v>
      </x:c>
      <x:c r="I1108" s="70" t="s">
        <x:v>1199</x:v>
      </x:c>
      <x:c r="J1108" s="70" t="n">
        <x:v>127</x:v>
      </x:c>
      <x:c r="K1108" s="70" t="s">
        <x:v>2367</x:v>
      </x:c>
      <x:c r="L1108" s="70"/>
      <x:c r="M1108" s="70" t="s">
        <x:v>40</x:v>
      </x:c>
      <x:c r="N1108" s="71" t="n">
        <x:v>104703</x:v>
      </x:c>
      <x:c r="O1108" s="72" t="n">
        <x:f aca="0">N1108/1000</x:f>
        <x:v>104.703</x:v>
      </x:c>
      <x:c r="P1108" s="73" t="n">
        <x:f aca="0">DGKC!D89</x:f>
        <x:v>104.703</x:v>
      </x:c>
      <x:c r="Q1108" s="70" t="str">
        <x:f aca="0">IF(ABS(O1108-P1108)&lt;0.000001,"PASS","FAIL")</x:f>
        <x:v>PASS</x:v>
      </x:c>
      <x:c r="R1108" s="70" t="s">
        <x:v>34</x:v>
      </x:c>
      <x:c r="S1108" s="70"/>
    </x:row>
    <x:row r="1109" ht="15" hidden="0">
      <x:c r="A1109" s="70" t="s">
        <x:v>2390</x:v>
      </x:c>
      <x:c r="B1109" s="70" t="s">
        <x:v>37</x:v>
      </x:c>
      <x:c r="C1109" s="70" t="s">
        <x:v>74</x:v>
      </x:c>
      <x:c r="D1109" s="70" t="s">
        <x:v>424</x:v>
      </x:c>
      <x:c r="E1109" s="70" t="s">
        <x:v>1472</x:v>
      </x:c>
      <x:c r="F1109" s="70" t="s">
        <x:v>2391</x:v>
      </x:c>
      <x:c r="G1109" s="70" t="s">
        <x:v>2113</x:v>
      </x:c>
      <x:c r="H1109" s="70" t="s">
        <x:v>1208</x:v>
      </x:c>
      <x:c r="I1109" s="70" t="s">
        <x:v>1199</x:v>
      </x:c>
      <x:c r="J1109" s="70" t="n">
        <x:v>153</x:v>
      </x:c>
      <x:c r="K1109" s="70" t="s">
        <x:v>2140</x:v>
      </x:c>
      <x:c r="L1109" s="70"/>
      <x:c r="M1109" s="70" t="s">
        <x:v>40</x:v>
      </x:c>
      <x:c r="N1109" s="71" t="n">
        <x:v>-8990</x:v>
      </x:c>
      <x:c r="O1109" s="72" t="n">
        <x:f aca="0">N1109/1000</x:f>
        <x:v>-8.99</x:v>
      </x:c>
      <x:c r="P1109" s="73" t="n">
        <x:f aca="0">DGKC!E89</x:f>
        <x:v>-8.99</x:v>
      </x:c>
      <x:c r="Q1109" s="70" t="str">
        <x:f aca="0">IF(ABS(O1109-P1109)&lt;0.000001,"PASS","FAIL")</x:f>
        <x:v>PASS</x:v>
      </x:c>
      <x:c r="R1109" s="70" t="s">
        <x:v>34</x:v>
      </x:c>
      <x:c r="S1109" s="70"/>
    </x:row>
    <x:row r="1110" ht="15" hidden="0">
      <x:c r="A1110" s="70" t="s">
        <x:v>2392</x:v>
      </x:c>
      <x:c r="B1110" s="70" t="s">
        <x:v>37</x:v>
      </x:c>
      <x:c r="C1110" s="70" t="s">
        <x:v>75</x:v>
      </x:c>
      <x:c r="D1110" s="70" t="s">
        <x:v>424</x:v>
      </x:c>
      <x:c r="E1110" s="70" t="s">
        <x:v>1472</x:v>
      </x:c>
      <x:c r="F1110" s="70" t="s">
        <x:v>2391</x:v>
      </x:c>
      <x:c r="G1110" s="70" t="s">
        <x:v>2116</x:v>
      </x:c>
      <x:c r="H1110" s="70" t="s">
        <x:v>1211</x:v>
      </x:c>
      <x:c r="I1110" s="70" t="s">
        <x:v>1199</x:v>
      </x:c>
      <x:c r="J1110" s="70" t="n">
        <x:v>153</x:v>
      </x:c>
      <x:c r="K1110" s="70" t="s">
        <x:v>2140</x:v>
      </x:c>
      <x:c r="L1110" s="70"/>
      <x:c r="M1110" s="70" t="s">
        <x:v>40</x:v>
      </x:c>
      <x:c r="N1110" s="71" t="n">
        <x:v>-104094</x:v>
      </x:c>
      <x:c r="O1110" s="72" t="n">
        <x:f aca="0">N1110/1000</x:f>
        <x:v>-104.094</x:v>
      </x:c>
      <x:c r="P1110" s="73" t="n">
        <x:f aca="0">DGKC!F89</x:f>
        <x:v>-104.094</x:v>
      </x:c>
      <x:c r="Q1110" s="70" t="str">
        <x:f aca="0">IF(ABS(O1110-P1110)&lt;0.000001,"PASS","FAIL")</x:f>
        <x:v>PASS</x:v>
      </x:c>
      <x:c r="R1110" s="70" t="s">
        <x:v>34</x:v>
      </x:c>
      <x:c r="S1110" s="70"/>
    </x:row>
    <x:row r="1111" ht="15" hidden="0">
      <x:c r="A1111" s="70" t="s">
        <x:v>2393</x:v>
      </x:c>
      <x:c r="B1111" s="70" t="s">
        <x:v>37</x:v>
      </x:c>
      <x:c r="C1111" s="70" t="s">
        <x:v>76</x:v>
      </x:c>
      <x:c r="D1111" s="70" t="s">
        <x:v>424</x:v>
      </x:c>
      <x:c r="E1111" s="70" t="s">
        <x:v>1472</x:v>
      </x:c>
      <x:c r="F1111" s="70" t="s">
        <x:v>2391</x:v>
      </x:c>
      <x:c r="G1111" s="70" t="s">
        <x:v>2118</x:v>
      </x:c>
      <x:c r="H1111" s="70" t="s">
        <x:v>1215</x:v>
      </x:c>
      <x:c r="I1111" s="70" t="s">
        <x:v>1199</x:v>
      </x:c>
      <x:c r="J1111" s="70" t="n">
        <x:v>155</x:v>
      </x:c>
      <x:c r="K1111" s="70" t="s">
        <x:v>2270</x:v>
      </x:c>
      <x:c r="L1111" s="70"/>
      <x:c r="M1111" s="70" t="s">
        <x:v>40</x:v>
      </x:c>
      <x:c r="N1111" s="71" t="n">
        <x:v>-103367</x:v>
      </x:c>
      <x:c r="O1111" s="72" t="n">
        <x:f aca="0">N1111/1000</x:f>
        <x:v>-103.367</x:v>
      </x:c>
      <x:c r="P1111" s="73" t="n">
        <x:f aca="0">DGKC!G89</x:f>
        <x:v>-103.367</x:v>
      </x:c>
      <x:c r="Q1111" s="70" t="str">
        <x:f aca="0">IF(ABS(O1111-P1111)&lt;0.000001,"PASS","FAIL")</x:f>
        <x:v>PASS</x:v>
      </x:c>
      <x:c r="R1111" s="70" t="s">
        <x:v>34</x:v>
      </x:c>
      <x:c r="S1111" s="70"/>
    </x:row>
    <x:row r="1112" ht="15" hidden="0">
      <x:c r="A1112" s="70" t="s">
        <x:v>2394</x:v>
      </x:c>
      <x:c r="B1112" s="70" t="s">
        <x:v>37</x:v>
      </x:c>
      <x:c r="C1112" s="70" t="s">
        <x:v>77</x:v>
      </x:c>
      <x:c r="D1112" s="70" t="s">
        <x:v>424</x:v>
      </x:c>
      <x:c r="E1112" s="70" t="s">
        <x:v>1472</x:v>
      </x:c>
      <x:c r="F1112" s="70" t="s">
        <x:v>2391</x:v>
      </x:c>
      <x:c r="G1112" s="70" t="s">
        <x:v>2118</x:v>
      </x:c>
      <x:c r="H1112" s="70" t="s">
        <x:v>1215</x:v>
      </x:c>
      <x:c r="I1112" s="70" t="s">
        <x:v>1218</x:v>
      </x:c>
      <x:c r="J1112" s="70" t="n">
        <x:v>155</x:v>
      </x:c>
      <x:c r="K1112" s="70" t="s">
        <x:v>2270</x:v>
      </x:c>
      <x:c r="L1112" s="70"/>
      <x:c r="M1112" s="70" t="s">
        <x:v>40</x:v>
      </x:c>
      <x:c r="N1112" s="71" t="n">
        <x:v>-6899</x:v>
      </x:c>
      <x:c r="O1112" s="72" t="n">
        <x:f aca="0">N1112/1000</x:f>
        <x:v>-6.899</x:v>
      </x:c>
      <x:c r="P1112" s="73" t="n">
        <x:f aca="0">DGKC!H89</x:f>
        <x:v>-6.899</x:v>
      </x:c>
      <x:c r="Q1112" s="70" t="str">
        <x:f aca="0">IF(ABS(O1112-P1112)&lt;0.000001,"PASS","FAIL")</x:f>
        <x:v>PASS</x:v>
      </x:c>
      <x:c r="R1112" s="70" t="s">
        <x:v>34</x:v>
      </x:c>
      <x:c r="S1112" s="70"/>
    </x:row>
    <x:row r="1113" ht="15" hidden="0">
      <x:c r="A1113" s="70" t="s">
        <x:v>2395</x:v>
      </x:c>
      <x:c r="B1113" s="70" t="s">
        <x:v>37</x:v>
      </x:c>
      <x:c r="C1113" s="70" t="s">
        <x:v>73</x:v>
      </x:c>
      <x:c r="D1113" s="70" t="s">
        <x:v>426</x:v>
      </x:c>
      <x:c r="E1113" s="70" t="s">
        <x:v>1472</x:v>
      </x:c>
      <x:c r="F1113" s="70" t="s">
        <x:v>1502</x:v>
      </x:c>
      <x:c r="G1113" s="70" t="s">
        <x:v>2110</x:v>
      </x:c>
      <x:c r="H1113" s="70" t="s">
        <x:v>1204</x:v>
      </x:c>
      <x:c r="I1113" s="70" t="s">
        <x:v>1199</x:v>
      </x:c>
      <x:c r="J1113" s="70" t="n">
        <x:v>127</x:v>
      </x:c>
      <x:c r="K1113" s="70" t="s">
        <x:v>2367</x:v>
      </x:c>
      <x:c r="L1113" s="70"/>
      <x:c r="M1113" s="70" t="s">
        <x:v>40</x:v>
      </x:c>
      <x:c r="N1113" s="71" t="n">
        <x:v>-414315</x:v>
      </x:c>
      <x:c r="O1113" s="72" t="n">
        <x:f aca="0">N1113/1000</x:f>
        <x:v>-414.315</x:v>
      </x:c>
      <x:c r="P1113" s="73" t="n">
        <x:f aca="0">DGKC!D90</x:f>
        <x:v>-414.315</x:v>
      </x:c>
      <x:c r="Q1113" s="70" t="str">
        <x:f aca="0">IF(ABS(O1113-P1113)&lt;0.000001,"PASS","FAIL")</x:f>
        <x:v>PASS</x:v>
      </x:c>
      <x:c r="R1113" s="70" t="s">
        <x:v>34</x:v>
      </x:c>
      <x:c r="S1113" s="70"/>
    </x:row>
    <x:row r="1114" ht="15" hidden="0">
      <x:c r="A1114" s="70" t="s">
        <x:v>2396</x:v>
      </x:c>
      <x:c r="B1114" s="70" t="s">
        <x:v>37</x:v>
      </x:c>
      <x:c r="C1114" s="70" t="s">
        <x:v>74</x:v>
      </x:c>
      <x:c r="D1114" s="70" t="s">
        <x:v>426</x:v>
      </x:c>
      <x:c r="E1114" s="70" t="s">
        <x:v>1472</x:v>
      </x:c>
      <x:c r="F1114" s="70" t="s">
        <x:v>1502</x:v>
      </x:c>
      <x:c r="G1114" s="70" t="s">
        <x:v>2113</x:v>
      </x:c>
      <x:c r="H1114" s="70" t="s">
        <x:v>1208</x:v>
      </x:c>
      <x:c r="I1114" s="70" t="s">
        <x:v>1199</x:v>
      </x:c>
      <x:c r="J1114" s="70" t="n">
        <x:v>153</x:v>
      </x:c>
      <x:c r="K1114" s="70" t="s">
        <x:v>2140</x:v>
      </x:c>
      <x:c r="L1114" s="70"/>
      <x:c r="M1114" s="70" t="s">
        <x:v>40</x:v>
      </x:c>
      <x:c r="N1114" s="71" t="n">
        <x:v>-1042803</x:v>
      </x:c>
      <x:c r="O1114" s="72" t="n">
        <x:f aca="0">N1114/1000</x:f>
        <x:v>-1042.803</x:v>
      </x:c>
      <x:c r="P1114" s="73" t="n">
        <x:f aca="0">DGKC!E90</x:f>
        <x:v>-1042.803</x:v>
      </x:c>
      <x:c r="Q1114" s="70" t="str">
        <x:f aca="0">IF(ABS(O1114-P1114)&lt;0.000001,"PASS","FAIL")</x:f>
        <x:v>PASS</x:v>
      </x:c>
      <x:c r="R1114" s="70" t="s">
        <x:v>34</x:v>
      </x:c>
      <x:c r="S1114" s="70"/>
    </x:row>
    <x:row r="1115" ht="15" hidden="0">
      <x:c r="A1115" s="70" t="s">
        <x:v>2397</x:v>
      </x:c>
      <x:c r="B1115" s="70" t="s">
        <x:v>37</x:v>
      </x:c>
      <x:c r="C1115" s="70" t="s">
        <x:v>75</x:v>
      </x:c>
      <x:c r="D1115" s="70" t="s">
        <x:v>426</x:v>
      </x:c>
      <x:c r="E1115" s="70" t="s">
        <x:v>1472</x:v>
      </x:c>
      <x:c r="F1115" s="70" t="s">
        <x:v>1502</x:v>
      </x:c>
      <x:c r="G1115" s="70" t="s">
        <x:v>2116</x:v>
      </x:c>
      <x:c r="H1115" s="70" t="s">
        <x:v>1211</x:v>
      </x:c>
      <x:c r="I1115" s="70" t="s">
        <x:v>1199</x:v>
      </x:c>
      <x:c r="J1115" s="70" t="n">
        <x:v>153</x:v>
      </x:c>
      <x:c r="K1115" s="70" t="s">
        <x:v>2140</x:v>
      </x:c>
      <x:c r="L1115" s="70"/>
      <x:c r="M1115" s="70" t="s">
        <x:v>40</x:v>
      </x:c>
      <x:c r="N1115" s="71" t="n">
        <x:v>-96461</x:v>
      </x:c>
      <x:c r="O1115" s="72" t="n">
        <x:f aca="0">N1115/1000</x:f>
        <x:v>-96.461</x:v>
      </x:c>
      <x:c r="P1115" s="73" t="n">
        <x:f aca="0">DGKC!F90</x:f>
        <x:v>-96.461</x:v>
      </x:c>
      <x:c r="Q1115" s="70" t="str">
        <x:f aca="0">IF(ABS(O1115-P1115)&lt;0.000001,"PASS","FAIL")</x:f>
        <x:v>PASS</x:v>
      </x:c>
      <x:c r="R1115" s="70" t="s">
        <x:v>34</x:v>
      </x:c>
      <x:c r="S1115" s="70"/>
    </x:row>
    <x:row r="1116" ht="15" hidden="0">
      <x:c r="A1116" s="70" t="s">
        <x:v>2398</x:v>
      </x:c>
      <x:c r="B1116" s="70" t="s">
        <x:v>37</x:v>
      </x:c>
      <x:c r="C1116" s="70" t="s">
        <x:v>76</x:v>
      </x:c>
      <x:c r="D1116" s="70" t="s">
        <x:v>426</x:v>
      </x:c>
      <x:c r="E1116" s="70" t="s">
        <x:v>1472</x:v>
      </x:c>
      <x:c r="F1116" s="70" t="s">
        <x:v>1502</x:v>
      </x:c>
      <x:c r="G1116" s="70" t="s">
        <x:v>2118</x:v>
      </x:c>
      <x:c r="H1116" s="70" t="s">
        <x:v>1215</x:v>
      </x:c>
      <x:c r="I1116" s="70" t="s">
        <x:v>1199</x:v>
      </x:c>
      <x:c r="J1116" s="70" t="n">
        <x:v>155</x:v>
      </x:c>
      <x:c r="K1116" s="70" t="s">
        <x:v>2270</x:v>
      </x:c>
      <x:c r="L1116" s="70"/>
      <x:c r="M1116" s="70" t="s">
        <x:v>40</x:v>
      </x:c>
      <x:c r="N1116" s="71" t="n">
        <x:v>-5033</x:v>
      </x:c>
      <x:c r="O1116" s="72" t="n">
        <x:f aca="0">N1116/1000</x:f>
        <x:v>-5.033</x:v>
      </x:c>
      <x:c r="P1116" s="73" t="n">
        <x:f aca="0">DGKC!G90</x:f>
        <x:v>-5.033</x:v>
      </x:c>
      <x:c r="Q1116" s="70" t="str">
        <x:f aca="0">IF(ABS(O1116-P1116)&lt;0.000001,"PASS","FAIL")</x:f>
        <x:v>PASS</x:v>
      </x:c>
      <x:c r="R1116" s="70" t="s">
        <x:v>34</x:v>
      </x:c>
      <x:c r="S1116" s="70"/>
    </x:row>
    <x:row r="1117" ht="15" hidden="0">
      <x:c r="A1117" s="70" t="s">
        <x:v>2399</x:v>
      </x:c>
      <x:c r="B1117" s="70" t="s">
        <x:v>37</x:v>
      </x:c>
      <x:c r="C1117" s="70" t="s">
        <x:v>77</x:v>
      </x:c>
      <x:c r="D1117" s="70" t="s">
        <x:v>426</x:v>
      </x:c>
      <x:c r="E1117" s="70" t="s">
        <x:v>1472</x:v>
      </x:c>
      <x:c r="F1117" s="70" t="s">
        <x:v>1502</x:v>
      </x:c>
      <x:c r="G1117" s="70" t="s">
        <x:v>2118</x:v>
      </x:c>
      <x:c r="H1117" s="70" t="s">
        <x:v>1215</x:v>
      </x:c>
      <x:c r="I1117" s="70" t="s">
        <x:v>1218</x:v>
      </x:c>
      <x:c r="J1117" s="70" t="n">
        <x:v>155</x:v>
      </x:c>
      <x:c r="K1117" s="70" t="s">
        <x:v>2270</x:v>
      </x:c>
      <x:c r="L1117" s="70"/>
      <x:c r="M1117" s="70" t="s">
        <x:v>40</x:v>
      </x:c>
      <x:c r="N1117" s="71" t="n">
        <x:v>-725663</x:v>
      </x:c>
      <x:c r="O1117" s="72" t="n">
        <x:f aca="0">N1117/1000</x:f>
        <x:v>-725.663</x:v>
      </x:c>
      <x:c r="P1117" s="73" t="n">
        <x:f aca="0">DGKC!H90</x:f>
        <x:v>-725.663</x:v>
      </x:c>
      <x:c r="Q1117" s="70" t="str">
        <x:f aca="0">IF(ABS(O1117-P1117)&lt;0.000001,"PASS","FAIL")</x:f>
        <x:v>PASS</x:v>
      </x:c>
      <x:c r="R1117" s="70" t="s">
        <x:v>34</x:v>
      </x:c>
      <x:c r="S1117" s="70"/>
    </x:row>
    <x:row r="1118" ht="15" hidden="0">
      <x:c r="A1118" s="70" t="s">
        <x:v>2400</x:v>
      </x:c>
      <x:c r="B1118" s="70" t="s">
        <x:v>37</x:v>
      </x:c>
      <x:c r="C1118" s="70" t="s">
        <x:v>73</x:v>
      </x:c>
      <x:c r="D1118" s="70" t="s">
        <x:v>430</x:v>
      </x:c>
      <x:c r="E1118" s="70" t="s">
        <x:v>1472</x:v>
      </x:c>
      <x:c r="F1118" s="70" t="s">
        <x:v>430</x:v>
      </x:c>
      <x:c r="G1118" s="70" t="s">
        <x:v>2110</x:v>
      </x:c>
      <x:c r="H1118" s="70" t="s">
        <x:v>1204</x:v>
      </x:c>
      <x:c r="I1118" s="70" t="s">
        <x:v>1199</x:v>
      </x:c>
      <x:c r="J1118" s="70" t="n">
        <x:v>127</x:v>
      </x:c>
      <x:c r="K1118" s="70" t="s">
        <x:v>2367</x:v>
      </x:c>
      <x:c r="L1118" s="70"/>
      <x:c r="M1118" s="70" t="s">
        <x:v>40</x:v>
      </x:c>
      <x:c r="N1118" s="71" t="n">
        <x:v>2526818</x:v>
      </x:c>
      <x:c r="O1118" s="72" t="n">
        <x:f aca="0">N1118/1000</x:f>
        <x:v>2526.818</x:v>
      </x:c>
      <x:c r="P1118" s="73" t="n">
        <x:f aca="0">DGKC!D92</x:f>
        <x:v>2526.818</x:v>
      </x:c>
      <x:c r="Q1118" s="70" t="str">
        <x:f aca="0">IF(ABS(O1118-P1118)&lt;0.000001,"PASS","FAIL")</x:f>
        <x:v>PASS</x:v>
      </x:c>
      <x:c r="R1118" s="70" t="s">
        <x:v>34</x:v>
      </x:c>
      <x:c r="S1118" s="70"/>
    </x:row>
    <x:row r="1119" ht="15" hidden="0">
      <x:c r="A1119" s="70" t="s">
        <x:v>2401</x:v>
      </x:c>
      <x:c r="B1119" s="70" t="s">
        <x:v>37</x:v>
      </x:c>
      <x:c r="C1119" s="70" t="s">
        <x:v>74</x:v>
      </x:c>
      <x:c r="D1119" s="70" t="s">
        <x:v>430</x:v>
      </x:c>
      <x:c r="E1119" s="70" t="s">
        <x:v>1472</x:v>
      </x:c>
      <x:c r="F1119" s="70" t="s">
        <x:v>430</x:v>
      </x:c>
      <x:c r="G1119" s="70" t="s">
        <x:v>2113</x:v>
      </x:c>
      <x:c r="H1119" s="70" t="s">
        <x:v>1208</x:v>
      </x:c>
      <x:c r="I1119" s="70" t="s">
        <x:v>1199</x:v>
      </x:c>
      <x:c r="J1119" s="70" t="n">
        <x:v>153</x:v>
      </x:c>
      <x:c r="K1119" s="70" t="s">
        <x:v>2140</x:v>
      </x:c>
      <x:c r="L1119" s="70"/>
      <x:c r="M1119" s="70" t="s">
        <x:v>40</x:v>
      </x:c>
      <x:c r="N1119" s="71" t="n">
        <x:v>2714340</x:v>
      </x:c>
      <x:c r="O1119" s="72" t="n">
        <x:f aca="0">N1119/1000</x:f>
        <x:v>2714.34</x:v>
      </x:c>
      <x:c r="P1119" s="73" t="n">
        <x:f aca="0">DGKC!E92</x:f>
        <x:v>2714.34</x:v>
      </x:c>
      <x:c r="Q1119" s="70" t="str">
        <x:f aca="0">IF(ABS(O1119-P1119)&lt;0.000001,"PASS","FAIL")</x:f>
        <x:v>PASS</x:v>
      </x:c>
      <x:c r="R1119" s="70" t="s">
        <x:v>34</x:v>
      </x:c>
      <x:c r="S1119" s="70"/>
    </x:row>
    <x:row r="1120" ht="15" hidden="0">
      <x:c r="A1120" s="70" t="s">
        <x:v>2402</x:v>
      </x:c>
      <x:c r="B1120" s="70" t="s">
        <x:v>37</x:v>
      </x:c>
      <x:c r="C1120" s="70" t="s">
        <x:v>75</x:v>
      </x:c>
      <x:c r="D1120" s="70" t="s">
        <x:v>430</x:v>
      </x:c>
      <x:c r="E1120" s="70" t="s">
        <x:v>1472</x:v>
      </x:c>
      <x:c r="F1120" s="70" t="s">
        <x:v>430</x:v>
      </x:c>
      <x:c r="G1120" s="70" t="s">
        <x:v>2116</x:v>
      </x:c>
      <x:c r="H1120" s="70" t="s">
        <x:v>1211</x:v>
      </x:c>
      <x:c r="I1120" s="70" t="s">
        <x:v>1199</x:v>
      </x:c>
      <x:c r="J1120" s="70" t="n">
        <x:v>153</x:v>
      </x:c>
      <x:c r="K1120" s="70" t="s">
        <x:v>2140</x:v>
      </x:c>
      <x:c r="L1120" s="70"/>
      <x:c r="M1120" s="70" t="s">
        <x:v>40</x:v>
      </x:c>
      <x:c r="N1120" s="71" t="n">
        <x:v>3246999</x:v>
      </x:c>
      <x:c r="O1120" s="72" t="n">
        <x:f aca="0">N1120/1000</x:f>
        <x:v>3246.999</x:v>
      </x:c>
      <x:c r="P1120" s="73" t="n">
        <x:f aca="0">DGKC!F92</x:f>
        <x:v>3246.999</x:v>
      </x:c>
      <x:c r="Q1120" s="70" t="str">
        <x:f aca="0">IF(ABS(O1120-P1120)&lt;0.000001,"PASS","FAIL")</x:f>
        <x:v>PASS</x:v>
      </x:c>
      <x:c r="R1120" s="70" t="s">
        <x:v>34</x:v>
      </x:c>
      <x:c r="S1120" s="70"/>
    </x:row>
    <x:row r="1121" ht="15" hidden="0">
      <x:c r="A1121" s="70" t="s">
        <x:v>2403</x:v>
      </x:c>
      <x:c r="B1121" s="70" t="s">
        <x:v>37</x:v>
      </x:c>
      <x:c r="C1121" s="70" t="s">
        <x:v>76</x:v>
      </x:c>
      <x:c r="D1121" s="70" t="s">
        <x:v>430</x:v>
      </x:c>
      <x:c r="E1121" s="70" t="s">
        <x:v>1472</x:v>
      </x:c>
      <x:c r="F1121" s="70" t="s">
        <x:v>430</x:v>
      </x:c>
      <x:c r="G1121" s="70" t="s">
        <x:v>2118</x:v>
      </x:c>
      <x:c r="H1121" s="70" t="s">
        <x:v>1215</x:v>
      </x:c>
      <x:c r="I1121" s="70" t="s">
        <x:v>1199</x:v>
      </x:c>
      <x:c r="J1121" s="70" t="n">
        <x:v>155</x:v>
      </x:c>
      <x:c r="K1121" s="70" t="s">
        <x:v>2270</x:v>
      </x:c>
      <x:c r="L1121" s="70"/>
      <x:c r="M1121" s="70" t="s">
        <x:v>40</x:v>
      </x:c>
      <x:c r="N1121" s="71" t="n">
        <x:v>4234797</x:v>
      </x:c>
      <x:c r="O1121" s="72" t="n">
        <x:f aca="0">N1121/1000</x:f>
        <x:v>4234.797</x:v>
      </x:c>
      <x:c r="P1121" s="73" t="n">
        <x:f aca="0">DGKC!G92</x:f>
        <x:v>4234.797</x:v>
      </x:c>
      <x:c r="Q1121" s="70" t="str">
        <x:f aca="0">IF(ABS(O1121-P1121)&lt;0.000001,"PASS","FAIL")</x:f>
        <x:v>PASS</x:v>
      </x:c>
      <x:c r="R1121" s="70" t="s">
        <x:v>34</x:v>
      </x:c>
      <x:c r="S1121" s="70"/>
    </x:row>
    <x:row r="1122" ht="15" hidden="0">
      <x:c r="A1122" s="70" t="s">
        <x:v>2404</x:v>
      </x:c>
      <x:c r="B1122" s="70" t="s">
        <x:v>37</x:v>
      </x:c>
      <x:c r="C1122" s="70" t="s">
        <x:v>77</x:v>
      </x:c>
      <x:c r="D1122" s="70" t="s">
        <x:v>430</x:v>
      </x:c>
      <x:c r="E1122" s="70" t="s">
        <x:v>1472</x:v>
      </x:c>
      <x:c r="F1122" s="70" t="s">
        <x:v>430</x:v>
      </x:c>
      <x:c r="G1122" s="70" t="s">
        <x:v>2118</x:v>
      </x:c>
      <x:c r="H1122" s="70" t="s">
        <x:v>1215</x:v>
      </x:c>
      <x:c r="I1122" s="70" t="s">
        <x:v>1218</x:v>
      </x:c>
      <x:c r="J1122" s="70" t="n">
        <x:v>155</x:v>
      </x:c>
      <x:c r="K1122" s="70" t="s">
        <x:v>2270</x:v>
      </x:c>
      <x:c r="L1122" s="70"/>
      <x:c r="M1122" s="70" t="s">
        <x:v>40</x:v>
      </x:c>
      <x:c r="N1122" s="71" t="n">
        <x:v>4271570</x:v>
      </x:c>
      <x:c r="O1122" s="72" t="n">
        <x:f aca="0">N1122/1000</x:f>
        <x:v>4271.57</x:v>
      </x:c>
      <x:c r="P1122" s="73" t="n">
        <x:f aca="0">DGKC!H92</x:f>
        <x:v>4271.57</x:v>
      </x:c>
      <x:c r="Q1122" s="70" t="str">
        <x:f aca="0">IF(ABS(O1122-P1122)&lt;0.000001,"PASS","FAIL")</x:f>
        <x:v>PASS</x:v>
      </x:c>
      <x:c r="R1122" s="70" t="s">
        <x:v>34</x:v>
      </x:c>
      <x:c r="S1122" s="70"/>
    </x:row>
    <x:row r="1123" ht="15" hidden="0">
      <x:c r="A1123" s="70" t="s">
        <x:v>2405</x:v>
      </x:c>
      <x:c r="B1123" s="70" t="s">
        <x:v>37</x:v>
      </x:c>
      <x:c r="C1123" s="70" t="s">
        <x:v>73</x:v>
      </x:c>
      <x:c r="D1123" s="70" t="s">
        <x:v>432</x:v>
      </x:c>
      <x:c r="E1123" s="70" t="s">
        <x:v>1472</x:v>
      </x:c>
      <x:c r="F1123" s="70"/>
      <x:c r="G1123" s="70" t="s">
        <x:v>2110</x:v>
      </x:c>
      <x:c r="H1123" s="70" t="s">
        <x:v>1204</x:v>
      </x:c>
      <x:c r="I1123" s="70" t="s">
        <x:v>1199</x:v>
      </x:c>
      <x:c r="J1123" s="70" t="n">
        <x:v>127</x:v>
      </x:c>
      <x:c r="K1123" s="70" t="s">
        <x:v>2367</x:v>
      </x:c>
      <x:c r="L1123" s="70"/>
      <x:c r="M1123" s="70" t="s">
        <x:v>40</x:v>
      </x:c>
      <x:c r="N1123" s="71" t="n">
        <x:v>0</x:v>
      </x:c>
      <x:c r="O1123" s="72" t="n">
        <x:f aca="0">N1123/1000</x:f>
        <x:v>0</x:v>
      </x:c>
      <x:c r="P1123" s="73" t="n">
        <x:f aca="0">DGKC!D93</x:f>
        <x:v>0</x:v>
      </x:c>
      <x:c r="Q1123" s="70" t="str">
        <x:f aca="0">IF(ABS(O1123-P1123)&lt;0.000001,"PASS","FAIL")</x:f>
        <x:v>PASS</x:v>
      </x:c>
      <x:c r="R1123" s="70" t="s">
        <x:v>34</x:v>
      </x:c>
      <x:c r="S1123" s="70"/>
    </x:row>
    <x:row r="1124" ht="15" hidden="0">
      <x:c r="A1124" s="70" t="s">
        <x:v>2406</x:v>
      </x:c>
      <x:c r="B1124" s="70" t="s">
        <x:v>37</x:v>
      </x:c>
      <x:c r="C1124" s="70" t="s">
        <x:v>74</x:v>
      </x:c>
      <x:c r="D1124" s="70" t="s">
        <x:v>432</x:v>
      </x:c>
      <x:c r="E1124" s="70" t="s">
        <x:v>1472</x:v>
      </x:c>
      <x:c r="F1124" s="70"/>
      <x:c r="G1124" s="70" t="s">
        <x:v>2113</x:v>
      </x:c>
      <x:c r="H1124" s="70" t="s">
        <x:v>1208</x:v>
      </x:c>
      <x:c r="I1124" s="70" t="s">
        <x:v>1199</x:v>
      </x:c>
      <x:c r="J1124" s="70" t="n">
        <x:v>153</x:v>
      </x:c>
      <x:c r="K1124" s="70" t="s">
        <x:v>2140</x:v>
      </x:c>
      <x:c r="L1124" s="70"/>
      <x:c r="M1124" s="70" t="s">
        <x:v>40</x:v>
      </x:c>
      <x:c r="N1124" s="71" t="n">
        <x:v>0</x:v>
      </x:c>
      <x:c r="O1124" s="72" t="n">
        <x:f aca="0">N1124/1000</x:f>
        <x:v>0</x:v>
      </x:c>
      <x:c r="P1124" s="73" t="n">
        <x:f aca="0">DGKC!E93</x:f>
        <x:v>0</x:v>
      </x:c>
      <x:c r="Q1124" s="70" t="str">
        <x:f aca="0">IF(ABS(O1124-P1124)&lt;0.000001,"PASS","FAIL")</x:f>
        <x:v>PASS</x:v>
      </x:c>
      <x:c r="R1124" s="70" t="s">
        <x:v>34</x:v>
      </x:c>
      <x:c r="S1124" s="70"/>
    </x:row>
    <x:row r="1125" ht="15" hidden="0">
      <x:c r="A1125" s="70" t="s">
        <x:v>2407</x:v>
      </x:c>
      <x:c r="B1125" s="70" t="s">
        <x:v>37</x:v>
      </x:c>
      <x:c r="C1125" s="70" t="s">
        <x:v>75</x:v>
      </x:c>
      <x:c r="D1125" s="70" t="s">
        <x:v>432</x:v>
      </x:c>
      <x:c r="E1125" s="70" t="s">
        <x:v>1472</x:v>
      </x:c>
      <x:c r="F1125" s="70"/>
      <x:c r="G1125" s="70" t="s">
        <x:v>2116</x:v>
      </x:c>
      <x:c r="H1125" s="70" t="s">
        <x:v>1211</x:v>
      </x:c>
      <x:c r="I1125" s="70" t="s">
        <x:v>1199</x:v>
      </x:c>
      <x:c r="J1125" s="70" t="n">
        <x:v>153</x:v>
      </x:c>
      <x:c r="K1125" s="70" t="s">
        <x:v>2140</x:v>
      </x:c>
      <x:c r="L1125" s="70"/>
      <x:c r="M1125" s="70" t="s">
        <x:v>40</x:v>
      </x:c>
      <x:c r="N1125" s="71" t="n">
        <x:v>0</x:v>
      </x:c>
      <x:c r="O1125" s="72" t="n">
        <x:f aca="0">N1125/1000</x:f>
        <x:v>0</x:v>
      </x:c>
      <x:c r="P1125" s="73" t="n">
        <x:f aca="0">DGKC!F93</x:f>
        <x:v>0</x:v>
      </x:c>
      <x:c r="Q1125" s="70" t="str">
        <x:f aca="0">IF(ABS(O1125-P1125)&lt;0.000001,"PASS","FAIL")</x:f>
        <x:v>PASS</x:v>
      </x:c>
      <x:c r="R1125" s="70" t="s">
        <x:v>34</x:v>
      </x:c>
      <x:c r="S1125" s="70"/>
    </x:row>
    <x:row r="1126" ht="15" hidden="0">
      <x:c r="A1126" s="70" t="s">
        <x:v>2408</x:v>
      </x:c>
      <x:c r="B1126" s="70" t="s">
        <x:v>37</x:v>
      </x:c>
      <x:c r="C1126" s="70" t="s">
        <x:v>76</x:v>
      </x:c>
      <x:c r="D1126" s="70" t="s">
        <x:v>432</x:v>
      </x:c>
      <x:c r="E1126" s="70" t="s">
        <x:v>1472</x:v>
      </x:c>
      <x:c r="F1126" s="70"/>
      <x:c r="G1126" s="70" t="s">
        <x:v>2118</x:v>
      </x:c>
      <x:c r="H1126" s="70" t="s">
        <x:v>1215</x:v>
      </x:c>
      <x:c r="I1126" s="70" t="s">
        <x:v>1199</x:v>
      </x:c>
      <x:c r="J1126" s="70" t="n">
        <x:v>155</x:v>
      </x:c>
      <x:c r="K1126" s="70" t="s">
        <x:v>2270</x:v>
      </x:c>
      <x:c r="L1126" s="70"/>
      <x:c r="M1126" s="70" t="s">
        <x:v>40</x:v>
      </x:c>
      <x:c r="N1126" s="71" t="n">
        <x:v>0</x:v>
      </x:c>
      <x:c r="O1126" s="72" t="n">
        <x:f aca="0">N1126/1000</x:f>
        <x:v>0</x:v>
      </x:c>
      <x:c r="P1126" s="73" t="n">
        <x:f aca="0">DGKC!G93</x:f>
        <x:v>0</x:v>
      </x:c>
      <x:c r="Q1126" s="70" t="str">
        <x:f aca="0">IF(ABS(O1126-P1126)&lt;0.000001,"PASS","FAIL")</x:f>
        <x:v>PASS</x:v>
      </x:c>
      <x:c r="R1126" s="70" t="s">
        <x:v>34</x:v>
      </x:c>
      <x:c r="S1126" s="70"/>
    </x:row>
    <x:row r="1127" ht="15" hidden="0">
      <x:c r="A1127" s="70" t="s">
        <x:v>2409</x:v>
      </x:c>
      <x:c r="B1127" s="70" t="s">
        <x:v>37</x:v>
      </x:c>
      <x:c r="C1127" s="70" t="s">
        <x:v>77</x:v>
      </x:c>
      <x:c r="D1127" s="70" t="s">
        <x:v>432</x:v>
      </x:c>
      <x:c r="E1127" s="70" t="s">
        <x:v>1472</x:v>
      </x:c>
      <x:c r="F1127" s="70"/>
      <x:c r="G1127" s="70" t="s">
        <x:v>2118</x:v>
      </x:c>
      <x:c r="H1127" s="70" t="s">
        <x:v>1215</x:v>
      </x:c>
      <x:c r="I1127" s="70" t="s">
        <x:v>1218</x:v>
      </x:c>
      <x:c r="J1127" s="70" t="n">
        <x:v>155</x:v>
      </x:c>
      <x:c r="K1127" s="70" t="s">
        <x:v>2270</x:v>
      </x:c>
      <x:c r="L1127" s="70"/>
      <x:c r="M1127" s="70" t="s">
        <x:v>40</x:v>
      </x:c>
      <x:c r="N1127" s="71" t="n">
        <x:v>0</x:v>
      </x:c>
      <x:c r="O1127" s="72" t="n">
        <x:f aca="0">N1127/1000</x:f>
        <x:v>0</x:v>
      </x:c>
      <x:c r="P1127" s="73" t="n">
        <x:f aca="0">DGKC!H93</x:f>
        <x:v>0</x:v>
      </x:c>
      <x:c r="Q1127" s="70" t="str">
        <x:f aca="0">IF(ABS(O1127-P1127)&lt;0.000001,"PASS","FAIL")</x:f>
        <x:v>PASS</x:v>
      </x:c>
      <x:c r="R1127" s="70" t="s">
        <x:v>34</x:v>
      </x:c>
      <x:c r="S1127" s="70"/>
    </x:row>
    <x:row r="1128" ht="15" hidden="0">
      <x:c r="A1128" s="70" t="s">
        <x:v>2410</x:v>
      </x:c>
      <x:c r="B1128" s="70" t="s">
        <x:v>37</x:v>
      </x:c>
      <x:c r="C1128" s="70" t="s">
        <x:v>73</x:v>
      </x:c>
      <x:c r="D1128" s="70" t="s">
        <x:v>434</x:v>
      </x:c>
      <x:c r="E1128" s="70" t="s">
        <x:v>1472</x:v>
      </x:c>
      <x:c r="F1128" s="70"/>
      <x:c r="G1128" s="70" t="s">
        <x:v>2110</x:v>
      </x:c>
      <x:c r="H1128" s="70" t="s">
        <x:v>1204</x:v>
      </x:c>
      <x:c r="I1128" s="70" t="s">
        <x:v>1199</x:v>
      </x:c>
      <x:c r="J1128" s="70" t="n">
        <x:v>127</x:v>
      </x:c>
      <x:c r="K1128" s="70" t="s">
        <x:v>2367</x:v>
      </x:c>
      <x:c r="L1128" s="70"/>
      <x:c r="M1128" s="70" t="s">
        <x:v>40</x:v>
      </x:c>
      <x:c r="N1128" s="71" t="n">
        <x:v>0</x:v>
      </x:c>
      <x:c r="O1128" s="72" t="n">
        <x:f aca="0">N1128/1000</x:f>
        <x:v>0</x:v>
      </x:c>
      <x:c r="P1128" s="73" t="n">
        <x:f aca="0">DGKC!D94</x:f>
        <x:v>0</x:v>
      </x:c>
      <x:c r="Q1128" s="70" t="str">
        <x:f aca="0">IF(ABS(O1128-P1128)&lt;0.000001,"PASS","FAIL")</x:f>
        <x:v>PASS</x:v>
      </x:c>
      <x:c r="R1128" s="70" t="s">
        <x:v>34</x:v>
      </x:c>
      <x:c r="S1128" s="70"/>
    </x:row>
    <x:row r="1129" ht="15" hidden="0">
      <x:c r="A1129" s="70" t="s">
        <x:v>2411</x:v>
      </x:c>
      <x:c r="B1129" s="70" t="s">
        <x:v>37</x:v>
      </x:c>
      <x:c r="C1129" s="70" t="s">
        <x:v>74</x:v>
      </x:c>
      <x:c r="D1129" s="70" t="s">
        <x:v>434</x:v>
      </x:c>
      <x:c r="E1129" s="70" t="s">
        <x:v>1472</x:v>
      </x:c>
      <x:c r="F1129" s="70"/>
      <x:c r="G1129" s="70" t="s">
        <x:v>2113</x:v>
      </x:c>
      <x:c r="H1129" s="70" t="s">
        <x:v>1208</x:v>
      </x:c>
      <x:c r="I1129" s="70" t="s">
        <x:v>1199</x:v>
      </x:c>
      <x:c r="J1129" s="70" t="n">
        <x:v>153</x:v>
      </x:c>
      <x:c r="K1129" s="70" t="s">
        <x:v>2140</x:v>
      </x:c>
      <x:c r="L1129" s="70"/>
      <x:c r="M1129" s="70" t="s">
        <x:v>40</x:v>
      </x:c>
      <x:c r="N1129" s="71" t="n">
        <x:v>0</x:v>
      </x:c>
      <x:c r="O1129" s="72" t="n">
        <x:f aca="0">N1129/1000</x:f>
        <x:v>0</x:v>
      </x:c>
      <x:c r="P1129" s="73" t="n">
        <x:f aca="0">DGKC!E94</x:f>
        <x:v>0</x:v>
      </x:c>
      <x:c r="Q1129" s="70" t="str">
        <x:f aca="0">IF(ABS(O1129-P1129)&lt;0.000001,"PASS","FAIL")</x:f>
        <x:v>PASS</x:v>
      </x:c>
      <x:c r="R1129" s="70" t="s">
        <x:v>34</x:v>
      </x:c>
      <x:c r="S1129" s="70"/>
    </x:row>
    <x:row r="1130" ht="15" hidden="0">
      <x:c r="A1130" s="70" t="s">
        <x:v>2412</x:v>
      </x:c>
      <x:c r="B1130" s="70" t="s">
        <x:v>37</x:v>
      </x:c>
      <x:c r="C1130" s="70" t="s">
        <x:v>75</x:v>
      </x:c>
      <x:c r="D1130" s="70" t="s">
        <x:v>434</x:v>
      </x:c>
      <x:c r="E1130" s="70" t="s">
        <x:v>1472</x:v>
      </x:c>
      <x:c r="F1130" s="70"/>
      <x:c r="G1130" s="70" t="s">
        <x:v>2116</x:v>
      </x:c>
      <x:c r="H1130" s="70" t="s">
        <x:v>1211</x:v>
      </x:c>
      <x:c r="I1130" s="70" t="s">
        <x:v>1199</x:v>
      </x:c>
      <x:c r="J1130" s="70" t="n">
        <x:v>153</x:v>
      </x:c>
      <x:c r="K1130" s="70" t="s">
        <x:v>2140</x:v>
      </x:c>
      <x:c r="L1130" s="70"/>
      <x:c r="M1130" s="70" t="s">
        <x:v>40</x:v>
      </x:c>
      <x:c r="N1130" s="71" t="n">
        <x:v>0</x:v>
      </x:c>
      <x:c r="O1130" s="72" t="n">
        <x:f aca="0">N1130/1000</x:f>
        <x:v>0</x:v>
      </x:c>
      <x:c r="P1130" s="73" t="n">
        <x:f aca="0">DGKC!F94</x:f>
        <x:v>0</x:v>
      </x:c>
      <x:c r="Q1130" s="70" t="str">
        <x:f aca="0">IF(ABS(O1130-P1130)&lt;0.000001,"PASS","FAIL")</x:f>
        <x:v>PASS</x:v>
      </x:c>
      <x:c r="R1130" s="70" t="s">
        <x:v>34</x:v>
      </x:c>
      <x:c r="S1130" s="70"/>
    </x:row>
    <x:row r="1131" ht="15" hidden="0">
      <x:c r="A1131" s="70" t="s">
        <x:v>2413</x:v>
      </x:c>
      <x:c r="B1131" s="70" t="s">
        <x:v>37</x:v>
      </x:c>
      <x:c r="C1131" s="70" t="s">
        <x:v>76</x:v>
      </x:c>
      <x:c r="D1131" s="70" t="s">
        <x:v>434</x:v>
      </x:c>
      <x:c r="E1131" s="70" t="s">
        <x:v>1472</x:v>
      </x:c>
      <x:c r="F1131" s="70"/>
      <x:c r="G1131" s="70" t="s">
        <x:v>2118</x:v>
      </x:c>
      <x:c r="H1131" s="70" t="s">
        <x:v>1215</x:v>
      </x:c>
      <x:c r="I1131" s="70" t="s">
        <x:v>1199</x:v>
      </x:c>
      <x:c r="J1131" s="70" t="n">
        <x:v>155</x:v>
      </x:c>
      <x:c r="K1131" s="70" t="s">
        <x:v>2270</x:v>
      </x:c>
      <x:c r="L1131" s="70"/>
      <x:c r="M1131" s="70" t="s">
        <x:v>40</x:v>
      </x:c>
      <x:c r="N1131" s="71" t="n">
        <x:v>0</x:v>
      </x:c>
      <x:c r="O1131" s="72" t="n">
        <x:f aca="0">N1131/1000</x:f>
        <x:v>0</x:v>
      </x:c>
      <x:c r="P1131" s="73" t="n">
        <x:f aca="0">DGKC!G94</x:f>
        <x:v>0</x:v>
      </x:c>
      <x:c r="Q1131" s="70" t="str">
        <x:f aca="0">IF(ABS(O1131-P1131)&lt;0.000001,"PASS","FAIL")</x:f>
        <x:v>PASS</x:v>
      </x:c>
      <x:c r="R1131" s="70" t="s">
        <x:v>34</x:v>
      </x:c>
      <x:c r="S1131" s="70"/>
    </x:row>
    <x:row r="1132" ht="15" hidden="0">
      <x:c r="A1132" s="70" t="s">
        <x:v>2414</x:v>
      </x:c>
      <x:c r="B1132" s="70" t="s">
        <x:v>37</x:v>
      </x:c>
      <x:c r="C1132" s="70" t="s">
        <x:v>77</x:v>
      </x:c>
      <x:c r="D1132" s="70" t="s">
        <x:v>434</x:v>
      </x:c>
      <x:c r="E1132" s="70" t="s">
        <x:v>1472</x:v>
      </x:c>
      <x:c r="F1132" s="70"/>
      <x:c r="G1132" s="70" t="s">
        <x:v>2118</x:v>
      </x:c>
      <x:c r="H1132" s="70" t="s">
        <x:v>1215</x:v>
      </x:c>
      <x:c r="I1132" s="70" t="s">
        <x:v>1218</x:v>
      </x:c>
      <x:c r="J1132" s="70" t="n">
        <x:v>155</x:v>
      </x:c>
      <x:c r="K1132" s="70" t="s">
        <x:v>2270</x:v>
      </x:c>
      <x:c r="L1132" s="70"/>
      <x:c r="M1132" s="70" t="s">
        <x:v>40</x:v>
      </x:c>
      <x:c r="N1132" s="71" t="n">
        <x:v>0</x:v>
      </x:c>
      <x:c r="O1132" s="72" t="n">
        <x:f aca="0">N1132/1000</x:f>
        <x:v>0</x:v>
      </x:c>
      <x:c r="P1132" s="73" t="n">
        <x:f aca="0">DGKC!H94</x:f>
        <x:v>0</x:v>
      </x:c>
      <x:c r="Q1132" s="70" t="str">
        <x:f aca="0">IF(ABS(O1132-P1132)&lt;0.000001,"PASS","FAIL")</x:f>
        <x:v>PASS</x:v>
      </x:c>
      <x:c r="R1132" s="70" t="s">
        <x:v>34</x:v>
      </x:c>
      <x:c r="S1132" s="70"/>
    </x:row>
    <x:row r="1133" ht="15" hidden="0">
      <x:c r="A1133" s="70" t="s">
        <x:v>2415</x:v>
      </x:c>
      <x:c r="B1133" s="70" t="s">
        <x:v>37</x:v>
      </x:c>
      <x:c r="C1133" s="70" t="s">
        <x:v>73</x:v>
      </x:c>
      <x:c r="D1133" s="70" t="s">
        <x:v>436</x:v>
      </x:c>
      <x:c r="E1133" s="70" t="s">
        <x:v>1472</x:v>
      </x:c>
      <x:c r="F1133" s="70" t="s">
        <x:v>436</x:v>
      </x:c>
      <x:c r="G1133" s="70" t="s">
        <x:v>2110</x:v>
      </x:c>
      <x:c r="H1133" s="70" t="s">
        <x:v>1204</x:v>
      </x:c>
      <x:c r="I1133" s="70" t="s">
        <x:v>1199</x:v>
      </x:c>
      <x:c r="J1133" s="70" t="n">
        <x:v>127</x:v>
      </x:c>
      <x:c r="K1133" s="70" t="s">
        <x:v>2367</x:v>
      </x:c>
      <x:c r="L1133" s="70"/>
      <x:c r="M1133" s="70" t="s">
        <x:v>40</x:v>
      </x:c>
      <x:c r="N1133" s="71" t="n">
        <x:v>-2920875</x:v>
      </x:c>
      <x:c r="O1133" s="72" t="n">
        <x:f aca="0">N1133/1000</x:f>
        <x:v>-2920.875</x:v>
      </x:c>
      <x:c r="P1133" s="73" t="n">
        <x:f aca="0">DGKC!D95</x:f>
        <x:v>-2920.875</x:v>
      </x:c>
      <x:c r="Q1133" s="70" t="str">
        <x:f aca="0">IF(ABS(O1133-P1133)&lt;0.000001,"PASS","FAIL")</x:f>
        <x:v>PASS</x:v>
      </x:c>
      <x:c r="R1133" s="70" t="s">
        <x:v>34</x:v>
      </x:c>
      <x:c r="S1133" s="70"/>
    </x:row>
    <x:row r="1134" ht="15" hidden="0">
      <x:c r="A1134" s="70" t="s">
        <x:v>2416</x:v>
      </x:c>
      <x:c r="B1134" s="70" t="s">
        <x:v>37</x:v>
      </x:c>
      <x:c r="C1134" s="70" t="s">
        <x:v>74</x:v>
      </x:c>
      <x:c r="D1134" s="70" t="s">
        <x:v>436</x:v>
      </x:c>
      <x:c r="E1134" s="70" t="s">
        <x:v>1472</x:v>
      </x:c>
      <x:c r="F1134" s="70" t="s">
        <x:v>436</x:v>
      </x:c>
      <x:c r="G1134" s="70" t="s">
        <x:v>2113</x:v>
      </x:c>
      <x:c r="H1134" s="70" t="s">
        <x:v>1208</x:v>
      </x:c>
      <x:c r="I1134" s="70" t="s">
        <x:v>1199</x:v>
      </x:c>
      <x:c r="J1134" s="70" t="n">
        <x:v>153</x:v>
      </x:c>
      <x:c r="K1134" s="70" t="s">
        <x:v>2140</x:v>
      </x:c>
      <x:c r="L1134" s="70"/>
      <x:c r="M1134" s="70" t="s">
        <x:v>40</x:v>
      </x:c>
      <x:c r="N1134" s="71" t="n">
        <x:v>-3571187</x:v>
      </x:c>
      <x:c r="O1134" s="72" t="n">
        <x:f aca="0">N1134/1000</x:f>
        <x:v>-3571.187</x:v>
      </x:c>
      <x:c r="P1134" s="73" t="n">
        <x:f aca="0">DGKC!E95</x:f>
        <x:v>-3571.187</x:v>
      </x:c>
      <x:c r="Q1134" s="70" t="str">
        <x:f aca="0">IF(ABS(O1134-P1134)&lt;0.000001,"PASS","FAIL")</x:f>
        <x:v>PASS</x:v>
      </x:c>
      <x:c r="R1134" s="70" t="s">
        <x:v>34</x:v>
      </x:c>
      <x:c r="S1134" s="70"/>
    </x:row>
    <x:row r="1135" ht="15" hidden="0">
      <x:c r="A1135" s="70" t="s">
        <x:v>2417</x:v>
      </x:c>
      <x:c r="B1135" s="70" t="s">
        <x:v>37</x:v>
      </x:c>
      <x:c r="C1135" s="70" t="s">
        <x:v>75</x:v>
      </x:c>
      <x:c r="D1135" s="70" t="s">
        <x:v>436</x:v>
      </x:c>
      <x:c r="E1135" s="70" t="s">
        <x:v>1472</x:v>
      </x:c>
      <x:c r="F1135" s="70" t="s">
        <x:v>436</x:v>
      </x:c>
      <x:c r="G1135" s="70" t="s">
        <x:v>2116</x:v>
      </x:c>
      <x:c r="H1135" s="70" t="s">
        <x:v>1211</x:v>
      </x:c>
      <x:c r="I1135" s="70" t="s">
        <x:v>1199</x:v>
      </x:c>
      <x:c r="J1135" s="70" t="n">
        <x:v>153</x:v>
      </x:c>
      <x:c r="K1135" s="70" t="s">
        <x:v>2140</x:v>
      </x:c>
      <x:c r="L1135" s="70"/>
      <x:c r="M1135" s="70" t="s">
        <x:v>40</x:v>
      </x:c>
      <x:c r="N1135" s="71" t="n">
        <x:v>-6742292</x:v>
      </x:c>
      <x:c r="O1135" s="72" t="n">
        <x:f aca="0">N1135/1000</x:f>
        <x:v>-6742.292</x:v>
      </x:c>
      <x:c r="P1135" s="73" t="n">
        <x:f aca="0">DGKC!F95</x:f>
        <x:v>-6742.292</x:v>
      </x:c>
      <x:c r="Q1135" s="70" t="str">
        <x:f aca="0">IF(ABS(O1135-P1135)&lt;0.000001,"PASS","FAIL")</x:f>
        <x:v>PASS</x:v>
      </x:c>
      <x:c r="R1135" s="70" t="s">
        <x:v>34</x:v>
      </x:c>
      <x:c r="S1135" s="70"/>
    </x:row>
    <x:row r="1136" ht="15" hidden="0">
      <x:c r="A1136" s="70" t="s">
        <x:v>2418</x:v>
      </x:c>
      <x:c r="B1136" s="70" t="s">
        <x:v>37</x:v>
      </x:c>
      <x:c r="C1136" s="70" t="s">
        <x:v>76</x:v>
      </x:c>
      <x:c r="D1136" s="70" t="s">
        <x:v>436</x:v>
      </x:c>
      <x:c r="E1136" s="70" t="s">
        <x:v>1472</x:v>
      </x:c>
      <x:c r="F1136" s="70" t="s">
        <x:v>436</x:v>
      </x:c>
      <x:c r="G1136" s="70" t="s">
        <x:v>2118</x:v>
      </x:c>
      <x:c r="H1136" s="70" t="s">
        <x:v>1215</x:v>
      </x:c>
      <x:c r="I1136" s="70" t="s">
        <x:v>1199</x:v>
      </x:c>
      <x:c r="J1136" s="70" t="n">
        <x:v>155</x:v>
      </x:c>
      <x:c r="K1136" s="70" t="s">
        <x:v>2270</x:v>
      </x:c>
      <x:c r="L1136" s="70"/>
      <x:c r="M1136" s="70" t="s">
        <x:v>40</x:v>
      </x:c>
      <x:c r="N1136" s="71" t="n">
        <x:v>-8001105</x:v>
      </x:c>
      <x:c r="O1136" s="72" t="n">
        <x:f aca="0">N1136/1000</x:f>
        <x:v>-8001.105</x:v>
      </x:c>
      <x:c r="P1136" s="73" t="n">
        <x:f aca="0">DGKC!G95</x:f>
        <x:v>-8001.105</x:v>
      </x:c>
      <x:c r="Q1136" s="70" t="str">
        <x:f aca="0">IF(ABS(O1136-P1136)&lt;0.000001,"PASS","FAIL")</x:f>
        <x:v>PASS</x:v>
      </x:c>
      <x:c r="R1136" s="70" t="s">
        <x:v>34</x:v>
      </x:c>
      <x:c r="S1136" s="70"/>
    </x:row>
    <x:row r="1137" ht="15" hidden="0">
      <x:c r="A1137" s="70" t="s">
        <x:v>2419</x:v>
      </x:c>
      <x:c r="B1137" s="70" t="s">
        <x:v>37</x:v>
      </x:c>
      <x:c r="C1137" s="70" t="s">
        <x:v>77</x:v>
      </x:c>
      <x:c r="D1137" s="70" t="s">
        <x:v>436</x:v>
      </x:c>
      <x:c r="E1137" s="70" t="s">
        <x:v>1472</x:v>
      </x:c>
      <x:c r="F1137" s="70" t="s">
        <x:v>436</x:v>
      </x:c>
      <x:c r="G1137" s="70" t="s">
        <x:v>2118</x:v>
      </x:c>
      <x:c r="H1137" s="70" t="s">
        <x:v>1215</x:v>
      </x:c>
      <x:c r="I1137" s="70" t="s">
        <x:v>1218</x:v>
      </x:c>
      <x:c r="J1137" s="70" t="n">
        <x:v>155</x:v>
      </x:c>
      <x:c r="K1137" s="70" t="s">
        <x:v>2270</x:v>
      </x:c>
      <x:c r="L1137" s="70"/>
      <x:c r="M1137" s="70" t="s">
        <x:v>40</x:v>
      </x:c>
      <x:c r="N1137" s="71" t="n">
        <x:v>-3870405</x:v>
      </x:c>
      <x:c r="O1137" s="72" t="n">
        <x:f aca="0">N1137/1000</x:f>
        <x:v>-3870.405</x:v>
      </x:c>
      <x:c r="P1137" s="73" t="n">
        <x:f aca="0">DGKC!H95</x:f>
        <x:v>-3870.405</x:v>
      </x:c>
      <x:c r="Q1137" s="70" t="str">
        <x:f aca="0">IF(ABS(O1137-P1137)&lt;0.000001,"PASS","FAIL")</x:f>
        <x:v>PASS</x:v>
      </x:c>
      <x:c r="R1137" s="70" t="s">
        <x:v>34</x:v>
      </x:c>
      <x:c r="S1137" s="70"/>
    </x:row>
    <x:row r="1138" ht="15" hidden="0">
      <x:c r="A1138" s="70" t="s">
        <x:v>2420</x:v>
      </x:c>
      <x:c r="B1138" s="70" t="s">
        <x:v>37</x:v>
      </x:c>
      <x:c r="C1138" s="70" t="s">
        <x:v>73</x:v>
      </x:c>
      <x:c r="D1138" s="70" t="s">
        <x:v>440</x:v>
      </x:c>
      <x:c r="E1138" s="70" t="s">
        <x:v>1472</x:v>
      </x:c>
      <x:c r="F1138" s="70"/>
      <x:c r="G1138" s="70" t="s">
        <x:v>2110</x:v>
      </x:c>
      <x:c r="H1138" s="70" t="s">
        <x:v>1204</x:v>
      </x:c>
      <x:c r="I1138" s="70" t="s">
        <x:v>1199</x:v>
      </x:c>
      <x:c r="J1138" s="70" t="n">
        <x:v>127</x:v>
      </x:c>
      <x:c r="K1138" s="70" t="s">
        <x:v>2367</x:v>
      </x:c>
      <x:c r="L1138" s="70"/>
      <x:c r="M1138" s="70" t="s">
        <x:v>40</x:v>
      </x:c>
      <x:c r="N1138" s="71" t="n">
        <x:v>0</x:v>
      </x:c>
      <x:c r="O1138" s="72" t="n">
        <x:f aca="0">N1138/1000</x:f>
        <x:v>0</x:v>
      </x:c>
      <x:c r="P1138" s="73" t="n">
        <x:f aca="0">DGKC!D97</x:f>
        <x:v>0</x:v>
      </x:c>
      <x:c r="Q1138" s="70" t="str">
        <x:f aca="0">IF(ABS(O1138-P1138)&lt;0.000001,"PASS","FAIL")</x:f>
        <x:v>PASS</x:v>
      </x:c>
      <x:c r="R1138" s="70" t="s">
        <x:v>34</x:v>
      </x:c>
      <x:c r="S1138" s="70"/>
    </x:row>
    <x:row r="1139" ht="15" hidden="0">
      <x:c r="A1139" s="70" t="s">
        <x:v>2421</x:v>
      </x:c>
      <x:c r="B1139" s="70" t="s">
        <x:v>37</x:v>
      </x:c>
      <x:c r="C1139" s="70" t="s">
        <x:v>74</x:v>
      </x:c>
      <x:c r="D1139" s="70" t="s">
        <x:v>440</x:v>
      </x:c>
      <x:c r="E1139" s="70" t="s">
        <x:v>1472</x:v>
      </x:c>
      <x:c r="F1139" s="70"/>
      <x:c r="G1139" s="70" t="s">
        <x:v>2113</x:v>
      </x:c>
      <x:c r="H1139" s="70" t="s">
        <x:v>1208</x:v>
      </x:c>
      <x:c r="I1139" s="70" t="s">
        <x:v>1199</x:v>
      </x:c>
      <x:c r="J1139" s="70" t="n">
        <x:v>153</x:v>
      </x:c>
      <x:c r="K1139" s="70" t="s">
        <x:v>2140</x:v>
      </x:c>
      <x:c r="L1139" s="70"/>
      <x:c r="M1139" s="70" t="s">
        <x:v>40</x:v>
      </x:c>
      <x:c r="N1139" s="71" t="n">
        <x:v>0</x:v>
      </x:c>
      <x:c r="O1139" s="72" t="n">
        <x:f aca="0">N1139/1000</x:f>
        <x:v>0</x:v>
      </x:c>
      <x:c r="P1139" s="73" t="n">
        <x:f aca="0">DGKC!E97</x:f>
        <x:v>0</x:v>
      </x:c>
      <x:c r="Q1139" s="70" t="str">
        <x:f aca="0">IF(ABS(O1139-P1139)&lt;0.000001,"PASS","FAIL")</x:f>
        <x:v>PASS</x:v>
      </x:c>
      <x:c r="R1139" s="70" t="s">
        <x:v>34</x:v>
      </x:c>
      <x:c r="S1139" s="70"/>
    </x:row>
    <x:row r="1140" ht="15" hidden="0">
      <x:c r="A1140" s="70" t="s">
        <x:v>2422</x:v>
      </x:c>
      <x:c r="B1140" s="70" t="s">
        <x:v>37</x:v>
      </x:c>
      <x:c r="C1140" s="70" t="s">
        <x:v>75</x:v>
      </x:c>
      <x:c r="D1140" s="70" t="s">
        <x:v>440</x:v>
      </x:c>
      <x:c r="E1140" s="70" t="s">
        <x:v>1472</x:v>
      </x:c>
      <x:c r="F1140" s="70" t="s">
        <x:v>1979</x:v>
      </x:c>
      <x:c r="G1140" s="70" t="s">
        <x:v>2116</x:v>
      </x:c>
      <x:c r="H1140" s="70" t="s">
        <x:v>1211</x:v>
      </x:c>
      <x:c r="I1140" s="70" t="s">
        <x:v>1199</x:v>
      </x:c>
      <x:c r="J1140" s="70" t="n">
        <x:v>153</x:v>
      </x:c>
      <x:c r="K1140" s="70" t="s">
        <x:v>2140</x:v>
      </x:c>
      <x:c r="L1140" s="70"/>
      <x:c r="M1140" s="70" t="s">
        <x:v>40</x:v>
      </x:c>
      <x:c r="N1140" s="71" t="n">
        <x:v>-364054</x:v>
      </x:c>
      <x:c r="O1140" s="72" t="n">
        <x:f aca="0">N1140/1000</x:f>
        <x:v>-364.054</x:v>
      </x:c>
      <x:c r="P1140" s="73" t="n">
        <x:f aca="0">DGKC!F97</x:f>
        <x:v>-364.054</x:v>
      </x:c>
      <x:c r="Q1140" s="70" t="str">
        <x:f aca="0">IF(ABS(O1140-P1140)&lt;0.000001,"PASS","FAIL")</x:f>
        <x:v>PASS</x:v>
      </x:c>
      <x:c r="R1140" s="70" t="s">
        <x:v>34</x:v>
      </x:c>
      <x:c r="S1140" s="70"/>
    </x:row>
    <x:row r="1141" ht="15" hidden="0">
      <x:c r="A1141" s="70" t="s">
        <x:v>2423</x:v>
      </x:c>
      <x:c r="B1141" s="70" t="s">
        <x:v>37</x:v>
      </x:c>
      <x:c r="C1141" s="70" t="s">
        <x:v>76</x:v>
      </x:c>
      <x:c r="D1141" s="70" t="s">
        <x:v>440</x:v>
      </x:c>
      <x:c r="E1141" s="70" t="s">
        <x:v>1472</x:v>
      </x:c>
      <x:c r="F1141" s="70" t="s">
        <x:v>1979</x:v>
      </x:c>
      <x:c r="G1141" s="70" t="s">
        <x:v>2118</x:v>
      </x:c>
      <x:c r="H1141" s="70" t="s">
        <x:v>1215</x:v>
      </x:c>
      <x:c r="I1141" s="70" t="s">
        <x:v>1199</x:v>
      </x:c>
      <x:c r="J1141" s="70" t="n">
        <x:v>155</x:v>
      </x:c>
      <x:c r="K1141" s="70" t="s">
        <x:v>2270</x:v>
      </x:c>
      <x:c r="L1141" s="70"/>
      <x:c r="M1141" s="70" t="s">
        <x:v>40</x:v>
      </x:c>
      <x:c r="N1141" s="71" t="n">
        <x:v>-520848</x:v>
      </x:c>
      <x:c r="O1141" s="72" t="n">
        <x:f aca="0">N1141/1000</x:f>
        <x:v>-520.848</x:v>
      </x:c>
      <x:c r="P1141" s="73" t="n">
        <x:f aca="0">DGKC!G97</x:f>
        <x:v>-520.848</x:v>
      </x:c>
      <x:c r="Q1141" s="70" t="str">
        <x:f aca="0">IF(ABS(O1141-P1141)&lt;0.000001,"PASS","FAIL")</x:f>
        <x:v>PASS</x:v>
      </x:c>
      <x:c r="R1141" s="70" t="s">
        <x:v>34</x:v>
      </x:c>
      <x:c r="S1141" s="70"/>
    </x:row>
    <x:row r="1142" ht="15" hidden="0">
      <x:c r="A1142" s="70" t="s">
        <x:v>2424</x:v>
      </x:c>
      <x:c r="B1142" s="70" t="s">
        <x:v>37</x:v>
      </x:c>
      <x:c r="C1142" s="70" t="s">
        <x:v>77</x:v>
      </x:c>
      <x:c r="D1142" s="70" t="s">
        <x:v>440</x:v>
      </x:c>
      <x:c r="E1142" s="70" t="s">
        <x:v>1472</x:v>
      </x:c>
      <x:c r="F1142" s="70" t="s">
        <x:v>1979</x:v>
      </x:c>
      <x:c r="G1142" s="70" t="s">
        <x:v>2118</x:v>
      </x:c>
      <x:c r="H1142" s="70" t="s">
        <x:v>1215</x:v>
      </x:c>
      <x:c r="I1142" s="70" t="s">
        <x:v>1218</x:v>
      </x:c>
      <x:c r="J1142" s="70" t="n">
        <x:v>155</x:v>
      </x:c>
      <x:c r="K1142" s="70" t="s">
        <x:v>2270</x:v>
      </x:c>
      <x:c r="L1142" s="70"/>
      <x:c r="M1142" s="70" t="s">
        <x:v>40</x:v>
      </x:c>
      <x:c r="N1142" s="71" t="n">
        <x:v>-577125</x:v>
      </x:c>
      <x:c r="O1142" s="72" t="n">
        <x:f aca="0">N1142/1000</x:f>
        <x:v>-577.125</x:v>
      </x:c>
      <x:c r="P1142" s="73" t="n">
        <x:f aca="0">DGKC!H97</x:f>
        <x:v>-577.125</x:v>
      </x:c>
      <x:c r="Q1142" s="70" t="str">
        <x:f aca="0">IF(ABS(O1142-P1142)&lt;0.000001,"PASS","FAIL")</x:f>
        <x:v>PASS</x:v>
      </x:c>
      <x:c r="R1142" s="70" t="s">
        <x:v>34</x:v>
      </x:c>
      <x:c r="S1142" s="70"/>
    </x:row>
    <x:row r="1143" ht="15" hidden="0">
      <x:c r="A1143" s="70" t="s">
        <x:v>2425</x:v>
      </x:c>
      <x:c r="B1143" s="70" t="s">
        <x:v>37</x:v>
      </x:c>
      <x:c r="C1143" s="70" t="s">
        <x:v>73</x:v>
      </x:c>
      <x:c r="D1143" s="70" t="s">
        <x:v>442</x:v>
      </x:c>
      <x:c r="E1143" s="70" t="s">
        <x:v>1472</x:v>
      </x:c>
      <x:c r="F1143" s="70" t="s">
        <x:v>1534</x:v>
      </x:c>
      <x:c r="G1143" s="70" t="s">
        <x:v>2110</x:v>
      </x:c>
      <x:c r="H1143" s="70" t="s">
        <x:v>1204</x:v>
      </x:c>
      <x:c r="I1143" s="70" t="s">
        <x:v>1199</x:v>
      </x:c>
      <x:c r="J1143" s="70" t="n">
        <x:v>127</x:v>
      </x:c>
      <x:c r="K1143" s="70" t="s">
        <x:v>2367</x:v>
      </x:c>
      <x:c r="L1143" s="70"/>
      <x:c r="M1143" s="70" t="s">
        <x:v>40</x:v>
      </x:c>
      <x:c r="N1143" s="71" t="n">
        <x:v>-1050132</x:v>
      </x:c>
      <x:c r="O1143" s="72" t="n">
        <x:f aca="0">N1143/1000</x:f>
        <x:v>-1050.132</x:v>
      </x:c>
      <x:c r="P1143" s="73" t="n">
        <x:f aca="0">DGKC!D98</x:f>
        <x:v>-1050.132</x:v>
      </x:c>
      <x:c r="Q1143" s="70" t="str">
        <x:f aca="0">IF(ABS(O1143-P1143)&lt;0.000001,"PASS","FAIL")</x:f>
        <x:v>PASS</x:v>
      </x:c>
      <x:c r="R1143" s="70" t="s">
        <x:v>34</x:v>
      </x:c>
      <x:c r="S1143" s="70"/>
    </x:row>
    <x:row r="1144" ht="15" hidden="0">
      <x:c r="A1144" s="70" t="s">
        <x:v>2426</x:v>
      </x:c>
      <x:c r="B1144" s="70" t="s">
        <x:v>37</x:v>
      </x:c>
      <x:c r="C1144" s="70" t="s">
        <x:v>74</x:v>
      </x:c>
      <x:c r="D1144" s="70" t="s">
        <x:v>442</x:v>
      </x:c>
      <x:c r="E1144" s="70" t="s">
        <x:v>1472</x:v>
      </x:c>
      <x:c r="F1144" s="70" t="s">
        <x:v>1534</x:v>
      </x:c>
      <x:c r="G1144" s="70" t="s">
        <x:v>2113</x:v>
      </x:c>
      <x:c r="H1144" s="70" t="s">
        <x:v>1208</x:v>
      </x:c>
      <x:c r="I1144" s="70" t="s">
        <x:v>1199</x:v>
      </x:c>
      <x:c r="J1144" s="70" t="n">
        <x:v>153</x:v>
      </x:c>
      <x:c r="K1144" s="70" t="s">
        <x:v>2140</x:v>
      </x:c>
      <x:c r="L1144" s="70"/>
      <x:c r="M1144" s="70" t="s">
        <x:v>40</x:v>
      </x:c>
      <x:c r="N1144" s="71" t="n">
        <x:v>-3047629</x:v>
      </x:c>
      <x:c r="O1144" s="72" t="n">
        <x:f aca="0">N1144/1000</x:f>
        <x:v>-3047.629</x:v>
      </x:c>
      <x:c r="P1144" s="73" t="n">
        <x:f aca="0">DGKC!E98</x:f>
        <x:v>-3047.629</x:v>
      </x:c>
      <x:c r="Q1144" s="70" t="str">
        <x:f aca="0">IF(ABS(O1144-P1144)&lt;0.000001,"PASS","FAIL")</x:f>
        <x:v>PASS</x:v>
      </x:c>
      <x:c r="R1144" s="70" t="s">
        <x:v>34</x:v>
      </x:c>
      <x:c r="S1144" s="70"/>
    </x:row>
    <x:row r="1145" ht="15" hidden="0">
      <x:c r="A1145" s="70" t="s">
        <x:v>2427</x:v>
      </x:c>
      <x:c r="B1145" s="70" t="s">
        <x:v>37</x:v>
      </x:c>
      <x:c r="C1145" s="70" t="s">
        <x:v>75</x:v>
      </x:c>
      <x:c r="D1145" s="70" t="s">
        <x:v>442</x:v>
      </x:c>
      <x:c r="E1145" s="70" t="s">
        <x:v>1472</x:v>
      </x:c>
      <x:c r="F1145" s="70" t="s">
        <x:v>1534</x:v>
      </x:c>
      <x:c r="G1145" s="70" t="s">
        <x:v>2116</x:v>
      </x:c>
      <x:c r="H1145" s="70" t="s">
        <x:v>1211</x:v>
      </x:c>
      <x:c r="I1145" s="70" t="s">
        <x:v>1199</x:v>
      </x:c>
      <x:c r="J1145" s="70" t="n">
        <x:v>153</x:v>
      </x:c>
      <x:c r="K1145" s="70" t="s">
        <x:v>2140</x:v>
      </x:c>
      <x:c r="L1145" s="70"/>
      <x:c r="M1145" s="70" t="s">
        <x:v>40</x:v>
      </x:c>
      <x:c r="N1145" s="71" t="n">
        <x:v>-6434465</x:v>
      </x:c>
      <x:c r="O1145" s="72" t="n">
        <x:f aca="0">N1145/1000</x:f>
        <x:v>-6434.465</x:v>
      </x:c>
      <x:c r="P1145" s="73" t="n">
        <x:f aca="0">DGKC!F98</x:f>
        <x:v>-6434.465</x:v>
      </x:c>
      <x:c r="Q1145" s="70" t="str">
        <x:f aca="0">IF(ABS(O1145-P1145)&lt;0.000001,"PASS","FAIL")</x:f>
        <x:v>PASS</x:v>
      </x:c>
      <x:c r="R1145" s="70" t="s">
        <x:v>34</x:v>
      </x:c>
      <x:c r="S1145" s="70" t="s">
        <x:v>1205</x:v>
      </x:c>
    </x:row>
    <x:row r="1146" ht="15" hidden="0">
      <x:c r="A1146" s="70" t="s">
        <x:v>2428</x:v>
      </x:c>
      <x:c r="B1146" s="70" t="s">
        <x:v>37</x:v>
      </x:c>
      <x:c r="C1146" s="70" t="s">
        <x:v>76</x:v>
      </x:c>
      <x:c r="D1146" s="70" t="s">
        <x:v>442</x:v>
      </x:c>
      <x:c r="E1146" s="70" t="s">
        <x:v>1472</x:v>
      </x:c>
      <x:c r="F1146" s="70" t="s">
        <x:v>442</x:v>
      </x:c>
      <x:c r="G1146" s="70" t="s">
        <x:v>2118</x:v>
      </x:c>
      <x:c r="H1146" s="70" t="s">
        <x:v>1215</x:v>
      </x:c>
      <x:c r="I1146" s="70" t="s">
        <x:v>1199</x:v>
      </x:c>
      <x:c r="J1146" s="70" t="n">
        <x:v>155</x:v>
      </x:c>
      <x:c r="K1146" s="70" t="s">
        <x:v>2270</x:v>
      </x:c>
      <x:c r="L1146" s="70"/>
      <x:c r="M1146" s="70" t="s">
        <x:v>40</x:v>
      </x:c>
      <x:c r="N1146" s="71" t="n">
        <x:v>-1775666</x:v>
      </x:c>
      <x:c r="O1146" s="72" t="n">
        <x:f aca="0">N1146/1000</x:f>
        <x:v>-1775.666</x:v>
      </x:c>
      <x:c r="P1146" s="73" t="n">
        <x:f aca="0">DGKC!G98</x:f>
        <x:v>-1775.666</x:v>
      </x:c>
      <x:c r="Q1146" s="70" t="str">
        <x:f aca="0">IF(ABS(O1146-P1146)&lt;0.000001,"PASS","FAIL")</x:f>
        <x:v>PASS</x:v>
      </x:c>
      <x:c r="R1146" s="70" t="s">
        <x:v>34</x:v>
      </x:c>
      <x:c r="S1146" s="70"/>
    </x:row>
    <x:row r="1147" ht="15" hidden="0">
      <x:c r="A1147" s="70" t="s">
        <x:v>2429</x:v>
      </x:c>
      <x:c r="B1147" s="70" t="s">
        <x:v>37</x:v>
      </x:c>
      <x:c r="C1147" s="70" t="s">
        <x:v>77</x:v>
      </x:c>
      <x:c r="D1147" s="70" t="s">
        <x:v>442</x:v>
      </x:c>
      <x:c r="E1147" s="70" t="s">
        <x:v>1472</x:v>
      </x:c>
      <x:c r="F1147" s="70" t="s">
        <x:v>442</x:v>
      </x:c>
      <x:c r="G1147" s="70" t="s">
        <x:v>2118</x:v>
      </x:c>
      <x:c r="H1147" s="70" t="s">
        <x:v>1215</x:v>
      </x:c>
      <x:c r="I1147" s="70" t="s">
        <x:v>1218</x:v>
      </x:c>
      <x:c r="J1147" s="70" t="n">
        <x:v>155</x:v>
      </x:c>
      <x:c r="K1147" s="70" t="s">
        <x:v>2270</x:v>
      </x:c>
      <x:c r="L1147" s="70"/>
      <x:c r="M1147" s="70" t="s">
        <x:v>40</x:v>
      </x:c>
      <x:c r="N1147" s="71" t="n">
        <x:v>-3752428</x:v>
      </x:c>
      <x:c r="O1147" s="72" t="n">
        <x:f aca="0">N1147/1000</x:f>
        <x:v>-3752.428</x:v>
      </x:c>
      <x:c r="P1147" s="73" t="n">
        <x:f aca="0">DGKC!H98</x:f>
        <x:v>-3752.428</x:v>
      </x:c>
      <x:c r="Q1147" s="70" t="str">
        <x:f aca="0">IF(ABS(O1147-P1147)&lt;0.000001,"PASS","FAIL")</x:f>
        <x:v>PASS</x:v>
      </x:c>
      <x:c r="R1147" s="70" t="s">
        <x:v>34</x:v>
      </x:c>
      <x:c r="S1147" s="70"/>
    </x:row>
    <x:row r="1148" ht="15" hidden="0">
      <x:c r="A1148" s="70" t="s">
        <x:v>2430</x:v>
      </x:c>
      <x:c r="B1148" s="70" t="s">
        <x:v>37</x:v>
      </x:c>
      <x:c r="C1148" s="70" t="s">
        <x:v>73</x:v>
      </x:c>
      <x:c r="D1148" s="70" t="s">
        <x:v>446</x:v>
      </x:c>
      <x:c r="E1148" s="70" t="s">
        <x:v>1472</x:v>
      </x:c>
      <x:c r="F1148" s="70" t="s">
        <x:v>418</x:v>
      </x:c>
      <x:c r="G1148" s="70" t="s">
        <x:v>2110</x:v>
      </x:c>
      <x:c r="H1148" s="70" t="s">
        <x:v>1204</x:v>
      </x:c>
      <x:c r="I1148" s="70" t="s">
        <x:v>1199</x:v>
      </x:c>
      <x:c r="J1148" s="70" t="n">
        <x:v>127</x:v>
      </x:c>
      <x:c r="K1148" s="70" t="s">
        <x:v>2367</x:v>
      </x:c>
      <x:c r="L1148" s="70"/>
      <x:c r="M1148" s="70" t="s">
        <x:v>40</x:v>
      </x:c>
      <x:c r="N1148" s="71" t="n">
        <x:v>8071892</x:v>
      </x:c>
      <x:c r="O1148" s="72" t="n">
        <x:f aca="0">N1148/1000</x:f>
        <x:v>8071.892</x:v>
      </x:c>
      <x:c r="P1148" s="73" t="n">
        <x:f aca="0">DGKC!D100</x:f>
        <x:v>8071.892</x:v>
      </x:c>
      <x:c r="Q1148" s="70" t="str">
        <x:f aca="0">IF(ABS(O1148-P1148)&lt;0.000001,"PASS","FAIL")</x:f>
        <x:v>PASS</x:v>
      </x:c>
      <x:c r="R1148" s="70" t="s">
        <x:v>34</x:v>
      </x:c>
      <x:c r="S1148" s="70"/>
    </x:row>
    <x:row r="1149" ht="15" hidden="0">
      <x:c r="A1149" s="70" t="s">
        <x:v>2431</x:v>
      </x:c>
      <x:c r="B1149" s="70" t="s">
        <x:v>37</x:v>
      </x:c>
      <x:c r="C1149" s="70" t="s">
        <x:v>74</x:v>
      </x:c>
      <x:c r="D1149" s="70" t="s">
        <x:v>446</x:v>
      </x:c>
      <x:c r="E1149" s="70" t="s">
        <x:v>1472</x:v>
      </x:c>
      <x:c r="F1149" s="70" t="s">
        <x:v>418</x:v>
      </x:c>
      <x:c r="G1149" s="70" t="s">
        <x:v>2113</x:v>
      </x:c>
      <x:c r="H1149" s="70" t="s">
        <x:v>1208</x:v>
      </x:c>
      <x:c r="I1149" s="70" t="s">
        <x:v>1199</x:v>
      </x:c>
      <x:c r="J1149" s="70" t="n">
        <x:v>153</x:v>
      </x:c>
      <x:c r="K1149" s="70" t="s">
        <x:v>2140</x:v>
      </x:c>
      <x:c r="L1149" s="70"/>
      <x:c r="M1149" s="70" t="s">
        <x:v>40</x:v>
      </x:c>
      <x:c r="N1149" s="71" t="n">
        <x:v>10428312</x:v>
      </x:c>
      <x:c r="O1149" s="72" t="n">
        <x:f aca="0">N1149/1000</x:f>
        <x:v>10428.312</x:v>
      </x:c>
      <x:c r="P1149" s="73" t="n">
        <x:f aca="0">DGKC!E100</x:f>
        <x:v>10428.312</x:v>
      </x:c>
      <x:c r="Q1149" s="70" t="str">
        <x:f aca="0">IF(ABS(O1149-P1149)&lt;0.000001,"PASS","FAIL")</x:f>
        <x:v>PASS</x:v>
      </x:c>
      <x:c r="R1149" s="70" t="s">
        <x:v>34</x:v>
      </x:c>
      <x:c r="S1149" s="70"/>
    </x:row>
    <x:row r="1150" ht="15" hidden="0">
      <x:c r="A1150" s="70" t="s">
        <x:v>2432</x:v>
      </x:c>
      <x:c r="B1150" s="70" t="s">
        <x:v>37</x:v>
      </x:c>
      <x:c r="C1150" s="70" t="s">
        <x:v>75</x:v>
      </x:c>
      <x:c r="D1150" s="70" t="s">
        <x:v>446</x:v>
      </x:c>
      <x:c r="E1150" s="70" t="s">
        <x:v>1472</x:v>
      </x:c>
      <x:c r="F1150" s="70" t="s">
        <x:v>418</x:v>
      </x:c>
      <x:c r="G1150" s="70" t="s">
        <x:v>2116</x:v>
      </x:c>
      <x:c r="H1150" s="70" t="s">
        <x:v>1211</x:v>
      </x:c>
      <x:c r="I1150" s="70" t="s">
        <x:v>1199</x:v>
      </x:c>
      <x:c r="J1150" s="70" t="n">
        <x:v>153</x:v>
      </x:c>
      <x:c r="K1150" s="70" t="s">
        <x:v>2140</x:v>
      </x:c>
      <x:c r="L1150" s="70"/>
      <x:c r="M1150" s="70" t="s">
        <x:v>40</x:v>
      </x:c>
      <x:c r="N1150" s="71" t="n">
        <x:v>9555775</x:v>
      </x:c>
      <x:c r="O1150" s="72" t="n">
        <x:f aca="0">N1150/1000</x:f>
        <x:v>9555.775</x:v>
      </x:c>
      <x:c r="P1150" s="73" t="n">
        <x:f aca="0">DGKC!F100</x:f>
        <x:v>9555.775</x:v>
      </x:c>
      <x:c r="Q1150" s="70" t="str">
        <x:f aca="0">IF(ABS(O1150-P1150)&lt;0.000001,"PASS","FAIL")</x:f>
        <x:v>PASS</x:v>
      </x:c>
      <x:c r="R1150" s="70" t="s">
        <x:v>34</x:v>
      </x:c>
      <x:c r="S1150" s="70"/>
    </x:row>
    <x:row r="1151" ht="15" hidden="0">
      <x:c r="A1151" s="70" t="s">
        <x:v>2433</x:v>
      </x:c>
      <x:c r="B1151" s="70" t="s">
        <x:v>37</x:v>
      </x:c>
      <x:c r="C1151" s="70" t="s">
        <x:v>76</x:v>
      </x:c>
      <x:c r="D1151" s="70" t="s">
        <x:v>446</x:v>
      </x:c>
      <x:c r="E1151" s="70" t="s">
        <x:v>1472</x:v>
      </x:c>
      <x:c r="F1151" s="70" t="s">
        <x:v>418</x:v>
      </x:c>
      <x:c r="G1151" s="70" t="s">
        <x:v>2118</x:v>
      </x:c>
      <x:c r="H1151" s="70" t="s">
        <x:v>1215</x:v>
      </x:c>
      <x:c r="I1151" s="70" t="s">
        <x:v>1199</x:v>
      </x:c>
      <x:c r="J1151" s="70" t="n">
        <x:v>155</x:v>
      </x:c>
      <x:c r="K1151" s="70" t="s">
        <x:v>2270</x:v>
      </x:c>
      <x:c r="L1151" s="70"/>
      <x:c r="M1151" s="70" t="s">
        <x:v>40</x:v>
      </x:c>
      <x:c r="N1151" s="71" t="n">
        <x:v>10528260</x:v>
      </x:c>
      <x:c r="O1151" s="72" t="n">
        <x:f aca="0">N1151/1000</x:f>
        <x:v>10528.26</x:v>
      </x:c>
      <x:c r="P1151" s="73" t="n">
        <x:f aca="0">DGKC!G100</x:f>
        <x:v>10528.26</x:v>
      </x:c>
      <x:c r="Q1151" s="70" t="str">
        <x:f aca="0">IF(ABS(O1151-P1151)&lt;0.000001,"PASS","FAIL")</x:f>
        <x:v>PASS</x:v>
      </x:c>
      <x:c r="R1151" s="70" t="s">
        <x:v>34</x:v>
      </x:c>
      <x:c r="S1151" s="70"/>
    </x:row>
    <x:row r="1152" ht="15" hidden="0">
      <x:c r="A1152" s="70" t="s">
        <x:v>2434</x:v>
      </x:c>
      <x:c r="B1152" s="70" t="s">
        <x:v>37</x:v>
      </x:c>
      <x:c r="C1152" s="70" t="s">
        <x:v>77</x:v>
      </x:c>
      <x:c r="D1152" s="70" t="s">
        <x:v>446</x:v>
      </x:c>
      <x:c r="E1152" s="70" t="s">
        <x:v>1472</x:v>
      </x:c>
      <x:c r="F1152" s="70" t="s">
        <x:v>418</x:v>
      </x:c>
      <x:c r="G1152" s="70" t="s">
        <x:v>2118</x:v>
      </x:c>
      <x:c r="H1152" s="70" t="s">
        <x:v>1215</x:v>
      </x:c>
      <x:c r="I1152" s="70" t="s">
        <x:v>1218</x:v>
      </x:c>
      <x:c r="J1152" s="70" t="n">
        <x:v>155</x:v>
      </x:c>
      <x:c r="K1152" s="70" t="s">
        <x:v>2270</x:v>
      </x:c>
      <x:c r="L1152" s="70"/>
      <x:c r="M1152" s="70" t="s">
        <x:v>40</x:v>
      </x:c>
      <x:c r="N1152" s="71" t="n">
        <x:v>18505671</x:v>
      </x:c>
      <x:c r="O1152" s="72" t="n">
        <x:f aca="0">N1152/1000</x:f>
        <x:v>18505.671</x:v>
      </x:c>
      <x:c r="P1152" s="73" t="n">
        <x:f aca="0">DGKC!H100</x:f>
        <x:v>18505.671</x:v>
      </x:c>
      <x:c r="Q1152" s="70" t="str">
        <x:f aca="0">IF(ABS(O1152-P1152)&lt;0.000001,"PASS","FAIL")</x:f>
        <x:v>PASS</x:v>
      </x:c>
      <x:c r="R1152" s="70" t="s">
        <x:v>34</x:v>
      </x:c>
      <x:c r="S1152" s="70"/>
    </x:row>
    <x:row r="1153" ht="15" hidden="0">
      <x:c r="A1153" s="70" t="s">
        <x:v>2435</x:v>
      </x:c>
      <x:c r="B1153" s="70" t="s">
        <x:v>37</x:v>
      </x:c>
      <x:c r="C1153" s="70" t="s">
        <x:v>73</x:v>
      </x:c>
      <x:c r="D1153" s="70" t="s">
        <x:v>448</x:v>
      </x:c>
      <x:c r="E1153" s="70" t="s">
        <x:v>1472</x:v>
      </x:c>
      <x:c r="F1153" s="70" t="s">
        <x:v>1546</x:v>
      </x:c>
      <x:c r="G1153" s="70" t="s">
        <x:v>2110</x:v>
      </x:c>
      <x:c r="H1153" s="70" t="s">
        <x:v>1204</x:v>
      </x:c>
      <x:c r="I1153" s="70" t="s">
        <x:v>1199</x:v>
      </x:c>
      <x:c r="J1153" s="70" t="n">
        <x:v>127</x:v>
      </x:c>
      <x:c r="K1153" s="70" t="s">
        <x:v>2367</x:v>
      </x:c>
      <x:c r="L1153" s="70"/>
      <x:c r="M1153" s="70" t="s">
        <x:v>40</x:v>
      </x:c>
      <x:c r="N1153" s="71" t="n">
        <x:v>4771405</x:v>
      </x:c>
      <x:c r="O1153" s="72" t="n">
        <x:f aca="0">N1153/1000</x:f>
        <x:v>4771.405</x:v>
      </x:c>
      <x:c r="P1153" s="73" t="n">
        <x:f aca="0">DGKC!D101</x:f>
        <x:v>4771.405</x:v>
      </x:c>
      <x:c r="Q1153" s="70" t="str">
        <x:f aca="0">IF(ABS(O1153-P1153)&lt;0.000001,"PASS","FAIL")</x:f>
        <x:v>PASS</x:v>
      </x:c>
      <x:c r="R1153" s="70" t="s">
        <x:v>34</x:v>
      </x:c>
      <x:c r="S1153" s="70"/>
    </x:row>
    <x:row r="1154" ht="15" hidden="0">
      <x:c r="A1154" s="70" t="s">
        <x:v>2436</x:v>
      </x:c>
      <x:c r="B1154" s="70" t="s">
        <x:v>37</x:v>
      </x:c>
      <x:c r="C1154" s="70" t="s">
        <x:v>74</x:v>
      </x:c>
      <x:c r="D1154" s="70" t="s">
        <x:v>448</x:v>
      </x:c>
      <x:c r="E1154" s="70" t="s">
        <x:v>1472</x:v>
      </x:c>
      <x:c r="F1154" s="70" t="s">
        <x:v>1546</x:v>
      </x:c>
      <x:c r="G1154" s="70" t="s">
        <x:v>2113</x:v>
      </x:c>
      <x:c r="H1154" s="70" t="s">
        <x:v>1208</x:v>
      </x:c>
      <x:c r="I1154" s="70" t="s">
        <x:v>1199</x:v>
      </x:c>
      <x:c r="J1154" s="70" t="n">
        <x:v>153</x:v>
      </x:c>
      <x:c r="K1154" s="70" t="s">
        <x:v>2140</x:v>
      </x:c>
      <x:c r="L1154" s="70"/>
      <x:c r="M1154" s="70" t="s">
        <x:v>40</x:v>
      </x:c>
      <x:c r="N1154" s="71" t="n">
        <x:v>6019761</x:v>
      </x:c>
      <x:c r="O1154" s="72" t="n">
        <x:f aca="0">N1154/1000</x:f>
        <x:v>6019.761</x:v>
      </x:c>
      <x:c r="P1154" s="73" t="n">
        <x:f aca="0">DGKC!E101</x:f>
        <x:v>6019.761</x:v>
      </x:c>
      <x:c r="Q1154" s="70" t="str">
        <x:f aca="0">IF(ABS(O1154-P1154)&lt;0.000001,"PASS","FAIL")</x:f>
        <x:v>PASS</x:v>
      </x:c>
      <x:c r="R1154" s="70" t="s">
        <x:v>34</x:v>
      </x:c>
      <x:c r="S1154" s="70"/>
    </x:row>
    <x:row r="1155" ht="15" hidden="0">
      <x:c r="A1155" s="70" t="s">
        <x:v>2437</x:v>
      </x:c>
      <x:c r="B1155" s="70" t="s">
        <x:v>37</x:v>
      </x:c>
      <x:c r="C1155" s="70" t="s">
        <x:v>75</x:v>
      </x:c>
      <x:c r="D1155" s="70" t="s">
        <x:v>448</x:v>
      </x:c>
      <x:c r="E1155" s="70" t="s">
        <x:v>1472</x:v>
      </x:c>
      <x:c r="F1155" s="70" t="s">
        <x:v>2438</x:v>
      </x:c>
      <x:c r="G1155" s="70" t="s">
        <x:v>2116</x:v>
      </x:c>
      <x:c r="H1155" s="70" t="s">
        <x:v>1211</x:v>
      </x:c>
      <x:c r="I1155" s="70" t="s">
        <x:v>1199</x:v>
      </x:c>
      <x:c r="J1155" s="70" t="n">
        <x:v>153</x:v>
      </x:c>
      <x:c r="K1155" s="70" t="s">
        <x:v>2140</x:v>
      </x:c>
      <x:c r="L1155" s="70"/>
      <x:c r="M1155" s="70" t="s">
        <x:v>40</x:v>
      </x:c>
      <x:c r="N1155" s="71" t="n">
        <x:v>3162543</x:v>
      </x:c>
      <x:c r="O1155" s="72" t="n">
        <x:f aca="0">N1155/1000</x:f>
        <x:v>3162.543</x:v>
      </x:c>
      <x:c r="P1155" s="73" t="n">
        <x:f aca="0">DGKC!F101</x:f>
        <x:v>3162.543</x:v>
      </x:c>
      <x:c r="Q1155" s="70" t="str">
        <x:f aca="0">IF(ABS(O1155-P1155)&lt;0.000001,"PASS","FAIL")</x:f>
        <x:v>PASS</x:v>
      </x:c>
      <x:c r="R1155" s="70" t="s">
        <x:v>34</x:v>
      </x:c>
      <x:c r="S1155" s="70"/>
    </x:row>
    <x:row r="1156" ht="15" hidden="0">
      <x:c r="A1156" s="70" t="s">
        <x:v>2439</x:v>
      </x:c>
      <x:c r="B1156" s="70" t="s">
        <x:v>37</x:v>
      </x:c>
      <x:c r="C1156" s="70" t="s">
        <x:v>76</x:v>
      </x:c>
      <x:c r="D1156" s="70" t="s">
        <x:v>448</x:v>
      </x:c>
      <x:c r="E1156" s="70" t="s">
        <x:v>1472</x:v>
      </x:c>
      <x:c r="F1156" s="70" t="s">
        <x:v>2440</x:v>
      </x:c>
      <x:c r="G1156" s="70" t="s">
        <x:v>2118</x:v>
      </x:c>
      <x:c r="H1156" s="70" t="s">
        <x:v>1215</x:v>
      </x:c>
      <x:c r="I1156" s="70" t="s">
        <x:v>1199</x:v>
      </x:c>
      <x:c r="J1156" s="70" t="n">
        <x:v>155</x:v>
      </x:c>
      <x:c r="K1156" s="70" t="s">
        <x:v>2270</x:v>
      </x:c>
      <x:c r="L1156" s="70"/>
      <x:c r="M1156" s="70" t="s">
        <x:v>40</x:v>
      </x:c>
      <x:c r="N1156" s="71" t="n">
        <x:v>2838910</x:v>
      </x:c>
      <x:c r="O1156" s="72" t="n">
        <x:f aca="0">N1156/1000</x:f>
        <x:v>2838.91</x:v>
      </x:c>
      <x:c r="P1156" s="73" t="n">
        <x:f aca="0">DGKC!G101</x:f>
        <x:v>2838.91</x:v>
      </x:c>
      <x:c r="Q1156" s="70" t="str">
        <x:f aca="0">IF(ABS(O1156-P1156)&lt;0.000001,"PASS","FAIL")</x:f>
        <x:v>PASS</x:v>
      </x:c>
      <x:c r="R1156" s="70" t="s">
        <x:v>34</x:v>
      </x:c>
      <x:c r="S1156" s="70"/>
    </x:row>
    <x:row r="1157" ht="15" hidden="0">
      <x:c r="A1157" s="70" t="s">
        <x:v>2441</x:v>
      </x:c>
      <x:c r="B1157" s="70" t="s">
        <x:v>37</x:v>
      </x:c>
      <x:c r="C1157" s="70" t="s">
        <x:v>77</x:v>
      </x:c>
      <x:c r="D1157" s="70" t="s">
        <x:v>448</x:v>
      </x:c>
      <x:c r="E1157" s="70" t="s">
        <x:v>1472</x:v>
      </x:c>
      <x:c r="F1157" s="70" t="s">
        <x:v>2440</x:v>
      </x:c>
      <x:c r="G1157" s="70" t="s">
        <x:v>2118</x:v>
      </x:c>
      <x:c r="H1157" s="70" t="s">
        <x:v>1215</x:v>
      </x:c>
      <x:c r="I1157" s="70" t="s">
        <x:v>1218</x:v>
      </x:c>
      <x:c r="J1157" s="70" t="n">
        <x:v>155</x:v>
      </x:c>
      <x:c r="K1157" s="70" t="s">
        <x:v>2270</x:v>
      </x:c>
      <x:c r="L1157" s="70"/>
      <x:c r="M1157" s="70" t="s">
        <x:v>40</x:v>
      </x:c>
      <x:c r="N1157" s="71" t="n">
        <x:v>13004612</x:v>
      </x:c>
      <x:c r="O1157" s="72" t="n">
        <x:f aca="0">N1157/1000</x:f>
        <x:v>13004.612</x:v>
      </x:c>
      <x:c r="P1157" s="73" t="n">
        <x:f aca="0">DGKC!H101</x:f>
        <x:v>13004.612</x:v>
      </x:c>
      <x:c r="Q1157" s="70" t="str">
        <x:f aca="0">IF(ABS(O1157-P1157)&lt;0.000001,"PASS","FAIL")</x:f>
        <x:v>PASS</x:v>
      </x:c>
      <x:c r="R1157" s="70" t="s">
        <x:v>34</x:v>
      </x:c>
      <x:c r="S1157" s="70"/>
    </x:row>
    <x:row r="1158" ht="15" hidden="0">
      <x:c r="A1158" s="70" t="s">
        <x:v>2442</x:v>
      </x:c>
      <x:c r="B1158" s="70" t="s">
        <x:v>37</x:v>
      </x:c>
      <x:c r="C1158" s="70" t="s">
        <x:v>73</x:v>
      </x:c>
      <x:c r="D1158" s="70" t="s">
        <x:v>450</x:v>
      </x:c>
      <x:c r="E1158" s="70" t="s">
        <x:v>1472</x:v>
      </x:c>
      <x:c r="F1158" s="70" t="s">
        <x:v>2443</x:v>
      </x:c>
      <x:c r="G1158" s="70" t="s">
        <x:v>2110</x:v>
      </x:c>
      <x:c r="H1158" s="70" t="s">
        <x:v>1204</x:v>
      </x:c>
      <x:c r="I1158" s="70" t="s">
        <x:v>1199</x:v>
      </x:c>
      <x:c r="J1158" s="70" t="n">
        <x:v>127</x:v>
      </x:c>
      <x:c r="K1158" s="70" t="s">
        <x:v>2367</x:v>
      </x:c>
      <x:c r="L1158" s="70"/>
      <x:c r="M1158" s="70" t="s">
        <x:v>40</x:v>
      </x:c>
      <x:c r="N1158" s="71" t="n">
        <x:v>3721273</x:v>
      </x:c>
      <x:c r="O1158" s="72" t="n">
        <x:f aca="0">N1158/1000</x:f>
        <x:v>3721.273</x:v>
      </x:c>
      <x:c r="P1158" s="73" t="n">
        <x:f aca="0">DGKC!D102</x:f>
        <x:v>3721.273</x:v>
      </x:c>
      <x:c r="Q1158" s="70" t="str">
        <x:f aca="0">IF(ABS(O1158-P1158)&lt;0.000001,"PASS","FAIL")</x:f>
        <x:v>PASS</x:v>
      </x:c>
      <x:c r="R1158" s="70" t="s">
        <x:v>34</x:v>
      </x:c>
      <x:c r="S1158" s="70"/>
    </x:row>
    <x:row r="1159" ht="15" hidden="0">
      <x:c r="A1159" s="70" t="s">
        <x:v>2444</x:v>
      </x:c>
      <x:c r="B1159" s="70" t="s">
        <x:v>37</x:v>
      </x:c>
      <x:c r="C1159" s="70" t="s">
        <x:v>74</x:v>
      </x:c>
      <x:c r="D1159" s="70" t="s">
        <x:v>450</x:v>
      </x:c>
      <x:c r="E1159" s="70" t="s">
        <x:v>1472</x:v>
      </x:c>
      <x:c r="F1159" s="70" t="s">
        <x:v>2445</x:v>
      </x:c>
      <x:c r="G1159" s="70" t="s">
        <x:v>2113</x:v>
      </x:c>
      <x:c r="H1159" s="70" t="s">
        <x:v>1208</x:v>
      </x:c>
      <x:c r="I1159" s="70" t="s">
        <x:v>1199</x:v>
      </x:c>
      <x:c r="J1159" s="70" t="n">
        <x:v>153</x:v>
      </x:c>
      <x:c r="K1159" s="70" t="s">
        <x:v>2140</x:v>
      </x:c>
      <x:c r="L1159" s="70"/>
      <x:c r="M1159" s="70" t="s">
        <x:v>40</x:v>
      </x:c>
      <x:c r="N1159" s="71" t="n">
        <x:v>2972132</x:v>
      </x:c>
      <x:c r="O1159" s="72" t="n">
        <x:f aca="0">N1159/1000</x:f>
        <x:v>2972.132</x:v>
      </x:c>
      <x:c r="P1159" s="73" t="n">
        <x:f aca="0">DGKC!E102</x:f>
        <x:v>2972.132</x:v>
      </x:c>
      <x:c r="Q1159" s="70" t="str">
        <x:f aca="0">IF(ABS(O1159-P1159)&lt;0.000001,"PASS","FAIL")</x:f>
        <x:v>PASS</x:v>
      </x:c>
      <x:c r="R1159" s="70" t="s">
        <x:v>34</x:v>
      </x:c>
      <x:c r="S1159" s="70"/>
    </x:row>
    <x:row r="1160" ht="15" hidden="0">
      <x:c r="A1160" s="70" t="s">
        <x:v>2446</x:v>
      </x:c>
      <x:c r="B1160" s="70" t="s">
        <x:v>37</x:v>
      </x:c>
      <x:c r="C1160" s="70" t="s">
        <x:v>75</x:v>
      </x:c>
      <x:c r="D1160" s="70" t="s">
        <x:v>450</x:v>
      </x:c>
      <x:c r="E1160" s="70" t="s">
        <x:v>1472</x:v>
      </x:c>
      <x:c r="F1160" s="70" t="s">
        <x:v>2447</x:v>
      </x:c>
      <x:c r="G1160" s="70" t="s">
        <x:v>2116</x:v>
      </x:c>
      <x:c r="H1160" s="70" t="s">
        <x:v>1211</x:v>
      </x:c>
      <x:c r="I1160" s="70" t="s">
        <x:v>1199</x:v>
      </x:c>
      <x:c r="J1160" s="70" t="n">
        <x:v>153</x:v>
      </x:c>
      <x:c r="K1160" s="70" t="s">
        <x:v>2140</x:v>
      </x:c>
      <x:c r="L1160" s="70"/>
      <x:c r="M1160" s="70" t="s">
        <x:v>40</x:v>
      </x:c>
      <x:c r="N1160" s="71" t="n">
        <x:v>-3635976</x:v>
      </x:c>
      <x:c r="O1160" s="72" t="n">
        <x:f aca="0">N1160/1000</x:f>
        <x:v>-3635.976</x:v>
      </x:c>
      <x:c r="P1160" s="73" t="n">
        <x:f aca="0">DGKC!F102</x:f>
        <x:v>-3635.976</x:v>
      </x:c>
      <x:c r="Q1160" s="70" t="str">
        <x:f aca="0">IF(ABS(O1160-P1160)&lt;0.000001,"PASS","FAIL")</x:f>
        <x:v>PASS</x:v>
      </x:c>
      <x:c r="R1160" s="70" t="s">
        <x:v>34</x:v>
      </x:c>
      <x:c r="S1160" s="70"/>
    </x:row>
    <x:row r="1161" ht="15" hidden="0">
      <x:c r="A1161" s="70" t="s">
        <x:v>2448</x:v>
      </x:c>
      <x:c r="B1161" s="70" t="s">
        <x:v>37</x:v>
      </x:c>
      <x:c r="C1161" s="70" t="s">
        <x:v>76</x:v>
      </x:c>
      <x:c r="D1161" s="70" t="s">
        <x:v>450</x:v>
      </x:c>
      <x:c r="E1161" s="70" t="s">
        <x:v>1472</x:v>
      </x:c>
      <x:c r="F1161" s="70" t="s">
        <x:v>2443</x:v>
      </x:c>
      <x:c r="G1161" s="70" t="s">
        <x:v>2118</x:v>
      </x:c>
      <x:c r="H1161" s="70" t="s">
        <x:v>1215</x:v>
      </x:c>
      <x:c r="I1161" s="70" t="s">
        <x:v>1199</x:v>
      </x:c>
      <x:c r="J1161" s="70" t="n">
        <x:v>155</x:v>
      </x:c>
      <x:c r="K1161" s="70" t="s">
        <x:v>2270</x:v>
      </x:c>
      <x:c r="L1161" s="70"/>
      <x:c r="M1161" s="70" t="s">
        <x:v>40</x:v>
      </x:c>
      <x:c r="N1161" s="71" t="n">
        <x:v>542396</x:v>
      </x:c>
      <x:c r="O1161" s="72" t="n">
        <x:f aca="0">N1161/1000</x:f>
        <x:v>542.396</x:v>
      </x:c>
      <x:c r="P1161" s="73" t="n">
        <x:f aca="0">DGKC!G102</x:f>
        <x:v>542.396</x:v>
      </x:c>
      <x:c r="Q1161" s="70" t="str">
        <x:f aca="0">IF(ABS(O1161-P1161)&lt;0.000001,"PASS","FAIL")</x:f>
        <x:v>PASS</x:v>
      </x:c>
      <x:c r="R1161" s="70" t="s">
        <x:v>34</x:v>
      </x:c>
      <x:c r="S1161" s="70"/>
    </x:row>
    <x:row r="1162" ht="15" hidden="0">
      <x:c r="A1162" s="70" t="s">
        <x:v>2449</x:v>
      </x:c>
      <x:c r="B1162" s="70" t="s">
        <x:v>37</x:v>
      </x:c>
      <x:c r="C1162" s="70" t="s">
        <x:v>77</x:v>
      </x:c>
      <x:c r="D1162" s="70" t="s">
        <x:v>450</x:v>
      </x:c>
      <x:c r="E1162" s="70" t="s">
        <x:v>1472</x:v>
      </x:c>
      <x:c r="F1162" s="70" t="s">
        <x:v>2443</x:v>
      </x:c>
      <x:c r="G1162" s="70" t="s">
        <x:v>2118</x:v>
      </x:c>
      <x:c r="H1162" s="70" t="s">
        <x:v>1215</x:v>
      </x:c>
      <x:c r="I1162" s="70" t="s">
        <x:v>1218</x:v>
      </x:c>
      <x:c r="J1162" s="70" t="n">
        <x:v>155</x:v>
      </x:c>
      <x:c r="K1162" s="70" t="s">
        <x:v>2270</x:v>
      </x:c>
      <x:c r="L1162" s="70"/>
      <x:c r="M1162" s="70" t="s">
        <x:v>40</x:v>
      </x:c>
      <x:c r="N1162" s="71" t="n">
        <x:v>8675059</x:v>
      </x:c>
      <x:c r="O1162" s="72" t="n">
        <x:f aca="0">N1162/1000</x:f>
        <x:v>8675.059</x:v>
      </x:c>
      <x:c r="P1162" s="73" t="n">
        <x:f aca="0">DGKC!H102</x:f>
        <x:v>8675.059</x:v>
      </x:c>
      <x:c r="Q1162" s="70" t="str">
        <x:f aca="0">IF(ABS(O1162-P1162)&lt;0.000001,"PASS","FAIL")</x:f>
        <x:v>PASS</x:v>
      </x:c>
      <x:c r="R1162" s="70" t="s">
        <x:v>34</x:v>
      </x:c>
      <x:c r="S1162" s="70"/>
    </x:row>
    <x:row r="1163" ht="15" hidden="0">
      <x:c r="A1163" s="70" t="s">
        <x:v>2450</x:v>
      </x:c>
      <x:c r="B1163" s="70" t="s">
        <x:v>37</x:v>
      </x:c>
      <x:c r="C1163" s="70" t="s">
        <x:v>73</x:v>
      </x:c>
      <x:c r="D1163" s="70" t="s">
        <x:v>454</x:v>
      </x:c>
      <x:c r="E1163" s="70" t="s">
        <x:v>1221</x:v>
      </x:c>
      <x:c r="F1163" s="70" t="s">
        <x:v>2451</x:v>
      </x:c>
      <x:c r="G1163" s="70" t="s">
        <x:v>2110</x:v>
      </x:c>
      <x:c r="H1163" s="70" t="s">
        <x:v>1204</x:v>
      </x:c>
      <x:c r="I1163" s="70" t="s">
        <x:v>1199</x:v>
      </x:c>
      <x:c r="J1163" s="70" t="n">
        <x:v>177</x:v>
      </x:c>
      <x:c r="K1163" s="70" t="s">
        <x:v>2452</x:v>
      </x:c>
      <x:c r="L1163" s="70"/>
      <x:c r="M1163" s="70" t="s">
        <x:v>40</x:v>
      </x:c>
      <x:c r="N1163" s="71" t="n">
        <x:v>34766</x:v>
      </x:c>
      <x:c r="O1163" s="72" t="n">
        <x:f aca="0">N1163/1000</x:f>
        <x:v>34.766</x:v>
      </x:c>
      <x:c r="P1163" s="73" t="n">
        <x:f aca="0">DGKC!D105</x:f>
        <x:v>34.766</x:v>
      </x:c>
      <x:c r="Q1163" s="70" t="str">
        <x:f aca="0">IF(ABS(O1163-P1163)&lt;0.000001,"PASS","FAIL")</x:f>
        <x:v>PASS</x:v>
      </x:c>
      <x:c r="R1163" s="70" t="s">
        <x:v>34</x:v>
      </x:c>
      <x:c r="S1163" s="70"/>
    </x:row>
    <x:row r="1164" ht="15" hidden="0">
      <x:c r="A1164" s="70" t="s">
        <x:v>2453</x:v>
      </x:c>
      <x:c r="B1164" s="70" t="s">
        <x:v>37</x:v>
      </x:c>
      <x:c r="C1164" s="70" t="s">
        <x:v>74</x:v>
      </x:c>
      <x:c r="D1164" s="70" t="s">
        <x:v>454</x:v>
      </x:c>
      <x:c r="E1164" s="70" t="s">
        <x:v>1221</x:v>
      </x:c>
      <x:c r="F1164" s="70" t="s">
        <x:v>2454</x:v>
      </x:c>
      <x:c r="G1164" s="70" t="s">
        <x:v>2113</x:v>
      </x:c>
      <x:c r="H1164" s="70" t="s">
        <x:v>1208</x:v>
      </x:c>
      <x:c r="I1164" s="70" t="s">
        <x:v>1199</x:v>
      </x:c>
      <x:c r="J1164" s="70" t="n">
        <x:v>201</x:v>
      </x:c>
      <x:c r="K1164" s="70" t="s">
        <x:v>2455</x:v>
      </x:c>
      <x:c r="L1164" s="70"/>
      <x:c r="M1164" s="70" t="s">
        <x:v>40</x:v>
      </x:c>
      <x:c r="N1164" s="71" t="n">
        <x:v>26530</x:v>
      </x:c>
      <x:c r="O1164" s="72" t="n">
        <x:f aca="0">N1164/1000</x:f>
        <x:v>26.53</x:v>
      </x:c>
      <x:c r="P1164" s="73" t="n">
        <x:f aca="0">DGKC!E105</x:f>
        <x:v>26.53</x:v>
      </x:c>
      <x:c r="Q1164" s="70" t="str">
        <x:f aca="0">IF(ABS(O1164-P1164)&lt;0.000001,"PASS","FAIL")</x:f>
        <x:v>PASS</x:v>
      </x:c>
      <x:c r="R1164" s="70" t="s">
        <x:v>34</x:v>
      </x:c>
      <x:c r="S1164" s="70"/>
    </x:row>
    <x:row r="1165" ht="15" hidden="0">
      <x:c r="A1165" s="70" t="s">
        <x:v>2456</x:v>
      </x:c>
      <x:c r="B1165" s="70" t="s">
        <x:v>37</x:v>
      </x:c>
      <x:c r="C1165" s="70" t="s">
        <x:v>75</x:v>
      </x:c>
      <x:c r="D1165" s="70" t="s">
        <x:v>454</x:v>
      </x:c>
      <x:c r="E1165" s="70" t="s">
        <x:v>1221</x:v>
      </x:c>
      <x:c r="F1165" s="70" t="s">
        <x:v>2454</x:v>
      </x:c>
      <x:c r="G1165" s="70" t="s">
        <x:v>2116</x:v>
      </x:c>
      <x:c r="H1165" s="70" t="s">
        <x:v>1211</x:v>
      </x:c>
      <x:c r="I1165" s="70" t="s">
        <x:v>1199</x:v>
      </x:c>
      <x:c r="J1165" s="70" t="n">
        <x:v>204</x:v>
      </x:c>
      <x:c r="K1165" s="70" t="s">
        <x:v>2457</x:v>
      </x:c>
      <x:c r="L1165" s="70"/>
      <x:c r="M1165" s="70" t="s">
        <x:v>40</x:v>
      </x:c>
      <x:c r="N1165" s="71" t="n">
        <x:v>38493</x:v>
      </x:c>
      <x:c r="O1165" s="72" t="n">
        <x:f aca="0">N1165/1000</x:f>
        <x:v>38.493</x:v>
      </x:c>
      <x:c r="P1165" s="73" t="n">
        <x:f aca="0">DGKC!F105</x:f>
        <x:v>38.493</x:v>
      </x:c>
      <x:c r="Q1165" s="70" t="str">
        <x:f aca="0">IF(ABS(O1165-P1165)&lt;0.000001,"PASS","FAIL")</x:f>
        <x:v>PASS</x:v>
      </x:c>
      <x:c r="R1165" s="70" t="s">
        <x:v>34</x:v>
      </x:c>
      <x:c r="S1165" s="70"/>
    </x:row>
    <x:row r="1166" ht="15" hidden="0">
      <x:c r="A1166" s="70" t="s">
        <x:v>2458</x:v>
      </x:c>
      <x:c r="B1166" s="70" t="s">
        <x:v>37</x:v>
      </x:c>
      <x:c r="C1166" s="70" t="s">
        <x:v>76</x:v>
      </x:c>
      <x:c r="D1166" s="70" t="s">
        <x:v>454</x:v>
      </x:c>
      <x:c r="E1166" s="70" t="s">
        <x:v>1221</x:v>
      </x:c>
      <x:c r="F1166" s="70" t="s">
        <x:v>2459</x:v>
      </x:c>
      <x:c r="G1166" s="70" t="s">
        <x:v>2118</x:v>
      </x:c>
      <x:c r="H1166" s="70" t="s">
        <x:v>1215</x:v>
      </x:c>
      <x:c r="I1166" s="70" t="s">
        <x:v>1199</x:v>
      </x:c>
      <x:c r="J1166" s="70" t="n">
        <x:v>209</x:v>
      </x:c>
      <x:c r="K1166" s="70" t="s">
        <x:v>2460</x:v>
      </x:c>
      <x:c r="L1166" s="70"/>
      <x:c r="M1166" s="70" t="s">
        <x:v>40</x:v>
      </x:c>
      <x:c r="N1166" s="71" t="n">
        <x:v>76127</x:v>
      </x:c>
      <x:c r="O1166" s="72" t="n">
        <x:f aca="0">N1166/1000</x:f>
        <x:v>76.127</x:v>
      </x:c>
      <x:c r="P1166" s="73" t="n">
        <x:f aca="0">DGKC!G105</x:f>
        <x:v>76.127</x:v>
      </x:c>
      <x:c r="Q1166" s="70" t="str">
        <x:f aca="0">IF(ABS(O1166-P1166)&lt;0.000001,"PASS","FAIL")</x:f>
        <x:v>PASS</x:v>
      </x:c>
      <x:c r="R1166" s="70" t="s">
        <x:v>34</x:v>
      </x:c>
      <x:c r="S1166" s="70"/>
    </x:row>
    <x:row r="1167" ht="15" hidden="0">
      <x:c r="A1167" s="70" t="s">
        <x:v>2461</x:v>
      </x:c>
      <x:c r="B1167" s="70" t="s">
        <x:v>37</x:v>
      </x:c>
      <x:c r="C1167" s="70" t="s">
        <x:v>77</x:v>
      </x:c>
      <x:c r="D1167" s="70" t="s">
        <x:v>454</x:v>
      </x:c>
      <x:c r="E1167" s="70" t="s">
        <x:v>1221</x:v>
      </x:c>
      <x:c r="F1167" s="70" t="s">
        <x:v>2459</x:v>
      </x:c>
      <x:c r="G1167" s="70" t="s">
        <x:v>2118</x:v>
      </x:c>
      <x:c r="H1167" s="70" t="s">
        <x:v>1215</x:v>
      </x:c>
      <x:c r="I1167" s="70" t="s">
        <x:v>1218</x:v>
      </x:c>
      <x:c r="J1167" s="70" t="n">
        <x:v>209</x:v>
      </x:c>
      <x:c r="K1167" s="70" t="s">
        <x:v>2460</x:v>
      </x:c>
      <x:c r="L1167" s="70"/>
      <x:c r="M1167" s="70" t="s">
        <x:v>40</x:v>
      </x:c>
      <x:c r="N1167" s="71" t="n">
        <x:v>53669</x:v>
      </x:c>
      <x:c r="O1167" s="72" t="n">
        <x:f aca="0">N1167/1000</x:f>
        <x:v>53.669</x:v>
      </x:c>
      <x:c r="P1167" s="73" t="n">
        <x:f aca="0">DGKC!H105</x:f>
        <x:v>53.669</x:v>
      </x:c>
      <x:c r="Q1167" s="70" t="str">
        <x:f aca="0">IF(ABS(O1167-P1167)&lt;0.000001,"PASS","FAIL")</x:f>
        <x:v>PASS</x:v>
      </x:c>
      <x:c r="R1167" s="70" t="s">
        <x:v>34</x:v>
      </x:c>
      <x:c r="S1167" s="70"/>
    </x:row>
    <x:row r="1168" ht="15" hidden="0">
      <x:c r="A1168" s="70" t="s">
        <x:v>2462</x:v>
      </x:c>
      <x:c r="B1168" s="70" t="s">
        <x:v>37</x:v>
      </x:c>
      <x:c r="C1168" s="70" t="s">
        <x:v>73</x:v>
      </x:c>
      <x:c r="D1168" s="70" t="s">
        <x:v>458</x:v>
      </x:c>
      <x:c r="E1168" s="70" t="s">
        <x:v>172</x:v>
      </x:c>
      <x:c r="F1168" s="70" t="s">
        <x:v>2463</x:v>
      </x:c>
      <x:c r="G1168" s="70" t="s">
        <x:v>2110</x:v>
      </x:c>
      <x:c r="H1168" s="70" t="s">
        <x:v>1204</x:v>
      </x:c>
      <x:c r="I1168" s="70" t="s">
        <x:v>1199</x:v>
      </x:c>
      <x:c r="J1168" s="70" t="n">
        <x:v>179</x:v>
      </x:c>
      <x:c r="K1168" s="70" t="s">
        <x:v>2464</x:v>
      </x:c>
      <x:c r="L1168" s="70"/>
      <x:c r="M1168" s="70" t="s">
        <x:v>40</x:v>
      </x:c>
      <x:c r="N1168" s="71" t="n">
        <x:v>3580807</x:v>
      </x:c>
      <x:c r="O1168" s="72" t="n">
        <x:f aca="0">N1168/1000</x:f>
        <x:v>3580.807</x:v>
      </x:c>
      <x:c r="P1168" s="73" t="n">
        <x:f aca="0">DGKC!D107</x:f>
        <x:v>3580.807</x:v>
      </x:c>
      <x:c r="Q1168" s="70" t="str">
        <x:f aca="0">IF(ABS(O1168-P1168)&lt;0.000001,"PASS","FAIL")</x:f>
        <x:v>PASS</x:v>
      </x:c>
      <x:c r="R1168" s="70" t="s">
        <x:v>34</x:v>
      </x:c>
      <x:c r="S1168" s="70"/>
    </x:row>
    <x:row r="1169" ht="15" hidden="0">
      <x:c r="A1169" s="70" t="s">
        <x:v>2465</x:v>
      </x:c>
      <x:c r="B1169" s="70" t="s">
        <x:v>37</x:v>
      </x:c>
      <x:c r="C1169" s="70" t="s">
        <x:v>74</x:v>
      </x:c>
      <x:c r="D1169" s="70" t="s">
        <x:v>458</x:v>
      </x:c>
      <x:c r="E1169" s="70" t="s">
        <x:v>172</x:v>
      </x:c>
      <x:c r="F1169" s="70" t="s">
        <x:v>2463</x:v>
      </x:c>
      <x:c r="G1169" s="70" t="s">
        <x:v>2113</x:v>
      </x:c>
      <x:c r="H1169" s="70" t="s">
        <x:v>1208</x:v>
      </x:c>
      <x:c r="I1169" s="70" t="s">
        <x:v>1199</x:v>
      </x:c>
      <x:c r="J1169" s="70" t="n">
        <x:v>204</x:v>
      </x:c>
      <x:c r="K1169" s="70" t="s">
        <x:v>2457</x:v>
      </x:c>
      <x:c r="L1169" s="70"/>
      <x:c r="M1169" s="70" t="s">
        <x:v>40</x:v>
      </x:c>
      <x:c r="N1169" s="71" t="n">
        <x:v>3913288</x:v>
      </x:c>
      <x:c r="O1169" s="72" t="n">
        <x:f aca="0">N1169/1000</x:f>
        <x:v>3913.288</x:v>
      </x:c>
      <x:c r="P1169" s="73" t="n">
        <x:f aca="0">DGKC!E107</x:f>
        <x:v>3913.288</x:v>
      </x:c>
      <x:c r="Q1169" s="70" t="str">
        <x:f aca="0">IF(ABS(O1169-P1169)&lt;0.000001,"PASS","FAIL")</x:f>
        <x:v>PASS</x:v>
      </x:c>
      <x:c r="R1169" s="70" t="s">
        <x:v>34</x:v>
      </x:c>
      <x:c r="S1169" s="70"/>
    </x:row>
    <x:row r="1170" ht="15" hidden="0">
      <x:c r="A1170" s="70" t="s">
        <x:v>2466</x:v>
      </x:c>
      <x:c r="B1170" s="70" t="s">
        <x:v>37</x:v>
      </x:c>
      <x:c r="C1170" s="70" t="s">
        <x:v>75</x:v>
      </x:c>
      <x:c r="D1170" s="70" t="s">
        <x:v>458</x:v>
      </x:c>
      <x:c r="E1170" s="70" t="s">
        <x:v>172</x:v>
      </x:c>
      <x:c r="F1170" s="70" t="s">
        <x:v>2463</x:v>
      </x:c>
      <x:c r="G1170" s="70" t="s">
        <x:v>2116</x:v>
      </x:c>
      <x:c r="H1170" s="70" t="s">
        <x:v>1211</x:v>
      </x:c>
      <x:c r="I1170" s="70" t="s">
        <x:v>1199</x:v>
      </x:c>
      <x:c r="J1170" s="70" t="n">
        <x:v>207</x:v>
      </x:c>
      <x:c r="K1170" s="70" t="s">
        <x:v>2467</x:v>
      </x:c>
      <x:c r="L1170" s="70"/>
      <x:c r="M1170" s="70" t="s">
        <x:v>40</x:v>
      </x:c>
      <x:c r="N1170" s="71" t="n">
        <x:v>3944128</x:v>
      </x:c>
      <x:c r="O1170" s="72" t="n">
        <x:f aca="0">N1170/1000</x:f>
        <x:v>3944.128</x:v>
      </x:c>
      <x:c r="P1170" s="73" t="n">
        <x:f aca="0">DGKC!F107</x:f>
        <x:v>3944.128</x:v>
      </x:c>
      <x:c r="Q1170" s="70" t="str">
        <x:f aca="0">IF(ABS(O1170-P1170)&lt;0.000001,"PASS","FAIL")</x:f>
        <x:v>PASS</x:v>
      </x:c>
      <x:c r="R1170" s="70" t="s">
        <x:v>34</x:v>
      </x:c>
      <x:c r="S1170" s="70"/>
    </x:row>
    <x:row r="1171" ht="15" hidden="0">
      <x:c r="A1171" s="70" t="s">
        <x:v>2468</x:v>
      </x:c>
      <x:c r="B1171" s="70" t="s">
        <x:v>37</x:v>
      </x:c>
      <x:c r="C1171" s="70" t="s">
        <x:v>76</x:v>
      </x:c>
      <x:c r="D1171" s="70" t="s">
        <x:v>458</x:v>
      </x:c>
      <x:c r="E1171" s="70" t="s">
        <x:v>172</x:v>
      </x:c>
      <x:c r="F1171" s="70" t="s">
        <x:v>2463</x:v>
      </x:c>
      <x:c r="G1171" s="70" t="s">
        <x:v>2118</x:v>
      </x:c>
      <x:c r="H1171" s="70" t="s">
        <x:v>1215</x:v>
      </x:c>
      <x:c r="I1171" s="70" t="s">
        <x:v>1199</x:v>
      </x:c>
      <x:c r="J1171" s="70" t="n">
        <x:v>212</x:v>
      </x:c>
      <x:c r="K1171" s="70" t="s">
        <x:v>2469</x:v>
      </x:c>
      <x:c r="L1171" s="70"/>
      <x:c r="M1171" s="70" t="s">
        <x:v>40</x:v>
      </x:c>
      <x:c r="N1171" s="71" t="n">
        <x:v>3853452</x:v>
      </x:c>
      <x:c r="O1171" s="72" t="n">
        <x:f aca="0">N1171/1000</x:f>
        <x:v>3853.452</x:v>
      </x:c>
      <x:c r="P1171" s="73" t="n">
        <x:f aca="0">DGKC!G107</x:f>
        <x:v>3853.452</x:v>
      </x:c>
      <x:c r="Q1171" s="70" t="str">
        <x:f aca="0">IF(ABS(O1171-P1171)&lt;0.000001,"PASS","FAIL")</x:f>
        <x:v>PASS</x:v>
      </x:c>
      <x:c r="R1171" s="70" t="s">
        <x:v>34</x:v>
      </x:c>
      <x:c r="S1171" s="70"/>
    </x:row>
    <x:row r="1172" ht="15" hidden="0">
      <x:c r="A1172" s="70" t="s">
        <x:v>2470</x:v>
      </x:c>
      <x:c r="B1172" s="70" t="s">
        <x:v>37</x:v>
      </x:c>
      <x:c r="C1172" s="70" t="s">
        <x:v>77</x:v>
      </x:c>
      <x:c r="D1172" s="70" t="s">
        <x:v>458</x:v>
      </x:c>
      <x:c r="E1172" s="70" t="s">
        <x:v>172</x:v>
      </x:c>
      <x:c r="F1172" s="70" t="s">
        <x:v>2463</x:v>
      </x:c>
      <x:c r="G1172" s="70" t="s">
        <x:v>2118</x:v>
      </x:c>
      <x:c r="H1172" s="70" t="s">
        <x:v>1215</x:v>
      </x:c>
      <x:c r="I1172" s="70" t="s">
        <x:v>1218</x:v>
      </x:c>
      <x:c r="J1172" s="70" t="n">
        <x:v>212</x:v>
      </x:c>
      <x:c r="K1172" s="70" t="s">
        <x:v>2469</x:v>
      </x:c>
      <x:c r="L1172" s="70"/>
      <x:c r="M1172" s="70" t="s">
        <x:v>40</x:v>
      </x:c>
      <x:c r="N1172" s="71" t="n">
        <x:v>3832602</x:v>
      </x:c>
      <x:c r="O1172" s="72" t="n">
        <x:f aca="0">N1172/1000</x:f>
        <x:v>3832.602</x:v>
      </x:c>
      <x:c r="P1172" s="73" t="n">
        <x:f aca="0">DGKC!H107</x:f>
        <x:v>3832.602</x:v>
      </x:c>
      <x:c r="Q1172" s="70" t="str">
        <x:f aca="0">IF(ABS(O1172-P1172)&lt;0.000001,"PASS","FAIL")</x:f>
        <x:v>PASS</x:v>
      </x:c>
      <x:c r="R1172" s="70" t="s">
        <x:v>34</x:v>
      </x:c>
      <x:c r="S1172" s="70"/>
    </x:row>
    <x:row r="1173" ht="15" hidden="0">
      <x:c r="A1173" s="70" t="s">
        <x:v>2471</x:v>
      </x:c>
      <x:c r="B1173" s="70" t="s">
        <x:v>37</x:v>
      </x:c>
      <x:c r="C1173" s="70" t="s">
        <x:v>73</x:v>
      </x:c>
      <x:c r="D1173" s="70" t="s">
        <x:v>473</x:v>
      </x:c>
      <x:c r="E1173" s="70" t="s">
        <x:v>172</x:v>
      </x:c>
      <x:c r="F1173" s="70" t="s">
        <x:v>1577</x:v>
      </x:c>
      <x:c r="G1173" s="70" t="s">
        <x:v>2110</x:v>
      </x:c>
      <x:c r="H1173" s="70" t="s">
        <x:v>1204</x:v>
      </x:c>
      <x:c r="I1173" s="70" t="s">
        <x:v>1199</x:v>
      </x:c>
      <x:c r="J1173" s="70" t="n">
        <x:v>129</x:v>
      </x:c>
      <x:c r="K1173" s="70" t="s">
        <x:v>2472</x:v>
      </x:c>
      <x:c r="L1173" s="70"/>
      <x:c r="M1173" s="70" t="s">
        <x:v>40</x:v>
      </x:c>
      <x:c r="N1173" s="71" t="n">
        <x:v>10472429</x:v>
      </x:c>
      <x:c r="O1173" s="72" t="n">
        <x:f aca="0">N1173/1000</x:f>
        <x:v>10472.429</x:v>
      </x:c>
      <x:c r="P1173" s="73" t="n">
        <x:f aca="0">DGKC!D116</x:f>
        <x:v>10472.429</x:v>
      </x:c>
      <x:c r="Q1173" s="70" t="str">
        <x:f aca="0">IF(ABS(O1173-P1173)&lt;0.000001,"PASS","FAIL")</x:f>
        <x:v>PASS</x:v>
      </x:c>
      <x:c r="R1173" s="70" t="s">
        <x:v>34</x:v>
      </x:c>
      <x:c r="S1173" s="70"/>
    </x:row>
    <x:row r="1174" ht="15" hidden="0">
      <x:c r="A1174" s="70" t="s">
        <x:v>2473</x:v>
      </x:c>
      <x:c r="B1174" s="70" t="s">
        <x:v>37</x:v>
      </x:c>
      <x:c r="C1174" s="70" t="s">
        <x:v>74</x:v>
      </x:c>
      <x:c r="D1174" s="70" t="s">
        <x:v>473</x:v>
      </x:c>
      <x:c r="E1174" s="70" t="s">
        <x:v>172</x:v>
      </x:c>
      <x:c r="F1174" s="70" t="s">
        <x:v>1577</x:v>
      </x:c>
      <x:c r="G1174" s="70" t="s">
        <x:v>2113</x:v>
      </x:c>
      <x:c r="H1174" s="70" t="s">
        <x:v>1208</x:v>
      </x:c>
      <x:c r="I1174" s="70" t="s">
        <x:v>1199</x:v>
      </x:c>
      <x:c r="J1174" s="70" t="n">
        <x:v>155</x:v>
      </x:c>
      <x:c r="K1174" s="70" t="s">
        <x:v>2270</x:v>
      </x:c>
      <x:c r="L1174" s="70"/>
      <x:c r="M1174" s="70" t="s">
        <x:v>40</x:v>
      </x:c>
      <x:c r="N1174" s="71" t="n">
        <x:v>941866</x:v>
      </x:c>
      <x:c r="O1174" s="72" t="n">
        <x:f aca="0">N1174/1000</x:f>
        <x:v>941.866</x:v>
      </x:c>
      <x:c r="P1174" s="73" t="n">
        <x:f aca="0">DGKC!E116</x:f>
        <x:v>941.866</x:v>
      </x:c>
      <x:c r="Q1174" s="70" t="str">
        <x:f aca="0">IF(ABS(O1174-P1174)&lt;0.000001,"PASS","FAIL")</x:f>
        <x:v>PASS</x:v>
      </x:c>
      <x:c r="R1174" s="70" t="s">
        <x:v>34</x:v>
      </x:c>
      <x:c r="S1174" s="70"/>
    </x:row>
    <x:row r="1175" ht="15" hidden="0">
      <x:c r="A1175" s="70" t="s">
        <x:v>2474</x:v>
      </x:c>
      <x:c r="B1175" s="70" t="s">
        <x:v>37</x:v>
      </x:c>
      <x:c r="C1175" s="70" t="s">
        <x:v>75</x:v>
      </x:c>
      <x:c r="D1175" s="70" t="s">
        <x:v>473</x:v>
      </x:c>
      <x:c r="E1175" s="70" t="s">
        <x:v>172</x:v>
      </x:c>
      <x:c r="F1175" s="70" t="s">
        <x:v>1577</x:v>
      </x:c>
      <x:c r="G1175" s="70" t="s">
        <x:v>2116</x:v>
      </x:c>
      <x:c r="H1175" s="70" t="s">
        <x:v>1211</x:v>
      </x:c>
      <x:c r="I1175" s="70" t="s">
        <x:v>1199</x:v>
      </x:c>
      <x:c r="J1175" s="70" t="n">
        <x:v>155</x:v>
      </x:c>
      <x:c r="K1175" s="70" t="s">
        <x:v>2270</x:v>
      </x:c>
      <x:c r="L1175" s="70"/>
      <x:c r="M1175" s="70" t="s">
        <x:v>40</x:v>
      </x:c>
      <x:c r="N1175" s="71" t="n">
        <x:v>13397298</x:v>
      </x:c>
      <x:c r="O1175" s="72" t="n">
        <x:f aca="0">N1175/1000</x:f>
        <x:v>13397.298</x:v>
      </x:c>
      <x:c r="P1175" s="73" t="n">
        <x:f aca="0">DGKC!F116</x:f>
        <x:v>13397.298</x:v>
      </x:c>
      <x:c r="Q1175" s="70" t="str">
        <x:f aca="0">IF(ABS(O1175-P1175)&lt;0.000001,"PASS","FAIL")</x:f>
        <x:v>PASS</x:v>
      </x:c>
      <x:c r="R1175" s="70" t="s">
        <x:v>34</x:v>
      </x:c>
      <x:c r="S1175" s="70"/>
    </x:row>
    <x:row r="1176" ht="15" hidden="0">
      <x:c r="A1176" s="70" t="s">
        <x:v>2475</x:v>
      </x:c>
      <x:c r="B1176" s="70" t="s">
        <x:v>37</x:v>
      </x:c>
      <x:c r="C1176" s="70" t="s">
        <x:v>76</x:v>
      </x:c>
      <x:c r="D1176" s="70" t="s">
        <x:v>473</x:v>
      </x:c>
      <x:c r="E1176" s="70" t="s">
        <x:v>172</x:v>
      </x:c>
      <x:c r="F1176" s="70" t="s">
        <x:v>1577</x:v>
      </x:c>
      <x:c r="G1176" s="70" t="s">
        <x:v>2118</x:v>
      </x:c>
      <x:c r="H1176" s="70" t="s">
        <x:v>1215</x:v>
      </x:c>
      <x:c r="I1176" s="70" t="s">
        <x:v>1199</x:v>
      </x:c>
      <x:c r="J1176" s="70" t="n">
        <x:v>157</x:v>
      </x:c>
      <x:c r="K1176" s="70" t="s">
        <x:v>2302</x:v>
      </x:c>
      <x:c r="L1176" s="70"/>
      <x:c r="M1176" s="70" t="s">
        <x:v>40</x:v>
      </x:c>
      <x:c r="N1176" s="71" t="n">
        <x:v>13222675</x:v>
      </x:c>
      <x:c r="O1176" s="72" t="n">
        <x:f aca="0">N1176/1000</x:f>
        <x:v>13222.675</x:v>
      </x:c>
      <x:c r="P1176" s="73" t="n">
        <x:f aca="0">DGKC!G116</x:f>
        <x:v>13222.675</x:v>
      </x:c>
      <x:c r="Q1176" s="70" t="str">
        <x:f aca="0">IF(ABS(O1176-P1176)&lt;0.000001,"PASS","FAIL")</x:f>
        <x:v>PASS</x:v>
      </x:c>
      <x:c r="R1176" s="70" t="s">
        <x:v>34</x:v>
      </x:c>
      <x:c r="S1176" s="70"/>
    </x:row>
    <x:row r="1177" ht="15" hidden="0">
      <x:c r="A1177" s="70" t="s">
        <x:v>2476</x:v>
      </x:c>
      <x:c r="B1177" s="70" t="s">
        <x:v>37</x:v>
      </x:c>
      <x:c r="C1177" s="70" t="s">
        <x:v>77</x:v>
      </x:c>
      <x:c r="D1177" s="70" t="s">
        <x:v>473</x:v>
      </x:c>
      <x:c r="E1177" s="70" t="s">
        <x:v>172</x:v>
      </x:c>
      <x:c r="F1177" s="70" t="s">
        <x:v>1577</x:v>
      </x:c>
      <x:c r="G1177" s="70" t="s">
        <x:v>2118</x:v>
      </x:c>
      <x:c r="H1177" s="70" t="s">
        <x:v>1215</x:v>
      </x:c>
      <x:c r="I1177" s="70" t="s">
        <x:v>1218</x:v>
      </x:c>
      <x:c r="J1177" s="70" t="n">
        <x:v>157</x:v>
      </x:c>
      <x:c r="K1177" s="70" t="s">
        <x:v>2302</x:v>
      </x:c>
      <x:c r="L1177" s="70"/>
      <x:c r="M1177" s="70" t="s">
        <x:v>40</x:v>
      </x:c>
      <x:c r="N1177" s="71" t="n">
        <x:v>15811428</x:v>
      </x:c>
      <x:c r="O1177" s="72" t="n">
        <x:f aca="0">N1177/1000</x:f>
        <x:v>15811.428</x:v>
      </x:c>
      <x:c r="P1177" s="73" t="n">
        <x:f aca="0">DGKC!H116</x:f>
        <x:v>15811.428</x:v>
      </x:c>
      <x:c r="Q1177" s="70" t="str">
        <x:f aca="0">IF(ABS(O1177-P1177)&lt;0.000001,"PASS","FAIL")</x:f>
        <x:v>PASS</x:v>
      </x:c>
      <x:c r="R1177" s="70" t="s">
        <x:v>34</x:v>
      </x:c>
      <x:c r="S1177" s="70"/>
    </x:row>
    <x:row r="1178" ht="15" hidden="0">
      <x:c r="A1178" s="70" t="s">
        <x:v>2477</x:v>
      </x:c>
      <x:c r="B1178" s="70" t="s">
        <x:v>37</x:v>
      </x:c>
      <x:c r="C1178" s="70" t="s">
        <x:v>73</x:v>
      </x:c>
      <x:c r="D1178" s="70" t="s">
        <x:v>475</x:v>
      </x:c>
      <x:c r="E1178" s="70" t="s">
        <x:v>172</x:v>
      </x:c>
      <x:c r="F1178" s="70" t="s">
        <x:v>2478</x:v>
      </x:c>
      <x:c r="G1178" s="70" t="s">
        <x:v>2110</x:v>
      </x:c>
      <x:c r="H1178" s="70" t="s">
        <x:v>1204</x:v>
      </x:c>
      <x:c r="I1178" s="70" t="s">
        <x:v>1199</x:v>
      </x:c>
      <x:c r="J1178" s="70" t="n">
        <x:v>129</x:v>
      </x:c>
      <x:c r="K1178" s="70" t="s">
        <x:v>2472</x:v>
      </x:c>
      <x:c r="L1178" s="70"/>
      <x:c r="M1178" s="70" t="s">
        <x:v>40</x:v>
      </x:c>
      <x:c r="N1178" s="71" t="n">
        <x:v>6161190</x:v>
      </x:c>
      <x:c r="O1178" s="72" t="n">
        <x:f aca="0">N1178/1000</x:f>
        <x:v>6161.19</x:v>
      </x:c>
      <x:c r="P1178" s="73" t="n">
        <x:f aca="0">DGKC!D117</x:f>
        <x:v>6161.19</x:v>
      </x:c>
      <x:c r="Q1178" s="70" t="str">
        <x:f aca="0">IF(ABS(O1178-P1178)&lt;0.000001,"PASS","FAIL")</x:f>
        <x:v>PASS</x:v>
      </x:c>
      <x:c r="R1178" s="70" t="s">
        <x:v>34</x:v>
      </x:c>
      <x:c r="S1178" s="70"/>
    </x:row>
    <x:row r="1179" ht="15" hidden="0">
      <x:c r="A1179" s="70" t="s">
        <x:v>2479</x:v>
      </x:c>
      <x:c r="B1179" s="70" t="s">
        <x:v>37</x:v>
      </x:c>
      <x:c r="C1179" s="70" t="s">
        <x:v>74</x:v>
      </x:c>
      <x:c r="D1179" s="70" t="s">
        <x:v>475</x:v>
      </x:c>
      <x:c r="E1179" s="70" t="s">
        <x:v>172</x:v>
      </x:c>
      <x:c r="F1179" s="70" t="s">
        <x:v>2480</x:v>
      </x:c>
      <x:c r="G1179" s="70" t="s">
        <x:v>2113</x:v>
      </x:c>
      <x:c r="H1179" s="70" t="s">
        <x:v>1208</x:v>
      </x:c>
      <x:c r="I1179" s="70" t="s">
        <x:v>1199</x:v>
      </x:c>
      <x:c r="J1179" s="70" t="n">
        <x:v>155</x:v>
      </x:c>
      <x:c r="K1179" s="70" t="s">
        <x:v>2270</x:v>
      </x:c>
      <x:c r="L1179" s="70"/>
      <x:c r="M1179" s="70" t="s">
        <x:v>40</x:v>
      </x:c>
      <x:c r="N1179" s="71" t="n">
        <x:v>-3932479</x:v>
      </x:c>
      <x:c r="O1179" s="72" t="n">
        <x:f aca="0">N1179/1000</x:f>
        <x:v>-3932.479</x:v>
      </x:c>
      <x:c r="P1179" s="73" t="n">
        <x:f aca="0">DGKC!E117</x:f>
        <x:v>-3932.479</x:v>
      </x:c>
      <x:c r="Q1179" s="70" t="str">
        <x:f aca="0">IF(ABS(O1179-P1179)&lt;0.000001,"PASS","FAIL")</x:f>
        <x:v>PASS</x:v>
      </x:c>
      <x:c r="R1179" s="70" t="s">
        <x:v>34</x:v>
      </x:c>
      <x:c r="S1179" s="70"/>
    </x:row>
    <x:row r="1180" ht="15" hidden="0">
      <x:c r="A1180" s="70" t="s">
        <x:v>2481</x:v>
      </x:c>
      <x:c r="B1180" s="70" t="s">
        <x:v>37</x:v>
      </x:c>
      <x:c r="C1180" s="70" t="s">
        <x:v>75</x:v>
      </x:c>
      <x:c r="D1180" s="70" t="s">
        <x:v>475</x:v>
      </x:c>
      <x:c r="E1180" s="70" t="s">
        <x:v>172</x:v>
      </x:c>
      <x:c r="F1180" s="70" t="s">
        <x:v>2482</x:v>
      </x:c>
      <x:c r="G1180" s="70" t="s">
        <x:v>2116</x:v>
      </x:c>
      <x:c r="H1180" s="70" t="s">
        <x:v>1211</x:v>
      </x:c>
      <x:c r="I1180" s="70" t="s">
        <x:v>1199</x:v>
      </x:c>
      <x:c r="J1180" s="70" t="n">
        <x:v>155</x:v>
      </x:c>
      <x:c r="K1180" s="70" t="s">
        <x:v>2270</x:v>
      </x:c>
      <x:c r="L1180" s="70"/>
      <x:c r="M1180" s="70" t="s">
        <x:v>40</x:v>
      </x:c>
      <x:c r="N1180" s="71" t="n">
        <x:v>6504234</x:v>
      </x:c>
      <x:c r="O1180" s="72" t="n">
        <x:f aca="0">N1180/1000</x:f>
        <x:v>6504.234</x:v>
      </x:c>
      <x:c r="P1180" s="73" t="n">
        <x:f aca="0">DGKC!F117</x:f>
        <x:v>6504.234</x:v>
      </x:c>
      <x:c r="Q1180" s="70" t="str">
        <x:f aca="0">IF(ABS(O1180-P1180)&lt;0.000001,"PASS","FAIL")</x:f>
        <x:v>PASS</x:v>
      </x:c>
      <x:c r="R1180" s="70" t="s">
        <x:v>34</x:v>
      </x:c>
      <x:c r="S1180" s="70"/>
    </x:row>
    <x:row r="1181" ht="15" hidden="0">
      <x:c r="A1181" s="70" t="s">
        <x:v>2483</x:v>
      </x:c>
      <x:c r="B1181" s="70" t="s">
        <x:v>37</x:v>
      </x:c>
      <x:c r="C1181" s="70" t="s">
        <x:v>76</x:v>
      </x:c>
      <x:c r="D1181" s="70" t="s">
        <x:v>475</x:v>
      </x:c>
      <x:c r="E1181" s="70" t="s">
        <x:v>172</x:v>
      </x:c>
      <x:c r="F1181" s="70" t="s">
        <x:v>2482</x:v>
      </x:c>
      <x:c r="G1181" s="70" t="s">
        <x:v>2118</x:v>
      </x:c>
      <x:c r="H1181" s="70" t="s">
        <x:v>1215</x:v>
      </x:c>
      <x:c r="I1181" s="70" t="s">
        <x:v>1199</x:v>
      </x:c>
      <x:c r="J1181" s="70" t="n">
        <x:v>157</x:v>
      </x:c>
      <x:c r="K1181" s="70" t="s">
        <x:v>2302</x:v>
      </x:c>
      <x:c r="L1181" s="70"/>
      <x:c r="M1181" s="70" t="s">
        <x:v>40</x:v>
      </x:c>
      <x:c r="N1181" s="71" t="n">
        <x:v>6029545</x:v>
      </x:c>
      <x:c r="O1181" s="72" t="n">
        <x:f aca="0">N1181/1000</x:f>
        <x:v>6029.545</x:v>
      </x:c>
      <x:c r="P1181" s="73" t="n">
        <x:f aca="0">DGKC!G117</x:f>
        <x:v>6029.545</x:v>
      </x:c>
      <x:c r="Q1181" s="70" t="str">
        <x:f aca="0">IF(ABS(O1181-P1181)&lt;0.000001,"PASS","FAIL")</x:f>
        <x:v>PASS</x:v>
      </x:c>
      <x:c r="R1181" s="70" t="s">
        <x:v>34</x:v>
      </x:c>
      <x:c r="S1181" s="70"/>
    </x:row>
    <x:row r="1182" ht="15" hidden="0">
      <x:c r="A1182" s="70" t="s">
        <x:v>2484</x:v>
      </x:c>
      <x:c r="B1182" s="70" t="s">
        <x:v>37</x:v>
      </x:c>
      <x:c r="C1182" s="70" t="s">
        <x:v>77</x:v>
      </x:c>
      <x:c r="D1182" s="70" t="s">
        <x:v>475</x:v>
      </x:c>
      <x:c r="E1182" s="70" t="s">
        <x:v>172</x:v>
      </x:c>
      <x:c r="F1182" s="70" t="s">
        <x:v>2482</x:v>
      </x:c>
      <x:c r="G1182" s="70" t="s">
        <x:v>2118</x:v>
      </x:c>
      <x:c r="H1182" s="70" t="s">
        <x:v>1215</x:v>
      </x:c>
      <x:c r="I1182" s="70" t="s">
        <x:v>1218</x:v>
      </x:c>
      <x:c r="J1182" s="70" t="n">
        <x:v>157</x:v>
      </x:c>
      <x:c r="K1182" s="70" t="s">
        <x:v>2302</x:v>
      </x:c>
      <x:c r="L1182" s="70"/>
      <x:c r="M1182" s="70" t="s">
        <x:v>40</x:v>
      </x:c>
      <x:c r="N1182" s="71" t="n">
        <x:v>10034132</x:v>
      </x:c>
      <x:c r="O1182" s="72" t="n">
        <x:f aca="0">N1182/1000</x:f>
        <x:v>10034.132</x:v>
      </x:c>
      <x:c r="P1182" s="73" t="n">
        <x:f aca="0">DGKC!H117</x:f>
        <x:v>10034.132</x:v>
      </x:c>
      <x:c r="Q1182" s="70" t="str">
        <x:f aca="0">IF(ABS(O1182-P1182)&lt;0.000001,"PASS","FAIL")</x:f>
        <x:v>PASS</x:v>
      </x:c>
      <x:c r="R1182" s="70" t="s">
        <x:v>34</x:v>
      </x:c>
      <x:c r="S1182" s="70"/>
    </x:row>
    <x:row r="1183" ht="15" hidden="0">
      <x:c r="A1183" s="70" t="s">
        <x:v>2485</x:v>
      </x:c>
      <x:c r="B1183" s="70" t="s">
        <x:v>37</x:v>
      </x:c>
      <x:c r="C1183" s="70" t="s">
        <x:v>73</x:v>
      </x:c>
      <x:c r="D1183" s="70" t="s">
        <x:v>477</x:v>
      </x:c>
      <x:c r="E1183" s="70" t="s">
        <x:v>172</x:v>
      </x:c>
      <x:c r="F1183" s="70" t="s">
        <x:v>1589</x:v>
      </x:c>
      <x:c r="G1183" s="70" t="s">
        <x:v>2110</x:v>
      </x:c>
      <x:c r="H1183" s="70" t="s">
        <x:v>1204</x:v>
      </x:c>
      <x:c r="I1183" s="70" t="s">
        <x:v>1199</x:v>
      </x:c>
      <x:c r="J1183" s="70" t="n">
        <x:v>129</x:v>
      </x:c>
      <x:c r="K1183" s="70" t="s">
        <x:v>2472</x:v>
      </x:c>
      <x:c r="L1183" s="70"/>
      <x:c r="M1183" s="70" t="s">
        <x:v>40</x:v>
      </x:c>
      <x:c r="N1183" s="71" t="n">
        <x:v>-3125381</x:v>
      </x:c>
      <x:c r="O1183" s="72" t="n">
        <x:f aca="0">N1183/1000</x:f>
        <x:v>-3125.381</x:v>
      </x:c>
      <x:c r="P1183" s="73" t="n">
        <x:f aca="0">DGKC!D118</x:f>
        <x:v>-3125.381</x:v>
      </x:c>
      <x:c r="Q1183" s="70" t="str">
        <x:f aca="0">IF(ABS(O1183-P1183)&lt;0.000001,"PASS","FAIL")</x:f>
        <x:v>PASS</x:v>
      </x:c>
      <x:c r="R1183" s="70" t="s">
        <x:v>34</x:v>
      </x:c>
      <x:c r="S1183" s="70"/>
    </x:row>
    <x:row r="1184" ht="15" hidden="0">
      <x:c r="A1184" s="70" t="s">
        <x:v>2486</x:v>
      </x:c>
      <x:c r="B1184" s="70" t="s">
        <x:v>37</x:v>
      </x:c>
      <x:c r="C1184" s="70" t="s">
        <x:v>74</x:v>
      </x:c>
      <x:c r="D1184" s="70" t="s">
        <x:v>477</x:v>
      </x:c>
      <x:c r="E1184" s="70" t="s">
        <x:v>172</x:v>
      </x:c>
      <x:c r="F1184" s="70" t="s">
        <x:v>1589</x:v>
      </x:c>
      <x:c r="G1184" s="70" t="s">
        <x:v>2113</x:v>
      </x:c>
      <x:c r="H1184" s="70" t="s">
        <x:v>1208</x:v>
      </x:c>
      <x:c r="I1184" s="70" t="s">
        <x:v>1199</x:v>
      </x:c>
      <x:c r="J1184" s="70" t="n">
        <x:v>155</x:v>
      </x:c>
      <x:c r="K1184" s="70" t="s">
        <x:v>2270</x:v>
      </x:c>
      <x:c r="L1184" s="70"/>
      <x:c r="M1184" s="70" t="s">
        <x:v>40</x:v>
      </x:c>
      <x:c r="N1184" s="71" t="n">
        <x:v>-3195727</x:v>
      </x:c>
      <x:c r="O1184" s="72" t="n">
        <x:f aca="0">N1184/1000</x:f>
        <x:v>-3195.727</x:v>
      </x:c>
      <x:c r="P1184" s="73" t="n">
        <x:f aca="0">DGKC!E118</x:f>
        <x:v>-3195.727</x:v>
      </x:c>
      <x:c r="Q1184" s="70" t="str">
        <x:f aca="0">IF(ABS(O1184-P1184)&lt;0.000001,"PASS","FAIL")</x:f>
        <x:v>PASS</x:v>
      </x:c>
      <x:c r="R1184" s="70" t="s">
        <x:v>34</x:v>
      </x:c>
      <x:c r="S1184" s="70"/>
    </x:row>
    <x:row r="1185" ht="15" hidden="0">
      <x:c r="A1185" s="70" t="s">
        <x:v>2487</x:v>
      </x:c>
      <x:c r="B1185" s="70" t="s">
        <x:v>37</x:v>
      </x:c>
      <x:c r="C1185" s="70" t="s">
        <x:v>75</x:v>
      </x:c>
      <x:c r="D1185" s="70" t="s">
        <x:v>477</x:v>
      </x:c>
      <x:c r="E1185" s="70" t="s">
        <x:v>172</x:v>
      </x:c>
      <x:c r="F1185" s="70" t="s">
        <x:v>1589</x:v>
      </x:c>
      <x:c r="G1185" s="70" t="s">
        <x:v>2116</x:v>
      </x:c>
      <x:c r="H1185" s="70" t="s">
        <x:v>1211</x:v>
      </x:c>
      <x:c r="I1185" s="70" t="s">
        <x:v>1199</x:v>
      </x:c>
      <x:c r="J1185" s="70" t="n">
        <x:v>155</x:v>
      </x:c>
      <x:c r="K1185" s="70" t="s">
        <x:v>2270</x:v>
      </x:c>
      <x:c r="L1185" s="70"/>
      <x:c r="M1185" s="70" t="s">
        <x:v>40</x:v>
      </x:c>
      <x:c r="N1185" s="71" t="n">
        <x:v>-5998599</x:v>
      </x:c>
      <x:c r="O1185" s="72" t="n">
        <x:f aca="0">N1185/1000</x:f>
        <x:v>-5998.599</x:v>
      </x:c>
      <x:c r="P1185" s="73" t="n">
        <x:f aca="0">DGKC!F118</x:f>
        <x:v>-5998.599</x:v>
      </x:c>
      <x:c r="Q1185" s="70" t="str">
        <x:f aca="0">IF(ABS(O1185-P1185)&lt;0.000001,"PASS","FAIL")</x:f>
        <x:v>PASS</x:v>
      </x:c>
      <x:c r="R1185" s="70" t="s">
        <x:v>34</x:v>
      </x:c>
      <x:c r="S1185" s="70"/>
    </x:row>
    <x:row r="1186" ht="15" hidden="0">
      <x:c r="A1186" s="70" t="s">
        <x:v>2488</x:v>
      </x:c>
      <x:c r="B1186" s="70" t="s">
        <x:v>37</x:v>
      </x:c>
      <x:c r="C1186" s="70" t="s">
        <x:v>76</x:v>
      </x:c>
      <x:c r="D1186" s="70" t="s">
        <x:v>477</x:v>
      </x:c>
      <x:c r="E1186" s="70" t="s">
        <x:v>172</x:v>
      </x:c>
      <x:c r="F1186" s="70" t="s">
        <x:v>1589</x:v>
      </x:c>
      <x:c r="G1186" s="70" t="s">
        <x:v>2118</x:v>
      </x:c>
      <x:c r="H1186" s="70" t="s">
        <x:v>1215</x:v>
      </x:c>
      <x:c r="I1186" s="70" t="s">
        <x:v>1199</x:v>
      </x:c>
      <x:c r="J1186" s="70" t="n">
        <x:v>157</x:v>
      </x:c>
      <x:c r="K1186" s="70" t="s">
        <x:v>2302</x:v>
      </x:c>
      <x:c r="L1186" s="70"/>
      <x:c r="M1186" s="70" t="s">
        <x:v>40</x:v>
      </x:c>
      <x:c r="N1186" s="71" t="n">
        <x:v>-8460206</x:v>
      </x:c>
      <x:c r="O1186" s="72" t="n">
        <x:f aca="0">N1186/1000</x:f>
        <x:v>-8460.206</x:v>
      </x:c>
      <x:c r="P1186" s="73" t="n">
        <x:f aca="0">DGKC!G118</x:f>
        <x:v>-8460.206</x:v>
      </x:c>
      <x:c r="Q1186" s="70" t="str">
        <x:f aca="0">IF(ABS(O1186-P1186)&lt;0.000001,"PASS","FAIL")</x:f>
        <x:v>PASS</x:v>
      </x:c>
      <x:c r="R1186" s="70" t="s">
        <x:v>34</x:v>
      </x:c>
      <x:c r="S1186" s="70"/>
    </x:row>
    <x:row r="1187" ht="15" hidden="0">
      <x:c r="A1187" s="70" t="s">
        <x:v>2489</x:v>
      </x:c>
      <x:c r="B1187" s="70" t="s">
        <x:v>37</x:v>
      </x:c>
      <x:c r="C1187" s="70" t="s">
        <x:v>77</x:v>
      </x:c>
      <x:c r="D1187" s="70" t="s">
        <x:v>477</x:v>
      </x:c>
      <x:c r="E1187" s="70" t="s">
        <x:v>172</x:v>
      </x:c>
      <x:c r="F1187" s="70" t="s">
        <x:v>1589</x:v>
      </x:c>
      <x:c r="G1187" s="70" t="s">
        <x:v>2118</x:v>
      </x:c>
      <x:c r="H1187" s="70" t="s">
        <x:v>1215</x:v>
      </x:c>
      <x:c r="I1187" s="70" t="s">
        <x:v>1218</x:v>
      </x:c>
      <x:c r="J1187" s="70" t="n">
        <x:v>157</x:v>
      </x:c>
      <x:c r="K1187" s="70" t="s">
        <x:v>2302</x:v>
      </x:c>
      <x:c r="L1187" s="70"/>
      <x:c r="M1187" s="70" t="s">
        <x:v>40</x:v>
      </x:c>
      <x:c r="N1187" s="71" t="n">
        <x:v>-4921199</x:v>
      </x:c>
      <x:c r="O1187" s="72" t="n">
        <x:f aca="0">N1187/1000</x:f>
        <x:v>-4921.199</x:v>
      </x:c>
      <x:c r="P1187" s="73" t="n">
        <x:f aca="0">DGKC!H118</x:f>
        <x:v>-4921.199</x:v>
      </x:c>
      <x:c r="Q1187" s="70" t="str">
        <x:f aca="0">IF(ABS(O1187-P1187)&lt;0.000001,"PASS","FAIL")</x:f>
        <x:v>PASS</x:v>
      </x:c>
      <x:c r="R1187" s="70" t="s">
        <x:v>34</x:v>
      </x:c>
      <x:c r="S1187" s="70"/>
    </x:row>
    <x:row r="1188" ht="15" hidden="0">
      <x:c r="A1188" s="70" t="s">
        <x:v>2490</x:v>
      </x:c>
      <x:c r="B1188" s="70" t="s">
        <x:v>37</x:v>
      </x:c>
      <x:c r="C1188" s="70" t="s">
        <x:v>73</x:v>
      </x:c>
      <x:c r="D1188" s="70" t="s">
        <x:v>479</x:v>
      </x:c>
      <x:c r="E1188" s="70" t="s">
        <x:v>172</x:v>
      </x:c>
      <x:c r="F1188" s="70" t="s">
        <x:v>1595</x:v>
      </x:c>
      <x:c r="G1188" s="70" t="s">
        <x:v>2110</x:v>
      </x:c>
      <x:c r="H1188" s="70" t="s">
        <x:v>1204</x:v>
      </x:c>
      <x:c r="I1188" s="70" t="s">
        <x:v>1199</x:v>
      </x:c>
      <x:c r="J1188" s="70" t="n">
        <x:v>129</x:v>
      </x:c>
      <x:c r="K1188" s="70" t="s">
        <x:v>2472</x:v>
      </x:c>
      <x:c r="L1188" s="70"/>
      <x:c r="M1188" s="70" t="s">
        <x:v>482</x:v>
      </x:c>
      <x:c r="N1188" s="70" t="s">
        <x:v>481</x:v>
      </x:c>
      <x:c r="O1188" s="70" t="str">
        <x:f aca="0">N1188</x:f>
        <x:v>Operating</x:v>
      </x:c>
      <x:c r="P1188" s="70" t="str">
        <x:f aca="0">DGKC!D119</x:f>
        <x:v>Operating</x:v>
      </x:c>
      <x:c r="Q1188" s="70" t="str">
        <x:f aca="0">IF(O1188=P1188,"PASS","FAIL")</x:f>
        <x:v>PASS</x:v>
      </x:c>
      <x:c r="R1188" s="70" t="s">
        <x:v>34</x:v>
      </x:c>
      <x:c r="S1188" s="70"/>
    </x:row>
    <x:row r="1189" ht="15" hidden="0">
      <x:c r="A1189" s="70" t="s">
        <x:v>2491</x:v>
      </x:c>
      <x:c r="B1189" s="70" t="s">
        <x:v>37</x:v>
      </x:c>
      <x:c r="C1189" s="70" t="s">
        <x:v>74</x:v>
      </x:c>
      <x:c r="D1189" s="70" t="s">
        <x:v>479</x:v>
      </x:c>
      <x:c r="E1189" s="70" t="s">
        <x:v>172</x:v>
      </x:c>
      <x:c r="F1189" s="70" t="s">
        <x:v>1595</x:v>
      </x:c>
      <x:c r="G1189" s="70" t="s">
        <x:v>2113</x:v>
      </x:c>
      <x:c r="H1189" s="70" t="s">
        <x:v>1208</x:v>
      </x:c>
      <x:c r="I1189" s="70" t="s">
        <x:v>1199</x:v>
      </x:c>
      <x:c r="J1189" s="70" t="n">
        <x:v>155</x:v>
      </x:c>
      <x:c r="K1189" s="70" t="s">
        <x:v>2270</x:v>
      </x:c>
      <x:c r="L1189" s="70"/>
      <x:c r="M1189" s="70" t="s">
        <x:v>482</x:v>
      </x:c>
      <x:c r="N1189" s="70" t="s">
        <x:v>481</x:v>
      </x:c>
      <x:c r="O1189" s="70" t="str">
        <x:f aca="0">N1189</x:f>
        <x:v>Operating</x:v>
      </x:c>
      <x:c r="P1189" s="70" t="str">
        <x:f aca="0">DGKC!E119</x:f>
        <x:v>Operating</x:v>
      </x:c>
      <x:c r="Q1189" s="70" t="str">
        <x:f aca="0">IF(O1189=P1189,"PASS","FAIL")</x:f>
        <x:v>PASS</x:v>
      </x:c>
      <x:c r="R1189" s="70" t="s">
        <x:v>34</x:v>
      </x:c>
      <x:c r="S1189" s="70"/>
    </x:row>
    <x:row r="1190" ht="15" hidden="0">
      <x:c r="A1190" s="70" t="s">
        <x:v>2492</x:v>
      </x:c>
      <x:c r="B1190" s="70" t="s">
        <x:v>37</x:v>
      </x:c>
      <x:c r="C1190" s="70" t="s">
        <x:v>75</x:v>
      </x:c>
      <x:c r="D1190" s="70" t="s">
        <x:v>479</x:v>
      </x:c>
      <x:c r="E1190" s="70" t="s">
        <x:v>172</x:v>
      </x:c>
      <x:c r="F1190" s="70" t="s">
        <x:v>1595</x:v>
      </x:c>
      <x:c r="G1190" s="70" t="s">
        <x:v>2116</x:v>
      </x:c>
      <x:c r="H1190" s="70" t="s">
        <x:v>1211</x:v>
      </x:c>
      <x:c r="I1190" s="70" t="s">
        <x:v>1199</x:v>
      </x:c>
      <x:c r="J1190" s="70" t="n">
        <x:v>155</x:v>
      </x:c>
      <x:c r="K1190" s="70" t="s">
        <x:v>2270</x:v>
      </x:c>
      <x:c r="L1190" s="70"/>
      <x:c r="M1190" s="70" t="s">
        <x:v>482</x:v>
      </x:c>
      <x:c r="N1190" s="70" t="s">
        <x:v>481</x:v>
      </x:c>
      <x:c r="O1190" s="70" t="str">
        <x:f aca="0">N1190</x:f>
        <x:v>Operating</x:v>
      </x:c>
      <x:c r="P1190" s="70" t="str">
        <x:f aca="0">DGKC!F119</x:f>
        <x:v>Operating</x:v>
      </x:c>
      <x:c r="Q1190" s="70" t="str">
        <x:f aca="0">IF(O1190=P1190,"PASS","FAIL")</x:f>
        <x:v>PASS</x:v>
      </x:c>
      <x:c r="R1190" s="70" t="s">
        <x:v>34</x:v>
      </x:c>
      <x:c r="S1190" s="70"/>
    </x:row>
    <x:row r="1191" ht="15" hidden="0">
      <x:c r="A1191" s="70" t="s">
        <x:v>2493</x:v>
      </x:c>
      <x:c r="B1191" s="70" t="s">
        <x:v>37</x:v>
      </x:c>
      <x:c r="C1191" s="70" t="s">
        <x:v>76</x:v>
      </x:c>
      <x:c r="D1191" s="70" t="s">
        <x:v>479</x:v>
      </x:c>
      <x:c r="E1191" s="70" t="s">
        <x:v>172</x:v>
      </x:c>
      <x:c r="F1191" s="70" t="s">
        <x:v>1595</x:v>
      </x:c>
      <x:c r="G1191" s="70" t="s">
        <x:v>2118</x:v>
      </x:c>
      <x:c r="H1191" s="70" t="s">
        <x:v>1215</x:v>
      </x:c>
      <x:c r="I1191" s="70" t="s">
        <x:v>1199</x:v>
      </x:c>
      <x:c r="J1191" s="70" t="n">
        <x:v>157</x:v>
      </x:c>
      <x:c r="K1191" s="70" t="s">
        <x:v>2302</x:v>
      </x:c>
      <x:c r="L1191" s="70"/>
      <x:c r="M1191" s="70" t="s">
        <x:v>482</x:v>
      </x:c>
      <x:c r="N1191" s="70" t="s">
        <x:v>481</x:v>
      </x:c>
      <x:c r="O1191" s="70" t="str">
        <x:f aca="0">N1191</x:f>
        <x:v>Operating</x:v>
      </x:c>
      <x:c r="P1191" s="70" t="str">
        <x:f aca="0">DGKC!G119</x:f>
        <x:v>Operating</x:v>
      </x:c>
      <x:c r="Q1191" s="70" t="str">
        <x:f aca="0">IF(O1191=P1191,"PASS","FAIL")</x:f>
        <x:v>PASS</x:v>
      </x:c>
      <x:c r="R1191" s="70" t="s">
        <x:v>34</x:v>
      </x:c>
      <x:c r="S1191" s="70"/>
    </x:row>
    <x:row r="1192" ht="15" hidden="0">
      <x:c r="A1192" s="70" t="s">
        <x:v>2494</x:v>
      </x:c>
      <x:c r="B1192" s="70" t="s">
        <x:v>37</x:v>
      </x:c>
      <x:c r="C1192" s="70" t="s">
        <x:v>77</x:v>
      </x:c>
      <x:c r="D1192" s="70" t="s">
        <x:v>479</x:v>
      </x:c>
      <x:c r="E1192" s="70" t="s">
        <x:v>172</x:v>
      </x:c>
      <x:c r="F1192" s="70" t="s">
        <x:v>1595</x:v>
      </x:c>
      <x:c r="G1192" s="70" t="s">
        <x:v>2118</x:v>
      </x:c>
      <x:c r="H1192" s="70" t="s">
        <x:v>1215</x:v>
      </x:c>
      <x:c r="I1192" s="70" t="s">
        <x:v>1218</x:v>
      </x:c>
      <x:c r="J1192" s="70" t="n">
        <x:v>157</x:v>
      </x:c>
      <x:c r="K1192" s="70" t="s">
        <x:v>2302</x:v>
      </x:c>
      <x:c r="L1192" s="70"/>
      <x:c r="M1192" s="70" t="s">
        <x:v>482</x:v>
      </x:c>
      <x:c r="N1192" s="70" t="s">
        <x:v>481</x:v>
      </x:c>
      <x:c r="O1192" s="70" t="str">
        <x:f aca="0">N1192</x:f>
        <x:v>Operating</x:v>
      </x:c>
      <x:c r="P1192" s="70" t="str">
        <x:f aca="0">DGKC!H119</x:f>
        <x:v>Operating</x:v>
      </x:c>
      <x:c r="Q1192" s="70" t="str">
        <x:f aca="0">IF(O1192=P1192,"PASS","FAIL")</x:f>
        <x:v>PASS</x:v>
      </x:c>
      <x:c r="R1192" s="70" t="s">
        <x:v>34</x:v>
      </x:c>
      <x:c r="S1192" s="70"/>
    </x:row>
    <x:row r="1193" ht="15" hidden="0">
      <x:c r="A1193" s="70" t="s">
        <x:v>2495</x:v>
      </x:c>
      <x:c r="B1193" s="70" t="s">
        <x:v>37</x:v>
      </x:c>
      <x:c r="C1193" s="70" t="s">
        <x:v>73</x:v>
      </x:c>
      <x:c r="D1193" s="70" t="s">
        <x:v>485</x:v>
      </x:c>
      <x:c r="E1193" s="70" t="s">
        <x:v>172</x:v>
      </x:c>
      <x:c r="F1193" s="70" t="s">
        <x:v>2496</x:v>
      </x:c>
      <x:c r="G1193" s="70" t="s">
        <x:v>2110</x:v>
      </x:c>
      <x:c r="H1193" s="70" t="s">
        <x:v>1204</x:v>
      </x:c>
      <x:c r="I1193" s="70" t="s">
        <x:v>1199</x:v>
      </x:c>
      <x:c r="J1193" s="70" t="n">
        <x:v>129</x:v>
      </x:c>
      <x:c r="K1193" s="70" t="s">
        <x:v>2472</x:v>
      </x:c>
      <x:c r="L1193" s="70"/>
      <x:c r="M1193" s="70" t="s">
        <x:v>40</x:v>
      </x:c>
      <x:c r="N1193" s="71" t="n">
        <x:v>-5087104</x:v>
      </x:c>
      <x:c r="O1193" s="72" t="n">
        <x:f aca="0">N1193/1000</x:f>
        <x:v>-5087.104</x:v>
      </x:c>
      <x:c r="P1193" s="73" t="n">
        <x:f aca="0">DGKC!D121</x:f>
        <x:v>-5087.104</x:v>
      </x:c>
      <x:c r="Q1193" s="70" t="str">
        <x:f aca="0">IF(ABS(O1193-P1193)&lt;0.000001,"PASS","FAIL")</x:f>
        <x:v>PASS</x:v>
      </x:c>
      <x:c r="R1193" s="70" t="s">
        <x:v>34</x:v>
      </x:c>
      <x:c r="S1193" s="70"/>
    </x:row>
    <x:row r="1194" ht="15" hidden="0">
      <x:c r="A1194" s="70" t="s">
        <x:v>2497</x:v>
      </x:c>
      <x:c r="B1194" s="70" t="s">
        <x:v>37</x:v>
      </x:c>
      <x:c r="C1194" s="70" t="s">
        <x:v>74</x:v>
      </x:c>
      <x:c r="D1194" s="70" t="s">
        <x:v>485</x:v>
      </x:c>
      <x:c r="E1194" s="70" t="s">
        <x:v>172</x:v>
      </x:c>
      <x:c r="F1194" s="70" t="s">
        <x:v>2496</x:v>
      </x:c>
      <x:c r="G1194" s="70" t="s">
        <x:v>2113</x:v>
      </x:c>
      <x:c r="H1194" s="70" t="s">
        <x:v>1208</x:v>
      </x:c>
      <x:c r="I1194" s="70" t="s">
        <x:v>1199</x:v>
      </x:c>
      <x:c r="J1194" s="70" t="n">
        <x:v>155</x:v>
      </x:c>
      <x:c r="K1194" s="70" t="s">
        <x:v>2270</x:v>
      </x:c>
      <x:c r="L1194" s="70"/>
      <x:c r="M1194" s="70" t="s">
        <x:v>40</x:v>
      </x:c>
      <x:c r="N1194" s="71" t="n">
        <x:v>-1739551</x:v>
      </x:c>
      <x:c r="O1194" s="72" t="n">
        <x:f aca="0">N1194/1000</x:f>
        <x:v>-1739.551</x:v>
      </x:c>
      <x:c r="P1194" s="73" t="n">
        <x:f aca="0">DGKC!E121</x:f>
        <x:v>-1739.551</x:v>
      </x:c>
      <x:c r="Q1194" s="70" t="str">
        <x:f aca="0">IF(ABS(O1194-P1194)&lt;0.000001,"PASS","FAIL")</x:f>
        <x:v>PASS</x:v>
      </x:c>
      <x:c r="R1194" s="70" t="s">
        <x:v>34</x:v>
      </x:c>
      <x:c r="S1194" s="70"/>
    </x:row>
    <x:row r="1195" ht="15" hidden="0">
      <x:c r="A1195" s="70" t="s">
        <x:v>2498</x:v>
      </x:c>
      <x:c r="B1195" s="70" t="s">
        <x:v>37</x:v>
      </x:c>
      <x:c r="C1195" s="70" t="s">
        <x:v>75</x:v>
      </x:c>
      <x:c r="D1195" s="70" t="s">
        <x:v>485</x:v>
      </x:c>
      <x:c r="E1195" s="70" t="s">
        <x:v>172</x:v>
      </x:c>
      <x:c r="F1195" s="70" t="s">
        <x:v>2496</x:v>
      </x:c>
      <x:c r="G1195" s="70" t="s">
        <x:v>2116</x:v>
      </x:c>
      <x:c r="H1195" s="70" t="s">
        <x:v>1211</x:v>
      </x:c>
      <x:c r="I1195" s="70" t="s">
        <x:v>1199</x:v>
      </x:c>
      <x:c r="J1195" s="70" t="n">
        <x:v>155</x:v>
      </x:c>
      <x:c r="K1195" s="70" t="s">
        <x:v>2270</x:v>
      </x:c>
      <x:c r="L1195" s="70"/>
      <x:c r="M1195" s="70" t="s">
        <x:v>40</x:v>
      </x:c>
      <x:c r="N1195" s="71" t="n">
        <x:v>-3418069</x:v>
      </x:c>
      <x:c r="O1195" s="72" t="n">
        <x:f aca="0">N1195/1000</x:f>
        <x:v>-3418.069</x:v>
      </x:c>
      <x:c r="P1195" s="73" t="n">
        <x:f aca="0">DGKC!F121</x:f>
        <x:v>-3418.069</x:v>
      </x:c>
      <x:c r="Q1195" s="70" t="str">
        <x:f aca="0">IF(ABS(O1195-P1195)&lt;0.000001,"PASS","FAIL")</x:f>
        <x:v>PASS</x:v>
      </x:c>
      <x:c r="R1195" s="70" t="s">
        <x:v>34</x:v>
      </x:c>
      <x:c r="S1195" s="70"/>
    </x:row>
    <x:row r="1196" ht="15" hidden="0">
      <x:c r="A1196" s="70" t="s">
        <x:v>2499</x:v>
      </x:c>
      <x:c r="B1196" s="70" t="s">
        <x:v>37</x:v>
      </x:c>
      <x:c r="C1196" s="70" t="s">
        <x:v>76</x:v>
      </x:c>
      <x:c r="D1196" s="70" t="s">
        <x:v>485</x:v>
      </x:c>
      <x:c r="E1196" s="70" t="s">
        <x:v>172</x:v>
      </x:c>
      <x:c r="F1196" s="70" t="s">
        <x:v>2496</x:v>
      </x:c>
      <x:c r="G1196" s="70" t="s">
        <x:v>2118</x:v>
      </x:c>
      <x:c r="H1196" s="70" t="s">
        <x:v>1215</x:v>
      </x:c>
      <x:c r="I1196" s="70" t="s">
        <x:v>1199</x:v>
      </x:c>
      <x:c r="J1196" s="70" t="n">
        <x:v>157</x:v>
      </x:c>
      <x:c r="K1196" s="70" t="s">
        <x:v>2302</x:v>
      </x:c>
      <x:c r="L1196" s="70"/>
      <x:c r="M1196" s="70" t="s">
        <x:v>40</x:v>
      </x:c>
      <x:c r="N1196" s="71" t="n">
        <x:v>-1620798</x:v>
      </x:c>
      <x:c r="O1196" s="72" t="n">
        <x:f aca="0">N1196/1000</x:f>
        <x:v>-1620.798</x:v>
      </x:c>
      <x:c r="P1196" s="73" t="n">
        <x:f aca="0">DGKC!G121</x:f>
        <x:v>-1620.798</x:v>
      </x:c>
      <x:c r="Q1196" s="70" t="str">
        <x:f aca="0">IF(ABS(O1196-P1196)&lt;0.000001,"PASS","FAIL")</x:f>
        <x:v>PASS</x:v>
      </x:c>
      <x:c r="R1196" s="70" t="s">
        <x:v>34</x:v>
      </x:c>
      <x:c r="S1196" s="70"/>
    </x:row>
    <x:row r="1197" ht="15" hidden="0">
      <x:c r="A1197" s="70" t="s">
        <x:v>2500</x:v>
      </x:c>
      <x:c r="B1197" s="70" t="s">
        <x:v>37</x:v>
      </x:c>
      <x:c r="C1197" s="70" t="s">
        <x:v>77</x:v>
      </x:c>
      <x:c r="D1197" s="70" t="s">
        <x:v>485</x:v>
      </x:c>
      <x:c r="E1197" s="70" t="s">
        <x:v>172</x:v>
      </x:c>
      <x:c r="F1197" s="70" t="s">
        <x:v>2496</x:v>
      </x:c>
      <x:c r="G1197" s="70" t="s">
        <x:v>2118</x:v>
      </x:c>
      <x:c r="H1197" s="70" t="s">
        <x:v>1215</x:v>
      </x:c>
      <x:c r="I1197" s="70" t="s">
        <x:v>1218</x:v>
      </x:c>
      <x:c r="J1197" s="70" t="n">
        <x:v>157</x:v>
      </x:c>
      <x:c r="K1197" s="70" t="s">
        <x:v>2302</x:v>
      </x:c>
      <x:c r="L1197" s="70"/>
      <x:c r="M1197" s="70" t="s">
        <x:v>40</x:v>
      </x:c>
      <x:c r="N1197" s="71" t="n">
        <x:v>-1211491</x:v>
      </x:c>
      <x:c r="O1197" s="72" t="n">
        <x:f aca="0">N1197/1000</x:f>
        <x:v>-1211.491</x:v>
      </x:c>
      <x:c r="P1197" s="73" t="n">
        <x:f aca="0">DGKC!H121</x:f>
        <x:v>-1211.491</x:v>
      </x:c>
      <x:c r="Q1197" s="70" t="str">
        <x:f aca="0">IF(ABS(O1197-P1197)&lt;0.000001,"PASS","FAIL")</x:f>
        <x:v>PASS</x:v>
      </x:c>
      <x:c r="R1197" s="70" t="s">
        <x:v>34</x:v>
      </x:c>
      <x:c r="S1197" s="70"/>
    </x:row>
    <x:row r="1198" ht="15" hidden="0">
      <x:c r="A1198" s="70" t="s">
        <x:v>2501</x:v>
      </x:c>
      <x:c r="B1198" s="70" t="s">
        <x:v>37</x:v>
      </x:c>
      <x:c r="C1198" s="70" t="s">
        <x:v>73</x:v>
      </x:c>
      <x:c r="D1198" s="70" t="s">
        <x:v>487</x:v>
      </x:c>
      <x:c r="E1198" s="70" t="s">
        <x:v>172</x:v>
      </x:c>
      <x:c r="F1198" s="70" t="s">
        <x:v>2502</x:v>
      </x:c>
      <x:c r="G1198" s="70" t="s">
        <x:v>2110</x:v>
      </x:c>
      <x:c r="H1198" s="70" t="s">
        <x:v>1204</x:v>
      </x:c>
      <x:c r="I1198" s="70" t="s">
        <x:v>1199</x:v>
      </x:c>
      <x:c r="J1198" s="70" t="n">
        <x:v>129</x:v>
      </x:c>
      <x:c r="K1198" s="70" t="s">
        <x:v>2472</x:v>
      </x:c>
      <x:c r="L1198" s="70"/>
      <x:c r="M1198" s="70" t="s">
        <x:v>40</x:v>
      </x:c>
      <x:c r="N1198" s="71" t="n">
        <x:v>-2962160</x:v>
      </x:c>
      <x:c r="O1198" s="72" t="n">
        <x:f aca="0">N1198/1000</x:f>
        <x:v>-2962.16</x:v>
      </x:c>
      <x:c r="P1198" s="73" t="n">
        <x:f aca="0">DGKC!D122</x:f>
        <x:v>-2962.16</x:v>
      </x:c>
      <x:c r="Q1198" s="70" t="str">
        <x:f aca="0">IF(ABS(O1198-P1198)&lt;0.000001,"PASS","FAIL")</x:f>
        <x:v>PASS</x:v>
      </x:c>
      <x:c r="R1198" s="70" t="s">
        <x:v>34</x:v>
      </x:c>
      <x:c r="S1198" s="70"/>
    </x:row>
    <x:row r="1199" ht="15" hidden="0">
      <x:c r="A1199" s="70" t="s">
        <x:v>2503</x:v>
      </x:c>
      <x:c r="B1199" s="70" t="s">
        <x:v>37</x:v>
      </x:c>
      <x:c r="C1199" s="70" t="s">
        <x:v>74</x:v>
      </x:c>
      <x:c r="D1199" s="70" t="s">
        <x:v>487</x:v>
      </x:c>
      <x:c r="E1199" s="70" t="s">
        <x:v>172</x:v>
      </x:c>
      <x:c r="F1199" s="70" t="s">
        <x:v>2504</x:v>
      </x:c>
      <x:c r="G1199" s="70" t="s">
        <x:v>2113</x:v>
      </x:c>
      <x:c r="H1199" s="70" t="s">
        <x:v>1208</x:v>
      </x:c>
      <x:c r="I1199" s="70" t="s">
        <x:v>1199</x:v>
      </x:c>
      <x:c r="J1199" s="70" t="n">
        <x:v>155</x:v>
      </x:c>
      <x:c r="K1199" s="70" t="s">
        <x:v>2270</x:v>
      </x:c>
      <x:c r="L1199" s="70"/>
      <x:c r="M1199" s="70" t="s">
        <x:v>40</x:v>
      </x:c>
      <x:c r="N1199" s="71" t="n">
        <x:v>1461646</x:v>
      </x:c>
      <x:c r="O1199" s="72" t="n">
        <x:f aca="0">N1199/1000</x:f>
        <x:v>1461.646</x:v>
      </x:c>
      <x:c r="P1199" s="73" t="n">
        <x:f aca="0">DGKC!E122</x:f>
        <x:v>1461.646</x:v>
      </x:c>
      <x:c r="Q1199" s="70" t="str">
        <x:f aca="0">IF(ABS(O1199-P1199)&lt;0.000001,"PASS","FAIL")</x:f>
        <x:v>PASS</x:v>
      </x:c>
      <x:c r="R1199" s="70" t="s">
        <x:v>34</x:v>
      </x:c>
      <x:c r="S1199" s="70"/>
    </x:row>
    <x:row r="1200" ht="15" hidden="0">
      <x:c r="A1200" s="70" t="s">
        <x:v>2505</x:v>
      </x:c>
      <x:c r="B1200" s="70" t="s">
        <x:v>37</x:v>
      </x:c>
      <x:c r="C1200" s="70" t="s">
        <x:v>75</x:v>
      </x:c>
      <x:c r="D1200" s="70" t="s">
        <x:v>487</x:v>
      </x:c>
      <x:c r="E1200" s="70" t="s">
        <x:v>172</x:v>
      </x:c>
      <x:c r="F1200" s="70" t="s">
        <x:v>2506</x:v>
      </x:c>
      <x:c r="G1200" s="70" t="s">
        <x:v>2116</x:v>
      </x:c>
      <x:c r="H1200" s="70" t="s">
        <x:v>1211</x:v>
      </x:c>
      <x:c r="I1200" s="70" t="s">
        <x:v>1199</x:v>
      </x:c>
      <x:c r="J1200" s="70" t="n">
        <x:v>155</x:v>
      </x:c>
      <x:c r="K1200" s="70" t="s">
        <x:v>2270</x:v>
      </x:c>
      <x:c r="L1200" s="70"/>
      <x:c r="M1200" s="70" t="s">
        <x:v>40</x:v>
      </x:c>
      <x:c r="N1200" s="71" t="n">
        <x:v>-1747152</x:v>
      </x:c>
      <x:c r="O1200" s="72" t="n">
        <x:f aca="0">N1200/1000</x:f>
        <x:v>-1747.152</x:v>
      </x:c>
      <x:c r="P1200" s="73" t="n">
        <x:f aca="0">DGKC!F122</x:f>
        <x:v>-1747.152</x:v>
      </x:c>
      <x:c r="Q1200" s="70" t="str">
        <x:f aca="0">IF(ABS(O1200-P1200)&lt;0.000001,"PASS","FAIL")</x:f>
        <x:v>PASS</x:v>
      </x:c>
      <x:c r="R1200" s="70" t="s">
        <x:v>34</x:v>
      </x:c>
      <x:c r="S1200" s="70"/>
    </x:row>
    <x:row r="1201" ht="15" hidden="0">
      <x:c r="A1201" s="70" t="s">
        <x:v>2507</x:v>
      </x:c>
      <x:c r="B1201" s="70" t="s">
        <x:v>37</x:v>
      </x:c>
      <x:c r="C1201" s="70" t="s">
        <x:v>76</x:v>
      </x:c>
      <x:c r="D1201" s="70" t="s">
        <x:v>487</x:v>
      </x:c>
      <x:c r="E1201" s="70" t="s">
        <x:v>172</x:v>
      </x:c>
      <x:c r="F1201" s="70" t="s">
        <x:v>2508</x:v>
      </x:c>
      <x:c r="G1201" s="70" t="s">
        <x:v>2118</x:v>
      </x:c>
      <x:c r="H1201" s="70" t="s">
        <x:v>1215</x:v>
      </x:c>
      <x:c r="I1201" s="70" t="s">
        <x:v>1199</x:v>
      </x:c>
      <x:c r="J1201" s="70" t="n">
        <x:v>157</x:v>
      </x:c>
      <x:c r="K1201" s="70" t="s">
        <x:v>2302</x:v>
      </x:c>
      <x:c r="L1201" s="70"/>
      <x:c r="M1201" s="70" t="s">
        <x:v>40</x:v>
      </x:c>
      <x:c r="N1201" s="71" t="n">
        <x:v>2277223</x:v>
      </x:c>
      <x:c r="O1201" s="72" t="n">
        <x:f aca="0">N1201/1000</x:f>
        <x:v>2277.223</x:v>
      </x:c>
      <x:c r="P1201" s="73" t="n">
        <x:f aca="0">DGKC!G122</x:f>
        <x:v>2277.223</x:v>
      </x:c>
      <x:c r="Q1201" s="70" t="str">
        <x:f aca="0">IF(ABS(O1201-P1201)&lt;0.000001,"PASS","FAIL")</x:f>
        <x:v>PASS</x:v>
      </x:c>
      <x:c r="R1201" s="70" t="s">
        <x:v>34</x:v>
      </x:c>
      <x:c r="S1201" s="70"/>
    </x:row>
    <x:row r="1202" ht="15" hidden="0">
      <x:c r="A1202" s="70" t="s">
        <x:v>2509</x:v>
      </x:c>
      <x:c r="B1202" s="70" t="s">
        <x:v>37</x:v>
      </x:c>
      <x:c r="C1202" s="70" t="s">
        <x:v>77</x:v>
      </x:c>
      <x:c r="D1202" s="70" t="s">
        <x:v>487</x:v>
      </x:c>
      <x:c r="E1202" s="70" t="s">
        <x:v>172</x:v>
      </x:c>
      <x:c r="F1202" s="70" t="s">
        <x:v>2508</x:v>
      </x:c>
      <x:c r="G1202" s="70" t="s">
        <x:v>2118</x:v>
      </x:c>
      <x:c r="H1202" s="70" t="s">
        <x:v>1215</x:v>
      </x:c>
      <x:c r="I1202" s="70" t="s">
        <x:v>1218</x:v>
      </x:c>
      <x:c r="J1202" s="70" t="n">
        <x:v>157</x:v>
      </x:c>
      <x:c r="K1202" s="70" t="s">
        <x:v>2302</x:v>
      </x:c>
      <x:c r="L1202" s="70"/>
      <x:c r="M1202" s="70" t="s">
        <x:v>40</x:v>
      </x:c>
      <x:c r="N1202" s="71" t="n">
        <x:v>3000535</x:v>
      </x:c>
      <x:c r="O1202" s="72" t="n">
        <x:f aca="0">N1202/1000</x:f>
        <x:v>3000.535</x:v>
      </x:c>
      <x:c r="P1202" s="73" t="n">
        <x:f aca="0">DGKC!H122</x:f>
        <x:v>3000.535</x:v>
      </x:c>
      <x:c r="Q1202" s="70" t="str">
        <x:f aca="0">IF(ABS(O1202-P1202)&lt;0.000001,"PASS","FAIL")</x:f>
        <x:v>PASS</x:v>
      </x:c>
      <x:c r="R1202" s="70" t="s">
        <x:v>34</x:v>
      </x:c>
      <x:c r="S1202" s="70"/>
    </x:row>
    <x:row r="1203" ht="15" hidden="0">
      <x:c r="A1203" s="70" t="s">
        <x:v>2510</x:v>
      </x:c>
      <x:c r="B1203" s="70" t="s">
        <x:v>37</x:v>
      </x:c>
      <x:c r="C1203" s="70" t="s">
        <x:v>73</x:v>
      </x:c>
      <x:c r="D1203" s="70" t="s">
        <x:v>489</x:v>
      </x:c>
      <x:c r="E1203" s="70" t="s">
        <x:v>172</x:v>
      </x:c>
      <x:c r="F1203" s="70" t="s">
        <x:v>2511</x:v>
      </x:c>
      <x:c r="G1203" s="70" t="s">
        <x:v>2110</x:v>
      </x:c>
      <x:c r="H1203" s="70" t="s">
        <x:v>1204</x:v>
      </x:c>
      <x:c r="I1203" s="70" t="s">
        <x:v>1199</x:v>
      </x:c>
      <x:c r="J1203" s="70" t="n">
        <x:v>129</x:v>
      </x:c>
      <x:c r="K1203" s="70" t="s">
        <x:v>2472</x:v>
      </x:c>
      <x:c r="L1203" s="70"/>
      <x:c r="M1203" s="70" t="s">
        <x:v>40</x:v>
      </x:c>
      <x:c r="N1203" s="71" t="n">
        <x:v>2374853</x:v>
      </x:c>
      <x:c r="O1203" s="72" t="n">
        <x:f aca="0">N1203/1000</x:f>
        <x:v>2374.853</x:v>
      </x:c>
      <x:c r="P1203" s="73" t="n">
        <x:f aca="0">DGKC!D123</x:f>
        <x:v>2374.853</x:v>
      </x:c>
      <x:c r="Q1203" s="70" t="str">
        <x:f aca="0">IF(ABS(O1203-P1203)&lt;0.000001,"PASS","FAIL")</x:f>
        <x:v>PASS</x:v>
      </x:c>
      <x:c r="R1203" s="70" t="s">
        <x:v>34</x:v>
      </x:c>
      <x:c r="S1203" s="70"/>
    </x:row>
    <x:row r="1204" ht="15" hidden="0">
      <x:c r="A1204" s="70" t="s">
        <x:v>2512</x:v>
      </x:c>
      <x:c r="B1204" s="70" t="s">
        <x:v>37</x:v>
      </x:c>
      <x:c r="C1204" s="70" t="s">
        <x:v>74</x:v>
      </x:c>
      <x:c r="D1204" s="70" t="s">
        <x:v>489</x:v>
      </x:c>
      <x:c r="E1204" s="70" t="s">
        <x:v>172</x:v>
      </x:c>
      <x:c r="F1204" s="70" t="s">
        <x:v>2513</x:v>
      </x:c>
      <x:c r="G1204" s="70" t="s">
        <x:v>2113</x:v>
      </x:c>
      <x:c r="H1204" s="70" t="s">
        <x:v>1208</x:v>
      </x:c>
      <x:c r="I1204" s="70" t="s">
        <x:v>1199</x:v>
      </x:c>
      <x:c r="J1204" s="70" t="n">
        <x:v>155</x:v>
      </x:c>
      <x:c r="K1204" s="70" t="s">
        <x:v>2270</x:v>
      </x:c>
      <x:c r="L1204" s="70"/>
      <x:c r="M1204" s="70" t="s">
        <x:v>40</x:v>
      </x:c>
      <x:c r="N1204" s="71" t="n">
        <x:v>-4864956</x:v>
      </x:c>
      <x:c r="O1204" s="72" t="n">
        <x:f aca="0">N1204/1000</x:f>
        <x:v>-4864.956</x:v>
      </x:c>
      <x:c r="P1204" s="73" t="n">
        <x:f aca="0">DGKC!E123</x:f>
        <x:v>-4864.956</x:v>
      </x:c>
      <x:c r="Q1204" s="70" t="str">
        <x:f aca="0">IF(ABS(O1204-P1204)&lt;0.000001,"PASS","FAIL")</x:f>
        <x:v>PASS</x:v>
      </x:c>
      <x:c r="R1204" s="70" t="s">
        <x:v>34</x:v>
      </x:c>
      <x:c r="S1204" s="70"/>
    </x:row>
    <x:row r="1205" ht="15" hidden="0">
      <x:c r="A1205" s="70" t="s">
        <x:v>2514</x:v>
      </x:c>
      <x:c r="B1205" s="70" t="s">
        <x:v>37</x:v>
      </x:c>
      <x:c r="C1205" s="70" t="s">
        <x:v>75</x:v>
      </x:c>
      <x:c r="D1205" s="70" t="s">
        <x:v>489</x:v>
      </x:c>
      <x:c r="E1205" s="70" t="s">
        <x:v>172</x:v>
      </x:c>
      <x:c r="F1205" s="70" t="s">
        <x:v>2515</x:v>
      </x:c>
      <x:c r="G1205" s="70" t="s">
        <x:v>2116</x:v>
      </x:c>
      <x:c r="H1205" s="70" t="s">
        <x:v>1211</x:v>
      </x:c>
      <x:c r="I1205" s="70" t="s">
        <x:v>1199</x:v>
      </x:c>
      <x:c r="J1205" s="70" t="n">
        <x:v>155</x:v>
      </x:c>
      <x:c r="K1205" s="70" t="s">
        <x:v>2270</x:v>
      </x:c>
      <x:c r="L1205" s="70"/>
      <x:c r="M1205" s="70" t="s">
        <x:v>40</x:v>
      </x:c>
      <x:c r="N1205" s="71" t="n">
        <x:v>-4883569</x:v>
      </x:c>
      <x:c r="O1205" s="72" t="n">
        <x:f aca="0">N1205/1000</x:f>
        <x:v>-4883.569</x:v>
      </x:c>
      <x:c r="P1205" s="73" t="n">
        <x:f aca="0">DGKC!F123</x:f>
        <x:v>-4883.569</x:v>
      </x:c>
      <x:c r="Q1205" s="70" t="str">
        <x:f aca="0">IF(ABS(O1205-P1205)&lt;0.000001,"PASS","FAIL")</x:f>
        <x:v>PASS</x:v>
      </x:c>
      <x:c r="R1205" s="70" t="s">
        <x:v>34</x:v>
      </x:c>
      <x:c r="S1205" s="70"/>
    </x:row>
    <x:row r="1206" ht="15" hidden="0">
      <x:c r="A1206" s="70" t="s">
        <x:v>2516</x:v>
      </x:c>
      <x:c r="B1206" s="70" t="s">
        <x:v>37</x:v>
      </x:c>
      <x:c r="C1206" s="70" t="s">
        <x:v>76</x:v>
      </x:c>
      <x:c r="D1206" s="70" t="s">
        <x:v>489</x:v>
      </x:c>
      <x:c r="E1206" s="70" t="s">
        <x:v>172</x:v>
      </x:c>
      <x:c r="F1206" s="70" t="s">
        <x:v>2517</x:v>
      </x:c>
      <x:c r="G1206" s="70" t="s">
        <x:v>2118</x:v>
      </x:c>
      <x:c r="H1206" s="70" t="s">
        <x:v>1215</x:v>
      </x:c>
      <x:c r="I1206" s="70" t="s">
        <x:v>1199</x:v>
      </x:c>
      <x:c r="J1206" s="70" t="n">
        <x:v>157</x:v>
      </x:c>
      <x:c r="K1206" s="70" t="s">
        <x:v>2302</x:v>
      </x:c>
      <x:c r="L1206" s="70"/>
      <x:c r="M1206" s="70" t="s">
        <x:v>40</x:v>
      </x:c>
      <x:c r="N1206" s="71" t="n">
        <x:v>4051021</x:v>
      </x:c>
      <x:c r="O1206" s="72" t="n">
        <x:f aca="0">N1206/1000</x:f>
        <x:v>4051.021</x:v>
      </x:c>
      <x:c r="P1206" s="73" t="n">
        <x:f aca="0">DGKC!G123</x:f>
        <x:v>4051.021</x:v>
      </x:c>
      <x:c r="Q1206" s="70" t="str">
        <x:f aca="0">IF(ABS(O1206-P1206)&lt;0.000001,"PASS","FAIL")</x:f>
        <x:v>PASS</x:v>
      </x:c>
      <x:c r="R1206" s="70" t="s">
        <x:v>34</x:v>
      </x:c>
      <x:c r="S1206" s="70"/>
    </x:row>
    <x:row r="1207" ht="15" hidden="0">
      <x:c r="A1207" s="70" t="s">
        <x:v>2518</x:v>
      </x:c>
      <x:c r="B1207" s="70" t="s">
        <x:v>37</x:v>
      </x:c>
      <x:c r="C1207" s="70" t="s">
        <x:v>77</x:v>
      </x:c>
      <x:c r="D1207" s="70" t="s">
        <x:v>489</x:v>
      </x:c>
      <x:c r="E1207" s="70" t="s">
        <x:v>172</x:v>
      </x:c>
      <x:c r="F1207" s="70" t="s">
        <x:v>2517</x:v>
      </x:c>
      <x:c r="G1207" s="70" t="s">
        <x:v>2118</x:v>
      </x:c>
      <x:c r="H1207" s="70" t="s">
        <x:v>1215</x:v>
      </x:c>
      <x:c r="I1207" s="70" t="s">
        <x:v>1218</x:v>
      </x:c>
      <x:c r="J1207" s="70" t="n">
        <x:v>157</x:v>
      </x:c>
      <x:c r="K1207" s="70" t="s">
        <x:v>2302</x:v>
      </x:c>
      <x:c r="L1207" s="70"/>
      <x:c r="M1207" s="70" t="s">
        <x:v>40</x:v>
      </x:c>
      <x:c r="N1207" s="71" t="n">
        <x:v>-9357687</x:v>
      </x:c>
      <x:c r="O1207" s="72" t="n">
        <x:f aca="0">N1207/1000</x:f>
        <x:v>-9357.687</x:v>
      </x:c>
      <x:c r="P1207" s="73" t="n">
        <x:f aca="0">DGKC!H123</x:f>
        <x:v>-9357.687</x:v>
      </x:c>
      <x:c r="Q1207" s="70" t="str">
        <x:f aca="0">IF(ABS(O1207-P1207)&lt;0.000001,"PASS","FAIL")</x:f>
        <x:v>PASS</x:v>
      </x:c>
      <x:c r="R1207" s="70" t="s">
        <x:v>34</x:v>
      </x:c>
      <x:c r="S1207" s="70"/>
    </x:row>
    <x:row r="1208" ht="15" hidden="0">
      <x:c r="A1208" s="70" t="s">
        <x:v>2519</x:v>
      </x:c>
      <x:c r="B1208" s="70" t="s">
        <x:v>37</x:v>
      </x:c>
      <x:c r="C1208" s="70" t="s">
        <x:v>73</x:v>
      </x:c>
      <x:c r="D1208" s="70" t="s">
        <x:v>491</x:v>
      </x:c>
      <x:c r="E1208" s="70" t="s">
        <x:v>172</x:v>
      </x:c>
      <x:c r="F1208" s="70" t="s">
        <x:v>1619</x:v>
      </x:c>
      <x:c r="G1208" s="70" t="s">
        <x:v>2110</x:v>
      </x:c>
      <x:c r="H1208" s="70" t="s">
        <x:v>1204</x:v>
      </x:c>
      <x:c r="I1208" s="70" t="s">
        <x:v>1199</x:v>
      </x:c>
      <x:c r="J1208" s="70" t="n">
        <x:v>129</x:v>
      </x:c>
      <x:c r="K1208" s="70" t="s">
        <x:v>2472</x:v>
      </x:c>
      <x:c r="L1208" s="70"/>
      <x:c r="M1208" s="70" t="s">
        <x:v>40</x:v>
      </x:c>
      <x:c r="N1208" s="71" t="n">
        <x:v>-320</x:v>
      </x:c>
      <x:c r="O1208" s="72" t="n">
        <x:f aca="0">N1208/1000</x:f>
        <x:v>-0.32</x:v>
      </x:c>
      <x:c r="P1208" s="73" t="n">
        <x:f aca="0">DGKC!D124</x:f>
        <x:v>-0.32</x:v>
      </x:c>
      <x:c r="Q1208" s="70" t="str">
        <x:f aca="0">IF(ABS(O1208-P1208)&lt;0.000001,"PASS","FAIL")</x:f>
        <x:v>PASS</x:v>
      </x:c>
      <x:c r="R1208" s="70" t="s">
        <x:v>34</x:v>
      </x:c>
      <x:c r="S1208" s="70"/>
    </x:row>
    <x:row r="1209" ht="15" hidden="0">
      <x:c r="A1209" s="70" t="s">
        <x:v>2520</x:v>
      </x:c>
      <x:c r="B1209" s="70" t="s">
        <x:v>37</x:v>
      </x:c>
      <x:c r="C1209" s="70" t="s">
        <x:v>74</x:v>
      </x:c>
      <x:c r="D1209" s="70" t="s">
        <x:v>491</x:v>
      </x:c>
      <x:c r="E1209" s="70" t="s">
        <x:v>172</x:v>
      </x:c>
      <x:c r="F1209" s="70" t="s">
        <x:v>1619</x:v>
      </x:c>
      <x:c r="G1209" s="70" t="s">
        <x:v>2113</x:v>
      </x:c>
      <x:c r="H1209" s="70" t="s">
        <x:v>1208</x:v>
      </x:c>
      <x:c r="I1209" s="70" t="s">
        <x:v>1199</x:v>
      </x:c>
      <x:c r="J1209" s="70" t="n">
        <x:v>155</x:v>
      </x:c>
      <x:c r="K1209" s="70" t="s">
        <x:v>2270</x:v>
      </x:c>
      <x:c r="L1209" s="70"/>
      <x:c r="M1209" s="70" t="s">
        <x:v>40</x:v>
      </x:c>
      <x:c r="N1209" s="71" t="n">
        <x:v>-437124</x:v>
      </x:c>
      <x:c r="O1209" s="72" t="n">
        <x:f aca="0">N1209/1000</x:f>
        <x:v>-437.124</x:v>
      </x:c>
      <x:c r="P1209" s="73" t="n">
        <x:f aca="0">DGKC!E124</x:f>
        <x:v>-437.124</x:v>
      </x:c>
      <x:c r="Q1209" s="70" t="str">
        <x:f aca="0">IF(ABS(O1209-P1209)&lt;0.000001,"PASS","FAIL")</x:f>
        <x:v>PASS</x:v>
      </x:c>
      <x:c r="R1209" s="70" t="s">
        <x:v>34</x:v>
      </x:c>
      <x:c r="S1209" s="70"/>
    </x:row>
    <x:row r="1210" ht="15" hidden="0">
      <x:c r="A1210" s="70" t="s">
        <x:v>2521</x:v>
      </x:c>
      <x:c r="B1210" s="70" t="s">
        <x:v>37</x:v>
      </x:c>
      <x:c r="C1210" s="70" t="s">
        <x:v>75</x:v>
      </x:c>
      <x:c r="D1210" s="70" t="s">
        <x:v>491</x:v>
      </x:c>
      <x:c r="E1210" s="70" t="s">
        <x:v>172</x:v>
      </x:c>
      <x:c r="F1210" s="70" t="s">
        <x:v>1619</x:v>
      </x:c>
      <x:c r="G1210" s="70" t="s">
        <x:v>2116</x:v>
      </x:c>
      <x:c r="H1210" s="70" t="s">
        <x:v>1211</x:v>
      </x:c>
      <x:c r="I1210" s="70" t="s">
        <x:v>1199</x:v>
      </x:c>
      <x:c r="J1210" s="70" t="n">
        <x:v>155</x:v>
      </x:c>
      <x:c r="K1210" s="70" t="s">
        <x:v>2270</x:v>
      </x:c>
      <x:c r="L1210" s="70"/>
      <x:c r="M1210" s="70" t="s">
        <x:v>40</x:v>
      </x:c>
      <x:c r="N1210" s="71" t="n">
        <x:v>-437927</x:v>
      </x:c>
      <x:c r="O1210" s="72" t="n">
        <x:f aca="0">N1210/1000</x:f>
        <x:v>-437.927</x:v>
      </x:c>
      <x:c r="P1210" s="73" t="n">
        <x:f aca="0">DGKC!F124</x:f>
        <x:v>-437.927</x:v>
      </x:c>
      <x:c r="Q1210" s="70" t="str">
        <x:f aca="0">IF(ABS(O1210-P1210)&lt;0.000001,"PASS","FAIL")</x:f>
        <x:v>PASS</x:v>
      </x:c>
      <x:c r="R1210" s="70" t="s">
        <x:v>34</x:v>
      </x:c>
      <x:c r="S1210" s="70"/>
    </x:row>
    <x:row r="1211" ht="15" hidden="0">
      <x:c r="A1211" s="70" t="s">
        <x:v>2522</x:v>
      </x:c>
      <x:c r="B1211" s="70" t="s">
        <x:v>37</x:v>
      </x:c>
      <x:c r="C1211" s="70" t="s">
        <x:v>76</x:v>
      </x:c>
      <x:c r="D1211" s="70" t="s">
        <x:v>491</x:v>
      </x:c>
      <x:c r="E1211" s="70" t="s">
        <x:v>172</x:v>
      </x:c>
      <x:c r="F1211" s="70" t="s">
        <x:v>1619</x:v>
      </x:c>
      <x:c r="G1211" s="70" t="s">
        <x:v>2118</x:v>
      </x:c>
      <x:c r="H1211" s="70" t="s">
        <x:v>1215</x:v>
      </x:c>
      <x:c r="I1211" s="70" t="s">
        <x:v>1199</x:v>
      </x:c>
      <x:c r="J1211" s="70" t="n">
        <x:v>157</x:v>
      </x:c>
      <x:c r="K1211" s="70" t="s">
        <x:v>2302</x:v>
      </x:c>
      <x:c r="L1211" s="70"/>
      <x:c r="M1211" s="70" t="s">
        <x:v>40</x:v>
      </x:c>
      <x:c r="N1211" s="71" t="n">
        <x:v>-502</x:v>
      </x:c>
      <x:c r="O1211" s="72" t="n">
        <x:f aca="0">N1211/1000</x:f>
        <x:v>-0.502</x:v>
      </x:c>
      <x:c r="P1211" s="73" t="n">
        <x:f aca="0">DGKC!G124</x:f>
        <x:v>-0.502</x:v>
      </x:c>
      <x:c r="Q1211" s="70" t="str">
        <x:f aca="0">IF(ABS(O1211-P1211)&lt;0.000001,"PASS","FAIL")</x:f>
        <x:v>PASS</x:v>
      </x:c>
      <x:c r="R1211" s="70" t="s">
        <x:v>34</x:v>
      </x:c>
      <x:c r="S1211" s="70"/>
    </x:row>
    <x:row r="1212" ht="15" hidden="0">
      <x:c r="A1212" s="70" t="s">
        <x:v>2523</x:v>
      </x:c>
      <x:c r="B1212" s="70" t="s">
        <x:v>37</x:v>
      </x:c>
      <x:c r="C1212" s="70" t="s">
        <x:v>77</x:v>
      </x:c>
      <x:c r="D1212" s="70" t="s">
        <x:v>491</x:v>
      </x:c>
      <x:c r="E1212" s="70" t="s">
        <x:v>172</x:v>
      </x:c>
      <x:c r="F1212" s="70" t="s">
        <x:v>1619</x:v>
      </x:c>
      <x:c r="G1212" s="70" t="s">
        <x:v>2118</x:v>
      </x:c>
      <x:c r="H1212" s="70" t="s">
        <x:v>1215</x:v>
      </x:c>
      <x:c r="I1212" s="70" t="s">
        <x:v>1218</x:v>
      </x:c>
      <x:c r="J1212" s="70" t="n">
        <x:v>157</x:v>
      </x:c>
      <x:c r="K1212" s="70" t="s">
        <x:v>2302</x:v>
      </x:c>
      <x:c r="L1212" s="70"/>
      <x:c r="M1212" s="70" t="s">
        <x:v>40</x:v>
      </x:c>
      <x:c r="N1212" s="71" t="n">
        <x:v>-48</x:v>
      </x:c>
      <x:c r="O1212" s="72" t="n">
        <x:f aca="0">N1212/1000</x:f>
        <x:v>-0.048</x:v>
      </x:c>
      <x:c r="P1212" s="73" t="n">
        <x:f aca="0">DGKC!H124</x:f>
        <x:v>-0.048</x:v>
      </x:c>
      <x:c r="Q1212" s="70" t="str">
        <x:f aca="0">IF(ABS(O1212-P1212)&lt;0.000001,"PASS","FAIL")</x:f>
        <x:v>PASS</x:v>
      </x:c>
      <x:c r="R1212" s="70" t="s">
        <x:v>34</x:v>
      </x:c>
      <x:c r="S1212" s="70"/>
    </x:row>
    <x:row r="1213" ht="15" hidden="0">
      <x:c r="A1213" s="70" t="s">
        <x:v>2524</x:v>
      </x:c>
      <x:c r="B1213" s="70" t="s">
        <x:v>37</x:v>
      </x:c>
      <x:c r="C1213" s="70" t="s">
        <x:v>73</x:v>
      </x:c>
      <x:c r="D1213" s="70" t="s">
        <x:v>494</x:v>
      </x:c>
      <x:c r="E1213" s="70" t="s">
        <x:v>1221</x:v>
      </x:c>
      <x:c r="F1213" s="70" t="s">
        <x:v>1625</x:v>
      </x:c>
      <x:c r="G1213" s="70" t="s">
        <x:v>2107</x:v>
      </x:c>
      <x:c r="H1213" s="70" t="s">
        <x:v>1198</x:v>
      </x:c>
      <x:c r="I1213" s="70" t="s">
        <x:v>1218</x:v>
      </x:c>
      <x:c r="J1213" s="70" t="n">
        <x:v>155</x:v>
      </x:c>
      <x:c r="K1213" s="70" t="s">
        <x:v>2270</x:v>
      </x:c>
      <x:c r="L1213" s="70"/>
      <x:c r="M1213" s="70" t="s">
        <x:v>158</x:v>
      </x:c>
      <x:c r="N1213" s="70" t="n">
        <x:v>10</x:v>
      </x:c>
      <x:c r="O1213" s="70" t="n">
        <x:f aca="0">N1213</x:f>
        <x:v>10</x:v>
      </x:c>
      <x:c r="P1213" s="74" t="n">
        <x:f aca="0">DGKC!D127</x:f>
        <x:v>10</x:v>
      </x:c>
      <x:c r="Q1213" s="70" t="str">
        <x:f aca="0">IF(ABS(O1213-P1213)&lt;0.000001,"PASS","FAIL")</x:f>
        <x:v>PASS</x:v>
      </x:c>
      <x:c r="R1213" s="70" t="s">
        <x:v>34</x:v>
      </x:c>
      <x:c r="S1213" s="70" t="str">
        <x:v>Verified FY-end share basis; see Share Basis and Corporate Actions for source excerpts and normalization. Original source metadata superseded where the basis changed.</x:v>
      </x:c>
    </x:row>
    <x:row r="1214" ht="15" hidden="0">
      <x:c r="A1214" s="70" t="s">
        <x:v>2525</x:v>
      </x:c>
      <x:c r="B1214" s="70" t="s">
        <x:v>37</x:v>
      </x:c>
      <x:c r="C1214" s="70" t="s">
        <x:v>74</x:v>
      </x:c>
      <x:c r="D1214" s="70" t="s">
        <x:v>494</x:v>
      </x:c>
      <x:c r="E1214" s="70" t="s">
        <x:v>1221</x:v>
      </x:c>
      <x:c r="F1214" s="70" t="s">
        <x:v>1625</x:v>
      </x:c>
      <x:c r="G1214" s="70" t="s">
        <x:v>2110</x:v>
      </x:c>
      <x:c r="H1214" s="70" t="s">
        <x:v>1204</x:v>
      </x:c>
      <x:c r="I1214" s="70" t="s">
        <x:v>1218</x:v>
      </x:c>
      <x:c r="J1214" s="70" t="n">
        <x:v>177</x:v>
      </x:c>
      <x:c r="K1214" s="70" t="s">
        <x:v>2452</x:v>
      </x:c>
      <x:c r="L1214" s="70"/>
      <x:c r="M1214" s="70" t="s">
        <x:v>158</x:v>
      </x:c>
      <x:c r="N1214" s="70" t="n">
        <x:v>10</x:v>
      </x:c>
      <x:c r="O1214" s="70" t="n">
        <x:f aca="0">N1214</x:f>
        <x:v>10</x:v>
      </x:c>
      <x:c r="P1214" s="74" t="n">
        <x:f aca="0">DGKC!E127</x:f>
        <x:v>10</x:v>
      </x:c>
      <x:c r="Q1214" s="70" t="str">
        <x:f aca="0">IF(ABS(O1214-P1214)&lt;0.000001,"PASS","FAIL")</x:f>
        <x:v>PASS</x:v>
      </x:c>
      <x:c r="R1214" s="70" t="s">
        <x:v>34</x:v>
      </x:c>
      <x:c r="S1214" s="70" t="str">
        <x:v>Verified FY-end share basis; see Share Basis and Corporate Actions for source excerpts and normalization. Original source metadata superseded where the basis changed.</x:v>
      </x:c>
    </x:row>
    <x:row r="1215" ht="15" hidden="0">
      <x:c r="A1215" s="70" t="s">
        <x:v>2526</x:v>
      </x:c>
      <x:c r="B1215" s="70" t="s">
        <x:v>37</x:v>
      </x:c>
      <x:c r="C1215" s="70" t="s">
        <x:v>75</x:v>
      </x:c>
      <x:c r="D1215" s="70" t="s">
        <x:v>494</x:v>
      </x:c>
      <x:c r="E1215" s="70" t="s">
        <x:v>1221</x:v>
      </x:c>
      <x:c r="F1215" s="70" t="s">
        <x:v>1625</x:v>
      </x:c>
      <x:c r="G1215" s="70" t="s">
        <x:v>2113</x:v>
      </x:c>
      <x:c r="H1215" s="70" t="s">
        <x:v>1208</x:v>
      </x:c>
      <x:c r="I1215" s="70" t="s">
        <x:v>1218</x:v>
      </x:c>
      <x:c r="J1215" s="70" t="n">
        <x:v>202</x:v>
      </x:c>
      <x:c r="K1215" s="70" t="s">
        <x:v>2527</x:v>
      </x:c>
      <x:c r="L1215" s="70"/>
      <x:c r="M1215" s="70" t="s">
        <x:v>158</x:v>
      </x:c>
      <x:c r="N1215" s="70" t="n">
        <x:v>10</x:v>
      </x:c>
      <x:c r="O1215" s="70" t="n">
        <x:f aca="0">N1215</x:f>
        <x:v>10</x:v>
      </x:c>
      <x:c r="P1215" s="74" t="n">
        <x:f aca="0">DGKC!F127</x:f>
        <x:v>10</x:v>
      </x:c>
      <x:c r="Q1215" s="70" t="str">
        <x:f aca="0">IF(ABS(O1215-P1215)&lt;0.000001,"PASS","FAIL")</x:f>
        <x:v>PASS</x:v>
      </x:c>
      <x:c r="R1215" s="70" t="s">
        <x:v>34</x:v>
      </x:c>
      <x:c r="S1215" s="70" t="str">
        <x:v>Verified FY-end share basis; see Share Basis and Corporate Actions for source excerpts and normalization. Original source metadata superseded where the basis changed.</x:v>
      </x:c>
    </x:row>
    <x:row r="1216" ht="15" hidden="0">
      <x:c r="A1216" s="70" t="s">
        <x:v>2528</x:v>
      </x:c>
      <x:c r="B1216" s="70" t="s">
        <x:v>37</x:v>
      </x:c>
      <x:c r="C1216" s="70" t="s">
        <x:v>76</x:v>
      </x:c>
      <x:c r="D1216" s="70" t="s">
        <x:v>494</x:v>
      </x:c>
      <x:c r="E1216" s="70" t="s">
        <x:v>1221</x:v>
      </x:c>
      <x:c r="F1216" s="70" t="s">
        <x:v>1625</x:v>
      </x:c>
      <x:c r="G1216" s="70" t="s">
        <x:v>2116</x:v>
      </x:c>
      <x:c r="H1216" s="70" t="s">
        <x:v>1211</x:v>
      </x:c>
      <x:c r="I1216" s="70" t="s">
        <x:v>1218</x:v>
      </x:c>
      <x:c r="J1216" s="70" t="n">
        <x:v>205</x:v>
      </x:c>
      <x:c r="K1216" s="70" t="s">
        <x:v>2529</x:v>
      </x:c>
      <x:c r="L1216" s="70"/>
      <x:c r="M1216" s="70" t="s">
        <x:v>158</x:v>
      </x:c>
      <x:c r="N1216" s="70" t="n">
        <x:v>10</x:v>
      </x:c>
      <x:c r="O1216" s="70" t="n">
        <x:f aca="0">N1216</x:f>
        <x:v>10</x:v>
      </x:c>
      <x:c r="P1216" s="74" t="n">
        <x:f aca="0">DGKC!G127</x:f>
        <x:v>10</x:v>
      </x:c>
      <x:c r="Q1216" s="70" t="str">
        <x:f aca="0">IF(ABS(O1216-P1216)&lt;0.000001,"PASS","FAIL")</x:f>
        <x:v>PASS</x:v>
      </x:c>
      <x:c r="R1216" s="70" t="s">
        <x:v>34</x:v>
      </x:c>
      <x:c r="S1216" s="70" t="str">
        <x:v>Verified FY-end share basis; see Share Basis and Corporate Actions for source excerpts and normalization. Original source metadata superseded where the basis changed.</x:v>
      </x:c>
    </x:row>
    <x:row r="1217" ht="15" hidden="0">
      <x:c r="A1217" s="70" t="s">
        <x:v>2530</x:v>
      </x:c>
      <x:c r="B1217" s="70" t="s">
        <x:v>37</x:v>
      </x:c>
      <x:c r="C1217" s="70" t="s">
        <x:v>77</x:v>
      </x:c>
      <x:c r="D1217" s="70" t="s">
        <x:v>494</x:v>
      </x:c>
      <x:c r="E1217" s="70" t="s">
        <x:v>1221</x:v>
      </x:c>
      <x:c r="F1217" s="70" t="s">
        <x:v>1625</x:v>
      </x:c>
      <x:c r="G1217" s="70" t="s">
        <x:v>2118</x:v>
      </x:c>
      <x:c r="H1217" s="70" t="s">
        <x:v>1215</x:v>
      </x:c>
      <x:c r="I1217" s="70" t="s">
        <x:v>1218</x:v>
      </x:c>
      <x:c r="J1217" s="70" t="n">
        <x:v>210</x:v>
      </x:c>
      <x:c r="K1217" s="70" t="s">
        <x:v>2531</x:v>
      </x:c>
      <x:c r="L1217" s="70"/>
      <x:c r="M1217" s="70" t="s">
        <x:v>158</x:v>
      </x:c>
      <x:c r="N1217" s="70" t="n">
        <x:v>10</x:v>
      </x:c>
      <x:c r="O1217" s="70" t="n">
        <x:f aca="0">N1217</x:f>
        <x:v>10</x:v>
      </x:c>
      <x:c r="P1217" s="74" t="n">
        <x:f aca="0">DGKC!H127</x:f>
        <x:v>10</x:v>
      </x:c>
      <x:c r="Q1217" s="70" t="str">
        <x:f aca="0">IF(ABS(O1217-P1217)&lt;0.000001,"PASS","FAIL")</x:f>
        <x:v>PASS</x:v>
      </x:c>
      <x:c r="R1217" s="70" t="s">
        <x:v>34</x:v>
      </x:c>
      <x:c r="S1217" s="70" t="str">
        <x:v>Verified FY-end share basis; see Share Basis and Corporate Actions for source excerpts and normalization. Original source metadata superseded where the basis changed.</x:v>
      </x:c>
    </x:row>
    <x:row r="1218" ht="15" hidden="0">
      <x:c r="A1218" s="70" t="s">
        <x:v>2532</x:v>
      </x:c>
      <x:c r="B1218" s="70" t="s">
        <x:v>37</x:v>
      </x:c>
      <x:c r="C1218" s="70" t="s">
        <x:v>73</x:v>
      </x:c>
      <x:c r="D1218" s="70" t="s">
        <x:v>499</x:v>
      </x:c>
      <x:c r="E1218" s="70" t="s">
        <x:v>1221</x:v>
      </x:c>
      <x:c r="F1218" s="70" t="s">
        <x:v>1632</x:v>
      </x:c>
      <x:c r="G1218" s="70" t="str">
        <x:v>DG_Annual_Report_2021.pdf</x:v>
      </x:c>
      <x:c r="H1218" s="70" t="s">
        <x:v>1198</x:v>
      </x:c>
      <x:c r="I1218" s="70" t="s">
        <x:v>1218</x:v>
      </x:c>
      <x:c r="J1218" s="70" t="n">
        <x:v>155</x:v>
      </x:c>
      <x:c r="K1218" s="70" t="s">
        <x:v>2270</x:v>
      </x:c>
      <x:c r="L1218" s="70"/>
      <x:c r="M1218" s="70" t="s">
        <x:v>498</x:v>
      </x:c>
      <x:c r="N1218" s="70" t="n">
        <x:v>438.119118</x:v>
      </x:c>
      <x:c r="O1218" s="70" t="n">
        <x:f aca="0">N1218</x:f>
        <x:v>438.119118</x:v>
      </x:c>
      <x:c r="P1218" s="72" t="n">
        <x:f aca="0">DGKC!D129</x:f>
        <x:v>438.119118</x:v>
      </x:c>
      <x:c r="Q1218" s="70" t="str">
        <x:f aca="0">IF(ABS(O1218-P1218)&lt;0.000001,"PASS","FAIL")</x:f>
        <x:v>PASS</x:v>
      </x:c>
      <x:c r="R1218" s="70" t="s">
        <x:v>34</x:v>
      </x:c>
      <x:c r="S1218" s="70" t="str">
        <x:v>Verified FY-end share basis; see Share Basis and Corporate Actions for source excerpts and normalization. Original source metadata superseded where the basis changed.</x:v>
      </x:c>
    </x:row>
    <x:row r="1219" ht="15" hidden="0">
      <x:c r="A1219" s="70" t="s">
        <x:v>2533</x:v>
      </x:c>
      <x:c r="B1219" s="70" t="s">
        <x:v>37</x:v>
      </x:c>
      <x:c r="C1219" s="70" t="s">
        <x:v>74</x:v>
      </x:c>
      <x:c r="D1219" s="70" t="s">
        <x:v>499</x:v>
      </x:c>
      <x:c r="E1219" s="70" t="s">
        <x:v>1221</x:v>
      </x:c>
      <x:c r="F1219" s="70" t="s">
        <x:v>1632</x:v>
      </x:c>
      <x:c r="G1219" s="70" t="str">
        <x:v>DG_Annual_Report_2022.pdf</x:v>
      </x:c>
      <x:c r="H1219" s="70" t="s">
        <x:v>1204</x:v>
      </x:c>
      <x:c r="I1219" s="70" t="s">
        <x:v>1218</x:v>
      </x:c>
      <x:c r="J1219" s="70" t="n">
        <x:v>177</x:v>
      </x:c>
      <x:c r="K1219" s="70" t="s">
        <x:v>2452</x:v>
      </x:c>
      <x:c r="L1219" s="70"/>
      <x:c r="M1219" s="70" t="s">
        <x:v>498</x:v>
      </x:c>
      <x:c r="N1219" s="70" t="n">
        <x:v>438.119118</x:v>
      </x:c>
      <x:c r="O1219" s="70" t="n">
        <x:f aca="0">N1219</x:f>
        <x:v>438.119118</x:v>
      </x:c>
      <x:c r="P1219" s="72" t="n">
        <x:f aca="0">DGKC!E129</x:f>
        <x:v>438.119118</x:v>
      </x:c>
      <x:c r="Q1219" s="70" t="str">
        <x:f aca="0">IF(ABS(O1219-P1219)&lt;0.000001,"PASS","FAIL")</x:f>
        <x:v>PASS</x:v>
      </x:c>
      <x:c r="R1219" s="70" t="s">
        <x:v>34</x:v>
      </x:c>
      <x:c r="S1219" s="70" t="str">
        <x:v>Verified FY-end share basis; see Share Basis and Corporate Actions for source excerpts and normalization. Original source metadata superseded where the basis changed.</x:v>
      </x:c>
    </x:row>
    <x:row r="1220" ht="15" hidden="0">
      <x:c r="A1220" s="70" t="s">
        <x:v>2534</x:v>
      </x:c>
      <x:c r="B1220" s="70" t="s">
        <x:v>37</x:v>
      </x:c>
      <x:c r="C1220" s="70" t="s">
        <x:v>75</x:v>
      </x:c>
      <x:c r="D1220" s="70" t="s">
        <x:v>499</x:v>
      </x:c>
      <x:c r="E1220" s="70" t="s">
        <x:v>1221</x:v>
      </x:c>
      <x:c r="F1220" s="70" t="s">
        <x:v>1632</x:v>
      </x:c>
      <x:c r="G1220" s="70" t="str">
        <x:v>DGAnnual2023.pdf</x:v>
      </x:c>
      <x:c r="H1220" s="70" t="s">
        <x:v>1208</x:v>
      </x:c>
      <x:c r="I1220" s="70" t="s">
        <x:v>1218</x:v>
      </x:c>
      <x:c r="J1220" s="70" t="n">
        <x:v>202</x:v>
      </x:c>
      <x:c r="K1220" s="70" t="s">
        <x:v>2527</x:v>
      </x:c>
      <x:c r="L1220" s="70"/>
      <x:c r="M1220" s="70" t="s">
        <x:v>498</x:v>
      </x:c>
      <x:c r="N1220" s="70" t="n">
        <x:v>438.119118</x:v>
      </x:c>
      <x:c r="O1220" s="70" t="n">
        <x:f aca="0">N1220</x:f>
        <x:v>438.119118</x:v>
      </x:c>
      <x:c r="P1220" s="72" t="n">
        <x:f aca="0">DGKC!F129</x:f>
        <x:v>438.119118</x:v>
      </x:c>
      <x:c r="Q1220" s="70" t="str">
        <x:f aca="0">IF(ABS(O1220-P1220)&lt;0.000001,"PASS","FAIL")</x:f>
        <x:v>PASS</x:v>
      </x:c>
      <x:c r="R1220" s="70" t="s">
        <x:v>34</x:v>
      </x:c>
      <x:c r="S1220" s="70" t="str">
        <x:v>Verified FY-end share basis; see Share Basis and Corporate Actions for source excerpts and normalization. Original source metadata superseded where the basis changed.</x:v>
      </x:c>
    </x:row>
    <x:row r="1221" ht="15" hidden="0">
      <x:c r="A1221" s="70" t="s">
        <x:v>2535</x:v>
      </x:c>
      <x:c r="B1221" s="70" t="s">
        <x:v>37</x:v>
      </x:c>
      <x:c r="C1221" s="70" t="s">
        <x:v>76</x:v>
      </x:c>
      <x:c r="D1221" s="70" t="s">
        <x:v>499</x:v>
      </x:c>
      <x:c r="E1221" s="70" t="s">
        <x:v>1221</x:v>
      </x:c>
      <x:c r="F1221" s="70" t="s">
        <x:v>1632</x:v>
      </x:c>
      <x:c r="G1221" s="70" t="str">
        <x:v>DGAnnual2024.pdf</x:v>
      </x:c>
      <x:c r="H1221" s="70" t="s">
        <x:v>1211</x:v>
      </x:c>
      <x:c r="I1221" s="70" t="s">
        <x:v>1218</x:v>
      </x:c>
      <x:c r="J1221" s="70" t="n">
        <x:v>205</x:v>
      </x:c>
      <x:c r="K1221" s="70" t="s">
        <x:v>2529</x:v>
      </x:c>
      <x:c r="L1221" s="70"/>
      <x:c r="M1221" s="70" t="s">
        <x:v>498</x:v>
      </x:c>
      <x:c r="N1221" s="70" t="n">
        <x:v>438.119118</x:v>
      </x:c>
      <x:c r="O1221" s="70" t="n">
        <x:f aca="0">N1221</x:f>
        <x:v>438.119118</x:v>
      </x:c>
      <x:c r="P1221" s="72" t="n">
        <x:f aca="0">DGKC!G129</x:f>
        <x:v>438.119118</x:v>
      </x:c>
      <x:c r="Q1221" s="70" t="str">
        <x:f aca="0">IF(ABS(O1221-P1221)&lt;0.000001,"PASS","FAIL")</x:f>
        <x:v>PASS</x:v>
      </x:c>
      <x:c r="R1221" s="70" t="s">
        <x:v>34</x:v>
      </x:c>
      <x:c r="S1221" s="70" t="str">
        <x:v>Verified FY-end share basis; see Share Basis and Corporate Actions for source excerpts and normalization. Original source metadata superseded where the basis changed.</x:v>
      </x:c>
    </x:row>
    <x:row r="1222" ht="15" hidden="0">
      <x:c r="A1222" s="70" t="s">
        <x:v>2536</x:v>
      </x:c>
      <x:c r="B1222" s="70" t="s">
        <x:v>37</x:v>
      </x:c>
      <x:c r="C1222" s="70" t="s">
        <x:v>77</x:v>
      </x:c>
      <x:c r="D1222" s="70" t="s">
        <x:v>499</x:v>
      </x:c>
      <x:c r="E1222" s="70" t="s">
        <x:v>1221</x:v>
      </x:c>
      <x:c r="F1222" s="70" t="s">
        <x:v>1632</x:v>
      </x:c>
      <x:c r="G1222" s="70" t="str">
        <x:v>DGAnnual2025.pdf</x:v>
      </x:c>
      <x:c r="H1222" s="70" t="s">
        <x:v>1215</x:v>
      </x:c>
      <x:c r="I1222" s="70" t="s">
        <x:v>1218</x:v>
      </x:c>
      <x:c r="J1222" s="70" t="n">
        <x:v>210</x:v>
      </x:c>
      <x:c r="K1222" s="70" t="s">
        <x:v>2531</x:v>
      </x:c>
      <x:c r="L1222" s="70"/>
      <x:c r="M1222" s="70" t="s">
        <x:v>498</x:v>
      </x:c>
      <x:c r="N1222" s="70" t="n">
        <x:v>438.119118</x:v>
      </x:c>
      <x:c r="O1222" s="70" t="n">
        <x:f aca="0">N1222</x:f>
        <x:v>438.119118</x:v>
      </x:c>
      <x:c r="P1222" s="72" t="n">
        <x:f aca="0">DGKC!H129</x:f>
        <x:v>438.119118</x:v>
      </x:c>
      <x:c r="Q1222" s="70" t="str">
        <x:f aca="0">IF(ABS(O1222-P1222)&lt;0.000001,"PASS","FAIL")</x:f>
        <x:v>PASS</x:v>
      </x:c>
      <x:c r="R1222" s="70" t="s">
        <x:v>34</x:v>
      </x:c>
      <x:c r="S1222" s="70" t="str">
        <x:v>Verified FY-end share basis; see Share Basis and Corporate Actions for source excerpts and normalization. Original source metadata superseded where the basis changed.</x:v>
      </x:c>
    </x:row>
    <x:row r="1223" ht="15" hidden="0">
      <x:c r="A1223" s="70" t="s">
        <x:v>2537</x:v>
      </x:c>
      <x:c r="B1223" s="70" t="s">
        <x:v>37</x:v>
      </x:c>
      <x:c r="C1223" s="70" t="s">
        <x:v>73</x:v>
      </x:c>
      <x:c r="D1223" s="70" t="str">
        <x:v>Actual FY-end closing price (Rs; unadjusted)</x:v>
      </x:c>
      <x:c r="E1223" s="70" t="s">
        <x:v>1221</x:v>
      </x:c>
      <x:c r="F1223" s="70" t="str">
        <x:v>Official PSX historical CLOSE column</x:v>
      </x:c>
      <x:c r="G1223" s="70" t="str">
        <x:v>PSX historical response; hash and raw row on Price Evidence</x:v>
      </x:c>
      <x:c r="H1223" s="70" t="str">
        <x:v>https://dps.psx.com.pk/historical</x:v>
      </x:c>
      <x:c r="I1223" s="70" t="str">
        <x:v>POST date=2021-06-30</x:v>
      </x:c>
      <x:c r="J1223" s="70"/>
      <x:c r="K1223" s="70"/>
      <x:c r="L1223" s="70"/>
      <x:c r="M1223" s="70" t="s">
        <x:v>158</x:v>
      </x:c>
      <x:c r="N1223" s="70" t="n">
        <x:v>117.92</x:v>
      </x:c>
      <x:c r="O1223" s="70" t="n">
        <x:f aca="0">N1223</x:f>
        <x:v>117.92</x:v>
      </x:c>
      <x:c r="P1223" s="74" t="n">
        <x:f aca="0">DGKC!D130</x:f>
        <x:v>117.92</x:v>
      </x:c>
      <x:c r="Q1223" s="70" t="str">
        <x:f aca="0">IF(ABS(O1223-P1223)&lt;0.000001,"PASS","FAIL")</x:f>
        <x:v>PASS</x:v>
      </x:c>
      <x:c r="R1223" s="70" t="s">
        <x:v>34</x:v>
      </x:c>
      <x:c r="S1223" s="70" t="str">
        <x:v>Unadjusted traded close. No split factor applied to PSX price. Original report figure and date evidence preserved on PSX Prices / Price Evidence.</x:v>
      </x:c>
    </x:row>
    <x:row r="1224" ht="15" hidden="0">
      <x:c r="A1224" s="70" t="s">
        <x:v>2538</x:v>
      </x:c>
      <x:c r="B1224" s="70" t="s">
        <x:v>37</x:v>
      </x:c>
      <x:c r="C1224" s="70" t="s">
        <x:v>74</x:v>
      </x:c>
      <x:c r="D1224" s="70" t="str">
        <x:v>Actual FY-end closing price (Rs; unadjusted)</x:v>
      </x:c>
      <x:c r="E1224" s="70" t="s">
        <x:v>1221</x:v>
      </x:c>
      <x:c r="F1224" s="70" t="str">
        <x:v>Official PSX historical CLOSE column</x:v>
      </x:c>
      <x:c r="G1224" s="70" t="str">
        <x:v>PSX historical response; hash and raw row on Price Evidence</x:v>
      </x:c>
      <x:c r="H1224" s="70" t="str">
        <x:v>https://dps.psx.com.pk/historical</x:v>
      </x:c>
      <x:c r="I1224" s="70" t="str">
        <x:v>POST date=2022-06-30</x:v>
      </x:c>
      <x:c r="J1224" s="70"/>
      <x:c r="K1224" s="70"/>
      <x:c r="L1224" s="70"/>
      <x:c r="M1224" s="70" t="s">
        <x:v>158</x:v>
      </x:c>
      <x:c r="N1224" s="70" t="n">
        <x:v>62.5</x:v>
      </x:c>
      <x:c r="O1224" s="70" t="n">
        <x:f aca="0">N1224</x:f>
        <x:v>62.5</x:v>
      </x:c>
      <x:c r="P1224" s="74" t="n">
        <x:f aca="0">DGKC!E130</x:f>
        <x:v>62.5</x:v>
      </x:c>
      <x:c r="Q1224" s="70" t="str">
        <x:f aca="0">IF(ABS(O1224-P1224)&lt;0.000001,"PASS","FAIL")</x:f>
        <x:v>PASS</x:v>
      </x:c>
      <x:c r="R1224" s="70" t="s">
        <x:v>34</x:v>
      </x:c>
      <x:c r="S1224" s="70" t="str">
        <x:v>Unadjusted traded close. No split factor applied to PSX price. Original report figure and date evidence preserved on PSX Prices / Price Evidence.</x:v>
      </x:c>
    </x:row>
    <x:row r="1225" ht="15" hidden="0">
      <x:c r="A1225" s="70" t="s">
        <x:v>2539</x:v>
      </x:c>
      <x:c r="B1225" s="70" t="s">
        <x:v>37</x:v>
      </x:c>
      <x:c r="C1225" s="70" t="s">
        <x:v>75</x:v>
      </x:c>
      <x:c r="D1225" s="70" t="str">
        <x:v>Actual FY-end closing price (Rs; unadjusted)</x:v>
      </x:c>
      <x:c r="E1225" s="70" t="s">
        <x:v>1221</x:v>
      </x:c>
      <x:c r="F1225" s="70" t="str">
        <x:v>Official PSX historical CLOSE column</x:v>
      </x:c>
      <x:c r="G1225" s="70" t="str">
        <x:v>PSX historical response; hash and raw row on Price Evidence</x:v>
      </x:c>
      <x:c r="H1225" s="70" t="str">
        <x:v>https://dps.psx.com.pk/historical</x:v>
      </x:c>
      <x:c r="I1225" s="70" t="str">
        <x:v>POST date=2023-06-27</x:v>
      </x:c>
      <x:c r="J1225" s="70"/>
      <x:c r="K1225" s="70"/>
      <x:c r="L1225" s="70"/>
      <x:c r="M1225" s="70" t="s">
        <x:v>158</x:v>
      </x:c>
      <x:c r="N1225" s="70" t="n">
        <x:v>51.3</x:v>
      </x:c>
      <x:c r="O1225" s="70" t="n">
        <x:f aca="0">N1225</x:f>
        <x:v>51.3</x:v>
      </x:c>
      <x:c r="P1225" s="74" t="n">
        <x:f aca="0">DGKC!F130</x:f>
        <x:v>51.3</x:v>
      </x:c>
      <x:c r="Q1225" s="70" t="str">
        <x:f aca="0">IF(ABS(O1225-P1225)&lt;0.000001,"PASS","FAIL")</x:f>
        <x:v>PASS</x:v>
      </x:c>
      <x:c r="R1225" s="70" t="s">
        <x:v>34</x:v>
      </x:c>
      <x:c r="S1225" s="70" t="str">
        <x:v>Unadjusted traded close. No split factor applied to PSX price. Original report figure and date evidence preserved on PSX Prices / Price Evidence.</x:v>
      </x:c>
    </x:row>
    <x:row r="1226" ht="15" hidden="0">
      <x:c r="A1226" s="70" t="s">
        <x:v>2540</x:v>
      </x:c>
      <x:c r="B1226" s="70" t="s">
        <x:v>37</x:v>
      </x:c>
      <x:c r="C1226" s="70" t="s">
        <x:v>76</x:v>
      </x:c>
      <x:c r="D1226" s="70" t="str">
        <x:v>Actual FY-end closing price (Rs; unadjusted)</x:v>
      </x:c>
      <x:c r="E1226" s="70" t="s">
        <x:v>1221</x:v>
      </x:c>
      <x:c r="F1226" s="70" t="str">
        <x:v>Official PSX historical CLOSE column</x:v>
      </x:c>
      <x:c r="G1226" s="70" t="str">
        <x:v>PSX historical response; hash and raw row on Price Evidence</x:v>
      </x:c>
      <x:c r="H1226" s="70" t="str">
        <x:v>https://dps.psx.com.pk/historical</x:v>
      </x:c>
      <x:c r="I1226" s="70" t="str">
        <x:v>POST date=2024-06-28</x:v>
      </x:c>
      <x:c r="J1226" s="70"/>
      <x:c r="K1226" s="70"/>
      <x:c r="L1226" s="70"/>
      <x:c r="M1226" s="70" t="s">
        <x:v>158</x:v>
      </x:c>
      <x:c r="N1226" s="70" t="n">
        <x:v>90.27</x:v>
      </x:c>
      <x:c r="O1226" s="70" t="n">
        <x:f aca="0">N1226</x:f>
        <x:v>90.27</x:v>
      </x:c>
      <x:c r="P1226" s="74" t="n">
        <x:f aca="0">DGKC!G130</x:f>
        <x:v>90.27</x:v>
      </x:c>
      <x:c r="Q1226" s="70" t="str">
        <x:f aca="0">IF(ABS(O1226-P1226)&lt;0.000001,"PASS","FAIL")</x:f>
        <x:v>PASS</x:v>
      </x:c>
      <x:c r="R1226" s="70" t="s">
        <x:v>34</x:v>
      </x:c>
      <x:c r="S1226" s="70" t="str">
        <x:v>Unadjusted traded close. No split factor applied to PSX price. Original report figure and date evidence preserved on PSX Prices / Price Evidence.</x:v>
      </x:c>
    </x:row>
    <x:row r="1227" ht="15" hidden="0">
      <x:c r="A1227" s="70" t="s">
        <x:v>2541</x:v>
      </x:c>
      <x:c r="B1227" s="70" t="s">
        <x:v>37</x:v>
      </x:c>
      <x:c r="C1227" s="70" t="s">
        <x:v>77</x:v>
      </x:c>
      <x:c r="D1227" s="70" t="str">
        <x:v>Actual FY-end closing price (Rs; unadjusted)</x:v>
      </x:c>
      <x:c r="E1227" s="70" t="s">
        <x:v>1221</x:v>
      </x:c>
      <x:c r="F1227" s="70" t="str">
        <x:v>Official PSX historical CLOSE column</x:v>
      </x:c>
      <x:c r="G1227" s="70" t="str">
        <x:v>PSX historical response; hash and raw row on Price Evidence</x:v>
      </x:c>
      <x:c r="H1227" s="70" t="str">
        <x:v>https://dps.psx.com.pk/historical</x:v>
      </x:c>
      <x:c r="I1227" s="70" t="str">
        <x:v>POST date=2025-06-30</x:v>
      </x:c>
      <x:c r="J1227" s="70"/>
      <x:c r="K1227" s="70"/>
      <x:c r="L1227" s="70"/>
      <x:c r="M1227" s="70" t="s">
        <x:v>158</x:v>
      </x:c>
      <x:c r="N1227" s="70" t="n">
        <x:v>165.56</x:v>
      </x:c>
      <x:c r="O1227" s="70" t="n">
        <x:f aca="0">N1227</x:f>
        <x:v>165.56</x:v>
      </x:c>
      <x:c r="P1227" s="74" t="n">
        <x:f aca="0">DGKC!H130</x:f>
        <x:v>165.56</x:v>
      </x:c>
      <x:c r="Q1227" s="70" t="str">
        <x:f aca="0">IF(ABS(O1227-P1227)&lt;0.000001,"PASS","FAIL")</x:f>
        <x:v>PASS</x:v>
      </x:c>
      <x:c r="R1227" s="70" t="s">
        <x:v>34</x:v>
      </x:c>
      <x:c r="S1227" s="70" t="str">
        <x:v>Unadjusted traded close. No split factor applied to PSX price. Original report figure and date evidence preserved on PSX Prices / Price Evidence.</x:v>
      </x:c>
    </x:row>
    <x:row r="1228" ht="15" hidden="0">
      <x:c r="A1228" s="70" t="s">
        <x:v>2542</x:v>
      </x:c>
      <x:c r="B1228" s="70" t="s">
        <x:v>37</x:v>
      </x:c>
      <x:c r="C1228" s="70" t="s">
        <x:v>73</x:v>
      </x:c>
      <x:c r="D1228" s="70" t="s">
        <x:v>502</x:v>
      </x:c>
      <x:c r="E1228" s="70" t="s">
        <x:v>1221</x:v>
      </x:c>
      <x:c r="F1228" s="70" t="s">
        <x:v>1643</x:v>
      </x:c>
      <x:c r="G1228" s="70" t="s">
        <x:v>2118</x:v>
      </x:c>
      <x:c r="H1228" s="70" t="s">
        <x:v>1215</x:v>
      </x:c>
      <x:c r="I1228" s="70" t="s">
        <x:v>1199</x:v>
      </x:c>
      <x:c r="J1228" s="70" t="n">
        <x:v>108</x:v>
      </x:c>
      <x:c r="K1228" s="70" t="s">
        <x:v>2543</x:v>
      </x:c>
      <x:c r="L1228" s="70"/>
      <x:c r="M1228" s="70" t="s">
        <x:v>158</x:v>
      </x:c>
      <x:c r="N1228" s="70" t="n">
        <x:v>1</x:v>
      </x:c>
      <x:c r="O1228" s="70" t="n">
        <x:f aca="0">N1228</x:f>
        <x:v>1</x:v>
      </x:c>
      <x:c r="P1228" s="74" t="n">
        <x:f aca="0">DGKC!D131</x:f>
        <x:v>1</x:v>
      </x:c>
      <x:c r="Q1228" s="70" t="str">
        <x:f aca="0">IF(ABS(O1228-P1228)&lt;0.000001,"PASS","FAIL")</x:f>
        <x:v>PASS</x:v>
      </x:c>
      <x:c r="R1228" s="70" t="s">
        <x:v>34</x:v>
      </x:c>
      <x:c r="S1228" s="70" t="str">
        <x:v>Verified FY-end share basis; see Share Basis and Corporate Actions for source excerpts and normalization. Original source metadata superseded where the basis changed.</x:v>
      </x:c>
    </x:row>
    <x:row r="1229" ht="15" hidden="0">
      <x:c r="A1229" s="70" t="s">
        <x:v>2544</x:v>
      </x:c>
      <x:c r="B1229" s="70" t="s">
        <x:v>37</x:v>
      </x:c>
      <x:c r="C1229" s="70" t="s">
        <x:v>74</x:v>
      </x:c>
      <x:c r="D1229" s="70" t="s">
        <x:v>502</x:v>
      </x:c>
      <x:c r="E1229" s="70" t="s">
        <x:v>1221</x:v>
      </x:c>
      <x:c r="F1229" s="70" t="s">
        <x:v>1643</x:v>
      </x:c>
      <x:c r="G1229" s="70" t="s">
        <x:v>2118</x:v>
      </x:c>
      <x:c r="H1229" s="70" t="s">
        <x:v>1215</x:v>
      </x:c>
      <x:c r="I1229" s="70" t="s">
        <x:v>1199</x:v>
      </x:c>
      <x:c r="J1229" s="70" t="n">
        <x:v>108</x:v>
      </x:c>
      <x:c r="K1229" s="70" t="s">
        <x:v>2543</x:v>
      </x:c>
      <x:c r="L1229" s="70"/>
      <x:c r="M1229" s="70" t="s">
        <x:v>158</x:v>
      </x:c>
      <x:c r="N1229" s="70" t="n">
        <x:v>1</x:v>
      </x:c>
      <x:c r="O1229" s="70" t="n">
        <x:f aca="0">N1229</x:f>
        <x:v>1</x:v>
      </x:c>
      <x:c r="P1229" s="74" t="n">
        <x:f aca="0">DGKC!E131</x:f>
        <x:v>1</x:v>
      </x:c>
      <x:c r="Q1229" s="70" t="str">
        <x:f aca="0">IF(ABS(O1229-P1229)&lt;0.000001,"PASS","FAIL")</x:f>
        <x:v>PASS</x:v>
      </x:c>
      <x:c r="R1229" s="70" t="s">
        <x:v>34</x:v>
      </x:c>
      <x:c r="S1229" s="70" t="str">
        <x:v>Verified FY-end share basis; see Share Basis and Corporate Actions for source excerpts and normalization. Original source metadata superseded where the basis changed.</x:v>
      </x:c>
    </x:row>
    <x:row r="1230" ht="15" hidden="0">
      <x:c r="A1230" s="70" t="s">
        <x:v>2545</x:v>
      </x:c>
      <x:c r="B1230" s="70" t="s">
        <x:v>37</x:v>
      </x:c>
      <x:c r="C1230" s="70" t="s">
        <x:v>75</x:v>
      </x:c>
      <x:c r="D1230" s="70" t="s">
        <x:v>502</x:v>
      </x:c>
      <x:c r="E1230" s="70" t="s">
        <x:v>1221</x:v>
      </x:c>
      <x:c r="F1230" s="70" t="s">
        <x:v>1643</x:v>
      </x:c>
      <x:c r="G1230" s="70" t="s">
        <x:v>2118</x:v>
      </x:c>
      <x:c r="H1230" s="70" t="s">
        <x:v>1215</x:v>
      </x:c>
      <x:c r="I1230" s="70" t="s">
        <x:v>1199</x:v>
      </x:c>
      <x:c r="J1230" s="70" t="n">
        <x:v>108</x:v>
      </x:c>
      <x:c r="K1230" s="70" t="s">
        <x:v>2543</x:v>
      </x:c>
      <x:c r="L1230" s="70"/>
      <x:c r="M1230" s="70" t="s">
        <x:v>158</x:v>
      </x:c>
      <x:c r="N1230" s="70" t="n">
        <x:v>0</x:v>
      </x:c>
      <x:c r="O1230" s="70" t="n">
        <x:f aca="0">N1230</x:f>
        <x:v>0</x:v>
      </x:c>
      <x:c r="P1230" s="74" t="n">
        <x:f aca="0">DGKC!F131</x:f>
        <x:v>0</x:v>
      </x:c>
      <x:c r="Q1230" s="70" t="str">
        <x:f aca="0">IF(ABS(O1230-P1230)&lt;0.000001,"PASS","FAIL")</x:f>
        <x:v>PASS</x:v>
      </x:c>
      <x:c r="R1230" s="70" t="s">
        <x:v>34</x:v>
      </x:c>
      <x:c r="S1230" s="70" t="str">
        <x:v>Verified FY-end share basis; see Share Basis and Corporate Actions for source excerpts and normalization. Original source metadata superseded where the basis changed.</x:v>
      </x:c>
    </x:row>
    <x:row r="1231" ht="15" hidden="0">
      <x:c r="A1231" s="70" t="s">
        <x:v>2546</x:v>
      </x:c>
      <x:c r="B1231" s="70" t="s">
        <x:v>37</x:v>
      </x:c>
      <x:c r="C1231" s="70" t="s">
        <x:v>76</x:v>
      </x:c>
      <x:c r="D1231" s="70" t="s">
        <x:v>502</x:v>
      </x:c>
      <x:c r="E1231" s="70" t="s">
        <x:v>1221</x:v>
      </x:c>
      <x:c r="F1231" s="70" t="s">
        <x:v>1643</x:v>
      </x:c>
      <x:c r="G1231" s="70" t="s">
        <x:v>2118</x:v>
      </x:c>
      <x:c r="H1231" s="70" t="s">
        <x:v>1215</x:v>
      </x:c>
      <x:c r="I1231" s="70" t="s">
        <x:v>1199</x:v>
      </x:c>
      <x:c r="J1231" s="70" t="n">
        <x:v>108</x:v>
      </x:c>
      <x:c r="K1231" s="70" t="s">
        <x:v>2543</x:v>
      </x:c>
      <x:c r="L1231" s="70"/>
      <x:c r="M1231" s="70" t="s">
        <x:v>158</x:v>
      </x:c>
      <x:c r="N1231" s="70" t="n">
        <x:v>0</x:v>
      </x:c>
      <x:c r="O1231" s="70" t="n">
        <x:f aca="0">N1231</x:f>
        <x:v>0</x:v>
      </x:c>
      <x:c r="P1231" s="74" t="n">
        <x:f aca="0">DGKC!G131</x:f>
        <x:v>0</x:v>
      </x:c>
      <x:c r="Q1231" s="70" t="str">
        <x:f aca="0">IF(ABS(O1231-P1231)&lt;0.000001,"PASS","FAIL")</x:f>
        <x:v>PASS</x:v>
      </x:c>
      <x:c r="R1231" s="70" t="s">
        <x:v>34</x:v>
      </x:c>
      <x:c r="S1231" s="70" t="str">
        <x:v>Verified FY-end share basis; see Share Basis and Corporate Actions for source excerpts and normalization. Original source metadata superseded where the basis changed.</x:v>
      </x:c>
    </x:row>
    <x:row r="1232" ht="15" hidden="0">
      <x:c r="A1232" s="70" t="s">
        <x:v>2547</x:v>
      </x:c>
      <x:c r="B1232" s="70" t="s">
        <x:v>37</x:v>
      </x:c>
      <x:c r="C1232" s="70" t="s">
        <x:v>77</x:v>
      </x:c>
      <x:c r="D1232" s="70" t="s">
        <x:v>502</x:v>
      </x:c>
      <x:c r="E1232" s="70" t="s">
        <x:v>1221</x:v>
      </x:c>
      <x:c r="F1232" s="70" t="s">
        <x:v>1643</x:v>
      </x:c>
      <x:c r="G1232" s="70" t="s">
        <x:v>2118</x:v>
      </x:c>
      <x:c r="H1232" s="70" t="s">
        <x:v>1215</x:v>
      </x:c>
      <x:c r="I1232" s="70" t="s">
        <x:v>1218</x:v>
      </x:c>
      <x:c r="J1232" s="70" t="n">
        <x:v>108</x:v>
      </x:c>
      <x:c r="K1232" s="70" t="s">
        <x:v>2543</x:v>
      </x:c>
      <x:c r="L1232" s="70"/>
      <x:c r="M1232" s="70" t="s">
        <x:v>158</x:v>
      </x:c>
      <x:c r="N1232" s="70" t="n">
        <x:v>2</x:v>
      </x:c>
      <x:c r="O1232" s="70" t="n">
        <x:f aca="0">N1232</x:f>
        <x:v>2</x:v>
      </x:c>
      <x:c r="P1232" s="74" t="n">
        <x:f aca="0">DGKC!H131</x:f>
        <x:v>2</x:v>
      </x:c>
      <x:c r="Q1232" s="70" t="str">
        <x:f aca="0">IF(ABS(O1232-P1232)&lt;0.000001,"PASS","FAIL")</x:f>
        <x:v>PASS</x:v>
      </x:c>
      <x:c r="R1232" s="70" t="s">
        <x:v>34</x:v>
      </x:c>
      <x:c r="S1232" s="70" t="str">
        <x:v>Verified FY-end share basis; see Share Basis and Corporate Actions for source excerpts and normalization. Original source metadata superseded where the basis changed.</x:v>
      </x:c>
    </x:row>
    <x:row r="1233" ht="15" hidden="0">
      <x:c r="A1233" s="70" t="s">
        <x:v>2548</x:v>
      </x:c>
      <x:c r="B1233" s="70" t="s">
        <x:v>37</x:v>
      </x:c>
      <x:c r="C1233" s="70" t="s">
        <x:v>73</x:v>
      </x:c>
      <x:c r="D1233" s="70" t="s">
        <x:v>1649</x:v>
      </x:c>
      <x:c r="E1233" s="70" t="s">
        <x:v>1472</x:v>
      </x:c>
      <x:c r="F1233" s="70" t="s">
        <x:v>1650</x:v>
      </x:c>
      <x:c r="G1233" s="70" t="str">
        <x:v>DG_Annual_Report_2021.pdf</x:v>
      </x:c>
      <x:c r="H1233" s="70" t="s">
        <x:v>1198</x:v>
      </x:c>
      <x:c r="I1233" s="70" t="s">
        <x:v>1218</x:v>
      </x:c>
      <x:c r="J1233" s="70" t="n">
        <x:v>155</x:v>
      </x:c>
      <x:c r="K1233" s="70" t="s">
        <x:v>1566</x:v>
      </x:c>
      <x:c r="L1233" s="70"/>
      <x:c r="M1233" s="70" t="s">
        <x:v>158</x:v>
      </x:c>
      <x:c r="N1233" s="70" t="n">
        <x:v>8.49</x:v>
      </x:c>
      <x:c r="O1233" s="70" t="n">
        <x:f aca="0">N1233</x:f>
        <x:v>8.49</x:v>
      </x:c>
      <x:c r="P1233" s="74" t="n">
        <x:f aca="0">DGKC!D132</x:f>
        <x:v>8.49</x:v>
      </x:c>
      <x:c r="Q1233" s="70" t="str">
        <x:f aca="0">IF(ABS(O1233-P1233)&lt;0.000001,"PASS","FAIL")</x:f>
        <x:v>PASS</x:v>
      </x:c>
      <x:c r="R1233" s="70" t="s">
        <x:v>34</x:v>
      </x:c>
      <x:c r="S1233" s="70" t="str">
        <x:v>Verified FY-end share basis; see Share Basis and Corporate Actions for source excerpts and normalization. Original source metadata superseded where the basis changed.</x:v>
      </x:c>
    </x:row>
    <x:row r="1234" ht="15" hidden="0">
      <x:c r="A1234" s="70" t="s">
        <x:v>2549</x:v>
      </x:c>
      <x:c r="B1234" s="70" t="s">
        <x:v>37</x:v>
      </x:c>
      <x:c r="C1234" s="70" t="s">
        <x:v>74</x:v>
      </x:c>
      <x:c r="D1234" s="70" t="s">
        <x:v>1649</x:v>
      </x:c>
      <x:c r="E1234" s="70" t="s">
        <x:v>1472</x:v>
      </x:c>
      <x:c r="F1234" s="70" t="s">
        <x:v>1650</x:v>
      </x:c>
      <x:c r="G1234" s="70" t="str">
        <x:v>DG_Annual_Report_2022.pdf</x:v>
      </x:c>
      <x:c r="H1234" s="70" t="s">
        <x:v>1204</x:v>
      </x:c>
      <x:c r="I1234" s="70" t="s">
        <x:v>1218</x:v>
      </x:c>
      <x:c r="J1234" s="70" t="n">
        <x:v>177</x:v>
      </x:c>
      <x:c r="K1234" s="70" t="s">
        <x:v>2367</x:v>
      </x:c>
      <x:c r="L1234" s="70"/>
      <x:c r="M1234" s="70" t="s">
        <x:v>158</x:v>
      </x:c>
      <x:c r="N1234" s="70" t="n">
        <x:v>6.78</x:v>
      </x:c>
      <x:c r="O1234" s="70" t="n">
        <x:f aca="0">N1234</x:f>
        <x:v>6.78</x:v>
      </x:c>
      <x:c r="P1234" s="74" t="n">
        <x:f aca="0">DGKC!E132</x:f>
        <x:v>6.78</x:v>
      </x:c>
      <x:c r="Q1234" s="70" t="str">
        <x:f aca="0">IF(ABS(O1234-P1234)&lt;0.000001,"PASS","FAIL")</x:f>
        <x:v>PASS</x:v>
      </x:c>
      <x:c r="R1234" s="70" t="s">
        <x:v>34</x:v>
      </x:c>
      <x:c r="S1234" s="70" t="str">
        <x:v>Verified FY-end share basis; see Share Basis and Corporate Actions for source excerpts and normalization. Original source metadata superseded where the basis changed.</x:v>
      </x:c>
    </x:row>
    <x:row r="1235" ht="15" hidden="0">
      <x:c r="A1235" s="70" t="s">
        <x:v>2550</x:v>
      </x:c>
      <x:c r="B1235" s="70" t="s">
        <x:v>37</x:v>
      </x:c>
      <x:c r="C1235" s="70" t="s">
        <x:v>75</x:v>
      </x:c>
      <x:c r="D1235" s="70" t="s">
        <x:v>1649</x:v>
      </x:c>
      <x:c r="E1235" s="70" t="s">
        <x:v>1472</x:v>
      </x:c>
      <x:c r="F1235" s="70" t="s">
        <x:v>1650</x:v>
      </x:c>
      <x:c r="G1235" s="70" t="str">
        <x:v>DGAnnual2023.pdf</x:v>
      </x:c>
      <x:c r="H1235" s="70" t="s">
        <x:v>1208</x:v>
      </x:c>
      <x:c r="I1235" s="70" t="s">
        <x:v>1218</x:v>
      </x:c>
      <x:c r="J1235" s="70" t="n">
        <x:v>202</x:v>
      </x:c>
      <x:c r="K1235" s="70" t="s">
        <x:v>2140</x:v>
      </x:c>
      <x:c r="L1235" s="70"/>
      <x:c r="M1235" s="70" t="s">
        <x:v>158</x:v>
      </x:c>
      <x:c r="N1235" s="70" t="n">
        <x:v>-8.3</x:v>
      </x:c>
      <x:c r="O1235" s="70" t="n">
        <x:f aca="0">N1235</x:f>
        <x:v>-8.3</x:v>
      </x:c>
      <x:c r="P1235" s="74" t="n">
        <x:f aca="0">DGKC!F132</x:f>
        <x:v>-8.3</x:v>
      </x:c>
      <x:c r="Q1235" s="70" t="str">
        <x:f aca="0">IF(ABS(O1235-P1235)&lt;0.000001,"PASS","FAIL")</x:f>
        <x:v>PASS</x:v>
      </x:c>
      <x:c r="R1235" s="70" t="s">
        <x:v>34</x:v>
      </x:c>
      <x:c r="S1235" s="70" t="str">
        <x:v>Verified FY-end share basis; see Share Basis and Corporate Actions for source excerpts and normalization. Original source metadata superseded where the basis changed.</x:v>
      </x:c>
    </x:row>
    <x:row r="1236" ht="15" hidden="0">
      <x:c r="A1236" s="70" t="s">
        <x:v>2551</x:v>
      </x:c>
      <x:c r="B1236" s="70" t="s">
        <x:v>37</x:v>
      </x:c>
      <x:c r="C1236" s="70" t="s">
        <x:v>76</x:v>
      </x:c>
      <x:c r="D1236" s="70" t="s">
        <x:v>1649</x:v>
      </x:c>
      <x:c r="E1236" s="70" t="s">
        <x:v>1472</x:v>
      </x:c>
      <x:c r="F1236" s="70" t="s">
        <x:v>1650</x:v>
      </x:c>
      <x:c r="G1236" s="70" t="str">
        <x:v>DGAnnual2024.pdf</x:v>
      </x:c>
      <x:c r="H1236" s="70" t="s">
        <x:v>1211</x:v>
      </x:c>
      <x:c r="I1236" s="70" t="s">
        <x:v>1218</x:v>
      </x:c>
      <x:c r="J1236" s="70" t="n">
        <x:v>205</x:v>
      </x:c>
      <x:c r="K1236" s="70" t="s">
        <x:v>2140</x:v>
      </x:c>
      <x:c r="L1236" s="70"/>
      <x:c r="M1236" s="70" t="s">
        <x:v>158</x:v>
      </x:c>
      <x:c r="N1236" s="70" t="n">
        <x:v>1.24</x:v>
      </x:c>
      <x:c r="O1236" s="70" t="n">
        <x:f aca="0">N1236</x:f>
        <x:v>1.24</x:v>
      </x:c>
      <x:c r="P1236" s="74" t="n">
        <x:f aca="0">DGKC!G132</x:f>
        <x:v>1.24</x:v>
      </x:c>
      <x:c r="Q1236" s="70" t="str">
        <x:f aca="0">IF(ABS(O1236-P1236)&lt;0.000001,"PASS","FAIL")</x:f>
        <x:v>PASS</x:v>
      </x:c>
      <x:c r="R1236" s="70" t="s">
        <x:v>34</x:v>
      </x:c>
      <x:c r="S1236" s="70" t="str">
        <x:v>Verified FY-end share basis; see Share Basis and Corporate Actions for source excerpts and normalization. Original source metadata superseded where the basis changed.</x:v>
      </x:c>
    </x:row>
    <x:row r="1237" ht="15" hidden="0">
      <x:c r="A1237" s="70" t="s">
        <x:v>2552</x:v>
      </x:c>
      <x:c r="B1237" s="70" t="s">
        <x:v>37</x:v>
      </x:c>
      <x:c r="C1237" s="70" t="s">
        <x:v>77</x:v>
      </x:c>
      <x:c r="D1237" s="70" t="s">
        <x:v>1649</x:v>
      </x:c>
      <x:c r="E1237" s="70" t="s">
        <x:v>1472</x:v>
      </x:c>
      <x:c r="F1237" s="70" t="s">
        <x:v>1650</x:v>
      </x:c>
      <x:c r="G1237" s="70" t="str">
        <x:v>DGAnnual2025.pdf</x:v>
      </x:c>
      <x:c r="H1237" s="70" t="s">
        <x:v>1215</x:v>
      </x:c>
      <x:c r="I1237" s="70" t="s">
        <x:v>1218</x:v>
      </x:c>
      <x:c r="J1237" s="70" t="n">
        <x:v>210</x:v>
      </x:c>
      <x:c r="K1237" s="70" t="s">
        <x:v>2270</x:v>
      </x:c>
      <x:c r="L1237" s="70"/>
      <x:c r="M1237" s="70" t="s">
        <x:v>158</x:v>
      </x:c>
      <x:c r="N1237" s="70" t="n">
        <x:v>19.8</x:v>
      </x:c>
      <x:c r="O1237" s="70" t="n">
        <x:f aca="0">N1237</x:f>
        <x:v>19.8</x:v>
      </x:c>
      <x:c r="P1237" s="74" t="n">
        <x:f aca="0">DGKC!H132</x:f>
        <x:v>19.8</x:v>
      </x:c>
      <x:c r="Q1237" s="70" t="str">
        <x:f aca="0">IF(ABS(O1237-P1237)&lt;0.000001,"PASS","FAIL")</x:f>
        <x:v>PASS</x:v>
      </x:c>
      <x:c r="R1237" s="70" t="s">
        <x:v>34</x:v>
      </x:c>
      <x:c r="S1237" s="70" t="str">
        <x:v>Verified FY-end share basis; see Share Basis and Corporate Actions for source excerpts and normalization. Original source metadata superseded where the basis changed.</x:v>
      </x:c>
    </x:row>
    <x:row r="1238" ht="15" hidden="0">
      <x:c r="A1238" s="70" t="s">
        <x:v>2553</x:v>
      </x:c>
      <x:c r="B1238" s="70" t="s">
        <x:v>37</x:v>
      </x:c>
      <x:c r="C1238" s="70" t="s">
        <x:v>73</x:v>
      </x:c>
      <x:c r="D1238" s="70" t="s">
        <x:v>1656</x:v>
      </x:c>
      <x:c r="E1238" s="70" t="s">
        <x:v>1221</x:v>
      </x:c>
      <x:c r="F1238" s="70" t="s">
        <x:v>1657</x:v>
      </x:c>
      <x:c r="G1238" s="70" t="s">
        <x:v>2118</x:v>
      </x:c>
      <x:c r="H1238" s="70" t="s">
        <x:v>1215</x:v>
      </x:c>
      <x:c r="I1238" s="70" t="s">
        <x:v>1199</x:v>
      </x:c>
      <x:c r="J1238" s="70" t="n">
        <x:v>108</x:v>
      </x:c>
      <x:c r="K1238" s="70" t="s">
        <x:v>2543</x:v>
      </x:c>
      <x:c r="L1238" s="70"/>
      <x:c r="M1238" s="70" t="s">
        <x:v>508</x:v>
      </x:c>
      <x:c r="N1238" s="70" t="n">
        <x:v>1</x:v>
      </x:c>
      <x:c r="O1238" s="70" t="n">
        <x:f aca="0">N1238</x:f>
        <x:v>1</x:v>
      </x:c>
      <x:c r="P1238" s="74" t="n">
        <x:f aca="0">DGKC!D134</x:f>
        <x:v>1</x:v>
      </x:c>
      <x:c r="Q1238" s="70" t="str">
        <x:f aca="0">IF(ABS(O1238-P1238)&lt;0.000001,"PASS","FAIL")</x:f>
        <x:v>PASS</x:v>
      </x:c>
      <x:c r="R1238" s="70" t="s">
        <x:v>34</x:v>
      </x:c>
      <x:c r="S1238" s="70" t="str">
        <x:v>Verified FY-end share basis; see Share Basis and Corporate Actions for source excerpts and normalization. Original source metadata superseded where the basis changed.</x:v>
      </x:c>
    </x:row>
    <x:row r="1239" ht="15" hidden="0">
      <x:c r="A1239" s="70" t="s">
        <x:v>2554</x:v>
      </x:c>
      <x:c r="B1239" s="70" t="s">
        <x:v>37</x:v>
      </x:c>
      <x:c r="C1239" s="70" t="s">
        <x:v>74</x:v>
      </x:c>
      <x:c r="D1239" s="70" t="s">
        <x:v>1656</x:v>
      </x:c>
      <x:c r="E1239" s="70" t="s">
        <x:v>1221</x:v>
      </x:c>
      <x:c r="F1239" s="70" t="s">
        <x:v>1657</x:v>
      </x:c>
      <x:c r="G1239" s="70" t="s">
        <x:v>2118</x:v>
      </x:c>
      <x:c r="H1239" s="70" t="s">
        <x:v>1215</x:v>
      </x:c>
      <x:c r="I1239" s="70" t="s">
        <x:v>1199</x:v>
      </x:c>
      <x:c r="J1239" s="70" t="n">
        <x:v>108</x:v>
      </x:c>
      <x:c r="K1239" s="70" t="s">
        <x:v>2543</x:v>
      </x:c>
      <x:c r="L1239" s="70"/>
      <x:c r="M1239" s="70" t="s">
        <x:v>508</x:v>
      </x:c>
      <x:c r="N1239" s="70" t="n">
        <x:v>1</x:v>
      </x:c>
      <x:c r="O1239" s="70" t="n">
        <x:f aca="0">N1239</x:f>
        <x:v>1</x:v>
      </x:c>
      <x:c r="P1239" s="74" t="n">
        <x:f aca="0">DGKC!E134</x:f>
        <x:v>1</x:v>
      </x:c>
      <x:c r="Q1239" s="70" t="str">
        <x:f aca="0">IF(ABS(O1239-P1239)&lt;0.000001,"PASS","FAIL")</x:f>
        <x:v>PASS</x:v>
      </x:c>
      <x:c r="R1239" s="70" t="s">
        <x:v>34</x:v>
      </x:c>
      <x:c r="S1239" s="70" t="str">
        <x:v>Verified FY-end share basis; see Share Basis and Corporate Actions for source excerpts and normalization. Original source metadata superseded where the basis changed.</x:v>
      </x:c>
    </x:row>
    <x:row r="1240" ht="15" hidden="0">
      <x:c r="A1240" s="70" t="s">
        <x:v>2555</x:v>
      </x:c>
      <x:c r="B1240" s="70" t="s">
        <x:v>37</x:v>
      </x:c>
      <x:c r="C1240" s="70" t="s">
        <x:v>75</x:v>
      </x:c>
      <x:c r="D1240" s="70" t="s">
        <x:v>1656</x:v>
      </x:c>
      <x:c r="E1240" s="70" t="s">
        <x:v>1221</x:v>
      </x:c>
      <x:c r="F1240" s="70" t="s">
        <x:v>1657</x:v>
      </x:c>
      <x:c r="G1240" s="70" t="s">
        <x:v>2118</x:v>
      </x:c>
      <x:c r="H1240" s="70" t="s">
        <x:v>1215</x:v>
      </x:c>
      <x:c r="I1240" s="70" t="s">
        <x:v>1199</x:v>
      </x:c>
      <x:c r="J1240" s="70" t="n">
        <x:v>108</x:v>
      </x:c>
      <x:c r="K1240" s="70" t="s">
        <x:v>2543</x:v>
      </x:c>
      <x:c r="L1240" s="70"/>
      <x:c r="M1240" s="70" t="s">
        <x:v>508</x:v>
      </x:c>
      <x:c r="N1240" s="70" t="n">
        <x:v>1</x:v>
      </x:c>
      <x:c r="O1240" s="70" t="n">
        <x:f aca="0">N1240</x:f>
        <x:v>1</x:v>
      </x:c>
      <x:c r="P1240" s="74" t="n">
        <x:f aca="0">DGKC!F134</x:f>
        <x:v>1</x:v>
      </x:c>
      <x:c r="Q1240" s="70" t="str">
        <x:f aca="0">IF(ABS(O1240-P1240)&lt;0.000001,"PASS","FAIL")</x:f>
        <x:v>PASS</x:v>
      </x:c>
      <x:c r="R1240" s="70" t="s">
        <x:v>34</x:v>
      </x:c>
      <x:c r="S1240" s="70" t="str">
        <x:v>Verified FY-end share basis; see Share Basis and Corporate Actions for source excerpts and normalization. Original source metadata superseded where the basis changed.</x:v>
      </x:c>
    </x:row>
    <x:row r="1241" ht="15" hidden="0">
      <x:c r="A1241" s="70" t="s">
        <x:v>2556</x:v>
      </x:c>
      <x:c r="B1241" s="70" t="s">
        <x:v>37</x:v>
      </x:c>
      <x:c r="C1241" s="70" t="s">
        <x:v>76</x:v>
      </x:c>
      <x:c r="D1241" s="70" t="s">
        <x:v>1656</x:v>
      </x:c>
      <x:c r="E1241" s="70" t="s">
        <x:v>1221</x:v>
      </x:c>
      <x:c r="F1241" s="70" t="s">
        <x:v>1657</x:v>
      </x:c>
      <x:c r="G1241" s="70" t="s">
        <x:v>2118</x:v>
      </x:c>
      <x:c r="H1241" s="70" t="s">
        <x:v>1215</x:v>
      </x:c>
      <x:c r="I1241" s="70" t="s">
        <x:v>1199</x:v>
      </x:c>
      <x:c r="J1241" s="70" t="n">
        <x:v>108</x:v>
      </x:c>
      <x:c r="K1241" s="70" t="s">
        <x:v>2543</x:v>
      </x:c>
      <x:c r="L1241" s="70"/>
      <x:c r="M1241" s="70" t="s">
        <x:v>508</x:v>
      </x:c>
      <x:c r="N1241" s="70" t="n">
        <x:v>1</x:v>
      </x:c>
      <x:c r="O1241" s="70" t="n">
        <x:f aca="0">N1241</x:f>
        <x:v>1</x:v>
      </x:c>
      <x:c r="P1241" s="74" t="n">
        <x:f aca="0">DGKC!G134</x:f>
        <x:v>1</x:v>
      </x:c>
      <x:c r="Q1241" s="70" t="str">
        <x:f aca="0">IF(ABS(O1241-P1241)&lt;0.000001,"PASS","FAIL")</x:f>
        <x:v>PASS</x:v>
      </x:c>
      <x:c r="R1241" s="70" t="s">
        <x:v>34</x:v>
      </x:c>
      <x:c r="S1241" s="70" t="str">
        <x:v>Verified FY-end share basis; see Share Basis and Corporate Actions for source excerpts and normalization. Original source metadata superseded where the basis changed.</x:v>
      </x:c>
    </x:row>
    <x:row r="1242" ht="15" hidden="0">
      <x:c r="A1242" s="70" t="s">
        <x:v>2557</x:v>
      </x:c>
      <x:c r="B1242" s="70" t="s">
        <x:v>37</x:v>
      </x:c>
      <x:c r="C1242" s="70" t="s">
        <x:v>77</x:v>
      </x:c>
      <x:c r="D1242" s="70" t="s">
        <x:v>1656</x:v>
      </x:c>
      <x:c r="E1242" s="70" t="s">
        <x:v>1221</x:v>
      </x:c>
      <x:c r="F1242" s="70" t="s">
        <x:v>1657</x:v>
      </x:c>
      <x:c r="G1242" s="70" t="s">
        <x:v>2118</x:v>
      </x:c>
      <x:c r="H1242" s="70" t="s">
        <x:v>1215</x:v>
      </x:c>
      <x:c r="I1242" s="70" t="s">
        <x:v>1218</x:v>
      </x:c>
      <x:c r="J1242" s="70" t="n">
        <x:v>108</x:v>
      </x:c>
      <x:c r="K1242" s="70" t="s">
        <x:v>2543</x:v>
      </x:c>
      <x:c r="L1242" s="70"/>
      <x:c r="M1242" s="70" t="s">
        <x:v>508</x:v>
      </x:c>
      <x:c r="N1242" s="70" t="n">
        <x:v>1</x:v>
      </x:c>
      <x:c r="O1242" s="70" t="n">
        <x:f aca="0">N1242</x:f>
        <x:v>1</x:v>
      </x:c>
      <x:c r="P1242" s="74" t="n">
        <x:f aca="0">DGKC!H134</x:f>
        <x:v>1</x:v>
      </x:c>
      <x:c r="Q1242" s="70" t="str">
        <x:f aca="0">IF(ABS(O1242-P1242)&lt;0.000001,"PASS","FAIL")</x:f>
        <x:v>PASS</x:v>
      </x:c>
      <x:c r="R1242" s="70" t="s">
        <x:v>34</x:v>
      </x:c>
      <x:c r="S1242" s="70" t="str">
        <x:v>Verified FY-end share basis; see Share Basis and Corporate Actions for source excerpts and normalization. Original source metadata superseded where the basis changed.</x:v>
      </x:c>
    </x:row>
    <x:row r="1243" ht="15" hidden="0">
      <x:c r="A1243" s="70" t="s">
        <x:v>2558</x:v>
      </x:c>
      <x:c r="B1243" s="70" t="s">
        <x:v>42</x:v>
      </x:c>
      <x:c r="C1243" s="70" t="s">
        <x:v>1076</x:v>
      </x:c>
      <x:c r="D1243" s="70" t="s">
        <x:v>296</x:v>
      </x:c>
      <x:c r="E1243" s="70" t="s">
        <x:v>1129</x:v>
      </x:c>
      <x:c r="F1243" s="70" t="s">
        <x:v>1196</x:v>
      </x:c>
      <x:c r="G1243" s="70" t="s">
        <x:v>1663</x:v>
      </x:c>
      <x:c r="H1243" s="70" t="s">
        <x:v>1198</x:v>
      </x:c>
      <x:c r="I1243" s="70" t="s">
        <x:v>1199</x:v>
      </x:c>
      <x:c r="J1243" s="70" t="n">
        <x:v>163</x:v>
      </x:c>
      <x:c r="K1243" s="70" t="s">
        <x:v>2559</x:v>
      </x:c>
      <x:c r="L1243" s="70" t="s">
        <x:v>1270</x:v>
      </x:c>
      <x:c r="M1243" s="70" t="s">
        <x:v>40</x:v>
      </x:c>
      <x:c r="N1243" s="71" t="n">
        <x:v>44297941</x:v>
      </x:c>
      <x:c r="O1243" s="72" t="n">
        <x:f aca="0">N1243/1000</x:f>
        <x:v>44297.941</x:v>
      </x:c>
      <x:c r="P1243" s="73" t="n">
        <x:f aca="0">MLCF!C20</x:f>
        <x:v>44297.941</x:v>
      </x:c>
      <x:c r="Q1243" s="70" t="str">
        <x:f aca="0">IF(ABS(O1243-P1243)&lt;0.000001,"PASS","FAIL")</x:f>
        <x:v>PASS</x:v>
      </x:c>
      <x:c r="R1243" s="70" t="s">
        <x:v>34</x:v>
      </x:c>
      <x:c r="S1243" s="70"/>
    </x:row>
    <x:row r="1244" ht="15" hidden="0">
      <x:c r="A1244" s="70" t="s">
        <x:v>2560</x:v>
      </x:c>
      <x:c r="B1244" s="70" t="s">
        <x:v>42</x:v>
      </x:c>
      <x:c r="C1244" s="70" t="s">
        <x:v>73</x:v>
      </x:c>
      <x:c r="D1244" s="70" t="s">
        <x:v>296</x:v>
      </x:c>
      <x:c r="E1244" s="70" t="s">
        <x:v>1129</x:v>
      </x:c>
      <x:c r="F1244" s="70" t="s">
        <x:v>1196</x:v>
      </x:c>
      <x:c r="G1244" s="70" t="s">
        <x:v>1666</x:v>
      </x:c>
      <x:c r="H1244" s="70" t="s">
        <x:v>1204</x:v>
      </x:c>
      <x:c r="I1244" s="70" t="s">
        <x:v>1199</x:v>
      </x:c>
      <x:c r="J1244" s="70" t="n">
        <x:v>184</x:v>
      </x:c>
      <x:c r="K1244" s="70" t="s">
        <x:v>2305</x:v>
      </x:c>
      <x:c r="L1244" s="70" t="s">
        <x:v>1270</x:v>
      </x:c>
      <x:c r="M1244" s="70" t="s">
        <x:v>40</x:v>
      </x:c>
      <x:c r="N1244" s="71" t="n">
        <x:v>44215539</x:v>
      </x:c>
      <x:c r="O1244" s="72" t="n">
        <x:f aca="0">N1244/1000</x:f>
        <x:v>44215.539</x:v>
      </x:c>
      <x:c r="P1244" s="73" t="n">
        <x:f aca="0">MLCF!D20</x:f>
        <x:v>44215.539</x:v>
      </x:c>
      <x:c r="Q1244" s="70" t="str">
        <x:f aca="0">IF(ABS(O1244-P1244)&lt;0.000001,"PASS","FAIL")</x:f>
        <x:v>PASS</x:v>
      </x:c>
      <x:c r="R1244" s="70" t="s">
        <x:v>34</x:v>
      </x:c>
      <x:c r="S1244" s="70"/>
    </x:row>
    <x:row r="1245" ht="15" hidden="0">
      <x:c r="A1245" s="70" t="s">
        <x:v>2561</x:v>
      </x:c>
      <x:c r="B1245" s="70" t="s">
        <x:v>42</x:v>
      </x:c>
      <x:c r="C1245" s="70" t="s">
        <x:v>74</x:v>
      </x:c>
      <x:c r="D1245" s="70" t="s">
        <x:v>296</x:v>
      </x:c>
      <x:c r="E1245" s="70" t="s">
        <x:v>1129</x:v>
      </x:c>
      <x:c r="F1245" s="70" t="s">
        <x:v>1196</x:v>
      </x:c>
      <x:c r="G1245" s="70" t="s">
        <x:v>1669</x:v>
      </x:c>
      <x:c r="H1245" s="70" t="s">
        <x:v>1208</x:v>
      </x:c>
      <x:c r="I1245" s="70" t="s">
        <x:v>1199</x:v>
      </x:c>
      <x:c r="J1245" s="70" t="n">
        <x:v>98</x:v>
      </x:c>
      <x:c r="K1245" s="70" t="s">
        <x:v>2562</x:v>
      </x:c>
      <x:c r="L1245" s="70"/>
      <x:c r="M1245" s="70" t="s">
        <x:v>40</x:v>
      </x:c>
      <x:c r="N1245" s="71" t="n">
        <x:v>56784840</x:v>
      </x:c>
      <x:c r="O1245" s="72" t="n">
        <x:f aca="0">N1245/1000</x:f>
        <x:v>56784.84</x:v>
      </x:c>
      <x:c r="P1245" s="73" t="n">
        <x:f aca="0">MLCF!E20</x:f>
        <x:v>56784.84</x:v>
      </x:c>
      <x:c r="Q1245" s="70" t="str">
        <x:f aca="0">IF(ABS(O1245-P1245)&lt;0.000001,"PASS","FAIL")</x:f>
        <x:v>PASS</x:v>
      </x:c>
      <x:c r="R1245" s="70" t="s">
        <x:v>34</x:v>
      </x:c>
      <x:c r="S1245" s="70"/>
    </x:row>
    <x:row r="1246" ht="15" hidden="0">
      <x:c r="A1246" s="70" t="s">
        <x:v>2563</x:v>
      </x:c>
      <x:c r="B1246" s="70" t="s">
        <x:v>42</x:v>
      </x:c>
      <x:c r="C1246" s="70" t="s">
        <x:v>75</x:v>
      </x:c>
      <x:c r="D1246" s="70" t="s">
        <x:v>296</x:v>
      </x:c>
      <x:c r="E1246" s="70" t="s">
        <x:v>1129</x:v>
      </x:c>
      <x:c r="F1246" s="70" t="s">
        <x:v>1196</x:v>
      </x:c>
      <x:c r="G1246" s="70" t="s">
        <x:v>1672</x:v>
      </x:c>
      <x:c r="H1246" s="70" t="s">
        <x:v>1211</x:v>
      </x:c>
      <x:c r="I1246" s="70" t="s">
        <x:v>1199</x:v>
      </x:c>
      <x:c r="J1246" s="70" t="n">
        <x:v>190</x:v>
      </x:c>
      <x:c r="K1246" s="70" t="s">
        <x:v>2564</x:v>
      </x:c>
      <x:c r="L1246" s="70" t="s">
        <x:v>1270</x:v>
      </x:c>
      <x:c r="M1246" s="70" t="s">
        <x:v>40</x:v>
      </x:c>
      <x:c r="N1246" s="71" t="n">
        <x:v>62354608</x:v>
      </x:c>
      <x:c r="O1246" s="72" t="n">
        <x:f aca="0">N1246/1000</x:f>
        <x:v>62354.608</x:v>
      </x:c>
      <x:c r="P1246" s="73" t="n">
        <x:f aca="0">MLCF!F20</x:f>
        <x:v>62354.608</x:v>
      </x:c>
      <x:c r="Q1246" s="70" t="str">
        <x:f aca="0">IF(ABS(O1246-P1246)&lt;0.000001,"PASS","FAIL")</x:f>
        <x:v>PASS</x:v>
      </x:c>
      <x:c r="R1246" s="70" t="s">
        <x:v>34</x:v>
      </x:c>
      <x:c r="S1246" s="70"/>
    </x:row>
    <x:row r="1247" ht="15" hidden="0">
      <x:c r="A1247" s="70" t="s">
        <x:v>2565</x:v>
      </x:c>
      <x:c r="B1247" s="70" t="s">
        <x:v>42</x:v>
      </x:c>
      <x:c r="C1247" s="70" t="s">
        <x:v>76</x:v>
      </x:c>
      <x:c r="D1247" s="70" t="s">
        <x:v>296</x:v>
      </x:c>
      <x:c r="E1247" s="70" t="s">
        <x:v>1129</x:v>
      </x:c>
      <x:c r="F1247" s="70" t="s">
        <x:v>1196</x:v>
      </x:c>
      <x:c r="G1247" s="70" t="s">
        <x:v>1675</x:v>
      </x:c>
      <x:c r="H1247" s="70" t="s">
        <x:v>1215</x:v>
      </x:c>
      <x:c r="I1247" s="70" t="s">
        <x:v>1199</x:v>
      </x:c>
      <x:c r="J1247" s="70" t="n">
        <x:v>202</x:v>
      </x:c>
      <x:c r="K1247" s="70" t="s">
        <x:v>2527</x:v>
      </x:c>
      <x:c r="L1247" s="70" t="s">
        <x:v>1248</x:v>
      </x:c>
      <x:c r="M1247" s="70" t="s">
        <x:v>40</x:v>
      </x:c>
      <x:c r="N1247" s="71" t="n">
        <x:v>65995598</x:v>
      </x:c>
      <x:c r="O1247" s="72" t="n">
        <x:f aca="0">N1247/1000</x:f>
        <x:v>65995.598</x:v>
      </x:c>
      <x:c r="P1247" s="73" t="n">
        <x:f aca="0">MLCF!G20</x:f>
        <x:v>65995.598</x:v>
      </x:c>
      <x:c r="Q1247" s="70" t="str">
        <x:f aca="0">IF(ABS(O1247-P1247)&lt;0.000001,"PASS","FAIL")</x:f>
        <x:v>PASS</x:v>
      </x:c>
      <x:c r="R1247" s="70" t="s">
        <x:v>34</x:v>
      </x:c>
      <x:c r="S1247" s="70"/>
    </x:row>
    <x:row r="1248" ht="15" hidden="0">
      <x:c r="A1248" s="70" t="s">
        <x:v>2566</x:v>
      </x:c>
      <x:c r="B1248" s="70" t="s">
        <x:v>42</x:v>
      </x:c>
      <x:c r="C1248" s="70" t="s">
        <x:v>77</x:v>
      </x:c>
      <x:c r="D1248" s="70" t="s">
        <x:v>296</x:v>
      </x:c>
      <x:c r="E1248" s="70" t="s">
        <x:v>1129</x:v>
      </x:c>
      <x:c r="F1248" s="70" t="s">
        <x:v>1196</x:v>
      </x:c>
      <x:c r="G1248" s="70" t="s">
        <x:v>1675</x:v>
      </x:c>
      <x:c r="H1248" s="70" t="s">
        <x:v>1215</x:v>
      </x:c>
      <x:c r="I1248" s="70" t="s">
        <x:v>1218</x:v>
      </x:c>
      <x:c r="J1248" s="70" t="n">
        <x:v>202</x:v>
      </x:c>
      <x:c r="K1248" s="70" t="s">
        <x:v>2527</x:v>
      </x:c>
      <x:c r="L1248" s="70" t="s">
        <x:v>1248</x:v>
      </x:c>
      <x:c r="M1248" s="70" t="s">
        <x:v>40</x:v>
      </x:c>
      <x:c r="N1248" s="71" t="n">
        <x:v>62836212</x:v>
      </x:c>
      <x:c r="O1248" s="72" t="n">
        <x:f aca="0">N1248/1000</x:f>
        <x:v>62836.212</x:v>
      </x:c>
      <x:c r="P1248" s="73" t="n">
        <x:f aca="0">MLCF!H20</x:f>
        <x:v>62836.212</x:v>
      </x:c>
      <x:c r="Q1248" s="70" t="str">
        <x:f aca="0">IF(ABS(O1248-P1248)&lt;0.000001,"PASS","FAIL")</x:f>
        <x:v>PASS</x:v>
      </x:c>
      <x:c r="R1248" s="70" t="s">
        <x:v>34</x:v>
      </x:c>
      <x:c r="S1248" s="70"/>
    </x:row>
    <x:row r="1249" ht="15" hidden="0">
      <x:c r="A1249" s="70" t="s">
        <x:v>2567</x:v>
      </x:c>
      <x:c r="B1249" s="70" t="s">
        <x:v>42</x:v>
      </x:c>
      <x:c r="C1249" s="70" t="s">
        <x:v>1076</x:v>
      </x:c>
      <x:c r="D1249" s="70" t="s">
        <x:v>1220</x:v>
      </x:c>
      <x:c r="E1249" s="70" t="s">
        <x:v>1221</x:v>
      </x:c>
      <x:c r="F1249" s="70" t="s">
        <x:v>2568</x:v>
      </x:c>
      <x:c r="G1249" s="70" t="s">
        <x:v>1663</x:v>
      </x:c>
      <x:c r="H1249" s="70" t="s">
        <x:v>1198</x:v>
      </x:c>
      <x:c r="I1249" s="70" t="s">
        <x:v>1199</x:v>
      </x:c>
      <x:c r="J1249" s="70" t="n">
        <x:v>203</x:v>
      </x:c>
      <x:c r="K1249" s="70" t="s">
        <x:v>2527</x:v>
      </x:c>
      <x:c r="L1249" s="70"/>
      <x:c r="M1249" s="70" t="s">
        <x:v>40</x:v>
      </x:c>
      <x:c r="N1249" s="71" t="n">
        <x:v>871386</x:v>
      </x:c>
      <x:c r="O1249" s="72" t="n">
        <x:f aca="0">N1249/1000</x:f>
        <x:v>871.386</x:v>
      </x:c>
      <x:c r="P1249" s="73" t="n">
        <x:f aca="0">MLCF!C21</x:f>
        <x:v>871.386</x:v>
      </x:c>
      <x:c r="Q1249" s="70" t="str">
        <x:f aca="0">IF(ABS(O1249-P1249)&lt;0.000001,"PASS","FAIL")</x:f>
        <x:v>PASS</x:v>
      </x:c>
      <x:c r="R1249" s="70" t="s">
        <x:v>34</x:v>
      </x:c>
      <x:c r="S1249" s="70"/>
    </x:row>
    <x:row r="1250" ht="15" hidden="0">
      <x:c r="A1250" s="70" t="s">
        <x:v>2569</x:v>
      </x:c>
      <x:c r="B1250" s="70" t="s">
        <x:v>42</x:v>
      </x:c>
      <x:c r="C1250" s="70" t="s">
        <x:v>73</x:v>
      </x:c>
      <x:c r="D1250" s="70" t="s">
        <x:v>1220</x:v>
      </x:c>
      <x:c r="E1250" s="70" t="s">
        <x:v>1221</x:v>
      </x:c>
      <x:c r="F1250" s="70" t="s">
        <x:v>2568</x:v>
      </x:c>
      <x:c r="G1250" s="70" t="s">
        <x:v>1666</x:v>
      </x:c>
      <x:c r="H1250" s="70" t="s">
        <x:v>1204</x:v>
      </x:c>
      <x:c r="I1250" s="70" t="s">
        <x:v>1199</x:v>
      </x:c>
      <x:c r="J1250" s="70" t="n">
        <x:v>226</x:v>
      </x:c>
      <x:c r="K1250" s="70" t="s">
        <x:v>1918</x:v>
      </x:c>
      <x:c r="L1250" s="70"/>
      <x:c r="M1250" s="70" t="s">
        <x:v>40</x:v>
      </x:c>
      <x:c r="N1250" s="71" t="n">
        <x:v>2854293</x:v>
      </x:c>
      <x:c r="O1250" s="72" t="n">
        <x:f aca="0">N1250/1000</x:f>
        <x:v>2854.293</x:v>
      </x:c>
      <x:c r="P1250" s="73" t="n">
        <x:f aca="0">MLCF!D21</x:f>
        <x:v>2854.293</x:v>
      </x:c>
      <x:c r="Q1250" s="70" t="str">
        <x:f aca="0">IF(ABS(O1250-P1250)&lt;0.000001,"PASS","FAIL")</x:f>
        <x:v>PASS</x:v>
      </x:c>
      <x:c r="R1250" s="70" t="s">
        <x:v>34</x:v>
      </x:c>
      <x:c r="S1250" s="70"/>
    </x:row>
    <x:row r="1251" ht="15" hidden="0">
      <x:c r="A1251" s="70" t="s">
        <x:v>2570</x:v>
      </x:c>
      <x:c r="B1251" s="70" t="s">
        <x:v>42</x:v>
      </x:c>
      <x:c r="C1251" s="70" t="s">
        <x:v>74</x:v>
      </x:c>
      <x:c r="D1251" s="70" t="s">
        <x:v>1220</x:v>
      </x:c>
      <x:c r="E1251" s="70" t="s">
        <x:v>1221</x:v>
      </x:c>
      <x:c r="F1251" s="70" t="s">
        <x:v>2568</x:v>
      </x:c>
      <x:c r="G1251" s="70" t="s">
        <x:v>1666</x:v>
      </x:c>
      <x:c r="H1251" s="70" t="s">
        <x:v>1204</x:v>
      </x:c>
      <x:c r="I1251" s="70" t="s">
        <x:v>1218</x:v>
      </x:c>
      <x:c r="J1251" s="70" t="n">
        <x:v>226</x:v>
      </x:c>
      <x:c r="K1251" s="70" t="s">
        <x:v>1918</x:v>
      </x:c>
      <x:c r="L1251" s="70"/>
      <x:c r="M1251" s="70" t="s">
        <x:v>40</x:v>
      </x:c>
      <x:c r="N1251" s="71" t="n">
        <x:v>15352800</x:v>
      </x:c>
      <x:c r="O1251" s="72" t="n">
        <x:f aca="0">N1251/1000</x:f>
        <x:v>15352.8</x:v>
      </x:c>
      <x:c r="P1251" s="73" t="n">
        <x:f aca="0">MLCF!E21</x:f>
        <x:v>15352.8</x:v>
      </x:c>
      <x:c r="Q1251" s="70" t="str">
        <x:f aca="0">IF(ABS(O1251-P1251)&lt;0.000001,"PASS","FAIL")</x:f>
        <x:v>PASS</x:v>
      </x:c>
      <x:c r="R1251" s="70" t="s">
        <x:v>34</x:v>
      </x:c>
      <x:c r="S1251" s="70"/>
    </x:row>
    <x:row r="1252" ht="15" hidden="0">
      <x:c r="A1252" s="70" t="s">
        <x:v>2571</x:v>
      </x:c>
      <x:c r="B1252" s="70" t="s">
        <x:v>42</x:v>
      </x:c>
      <x:c r="C1252" s="70" t="s">
        <x:v>75</x:v>
      </x:c>
      <x:c r="D1252" s="70" t="s">
        <x:v>1220</x:v>
      </x:c>
      <x:c r="E1252" s="70" t="s">
        <x:v>1221</x:v>
      </x:c>
      <x:c r="F1252" s="70" t="s">
        <x:v>2568</x:v>
      </x:c>
      <x:c r="G1252" s="70" t="s">
        <x:v>1672</x:v>
      </x:c>
      <x:c r="H1252" s="70" t="s">
        <x:v>1211</x:v>
      </x:c>
      <x:c r="I1252" s="70" t="s">
        <x:v>1199</x:v>
      </x:c>
      <x:c r="J1252" s="70" t="n">
        <x:v>232</x:v>
      </x:c>
      <x:c r="K1252" s="70" t="s">
        <x:v>2572</x:v>
      </x:c>
      <x:c r="L1252" s="70"/>
      <x:c r="M1252" s="70" t="s">
        <x:v>40</x:v>
      </x:c>
      <x:c r="N1252" s="71" t="n">
        <x:v>1676796</x:v>
      </x:c>
      <x:c r="O1252" s="72" t="n">
        <x:f aca="0">N1252/1000</x:f>
        <x:v>1676.796</x:v>
      </x:c>
      <x:c r="P1252" s="73" t="n">
        <x:f aca="0">MLCF!F21</x:f>
        <x:v>1676.796</x:v>
      </x:c>
      <x:c r="Q1252" s="70" t="str">
        <x:f aca="0">IF(ABS(O1252-P1252)&lt;0.000001,"PASS","FAIL")</x:f>
        <x:v>PASS</x:v>
      </x:c>
      <x:c r="R1252" s="70" t="s">
        <x:v>34</x:v>
      </x:c>
      <x:c r="S1252" s="70"/>
    </x:row>
    <x:row r="1253" ht="15" hidden="0">
      <x:c r="A1253" s="70" t="s">
        <x:v>2573</x:v>
      </x:c>
      <x:c r="B1253" s="70" t="s">
        <x:v>42</x:v>
      </x:c>
      <x:c r="C1253" s="70" t="s">
        <x:v>76</x:v>
      </x:c>
      <x:c r="D1253" s="70" t="s">
        <x:v>1220</x:v>
      </x:c>
      <x:c r="E1253" s="70" t="s">
        <x:v>1221</x:v>
      </x:c>
      <x:c r="F1253" s="70" t="s">
        <x:v>2574</x:v>
      </x:c>
      <x:c r="G1253" s="70" t="s">
        <x:v>1675</x:v>
      </x:c>
      <x:c r="H1253" s="70" t="s">
        <x:v>1215</x:v>
      </x:c>
      <x:c r="I1253" s="70" t="s">
        <x:v>1199</x:v>
      </x:c>
      <x:c r="J1253" s="70" t="n">
        <x:v>246</x:v>
      </x:c>
      <x:c r="K1253" s="70" t="s">
        <x:v>2575</x:v>
      </x:c>
      <x:c r="L1253" s="70"/>
      <x:c r="M1253" s="70" t="s">
        <x:v>40</x:v>
      </x:c>
      <x:c r="N1253" s="71" t="n">
        <x:v>471174</x:v>
      </x:c>
      <x:c r="O1253" s="72" t="n">
        <x:f aca="0">N1253/1000</x:f>
        <x:v>471.174</x:v>
      </x:c>
      <x:c r="P1253" s="73" t="n">
        <x:f aca="0">MLCF!G21</x:f>
        <x:v>471.174</x:v>
      </x:c>
      <x:c r="Q1253" s="70" t="str">
        <x:f aca="0">IF(ABS(O1253-P1253)&lt;0.000001,"PASS","FAIL")</x:f>
        <x:v>PASS</x:v>
      </x:c>
      <x:c r="R1253" s="70" t="s">
        <x:v>34</x:v>
      </x:c>
      <x:c r="S1253" s="70"/>
    </x:row>
    <x:row r="1254" ht="15" hidden="0">
      <x:c r="A1254" s="70" t="s">
        <x:v>2576</x:v>
      </x:c>
      <x:c r="B1254" s="70" t="s">
        <x:v>42</x:v>
      </x:c>
      <x:c r="C1254" s="70" t="s">
        <x:v>77</x:v>
      </x:c>
      <x:c r="D1254" s="70" t="s">
        <x:v>1220</x:v>
      </x:c>
      <x:c r="E1254" s="70" t="s">
        <x:v>1221</x:v>
      </x:c>
      <x:c r="F1254" s="70" t="s">
        <x:v>2574</x:v>
      </x:c>
      <x:c r="G1254" s="70" t="s">
        <x:v>1675</x:v>
      </x:c>
      <x:c r="H1254" s="70" t="s">
        <x:v>1215</x:v>
      </x:c>
      <x:c r="I1254" s="70" t="s">
        <x:v>1218</x:v>
      </x:c>
      <x:c r="J1254" s="70" t="n">
        <x:v>246</x:v>
      </x:c>
      <x:c r="K1254" s="70" t="s">
        <x:v>2575</x:v>
      </x:c>
      <x:c r="L1254" s="70"/>
      <x:c r="M1254" s="70" t="s">
        <x:v>40</x:v>
      </x:c>
      <x:c r="N1254" s="71" t="n">
        <x:v>125704</x:v>
      </x:c>
      <x:c r="O1254" s="72" t="n">
        <x:f aca="0">N1254/1000</x:f>
        <x:v>125.704</x:v>
      </x:c>
      <x:c r="P1254" s="73" t="n">
        <x:f aca="0">MLCF!H21</x:f>
        <x:v>125.704</x:v>
      </x:c>
      <x:c r="Q1254" s="70" t="str">
        <x:f aca="0">IF(ABS(O1254-P1254)&lt;0.000001,"PASS","FAIL")</x:f>
        <x:v>PASS</x:v>
      </x:c>
      <x:c r="R1254" s="70" t="s">
        <x:v>34</x:v>
      </x:c>
      <x:c r="S1254" s="70"/>
    </x:row>
    <x:row r="1255" ht="15" hidden="0">
      <x:c r="A1255" s="70" t="s">
        <x:v>2577</x:v>
      </x:c>
      <x:c r="B1255" s="70" t="s">
        <x:v>42</x:v>
      </x:c>
      <x:c r="C1255" s="70" t="s">
        <x:v>1076</x:v>
      </x:c>
      <x:c r="D1255" s="70" t="s">
        <x:v>302</x:v>
      </x:c>
      <x:c r="E1255" s="70" t="s">
        <x:v>1129</x:v>
      </x:c>
      <x:c r="F1255" s="70"/>
      <x:c r="G1255" s="70" t="s">
        <x:v>1663</x:v>
      </x:c>
      <x:c r="H1255" s="70" t="s">
        <x:v>1198</x:v>
      </x:c>
      <x:c r="I1255" s="70" t="s">
        <x:v>1199</x:v>
      </x:c>
      <x:c r="J1255" s="70" t="n">
        <x:v>162</x:v>
      </x:c>
      <x:c r="K1255" s="70" t="s">
        <x:v>2578</x:v>
      </x:c>
      <x:c r="L1255" s="70"/>
      <x:c r="M1255" s="70" t="s">
        <x:v>40</x:v>
      </x:c>
      <x:c r="N1255" s="71" t="n">
        <x:v>0</x:v>
      </x:c>
      <x:c r="O1255" s="72" t="n">
        <x:f aca="0">N1255/1000</x:f>
        <x:v>0</x:v>
      </x:c>
      <x:c r="P1255" s="73" t="n">
        <x:f aca="0">MLCF!C23</x:f>
        <x:v>0</x:v>
      </x:c>
      <x:c r="Q1255" s="70" t="str">
        <x:f aca="0">IF(ABS(O1255-P1255)&lt;0.000001,"PASS","FAIL")</x:f>
        <x:v>PASS</x:v>
      </x:c>
      <x:c r="R1255" s="70" t="s">
        <x:v>34</x:v>
      </x:c>
      <x:c r="S1255" s="70"/>
    </x:row>
    <x:row r="1256" ht="15" hidden="0">
      <x:c r="A1256" s="70" t="s">
        <x:v>2579</x:v>
      </x:c>
      <x:c r="B1256" s="70" t="s">
        <x:v>42</x:v>
      </x:c>
      <x:c r="C1256" s="70" t="s">
        <x:v>73</x:v>
      </x:c>
      <x:c r="D1256" s="70" t="s">
        <x:v>302</x:v>
      </x:c>
      <x:c r="E1256" s="70" t="s">
        <x:v>1129</x:v>
      </x:c>
      <x:c r="F1256" s="70"/>
      <x:c r="G1256" s="70" t="s">
        <x:v>1666</x:v>
      </x:c>
      <x:c r="H1256" s="70" t="s">
        <x:v>1204</x:v>
      </x:c>
      <x:c r="I1256" s="70" t="s">
        <x:v>1199</x:v>
      </x:c>
      <x:c r="J1256" s="70" t="n">
        <x:v>183</x:v>
      </x:c>
      <x:c r="K1256" s="70" t="s">
        <x:v>2276</x:v>
      </x:c>
      <x:c r="L1256" s="70"/>
      <x:c r="M1256" s="70" t="s">
        <x:v>40</x:v>
      </x:c>
      <x:c r="N1256" s="71" t="n">
        <x:v>0</x:v>
      </x:c>
      <x:c r="O1256" s="72" t="n">
        <x:f aca="0">N1256/1000</x:f>
        <x:v>0</x:v>
      </x:c>
      <x:c r="P1256" s="73" t="n">
        <x:f aca="0">MLCF!D23</x:f>
        <x:v>0</x:v>
      </x:c>
      <x:c r="Q1256" s="70" t="str">
        <x:f aca="0">IF(ABS(O1256-P1256)&lt;0.000001,"PASS","FAIL")</x:f>
        <x:v>PASS</x:v>
      </x:c>
      <x:c r="R1256" s="70" t="s">
        <x:v>34</x:v>
      </x:c>
      <x:c r="S1256" s="70"/>
    </x:row>
    <x:row r="1257" ht="15" hidden="0">
      <x:c r="A1257" s="70" t="s">
        <x:v>2580</x:v>
      </x:c>
      <x:c r="B1257" s="70" t="s">
        <x:v>42</x:v>
      </x:c>
      <x:c r="C1257" s="70" t="s">
        <x:v>74</x:v>
      </x:c>
      <x:c r="D1257" s="70" t="s">
        <x:v>302</x:v>
      </x:c>
      <x:c r="E1257" s="70" t="s">
        <x:v>1129</x:v>
      </x:c>
      <x:c r="F1257" s="70"/>
      <x:c r="G1257" s="70" t="s">
        <x:v>1669</x:v>
      </x:c>
      <x:c r="H1257" s="70" t="s">
        <x:v>1208</x:v>
      </x:c>
      <x:c r="I1257" s="70" t="s">
        <x:v>1199</x:v>
      </x:c>
      <x:c r="J1257" s="70" t="n">
        <x:v>98</x:v>
      </x:c>
      <x:c r="K1257" s="70" t="s">
        <x:v>2562</x:v>
      </x:c>
      <x:c r="L1257" s="70"/>
      <x:c r="M1257" s="70" t="s">
        <x:v>40</x:v>
      </x:c>
      <x:c r="N1257" s="71" t="n">
        <x:v>0</x:v>
      </x:c>
      <x:c r="O1257" s="72" t="n">
        <x:f aca="0">N1257/1000</x:f>
        <x:v>0</x:v>
      </x:c>
      <x:c r="P1257" s="73" t="n">
        <x:f aca="0">MLCF!E23</x:f>
        <x:v>0</x:v>
      </x:c>
      <x:c r="Q1257" s="70" t="str">
        <x:f aca="0">IF(ABS(O1257-P1257)&lt;0.000001,"PASS","FAIL")</x:f>
        <x:v>PASS</x:v>
      </x:c>
      <x:c r="R1257" s="70" t="s">
        <x:v>34</x:v>
      </x:c>
      <x:c r="S1257" s="70"/>
    </x:row>
    <x:row r="1258" ht="15" hidden="0">
      <x:c r="A1258" s="70" t="s">
        <x:v>2581</x:v>
      </x:c>
      <x:c r="B1258" s="70" t="s">
        <x:v>42</x:v>
      </x:c>
      <x:c r="C1258" s="70" t="s">
        <x:v>75</x:v>
      </x:c>
      <x:c r="D1258" s="70" t="s">
        <x:v>302</x:v>
      </x:c>
      <x:c r="E1258" s="70" t="s">
        <x:v>1129</x:v>
      </x:c>
      <x:c r="F1258" s="70"/>
      <x:c r="G1258" s="70" t="s">
        <x:v>1672</x:v>
      </x:c>
      <x:c r="H1258" s="70" t="s">
        <x:v>1211</x:v>
      </x:c>
      <x:c r="I1258" s="70" t="s">
        <x:v>1199</x:v>
      </x:c>
      <x:c r="J1258" s="70" t="n">
        <x:v>189</x:v>
      </x:c>
      <x:c r="K1258" s="70" t="s">
        <x:v>2130</x:v>
      </x:c>
      <x:c r="L1258" s="70"/>
      <x:c r="M1258" s="70" t="s">
        <x:v>40</x:v>
      </x:c>
      <x:c r="N1258" s="71" t="n">
        <x:v>0</x:v>
      </x:c>
      <x:c r="O1258" s="72" t="n">
        <x:f aca="0">N1258/1000</x:f>
        <x:v>0</x:v>
      </x:c>
      <x:c r="P1258" s="73" t="n">
        <x:f aca="0">MLCF!F23</x:f>
        <x:v>0</x:v>
      </x:c>
      <x:c r="Q1258" s="70" t="str">
        <x:f aca="0">IF(ABS(O1258-P1258)&lt;0.000001,"PASS","FAIL")</x:f>
        <x:v>PASS</x:v>
      </x:c>
      <x:c r="R1258" s="70" t="s">
        <x:v>34</x:v>
      </x:c>
      <x:c r="S1258" s="70"/>
    </x:row>
    <x:row r="1259" ht="15" hidden="0">
      <x:c r="A1259" s="70" t="s">
        <x:v>2582</x:v>
      </x:c>
      <x:c r="B1259" s="70" t="s">
        <x:v>42</x:v>
      </x:c>
      <x:c r="C1259" s="70" t="s">
        <x:v>76</x:v>
      </x:c>
      <x:c r="D1259" s="70" t="s">
        <x:v>302</x:v>
      </x:c>
      <x:c r="E1259" s="70" t="s">
        <x:v>1129</x:v>
      </x:c>
      <x:c r="F1259" s="70"/>
      <x:c r="G1259" s="70" t="s">
        <x:v>1675</x:v>
      </x:c>
      <x:c r="H1259" s="70" t="s">
        <x:v>1215</x:v>
      </x:c>
      <x:c r="I1259" s="70" t="s">
        <x:v>1199</x:v>
      </x:c>
      <x:c r="J1259" s="70" t="n">
        <x:v>201</x:v>
      </x:c>
      <x:c r="K1259" s="70" t="s">
        <x:v>2455</x:v>
      </x:c>
      <x:c r="L1259" s="70"/>
      <x:c r="M1259" s="70" t="s">
        <x:v>40</x:v>
      </x:c>
      <x:c r="N1259" s="71" t="n">
        <x:v>0</x:v>
      </x:c>
      <x:c r="O1259" s="72" t="n">
        <x:f aca="0">N1259/1000</x:f>
        <x:v>0</x:v>
      </x:c>
      <x:c r="P1259" s="73" t="n">
        <x:f aca="0">MLCF!G23</x:f>
        <x:v>0</x:v>
      </x:c>
      <x:c r="Q1259" s="70" t="str">
        <x:f aca="0">IF(ABS(O1259-P1259)&lt;0.000001,"PASS","FAIL")</x:f>
        <x:v>PASS</x:v>
      </x:c>
      <x:c r="R1259" s="70" t="s">
        <x:v>34</x:v>
      </x:c>
      <x:c r="S1259" s="70"/>
    </x:row>
    <x:row r="1260" ht="15" hidden="0">
      <x:c r="A1260" s="70" t="s">
        <x:v>2583</x:v>
      </x:c>
      <x:c r="B1260" s="70" t="s">
        <x:v>42</x:v>
      </x:c>
      <x:c r="C1260" s="70" t="s">
        <x:v>77</x:v>
      </x:c>
      <x:c r="D1260" s="70" t="s">
        <x:v>302</x:v>
      </x:c>
      <x:c r="E1260" s="70" t="s">
        <x:v>1129</x:v>
      </x:c>
      <x:c r="F1260" s="70"/>
      <x:c r="G1260" s="70" t="s">
        <x:v>1675</x:v>
      </x:c>
      <x:c r="H1260" s="70" t="s">
        <x:v>1215</x:v>
      </x:c>
      <x:c r="I1260" s="70" t="s">
        <x:v>1218</x:v>
      </x:c>
      <x:c r="J1260" s="70" t="n">
        <x:v>201</x:v>
      </x:c>
      <x:c r="K1260" s="70" t="s">
        <x:v>2455</x:v>
      </x:c>
      <x:c r="L1260" s="70"/>
      <x:c r="M1260" s="70" t="s">
        <x:v>40</x:v>
      </x:c>
      <x:c r="N1260" s="71" t="n">
        <x:v>0</x:v>
      </x:c>
      <x:c r="O1260" s="72" t="n">
        <x:f aca="0">N1260/1000</x:f>
        <x:v>0</x:v>
      </x:c>
      <x:c r="P1260" s="73" t="n">
        <x:f aca="0">MLCF!H23</x:f>
        <x:v>0</x:v>
      </x:c>
      <x:c r="Q1260" s="70" t="str">
        <x:f aca="0">IF(ABS(O1260-P1260)&lt;0.000001,"PASS","FAIL")</x:f>
        <x:v>PASS</x:v>
      </x:c>
      <x:c r="R1260" s="70" t="s">
        <x:v>34</x:v>
      </x:c>
      <x:c r="S1260" s="70"/>
    </x:row>
    <x:row r="1261" ht="15" hidden="0">
      <x:c r="A1261" s="70" t="s">
        <x:v>2584</x:v>
      </x:c>
      <x:c r="B1261" s="70" t="s">
        <x:v>42</x:v>
      </x:c>
      <x:c r="C1261" s="70" t="s">
        <x:v>1076</x:v>
      </x:c>
      <x:c r="D1261" s="70" t="s">
        <x:v>304</x:v>
      </x:c>
      <x:c r="E1261" s="70" t="s">
        <x:v>1129</x:v>
      </x:c>
      <x:c r="F1261" s="70" t="s">
        <x:v>304</x:v>
      </x:c>
      <x:c r="G1261" s="70" t="s">
        <x:v>1663</x:v>
      </x:c>
      <x:c r="H1261" s="70" t="s">
        <x:v>1198</x:v>
      </x:c>
      <x:c r="I1261" s="70" t="s">
        <x:v>1199</x:v>
      </x:c>
      <x:c r="J1261" s="70" t="n">
        <x:v>163</x:v>
      </x:c>
      <x:c r="K1261" s="70" t="s">
        <x:v>2559</x:v>
      </x:c>
      <x:c r="L1261" s="70" t="s">
        <x:v>1277</x:v>
      </x:c>
      <x:c r="M1261" s="70" t="s">
        <x:v>40</x:v>
      </x:c>
      <x:c r="N1261" s="71" t="n">
        <x:v>9023</x:v>
      </x:c>
      <x:c r="O1261" s="72" t="n">
        <x:f aca="0">N1261/1000</x:f>
        <x:v>9.023</x:v>
      </x:c>
      <x:c r="P1261" s="73" t="n">
        <x:f aca="0">MLCF!C24</x:f>
        <x:v>9.023</x:v>
      </x:c>
      <x:c r="Q1261" s="70" t="str">
        <x:f aca="0">IF(ABS(O1261-P1261)&lt;0.000001,"PASS","FAIL")</x:f>
        <x:v>PASS</x:v>
      </x:c>
      <x:c r="R1261" s="70" t="s">
        <x:v>34</x:v>
      </x:c>
      <x:c r="S1261" s="70"/>
    </x:row>
    <x:row r="1262" ht="15" hidden="0">
      <x:c r="A1262" s="70" t="s">
        <x:v>2585</x:v>
      </x:c>
      <x:c r="B1262" s="70" t="s">
        <x:v>42</x:v>
      </x:c>
      <x:c r="C1262" s="70" t="s">
        <x:v>73</x:v>
      </x:c>
      <x:c r="D1262" s="70" t="s">
        <x:v>304</x:v>
      </x:c>
      <x:c r="E1262" s="70" t="s">
        <x:v>1129</x:v>
      </x:c>
      <x:c r="F1262" s="70" t="s">
        <x:v>304</x:v>
      </x:c>
      <x:c r="G1262" s="70" t="s">
        <x:v>1666</x:v>
      </x:c>
      <x:c r="H1262" s="70" t="s">
        <x:v>1204</x:v>
      </x:c>
      <x:c r="I1262" s="70" t="s">
        <x:v>1199</x:v>
      </x:c>
      <x:c r="J1262" s="70" t="n">
        <x:v>184</x:v>
      </x:c>
      <x:c r="K1262" s="70" t="s">
        <x:v>2305</x:v>
      </x:c>
      <x:c r="L1262" s="70" t="s">
        <x:v>1277</x:v>
      </x:c>
      <x:c r="M1262" s="70" t="s">
        <x:v>40</x:v>
      </x:c>
      <x:c r="N1262" s="71" t="n">
        <x:v>6017</x:v>
      </x:c>
      <x:c r="O1262" s="72" t="n">
        <x:f aca="0">N1262/1000</x:f>
        <x:v>6.017</x:v>
      </x:c>
      <x:c r="P1262" s="73" t="n">
        <x:f aca="0">MLCF!D24</x:f>
        <x:v>6.017</x:v>
      </x:c>
      <x:c r="Q1262" s="70" t="str">
        <x:f aca="0">IF(ABS(O1262-P1262)&lt;0.000001,"PASS","FAIL")</x:f>
        <x:v>PASS</x:v>
      </x:c>
      <x:c r="R1262" s="70" t="s">
        <x:v>34</x:v>
      </x:c>
      <x:c r="S1262" s="70"/>
    </x:row>
    <x:row r="1263" ht="15" hidden="0">
      <x:c r="A1263" s="70" t="s">
        <x:v>2586</x:v>
      </x:c>
      <x:c r="B1263" s="70" t="s">
        <x:v>42</x:v>
      </x:c>
      <x:c r="C1263" s="70" t="s">
        <x:v>74</x:v>
      </x:c>
      <x:c r="D1263" s="70" t="s">
        <x:v>304</x:v>
      </x:c>
      <x:c r="E1263" s="70" t="s">
        <x:v>1129</x:v>
      </x:c>
      <x:c r="F1263" s="70" t="s">
        <x:v>304</x:v>
      </x:c>
      <x:c r="G1263" s="70" t="s">
        <x:v>1669</x:v>
      </x:c>
      <x:c r="H1263" s="70" t="s">
        <x:v>1208</x:v>
      </x:c>
      <x:c r="I1263" s="70" t="s">
        <x:v>1199</x:v>
      </x:c>
      <x:c r="J1263" s="70" t="n">
        <x:v>98</x:v>
      </x:c>
      <x:c r="K1263" s="70" t="s">
        <x:v>2562</x:v>
      </x:c>
      <x:c r="L1263" s="70"/>
      <x:c r="M1263" s="70" t="s">
        <x:v>40</x:v>
      </x:c>
      <x:c r="N1263" s="71" t="n">
        <x:v>10415</x:v>
      </x:c>
      <x:c r="O1263" s="72" t="n">
        <x:f aca="0">N1263/1000</x:f>
        <x:v>10.415</x:v>
      </x:c>
      <x:c r="P1263" s="73" t="n">
        <x:f aca="0">MLCF!E24</x:f>
        <x:v>10.415</x:v>
      </x:c>
      <x:c r="Q1263" s="70" t="str">
        <x:f aca="0">IF(ABS(O1263-P1263)&lt;0.000001,"PASS","FAIL")</x:f>
        <x:v>PASS</x:v>
      </x:c>
      <x:c r="R1263" s="70" t="s">
        <x:v>34</x:v>
      </x:c>
      <x:c r="S1263" s="70"/>
    </x:row>
    <x:row r="1264" ht="15" hidden="0">
      <x:c r="A1264" s="70" t="s">
        <x:v>2587</x:v>
      </x:c>
      <x:c r="B1264" s="70" t="s">
        <x:v>42</x:v>
      </x:c>
      <x:c r="C1264" s="70" t="s">
        <x:v>75</x:v>
      </x:c>
      <x:c r="D1264" s="70" t="s">
        <x:v>304</x:v>
      </x:c>
      <x:c r="E1264" s="70" t="s">
        <x:v>1129</x:v>
      </x:c>
      <x:c r="F1264" s="70" t="s">
        <x:v>304</x:v>
      </x:c>
      <x:c r="G1264" s="70" t="s">
        <x:v>1672</x:v>
      </x:c>
      <x:c r="H1264" s="70" t="s">
        <x:v>1211</x:v>
      </x:c>
      <x:c r="I1264" s="70" t="s">
        <x:v>1199</x:v>
      </x:c>
      <x:c r="J1264" s="70" t="n">
        <x:v>190</x:v>
      </x:c>
      <x:c r="K1264" s="70" t="s">
        <x:v>2564</x:v>
      </x:c>
      <x:c r="L1264" s="70" t="s">
        <x:v>1277</x:v>
      </x:c>
      <x:c r="M1264" s="70" t="s">
        <x:v>40</x:v>
      </x:c>
      <x:c r="N1264" s="71" t="n">
        <x:v>6946</x:v>
      </x:c>
      <x:c r="O1264" s="72" t="n">
        <x:f aca="0">N1264/1000</x:f>
        <x:v>6.946</x:v>
      </x:c>
      <x:c r="P1264" s="73" t="n">
        <x:f aca="0">MLCF!F24</x:f>
        <x:v>6.946</x:v>
      </x:c>
      <x:c r="Q1264" s="70" t="str">
        <x:f aca="0">IF(ABS(O1264-P1264)&lt;0.000001,"PASS","FAIL")</x:f>
        <x:v>PASS</x:v>
      </x:c>
      <x:c r="R1264" s="70" t="s">
        <x:v>34</x:v>
      </x:c>
      <x:c r="S1264" s="70"/>
    </x:row>
    <x:row r="1265" ht="15" hidden="0">
      <x:c r="A1265" s="70" t="s">
        <x:v>2588</x:v>
      </x:c>
      <x:c r="B1265" s="70" t="s">
        <x:v>42</x:v>
      </x:c>
      <x:c r="C1265" s="70" t="s">
        <x:v>76</x:v>
      </x:c>
      <x:c r="D1265" s="70" t="s">
        <x:v>304</x:v>
      </x:c>
      <x:c r="E1265" s="70" t="s">
        <x:v>1129</x:v>
      </x:c>
      <x:c r="F1265" s="70" t="s">
        <x:v>304</x:v>
      </x:c>
      <x:c r="G1265" s="70" t="s">
        <x:v>1675</x:v>
      </x:c>
      <x:c r="H1265" s="70" t="s">
        <x:v>1215</x:v>
      </x:c>
      <x:c r="I1265" s="70" t="s">
        <x:v>1199</x:v>
      </x:c>
      <x:c r="J1265" s="70" t="n">
        <x:v>202</x:v>
      </x:c>
      <x:c r="K1265" s="70" t="s">
        <x:v>2527</x:v>
      </x:c>
      <x:c r="L1265" s="70" t="s">
        <x:v>1270</x:v>
      </x:c>
      <x:c r="M1265" s="70" t="s">
        <x:v>40</x:v>
      </x:c>
      <x:c r="N1265" s="71" t="n">
        <x:v>84810</x:v>
      </x:c>
      <x:c r="O1265" s="72" t="n">
        <x:f aca="0">N1265/1000</x:f>
        <x:v>84.81</x:v>
      </x:c>
      <x:c r="P1265" s="73" t="n">
        <x:f aca="0">MLCF!G24</x:f>
        <x:v>84.81</x:v>
      </x:c>
      <x:c r="Q1265" s="70" t="str">
        <x:f aca="0">IF(ABS(O1265-P1265)&lt;0.000001,"PASS","FAIL")</x:f>
        <x:v>PASS</x:v>
      </x:c>
      <x:c r="R1265" s="70" t="s">
        <x:v>34</x:v>
      </x:c>
      <x:c r="S1265" s="70"/>
    </x:row>
    <x:row r="1266" ht="15" hidden="0">
      <x:c r="A1266" s="70" t="s">
        <x:v>2589</x:v>
      </x:c>
      <x:c r="B1266" s="70" t="s">
        <x:v>42</x:v>
      </x:c>
      <x:c r="C1266" s="70" t="s">
        <x:v>77</x:v>
      </x:c>
      <x:c r="D1266" s="70" t="s">
        <x:v>304</x:v>
      </x:c>
      <x:c r="E1266" s="70" t="s">
        <x:v>1129</x:v>
      </x:c>
      <x:c r="F1266" s="70" t="s">
        <x:v>304</x:v>
      </x:c>
      <x:c r="G1266" s="70" t="s">
        <x:v>1675</x:v>
      </x:c>
      <x:c r="H1266" s="70" t="s">
        <x:v>1215</x:v>
      </x:c>
      <x:c r="I1266" s="70" t="s">
        <x:v>1218</x:v>
      </x:c>
      <x:c r="J1266" s="70" t="n">
        <x:v>202</x:v>
      </x:c>
      <x:c r="K1266" s="70" t="s">
        <x:v>2527</x:v>
      </x:c>
      <x:c r="L1266" s="70" t="s">
        <x:v>1270</x:v>
      </x:c>
      <x:c r="M1266" s="70" t="s">
        <x:v>40</x:v>
      </x:c>
      <x:c r="N1266" s="71" t="n">
        <x:v>62426</x:v>
      </x:c>
      <x:c r="O1266" s="72" t="n">
        <x:f aca="0">N1266/1000</x:f>
        <x:v>62.426</x:v>
      </x:c>
      <x:c r="P1266" s="73" t="n">
        <x:f aca="0">MLCF!H24</x:f>
        <x:v>62.426</x:v>
      </x:c>
      <x:c r="Q1266" s="70" t="str">
        <x:f aca="0">IF(ABS(O1266-P1266)&lt;0.000001,"PASS","FAIL")</x:f>
        <x:v>PASS</x:v>
      </x:c>
      <x:c r="R1266" s="70" t="s">
        <x:v>34</x:v>
      </x:c>
      <x:c r="S1266" s="70"/>
    </x:row>
    <x:row r="1267" ht="15" hidden="0">
      <x:c r="A1267" s="70" t="s">
        <x:v>2590</x:v>
      </x:c>
      <x:c r="B1267" s="70" t="s">
        <x:v>42</x:v>
      </x:c>
      <x:c r="C1267" s="70" t="s">
        <x:v>1076</x:v>
      </x:c>
      <x:c r="D1267" s="70" t="s">
        <x:v>306</x:v>
      </x:c>
      <x:c r="E1267" s="70" t="s">
        <x:v>1129</x:v>
      </x:c>
      <x:c r="F1267" s="70"/>
      <x:c r="G1267" s="70" t="s">
        <x:v>1663</x:v>
      </x:c>
      <x:c r="H1267" s="70" t="s">
        <x:v>1198</x:v>
      </x:c>
      <x:c r="I1267" s="70" t="s">
        <x:v>1199</x:v>
      </x:c>
      <x:c r="J1267" s="70" t="n">
        <x:v>162</x:v>
      </x:c>
      <x:c r="K1267" s="70" t="s">
        <x:v>2578</x:v>
      </x:c>
      <x:c r="L1267" s="70"/>
      <x:c r="M1267" s="70" t="s">
        <x:v>40</x:v>
      </x:c>
      <x:c r="N1267" s="71" t="n">
        <x:v>0</x:v>
      </x:c>
      <x:c r="O1267" s="72" t="n">
        <x:f aca="0">N1267/1000</x:f>
        <x:v>0</x:v>
      </x:c>
      <x:c r="P1267" s="73" t="n">
        <x:f aca="0">MLCF!C25</x:f>
        <x:v>0</x:v>
      </x:c>
      <x:c r="Q1267" s="70" t="str">
        <x:f aca="0">IF(ABS(O1267-P1267)&lt;0.000001,"PASS","FAIL")</x:f>
        <x:v>PASS</x:v>
      </x:c>
      <x:c r="R1267" s="70" t="s">
        <x:v>34</x:v>
      </x:c>
      <x:c r="S1267" s="70"/>
    </x:row>
    <x:row r="1268" ht="15" hidden="0">
      <x:c r="A1268" s="70" t="s">
        <x:v>2591</x:v>
      </x:c>
      <x:c r="B1268" s="70" t="s">
        <x:v>42</x:v>
      </x:c>
      <x:c r="C1268" s="70" t="s">
        <x:v>73</x:v>
      </x:c>
      <x:c r="D1268" s="70" t="s">
        <x:v>306</x:v>
      </x:c>
      <x:c r="E1268" s="70" t="s">
        <x:v>1129</x:v>
      </x:c>
      <x:c r="F1268" s="70"/>
      <x:c r="G1268" s="70" t="s">
        <x:v>1666</x:v>
      </x:c>
      <x:c r="H1268" s="70" t="s">
        <x:v>1204</x:v>
      </x:c>
      <x:c r="I1268" s="70" t="s">
        <x:v>1199</x:v>
      </x:c>
      <x:c r="J1268" s="70" t="n">
        <x:v>183</x:v>
      </x:c>
      <x:c r="K1268" s="70" t="s">
        <x:v>2276</x:v>
      </x:c>
      <x:c r="L1268" s="70"/>
      <x:c r="M1268" s="70" t="s">
        <x:v>40</x:v>
      </x:c>
      <x:c r="N1268" s="71" t="n">
        <x:v>0</x:v>
      </x:c>
      <x:c r="O1268" s="72" t="n">
        <x:f aca="0">N1268/1000</x:f>
        <x:v>0</x:v>
      </x:c>
      <x:c r="P1268" s="73" t="n">
        <x:f aca="0">MLCF!D25</x:f>
        <x:v>0</x:v>
      </x:c>
      <x:c r="Q1268" s="70" t="str">
        <x:f aca="0">IF(ABS(O1268-P1268)&lt;0.000001,"PASS","FAIL")</x:f>
        <x:v>PASS</x:v>
      </x:c>
      <x:c r="R1268" s="70" t="s">
        <x:v>34</x:v>
      </x:c>
      <x:c r="S1268" s="70"/>
    </x:row>
    <x:row r="1269" ht="15" hidden="0">
      <x:c r="A1269" s="70" t="s">
        <x:v>2592</x:v>
      </x:c>
      <x:c r="B1269" s="70" t="s">
        <x:v>42</x:v>
      </x:c>
      <x:c r="C1269" s="70" t="s">
        <x:v>74</x:v>
      </x:c>
      <x:c r="D1269" s="70" t="s">
        <x:v>306</x:v>
      </x:c>
      <x:c r="E1269" s="70" t="s">
        <x:v>1129</x:v>
      </x:c>
      <x:c r="F1269" s="70"/>
      <x:c r="G1269" s="70" t="s">
        <x:v>1669</x:v>
      </x:c>
      <x:c r="H1269" s="70" t="s">
        <x:v>1208</x:v>
      </x:c>
      <x:c r="I1269" s="70" t="s">
        <x:v>1199</x:v>
      </x:c>
      <x:c r="J1269" s="70" t="n">
        <x:v>98</x:v>
      </x:c>
      <x:c r="K1269" s="70" t="s">
        <x:v>2562</x:v>
      </x:c>
      <x:c r="L1269" s="70"/>
      <x:c r="M1269" s="70" t="s">
        <x:v>40</x:v>
      </x:c>
      <x:c r="N1269" s="71" t="n">
        <x:v>0</x:v>
      </x:c>
      <x:c r="O1269" s="72" t="n">
        <x:f aca="0">N1269/1000</x:f>
        <x:v>0</x:v>
      </x:c>
      <x:c r="P1269" s="73" t="n">
        <x:f aca="0">MLCF!E25</x:f>
        <x:v>0</x:v>
      </x:c>
      <x:c r="Q1269" s="70" t="str">
        <x:f aca="0">IF(ABS(O1269-P1269)&lt;0.000001,"PASS","FAIL")</x:f>
        <x:v>PASS</x:v>
      </x:c>
      <x:c r="R1269" s="70" t="s">
        <x:v>34</x:v>
      </x:c>
      <x:c r="S1269" s="70"/>
    </x:row>
    <x:row r="1270" ht="15" hidden="0">
      <x:c r="A1270" s="70" t="s">
        <x:v>2593</x:v>
      </x:c>
      <x:c r="B1270" s="70" t="s">
        <x:v>42</x:v>
      </x:c>
      <x:c r="C1270" s="70" t="s">
        <x:v>75</x:v>
      </x:c>
      <x:c r="D1270" s="70" t="s">
        <x:v>306</x:v>
      </x:c>
      <x:c r="E1270" s="70" t="s">
        <x:v>1129</x:v>
      </x:c>
      <x:c r="F1270" s="70"/>
      <x:c r="G1270" s="70" t="s">
        <x:v>1672</x:v>
      </x:c>
      <x:c r="H1270" s="70" t="s">
        <x:v>1211</x:v>
      </x:c>
      <x:c r="I1270" s="70" t="s">
        <x:v>1199</x:v>
      </x:c>
      <x:c r="J1270" s="70" t="n">
        <x:v>189</x:v>
      </x:c>
      <x:c r="K1270" s="70" t="s">
        <x:v>2130</x:v>
      </x:c>
      <x:c r="L1270" s="70"/>
      <x:c r="M1270" s="70" t="s">
        <x:v>40</x:v>
      </x:c>
      <x:c r="N1270" s="71" t="n">
        <x:v>0</x:v>
      </x:c>
      <x:c r="O1270" s="72" t="n">
        <x:f aca="0">N1270/1000</x:f>
        <x:v>0</x:v>
      </x:c>
      <x:c r="P1270" s="73" t="n">
        <x:f aca="0">MLCF!F25</x:f>
        <x:v>0</x:v>
      </x:c>
      <x:c r="Q1270" s="70" t="str">
        <x:f aca="0">IF(ABS(O1270-P1270)&lt;0.000001,"PASS","FAIL")</x:f>
        <x:v>PASS</x:v>
      </x:c>
      <x:c r="R1270" s="70" t="s">
        <x:v>34</x:v>
      </x:c>
      <x:c r="S1270" s="70"/>
    </x:row>
    <x:row r="1271" ht="15" hidden="0">
      <x:c r="A1271" s="70" t="s">
        <x:v>2594</x:v>
      </x:c>
      <x:c r="B1271" s="70" t="s">
        <x:v>42</x:v>
      </x:c>
      <x:c r="C1271" s="70" t="s">
        <x:v>76</x:v>
      </x:c>
      <x:c r="D1271" s="70" t="s">
        <x:v>306</x:v>
      </x:c>
      <x:c r="E1271" s="70" t="s">
        <x:v>1129</x:v>
      </x:c>
      <x:c r="F1271" s="70"/>
      <x:c r="G1271" s="70" t="s">
        <x:v>1675</x:v>
      </x:c>
      <x:c r="H1271" s="70" t="s">
        <x:v>1215</x:v>
      </x:c>
      <x:c r="I1271" s="70" t="s">
        <x:v>1199</x:v>
      </x:c>
      <x:c r="J1271" s="70" t="n">
        <x:v>201</x:v>
      </x:c>
      <x:c r="K1271" s="70" t="s">
        <x:v>2455</x:v>
      </x:c>
      <x:c r="L1271" s="70"/>
      <x:c r="M1271" s="70" t="s">
        <x:v>40</x:v>
      </x:c>
      <x:c r="N1271" s="71" t="n">
        <x:v>0</x:v>
      </x:c>
      <x:c r="O1271" s="72" t="n">
        <x:f aca="0">N1271/1000</x:f>
        <x:v>0</x:v>
      </x:c>
      <x:c r="P1271" s="73" t="n">
        <x:f aca="0">MLCF!G25</x:f>
        <x:v>0</x:v>
      </x:c>
      <x:c r="Q1271" s="70" t="str">
        <x:f aca="0">IF(ABS(O1271-P1271)&lt;0.000001,"PASS","FAIL")</x:f>
        <x:v>PASS</x:v>
      </x:c>
      <x:c r="R1271" s="70" t="s">
        <x:v>34</x:v>
      </x:c>
      <x:c r="S1271" s="70"/>
    </x:row>
    <x:row r="1272" ht="15" hidden="0">
      <x:c r="A1272" s="70" t="s">
        <x:v>2595</x:v>
      </x:c>
      <x:c r="B1272" s="70" t="s">
        <x:v>42</x:v>
      </x:c>
      <x:c r="C1272" s="70" t="s">
        <x:v>77</x:v>
      </x:c>
      <x:c r="D1272" s="70" t="s">
        <x:v>306</x:v>
      </x:c>
      <x:c r="E1272" s="70" t="s">
        <x:v>1129</x:v>
      </x:c>
      <x:c r="F1272" s="70"/>
      <x:c r="G1272" s="70" t="s">
        <x:v>1675</x:v>
      </x:c>
      <x:c r="H1272" s="70" t="s">
        <x:v>1215</x:v>
      </x:c>
      <x:c r="I1272" s="70" t="s">
        <x:v>1218</x:v>
      </x:c>
      <x:c r="J1272" s="70" t="n">
        <x:v>201</x:v>
      </x:c>
      <x:c r="K1272" s="70" t="s">
        <x:v>2455</x:v>
      </x:c>
      <x:c r="L1272" s="70"/>
      <x:c r="M1272" s="70" t="s">
        <x:v>40</x:v>
      </x:c>
      <x:c r="N1272" s="71" t="n">
        <x:v>0</x:v>
      </x:c>
      <x:c r="O1272" s="72" t="n">
        <x:f aca="0">N1272/1000</x:f>
        <x:v>0</x:v>
      </x:c>
      <x:c r="P1272" s="73" t="n">
        <x:f aca="0">MLCF!H25</x:f>
        <x:v>0</x:v>
      </x:c>
      <x:c r="Q1272" s="70" t="str">
        <x:f aca="0">IF(ABS(O1272-P1272)&lt;0.000001,"PASS","FAIL")</x:f>
        <x:v>PASS</x:v>
      </x:c>
      <x:c r="R1272" s="70" t="s">
        <x:v>34</x:v>
      </x:c>
      <x:c r="S1272" s="70"/>
    </x:row>
    <x:row r="1273" ht="15" hidden="0">
      <x:c r="A1273" s="70" t="s">
        <x:v>2596</x:v>
      </x:c>
      <x:c r="B1273" s="70" t="s">
        <x:v>42</x:v>
      </x:c>
      <x:c r="C1273" s="70" t="s">
        <x:v>1076</x:v>
      </x:c>
      <x:c r="D1273" s="70" t="s">
        <x:v>308</x:v>
      </x:c>
      <x:c r="E1273" s="70" t="s">
        <x:v>1129</x:v>
      </x:c>
      <x:c r="F1273" s="70" t="s">
        <x:v>2597</x:v>
      </x:c>
      <x:c r="G1273" s="70" t="s">
        <x:v>1663</x:v>
      </x:c>
      <x:c r="H1273" s="70" t="s">
        <x:v>1198</x:v>
      </x:c>
      <x:c r="I1273" s="70" t="s">
        <x:v>1199</x:v>
      </x:c>
      <x:c r="J1273" s="70" t="n">
        <x:v>163</x:v>
      </x:c>
      <x:c r="K1273" s="70" t="s">
        <x:v>2559</x:v>
      </x:c>
      <x:c r="L1273" s="70" t="s">
        <x:v>1285</x:v>
      </x:c>
      <x:c r="M1273" s="70" t="s">
        <x:v>40</x:v>
      </x:c>
      <x:c r="N1273" s="71" t="n">
        <x:v>5020000</x:v>
      </x:c>
      <x:c r="O1273" s="72" t="n">
        <x:f aca="0">N1273/1000</x:f>
        <x:v>5020</x:v>
      </x:c>
      <x:c r="P1273" s="73" t="n">
        <x:f aca="0">MLCF!C26</x:f>
        <x:v>5020</x:v>
      </x:c>
      <x:c r="Q1273" s="70" t="str">
        <x:f aca="0">IF(ABS(O1273-P1273)&lt;0.000001,"PASS","FAIL")</x:f>
        <x:v>PASS</x:v>
      </x:c>
      <x:c r="R1273" s="70" t="s">
        <x:v>34</x:v>
      </x:c>
      <x:c r="S1273" s="70"/>
    </x:row>
    <x:row r="1274" ht="15" hidden="0">
      <x:c r="A1274" s="70" t="s">
        <x:v>2598</x:v>
      </x:c>
      <x:c r="B1274" s="70" t="s">
        <x:v>42</x:v>
      </x:c>
      <x:c r="C1274" s="70" t="s">
        <x:v>73</x:v>
      </x:c>
      <x:c r="D1274" s="70" t="s">
        <x:v>308</x:v>
      </x:c>
      <x:c r="E1274" s="70" t="s">
        <x:v>1129</x:v>
      </x:c>
      <x:c r="F1274" s="70" t="s">
        <x:v>2597</x:v>
      </x:c>
      <x:c r="G1274" s="70" t="s">
        <x:v>1666</x:v>
      </x:c>
      <x:c r="H1274" s="70" t="s">
        <x:v>1204</x:v>
      </x:c>
      <x:c r="I1274" s="70" t="s">
        <x:v>1199</x:v>
      </x:c>
      <x:c r="J1274" s="70" t="n">
        <x:v>184</x:v>
      </x:c>
      <x:c r="K1274" s="70" t="s">
        <x:v>2305</x:v>
      </x:c>
      <x:c r="L1274" s="70" t="s">
        <x:v>1285</x:v>
      </x:c>
      <x:c r="M1274" s="70" t="s">
        <x:v>40</x:v>
      </x:c>
      <x:c r="N1274" s="71" t="n">
        <x:v>5020000</x:v>
      </x:c>
      <x:c r="O1274" s="72" t="n">
        <x:f aca="0">N1274/1000</x:f>
        <x:v>5020</x:v>
      </x:c>
      <x:c r="P1274" s="73" t="n">
        <x:f aca="0">MLCF!D26</x:f>
        <x:v>5020</x:v>
      </x:c>
      <x:c r="Q1274" s="70" t="str">
        <x:f aca="0">IF(ABS(O1274-P1274)&lt;0.000001,"PASS","FAIL")</x:f>
        <x:v>PASS</x:v>
      </x:c>
      <x:c r="R1274" s="70" t="s">
        <x:v>34</x:v>
      </x:c>
      <x:c r="S1274" s="70"/>
    </x:row>
    <x:row r="1275" ht="15" hidden="0">
      <x:c r="A1275" s="70" t="s">
        <x:v>2599</x:v>
      </x:c>
      <x:c r="B1275" s="70" t="s">
        <x:v>42</x:v>
      </x:c>
      <x:c r="C1275" s="70" t="s">
        <x:v>74</x:v>
      </x:c>
      <x:c r="D1275" s="70" t="s">
        <x:v>308</x:v>
      </x:c>
      <x:c r="E1275" s="70" t="s">
        <x:v>1129</x:v>
      </x:c>
      <x:c r="F1275" s="70" t="s">
        <x:v>2597</x:v>
      </x:c>
      <x:c r="G1275" s="70" t="s">
        <x:v>1669</x:v>
      </x:c>
      <x:c r="H1275" s="70" t="s">
        <x:v>1208</x:v>
      </x:c>
      <x:c r="I1275" s="70" t="s">
        <x:v>1199</x:v>
      </x:c>
      <x:c r="J1275" s="70" t="n">
        <x:v>98</x:v>
      </x:c>
      <x:c r="K1275" s="70" t="s">
        <x:v>2562</x:v>
      </x:c>
      <x:c r="L1275" s="70"/>
      <x:c r="M1275" s="70" t="s">
        <x:v>40</x:v>
      </x:c>
      <x:c r="N1275" s="71" t="n">
        <x:v>5020000</x:v>
      </x:c>
      <x:c r="O1275" s="72" t="n">
        <x:f aca="0">N1275/1000</x:f>
        <x:v>5020</x:v>
      </x:c>
      <x:c r="P1275" s="73" t="n">
        <x:f aca="0">MLCF!E26</x:f>
        <x:v>5020</x:v>
      </x:c>
      <x:c r="Q1275" s="70" t="str">
        <x:f aca="0">IF(ABS(O1275-P1275)&lt;0.000001,"PASS","FAIL")</x:f>
        <x:v>PASS</x:v>
      </x:c>
      <x:c r="R1275" s="70" t="s">
        <x:v>34</x:v>
      </x:c>
      <x:c r="S1275" s="70"/>
    </x:row>
    <x:row r="1276" ht="15" hidden="0">
      <x:c r="A1276" s="70" t="s">
        <x:v>2600</x:v>
      </x:c>
      <x:c r="B1276" s="70" t="s">
        <x:v>42</x:v>
      </x:c>
      <x:c r="C1276" s="70" t="s">
        <x:v>75</x:v>
      </x:c>
      <x:c r="D1276" s="70" t="s">
        <x:v>308</x:v>
      </x:c>
      <x:c r="E1276" s="70" t="s">
        <x:v>1129</x:v>
      </x:c>
      <x:c r="F1276" s="70" t="s">
        <x:v>2161</x:v>
      </x:c>
      <x:c r="G1276" s="70" t="s">
        <x:v>1672</x:v>
      </x:c>
      <x:c r="H1276" s="70" t="s">
        <x:v>1211</x:v>
      </x:c>
      <x:c r="I1276" s="70" t="s">
        <x:v>1199</x:v>
      </x:c>
      <x:c r="J1276" s="70" t="n">
        <x:v>190</x:v>
      </x:c>
      <x:c r="K1276" s="70" t="s">
        <x:v>2564</x:v>
      </x:c>
      <x:c r="L1276" s="70" t="s">
        <x:v>1285</x:v>
      </x:c>
      <x:c r="M1276" s="70" t="s">
        <x:v>40</x:v>
      </x:c>
      <x:c r="N1276" s="71" t="n">
        <x:v>5030000</x:v>
      </x:c>
      <x:c r="O1276" s="72" t="n">
        <x:f aca="0">N1276/1000</x:f>
        <x:v>5030</x:v>
      </x:c>
      <x:c r="P1276" s="73" t="n">
        <x:f aca="0">MLCF!F26</x:f>
        <x:v>5030</x:v>
      </x:c>
      <x:c r="Q1276" s="70" t="str">
        <x:f aca="0">IF(ABS(O1276-P1276)&lt;0.000001,"PASS","FAIL")</x:f>
        <x:v>PASS</x:v>
      </x:c>
      <x:c r="R1276" s="70" t="s">
        <x:v>34</x:v>
      </x:c>
      <x:c r="S1276" s="70"/>
    </x:row>
    <x:row r="1277" ht="15" hidden="0">
      <x:c r="A1277" s="70" t="s">
        <x:v>2601</x:v>
      </x:c>
      <x:c r="B1277" s="70" t="s">
        <x:v>42</x:v>
      </x:c>
      <x:c r="C1277" s="70" t="s">
        <x:v>76</x:v>
      </x:c>
      <x:c r="D1277" s="70" t="s">
        <x:v>308</x:v>
      </x:c>
      <x:c r="E1277" s="70" t="s">
        <x:v>1129</x:v>
      </x:c>
      <x:c r="F1277" s="70" t="s">
        <x:v>2161</x:v>
      </x:c>
      <x:c r="G1277" s="70" t="s">
        <x:v>1675</x:v>
      </x:c>
      <x:c r="H1277" s="70" t="s">
        <x:v>1215</x:v>
      </x:c>
      <x:c r="I1277" s="70" t="s">
        <x:v>1199</x:v>
      </x:c>
      <x:c r="J1277" s="70" t="n">
        <x:v>202</x:v>
      </x:c>
      <x:c r="K1277" s="70" t="s">
        <x:v>2527</x:v>
      </x:c>
      <x:c r="L1277" s="70" t="s">
        <x:v>1277</x:v>
      </x:c>
      <x:c r="M1277" s="70" t="s">
        <x:v>40</x:v>
      </x:c>
      <x:c r="N1277" s="71" t="n">
        <x:v>6322000</x:v>
      </x:c>
      <x:c r="O1277" s="72" t="n">
        <x:f aca="0">N1277/1000</x:f>
        <x:v>6322</x:v>
      </x:c>
      <x:c r="P1277" s="73" t="n">
        <x:f aca="0">MLCF!G26</x:f>
        <x:v>6322</x:v>
      </x:c>
      <x:c r="Q1277" s="70" t="str">
        <x:f aca="0">IF(ABS(O1277-P1277)&lt;0.000001,"PASS","FAIL")</x:f>
        <x:v>PASS</x:v>
      </x:c>
      <x:c r="R1277" s="70" t="s">
        <x:v>34</x:v>
      </x:c>
      <x:c r="S1277" s="70"/>
    </x:row>
    <x:row r="1278" ht="15" hidden="0">
      <x:c r="A1278" s="70" t="s">
        <x:v>2602</x:v>
      </x:c>
      <x:c r="B1278" s="70" t="s">
        <x:v>42</x:v>
      </x:c>
      <x:c r="C1278" s="70" t="s">
        <x:v>77</x:v>
      </x:c>
      <x:c r="D1278" s="70" t="s">
        <x:v>308</x:v>
      </x:c>
      <x:c r="E1278" s="70" t="s">
        <x:v>1129</x:v>
      </x:c>
      <x:c r="F1278" s="70" t="s">
        <x:v>2161</x:v>
      </x:c>
      <x:c r="G1278" s="70" t="s">
        <x:v>1675</x:v>
      </x:c>
      <x:c r="H1278" s="70" t="s">
        <x:v>1215</x:v>
      </x:c>
      <x:c r="I1278" s="70" t="s">
        <x:v>1218</x:v>
      </x:c>
      <x:c r="J1278" s="70" t="n">
        <x:v>202</x:v>
      </x:c>
      <x:c r="K1278" s="70" t="s">
        <x:v>2527</x:v>
      </x:c>
      <x:c r="L1278" s="70" t="s">
        <x:v>1277</x:v>
      </x:c>
      <x:c r="M1278" s="70" t="s">
        <x:v>40</x:v>
      </x:c>
      <x:c r="N1278" s="71" t="n">
        <x:v>20371110</x:v>
      </x:c>
      <x:c r="O1278" s="72" t="n">
        <x:f aca="0">N1278/1000</x:f>
        <x:v>20371.11</x:v>
      </x:c>
      <x:c r="P1278" s="73" t="n">
        <x:f aca="0">MLCF!H26</x:f>
        <x:v>20371.11</x:v>
      </x:c>
      <x:c r="Q1278" s="70" t="str">
        <x:f aca="0">IF(ABS(O1278-P1278)&lt;0.000001,"PASS","FAIL")</x:f>
        <x:v>PASS</x:v>
      </x:c>
      <x:c r="R1278" s="70" t="s">
        <x:v>34</x:v>
      </x:c>
      <x:c r="S1278" s="70"/>
    </x:row>
    <x:row r="1279" ht="15" hidden="0">
      <x:c r="A1279" s="70" t="s">
        <x:v>2603</x:v>
      </x:c>
      <x:c r="B1279" s="70" t="s">
        <x:v>42</x:v>
      </x:c>
      <x:c r="C1279" s="70" t="s">
        <x:v>1076</x:v>
      </x:c>
      <x:c r="D1279" s="70" t="s">
        <x:v>310</x:v>
      </x:c>
      <x:c r="E1279" s="70" t="s">
        <x:v>1129</x:v>
      </x:c>
      <x:c r="F1279" s="70" t="s">
        <x:v>2604</x:v>
      </x:c>
      <x:c r="G1279" s="70" t="s">
        <x:v>1663</x:v>
      </x:c>
      <x:c r="H1279" s="70" t="s">
        <x:v>1198</x:v>
      </x:c>
      <x:c r="I1279" s="70" t="s">
        <x:v>1199</x:v>
      </x:c>
      <x:c r="J1279" s="70" t="n">
        <x:v>163</x:v>
      </x:c>
      <x:c r="K1279" s="70" t="s">
        <x:v>2559</x:v>
      </x:c>
      <x:c r="L1279" s="70" t="s">
        <x:v>1299</x:v>
      </x:c>
      <x:c r="M1279" s="70" t="s">
        <x:v>40</x:v>
      </x:c>
      <x:c r="N1279" s="71" t="n">
        <x:v>75616</x:v>
      </x:c>
      <x:c r="O1279" s="72" t="n">
        <x:f aca="0">N1279/1000</x:f>
        <x:v>75.616</x:v>
      </x:c>
      <x:c r="P1279" s="73" t="n">
        <x:f aca="0">MLCF!C27</x:f>
        <x:v>75.616</x:v>
      </x:c>
      <x:c r="Q1279" s="70" t="str">
        <x:f aca="0">IF(ABS(O1279-P1279)&lt;0.000001,"PASS","FAIL")</x:f>
        <x:v>PASS</x:v>
      </x:c>
      <x:c r="R1279" s="70" t="s">
        <x:v>34</x:v>
      </x:c>
      <x:c r="S1279" s="70"/>
    </x:row>
    <x:row r="1280" ht="15" hidden="0">
      <x:c r="A1280" s="70" t="s">
        <x:v>2605</x:v>
      </x:c>
      <x:c r="B1280" s="70" t="s">
        <x:v>42</x:v>
      </x:c>
      <x:c r="C1280" s="70" t="s">
        <x:v>73</x:v>
      </x:c>
      <x:c r="D1280" s="70" t="s">
        <x:v>310</x:v>
      </x:c>
      <x:c r="E1280" s="70" t="s">
        <x:v>1129</x:v>
      </x:c>
      <x:c r="F1280" s="70" t="s">
        <x:v>2604</x:v>
      </x:c>
      <x:c r="G1280" s="70" t="s">
        <x:v>1666</x:v>
      </x:c>
      <x:c r="H1280" s="70" t="s">
        <x:v>1204</x:v>
      </x:c>
      <x:c r="I1280" s="70" t="s">
        <x:v>1199</x:v>
      </x:c>
      <x:c r="J1280" s="70" t="n">
        <x:v>184</x:v>
      </x:c>
      <x:c r="K1280" s="70" t="s">
        <x:v>2305</x:v>
      </x:c>
      <x:c r="L1280" s="70" t="s">
        <x:v>1299</x:v>
      </x:c>
      <x:c r="M1280" s="70" t="s">
        <x:v>40</x:v>
      </x:c>
      <x:c r="N1280" s="71" t="n">
        <x:v>74306</x:v>
      </x:c>
      <x:c r="O1280" s="72" t="n">
        <x:f aca="0">N1280/1000</x:f>
        <x:v>74.306</x:v>
      </x:c>
      <x:c r="P1280" s="73" t="n">
        <x:f aca="0">MLCF!D27</x:f>
        <x:v>74.306</x:v>
      </x:c>
      <x:c r="Q1280" s="70" t="str">
        <x:f aca="0">IF(ABS(O1280-P1280)&lt;0.000001,"PASS","FAIL")</x:f>
        <x:v>PASS</x:v>
      </x:c>
      <x:c r="R1280" s="70" t="s">
        <x:v>34</x:v>
      </x:c>
      <x:c r="S1280" s="70"/>
    </x:row>
    <x:row r="1281" ht="15" hidden="0">
      <x:c r="A1281" s="70" t="s">
        <x:v>2606</x:v>
      </x:c>
      <x:c r="B1281" s="70" t="s">
        <x:v>42</x:v>
      </x:c>
      <x:c r="C1281" s="70" t="s">
        <x:v>74</x:v>
      </x:c>
      <x:c r="D1281" s="70" t="s">
        <x:v>310</x:v>
      </x:c>
      <x:c r="E1281" s="70" t="s">
        <x:v>1129</x:v>
      </x:c>
      <x:c r="F1281" s="70" t="s">
        <x:v>2604</x:v>
      </x:c>
      <x:c r="G1281" s="70" t="s">
        <x:v>1669</x:v>
      </x:c>
      <x:c r="H1281" s="70" t="s">
        <x:v>1208</x:v>
      </x:c>
      <x:c r="I1281" s="70" t="s">
        <x:v>1199</x:v>
      </x:c>
      <x:c r="J1281" s="70" t="n">
        <x:v>98</x:v>
      </x:c>
      <x:c r="K1281" s="70" t="s">
        <x:v>2562</x:v>
      </x:c>
      <x:c r="L1281" s="70"/>
      <x:c r="M1281" s="70" t="s">
        <x:v>40</x:v>
      </x:c>
      <x:c r="N1281" s="71" t="n">
        <x:v>76966</x:v>
      </x:c>
      <x:c r="O1281" s="72" t="n">
        <x:f aca="0">N1281/1000</x:f>
        <x:v>76.966</x:v>
      </x:c>
      <x:c r="P1281" s="73" t="n">
        <x:f aca="0">MLCF!E27</x:f>
        <x:v>76.966</x:v>
      </x:c>
      <x:c r="Q1281" s="70" t="str">
        <x:f aca="0">IF(ABS(O1281-P1281)&lt;0.000001,"PASS","FAIL")</x:f>
        <x:v>PASS</x:v>
      </x:c>
      <x:c r="R1281" s="70" t="s">
        <x:v>34</x:v>
      </x:c>
      <x:c r="S1281" s="70"/>
    </x:row>
    <x:row r="1282" ht="15" hidden="0">
      <x:c r="A1282" s="70" t="s">
        <x:v>2607</x:v>
      </x:c>
      <x:c r="B1282" s="70" t="s">
        <x:v>42</x:v>
      </x:c>
      <x:c r="C1282" s="70" t="s">
        <x:v>75</x:v>
      </x:c>
      <x:c r="D1282" s="70" t="s">
        <x:v>310</x:v>
      </x:c>
      <x:c r="E1282" s="70" t="s">
        <x:v>1129</x:v>
      </x:c>
      <x:c r="F1282" s="70" t="s">
        <x:v>2604</x:v>
      </x:c>
      <x:c r="G1282" s="70" t="s">
        <x:v>1672</x:v>
      </x:c>
      <x:c r="H1282" s="70" t="s">
        <x:v>1211</x:v>
      </x:c>
      <x:c r="I1282" s="70" t="s">
        <x:v>1199</x:v>
      </x:c>
      <x:c r="J1282" s="70" t="n">
        <x:v>190</x:v>
      </x:c>
      <x:c r="K1282" s="70" t="s">
        <x:v>2564</x:v>
      </x:c>
      <x:c r="L1282" s="70" t="s">
        <x:v>1299</x:v>
      </x:c>
      <x:c r="M1282" s="70" t="s">
        <x:v>40</x:v>
      </x:c>
      <x:c r="N1282" s="71" t="n">
        <x:v>76490</x:v>
      </x:c>
      <x:c r="O1282" s="72" t="n">
        <x:f aca="0">N1282/1000</x:f>
        <x:v>76.49</x:v>
      </x:c>
      <x:c r="P1282" s="73" t="n">
        <x:f aca="0">MLCF!F27</x:f>
        <x:v>76.49</x:v>
      </x:c>
      <x:c r="Q1282" s="70" t="str">
        <x:f aca="0">IF(ABS(O1282-P1282)&lt;0.000001,"PASS","FAIL")</x:f>
        <x:v>PASS</x:v>
      </x:c>
      <x:c r="R1282" s="70" t="s">
        <x:v>34</x:v>
      </x:c>
      <x:c r="S1282" s="70"/>
    </x:row>
    <x:row r="1283" ht="15" hidden="0">
      <x:c r="A1283" s="70" t="s">
        <x:v>2608</x:v>
      </x:c>
      <x:c r="B1283" s="70" t="s">
        <x:v>42</x:v>
      </x:c>
      <x:c r="C1283" s="70" t="s">
        <x:v>76</x:v>
      </x:c>
      <x:c r="D1283" s="70" t="s">
        <x:v>310</x:v>
      </x:c>
      <x:c r="E1283" s="70" t="s">
        <x:v>1129</x:v>
      </x:c>
      <x:c r="F1283" s="70" t="s">
        <x:v>2604</x:v>
      </x:c>
      <x:c r="G1283" s="70" t="s">
        <x:v>1675</x:v>
      </x:c>
      <x:c r="H1283" s="70" t="s">
        <x:v>1215</x:v>
      </x:c>
      <x:c r="I1283" s="70" t="s">
        <x:v>1199</x:v>
      </x:c>
      <x:c r="J1283" s="70" t="n">
        <x:v>202</x:v>
      </x:c>
      <x:c r="K1283" s="70" t="s">
        <x:v>2527</x:v>
      </x:c>
      <x:c r="L1283" s="70" t="s">
        <x:v>1293</x:v>
      </x:c>
      <x:c r="M1283" s="70" t="s">
        <x:v>40</x:v>
      </x:c>
      <x:c r="N1283" s="71" t="n">
        <x:v>95437</x:v>
      </x:c>
      <x:c r="O1283" s="72" t="n">
        <x:f aca="0">N1283/1000</x:f>
        <x:v>95.437</x:v>
      </x:c>
      <x:c r="P1283" s="73" t="n">
        <x:f aca="0">MLCF!G27</x:f>
        <x:v>95.437</x:v>
      </x:c>
      <x:c r="Q1283" s="70" t="str">
        <x:f aca="0">IF(ABS(O1283-P1283)&lt;0.000001,"PASS","FAIL")</x:f>
        <x:v>PASS</x:v>
      </x:c>
      <x:c r="R1283" s="70" t="s">
        <x:v>34</x:v>
      </x:c>
      <x:c r="S1283" s="70"/>
    </x:row>
    <x:row r="1284" ht="15" hidden="0">
      <x:c r="A1284" s="70" t="s">
        <x:v>2609</x:v>
      </x:c>
      <x:c r="B1284" s="70" t="s">
        <x:v>42</x:v>
      </x:c>
      <x:c r="C1284" s="70" t="s">
        <x:v>77</x:v>
      </x:c>
      <x:c r="D1284" s="70" t="s">
        <x:v>310</x:v>
      </x:c>
      <x:c r="E1284" s="70" t="s">
        <x:v>1129</x:v>
      </x:c>
      <x:c r="F1284" s="70" t="s">
        <x:v>2604</x:v>
      </x:c>
      <x:c r="G1284" s="70" t="s">
        <x:v>1675</x:v>
      </x:c>
      <x:c r="H1284" s="70" t="s">
        <x:v>1215</x:v>
      </x:c>
      <x:c r="I1284" s="70" t="s">
        <x:v>1218</x:v>
      </x:c>
      <x:c r="J1284" s="70" t="n">
        <x:v>202</x:v>
      </x:c>
      <x:c r="K1284" s="70" t="s">
        <x:v>2527</x:v>
      </x:c>
      <x:c r="L1284" s="70" t="s">
        <x:v>1293</x:v>
      </x:c>
      <x:c r="M1284" s="70" t="s">
        <x:v>40</x:v>
      </x:c>
      <x:c r="N1284" s="71" t="n">
        <x:v>83919</x:v>
      </x:c>
      <x:c r="O1284" s="72" t="n">
        <x:f aca="0">N1284/1000</x:f>
        <x:v>83.919</x:v>
      </x:c>
      <x:c r="P1284" s="73" t="n">
        <x:f aca="0">MLCF!H27</x:f>
        <x:v>83.919</x:v>
      </x:c>
      <x:c r="Q1284" s="70" t="str">
        <x:f aca="0">IF(ABS(O1284-P1284)&lt;0.000001,"PASS","FAIL")</x:f>
        <x:v>PASS</x:v>
      </x:c>
      <x:c r="R1284" s="70" t="s">
        <x:v>34</x:v>
      </x:c>
      <x:c r="S1284" s="70"/>
    </x:row>
    <x:row r="1285" ht="15" hidden="0">
      <x:c r="A1285" s="70" t="s">
        <x:v>2610</x:v>
      </x:c>
      <x:c r="B1285" s="70" t="s">
        <x:v>42</x:v>
      </x:c>
      <x:c r="C1285" s="70" t="s">
        <x:v>1076</x:v>
      </x:c>
      <x:c r="D1285" s="70" t="s">
        <x:v>315</x:v>
      </x:c>
      <x:c r="E1285" s="70" t="s">
        <x:v>1129</x:v>
      </x:c>
      <x:c r="F1285" s="70" t="s">
        <x:v>2171</x:v>
      </x:c>
      <x:c r="G1285" s="70" t="s">
        <x:v>1663</x:v>
      </x:c>
      <x:c r="H1285" s="70" t="s">
        <x:v>1198</x:v>
      </x:c>
      <x:c r="I1285" s="70" t="s">
        <x:v>1199</x:v>
      </x:c>
      <x:c r="J1285" s="70" t="n">
        <x:v>163</x:v>
      </x:c>
      <x:c r="K1285" s="70" t="s">
        <x:v>2559</x:v>
      </x:c>
      <x:c r="L1285" s="70" t="s">
        <x:v>1301</x:v>
      </x:c>
      <x:c r="M1285" s="70" t="s">
        <x:v>40</x:v>
      </x:c>
      <x:c r="N1285" s="71" t="n">
        <x:v>8395610</x:v>
      </x:c>
      <x:c r="O1285" s="72" t="n">
        <x:f aca="0">N1285/1000</x:f>
        <x:v>8395.61</x:v>
      </x:c>
      <x:c r="P1285" s="73" t="n">
        <x:f aca="0">MLCF!C30</x:f>
        <x:v>8395.61</x:v>
      </x:c>
      <x:c r="Q1285" s="70" t="str">
        <x:f aca="0">IF(ABS(O1285-P1285)&lt;0.000001,"PASS","FAIL")</x:f>
        <x:v>PASS</x:v>
      </x:c>
      <x:c r="R1285" s="70" t="s">
        <x:v>34</x:v>
      </x:c>
      <x:c r="S1285" s="70"/>
    </x:row>
    <x:row r="1286" ht="15" hidden="0">
      <x:c r="A1286" s="70" t="s">
        <x:v>2611</x:v>
      </x:c>
      <x:c r="B1286" s="70" t="s">
        <x:v>42</x:v>
      </x:c>
      <x:c r="C1286" s="70" t="s">
        <x:v>73</x:v>
      </x:c>
      <x:c r="D1286" s="70" t="s">
        <x:v>315</x:v>
      </x:c>
      <x:c r="E1286" s="70" t="s">
        <x:v>1129</x:v>
      </x:c>
      <x:c r="F1286" s="70" t="s">
        <x:v>2171</x:v>
      </x:c>
      <x:c r="G1286" s="70" t="s">
        <x:v>1666</x:v>
      </x:c>
      <x:c r="H1286" s="70" t="s">
        <x:v>1204</x:v>
      </x:c>
      <x:c r="I1286" s="70" t="s">
        <x:v>1199</x:v>
      </x:c>
      <x:c r="J1286" s="70" t="n">
        <x:v>184</x:v>
      </x:c>
      <x:c r="K1286" s="70" t="s">
        <x:v>2305</x:v>
      </x:c>
      <x:c r="L1286" s="70" t="s">
        <x:v>1301</x:v>
      </x:c>
      <x:c r="M1286" s="70" t="s">
        <x:v>40</x:v>
      </x:c>
      <x:c r="N1286" s="71" t="n">
        <x:v>9738717</x:v>
      </x:c>
      <x:c r="O1286" s="72" t="n">
        <x:f aca="0">N1286/1000</x:f>
        <x:v>9738.717</x:v>
      </x:c>
      <x:c r="P1286" s="73" t="n">
        <x:f aca="0">MLCF!D30</x:f>
        <x:v>9738.717</x:v>
      </x:c>
      <x:c r="Q1286" s="70" t="str">
        <x:f aca="0">IF(ABS(O1286-P1286)&lt;0.000001,"PASS","FAIL")</x:f>
        <x:v>PASS</x:v>
      </x:c>
      <x:c r="R1286" s="70" t="s">
        <x:v>34</x:v>
      </x:c>
      <x:c r="S1286" s="70"/>
    </x:row>
    <x:row r="1287" ht="15" hidden="0">
      <x:c r="A1287" s="70" t="s">
        <x:v>2612</x:v>
      </x:c>
      <x:c r="B1287" s="70" t="s">
        <x:v>42</x:v>
      </x:c>
      <x:c r="C1287" s="70" t="s">
        <x:v>74</x:v>
      </x:c>
      <x:c r="D1287" s="70" t="s">
        <x:v>315</x:v>
      </x:c>
      <x:c r="E1287" s="70" t="s">
        <x:v>1129</x:v>
      </x:c>
      <x:c r="F1287" s="70" t="s">
        <x:v>2171</x:v>
      </x:c>
      <x:c r="G1287" s="70" t="s">
        <x:v>1669</x:v>
      </x:c>
      <x:c r="H1287" s="70" t="s">
        <x:v>1208</x:v>
      </x:c>
      <x:c r="I1287" s="70" t="s">
        <x:v>1199</x:v>
      </x:c>
      <x:c r="J1287" s="70" t="n">
        <x:v>98</x:v>
      </x:c>
      <x:c r="K1287" s="70" t="s">
        <x:v>2562</x:v>
      </x:c>
      <x:c r="L1287" s="70"/>
      <x:c r="M1287" s="70" t="s">
        <x:v>40</x:v>
      </x:c>
      <x:c r="N1287" s="71" t="n">
        <x:v>12853605</x:v>
      </x:c>
      <x:c r="O1287" s="72" t="n">
        <x:f aca="0">N1287/1000</x:f>
        <x:v>12853.605</x:v>
      </x:c>
      <x:c r="P1287" s="73" t="n">
        <x:f aca="0">MLCF!E30</x:f>
        <x:v>12853.605</x:v>
      </x:c>
      <x:c r="Q1287" s="70" t="str">
        <x:f aca="0">IF(ABS(O1287-P1287)&lt;0.000001,"PASS","FAIL")</x:f>
        <x:v>PASS</x:v>
      </x:c>
      <x:c r="R1287" s="70" t="s">
        <x:v>34</x:v>
      </x:c>
      <x:c r="S1287" s="70"/>
    </x:row>
    <x:row r="1288" ht="15" hidden="0">
      <x:c r="A1288" s="70" t="s">
        <x:v>2613</x:v>
      </x:c>
      <x:c r="B1288" s="70" t="s">
        <x:v>42</x:v>
      </x:c>
      <x:c r="C1288" s="70" t="s">
        <x:v>75</x:v>
      </x:c>
      <x:c r="D1288" s="70" t="s">
        <x:v>315</x:v>
      </x:c>
      <x:c r="E1288" s="70" t="s">
        <x:v>1129</x:v>
      </x:c>
      <x:c r="F1288" s="70" t="s">
        <x:v>2171</x:v>
      </x:c>
      <x:c r="G1288" s="70" t="s">
        <x:v>1672</x:v>
      </x:c>
      <x:c r="H1288" s="70" t="s">
        <x:v>1211</x:v>
      </x:c>
      <x:c r="I1288" s="70" t="s">
        <x:v>1199</x:v>
      </x:c>
      <x:c r="J1288" s="70" t="n">
        <x:v>190</x:v>
      </x:c>
      <x:c r="K1288" s="70" t="s">
        <x:v>2564</x:v>
      </x:c>
      <x:c r="L1288" s="70" t="s">
        <x:v>1301</x:v>
      </x:c>
      <x:c r="M1288" s="70" t="s">
        <x:v>40</x:v>
      </x:c>
      <x:c r="N1288" s="71" t="n">
        <x:v>9925855</x:v>
      </x:c>
      <x:c r="O1288" s="72" t="n">
        <x:f aca="0">N1288/1000</x:f>
        <x:v>9925.855</x:v>
      </x:c>
      <x:c r="P1288" s="73" t="n">
        <x:f aca="0">MLCF!F30</x:f>
        <x:v>9925.855</x:v>
      </x:c>
      <x:c r="Q1288" s="70" t="str">
        <x:f aca="0">IF(ABS(O1288-P1288)&lt;0.000001,"PASS","FAIL")</x:f>
        <x:v>PASS</x:v>
      </x:c>
      <x:c r="R1288" s="70" t="s">
        <x:v>34</x:v>
      </x:c>
      <x:c r="S1288" s="70" t="s">
        <x:v>1205</x:v>
      </x:c>
    </x:row>
    <x:row r="1289" ht="15" hidden="0">
      <x:c r="A1289" s="70" t="s">
        <x:v>2614</x:v>
      </x:c>
      <x:c r="B1289" s="70" t="s">
        <x:v>42</x:v>
      </x:c>
      <x:c r="C1289" s="70" t="s">
        <x:v>76</x:v>
      </x:c>
      <x:c r="D1289" s="70" t="s">
        <x:v>315</x:v>
      </x:c>
      <x:c r="E1289" s="70" t="s">
        <x:v>1129</x:v>
      </x:c>
      <x:c r="F1289" s="70" t="s">
        <x:v>2171</x:v>
      </x:c>
      <x:c r="G1289" s="70" t="s">
        <x:v>1675</x:v>
      </x:c>
      <x:c r="H1289" s="70" t="s">
        <x:v>1215</x:v>
      </x:c>
      <x:c r="I1289" s="70" t="s">
        <x:v>1199</x:v>
      </x:c>
      <x:c r="J1289" s="70" t="n">
        <x:v>202</x:v>
      </x:c>
      <x:c r="K1289" s="70" t="s">
        <x:v>2527</x:v>
      </x:c>
      <x:c r="L1289" s="70" t="s">
        <x:v>1299</x:v>
      </x:c>
      <x:c r="M1289" s="70" t="s">
        <x:v>40</x:v>
      </x:c>
      <x:c r="N1289" s="71" t="n">
        <x:v>12277288</x:v>
      </x:c>
      <x:c r="O1289" s="72" t="n">
        <x:f aca="0">N1289/1000</x:f>
        <x:v>12277.288</x:v>
      </x:c>
      <x:c r="P1289" s="73" t="n">
        <x:f aca="0">MLCF!G30</x:f>
        <x:v>12277.288</x:v>
      </x:c>
      <x:c r="Q1289" s="70" t="str">
        <x:f aca="0">IF(ABS(O1289-P1289)&lt;0.000001,"PASS","FAIL")</x:f>
        <x:v>PASS</x:v>
      </x:c>
      <x:c r="R1289" s="70" t="s">
        <x:v>34</x:v>
      </x:c>
      <x:c r="S1289" s="70"/>
    </x:row>
    <x:row r="1290" ht="15" hidden="0">
      <x:c r="A1290" s="70" t="s">
        <x:v>2615</x:v>
      </x:c>
      <x:c r="B1290" s="70" t="s">
        <x:v>42</x:v>
      </x:c>
      <x:c r="C1290" s="70" t="s">
        <x:v>77</x:v>
      </x:c>
      <x:c r="D1290" s="70" t="s">
        <x:v>315</x:v>
      </x:c>
      <x:c r="E1290" s="70" t="s">
        <x:v>1129</x:v>
      </x:c>
      <x:c r="F1290" s="70" t="s">
        <x:v>2171</x:v>
      </x:c>
      <x:c r="G1290" s="70" t="s">
        <x:v>1675</x:v>
      </x:c>
      <x:c r="H1290" s="70" t="s">
        <x:v>1215</x:v>
      </x:c>
      <x:c r="I1290" s="70" t="s">
        <x:v>1218</x:v>
      </x:c>
      <x:c r="J1290" s="70" t="n">
        <x:v>202</x:v>
      </x:c>
      <x:c r="K1290" s="70" t="s">
        <x:v>2527</x:v>
      </x:c>
      <x:c r="L1290" s="70" t="s">
        <x:v>1299</x:v>
      </x:c>
      <x:c r="M1290" s="70" t="s">
        <x:v>40</x:v>
      </x:c>
      <x:c r="N1290" s="71" t="n">
        <x:v>12461312</x:v>
      </x:c>
      <x:c r="O1290" s="72" t="n">
        <x:f aca="0">N1290/1000</x:f>
        <x:v>12461.312</x:v>
      </x:c>
      <x:c r="P1290" s="73" t="n">
        <x:f aca="0">MLCF!H30</x:f>
        <x:v>12461.312</x:v>
      </x:c>
      <x:c r="Q1290" s="70" t="str">
        <x:f aca="0">IF(ABS(O1290-P1290)&lt;0.000001,"PASS","FAIL")</x:f>
        <x:v>PASS</x:v>
      </x:c>
      <x:c r="R1290" s="70" t="s">
        <x:v>34</x:v>
      </x:c>
      <x:c r="S1290" s="70"/>
    </x:row>
    <x:row r="1291" ht="15" hidden="0">
      <x:c r="A1291" s="70" t="s">
        <x:v>2616</x:v>
      </x:c>
      <x:c r="B1291" s="70" t="s">
        <x:v>42</x:v>
      </x:c>
      <x:c r="C1291" s="70" t="s">
        <x:v>1076</x:v>
      </x:c>
      <x:c r="D1291" s="70" t="s">
        <x:v>317</x:v>
      </x:c>
      <x:c r="E1291" s="70" t="s">
        <x:v>1129</x:v>
      </x:c>
      <x:c r="F1291" s="70" t="s">
        <x:v>317</x:v>
      </x:c>
      <x:c r="G1291" s="70" t="s">
        <x:v>1663</x:v>
      </x:c>
      <x:c r="H1291" s="70" t="s">
        <x:v>1198</x:v>
      </x:c>
      <x:c r="I1291" s="70" t="s">
        <x:v>1199</x:v>
      </x:c>
      <x:c r="J1291" s="70" t="n">
        <x:v>163</x:v>
      </x:c>
      <x:c r="K1291" s="70" t="s">
        <x:v>2559</x:v>
      </x:c>
      <x:c r="L1291" s="70" t="s">
        <x:v>1844</x:v>
      </x:c>
      <x:c r="M1291" s="70" t="s">
        <x:v>40</x:v>
      </x:c>
      <x:c r="N1291" s="71" t="n">
        <x:v>1779404</x:v>
      </x:c>
      <x:c r="O1291" s="72" t="n">
        <x:f aca="0">N1291/1000</x:f>
        <x:v>1779.404</x:v>
      </x:c>
      <x:c r="P1291" s="73" t="n">
        <x:f aca="0">MLCF!C31</x:f>
        <x:v>1779.404</x:v>
      </x:c>
      <x:c r="Q1291" s="70" t="str">
        <x:f aca="0">IF(ABS(O1291-P1291)&lt;0.000001,"PASS","FAIL")</x:f>
        <x:v>PASS</x:v>
      </x:c>
      <x:c r="R1291" s="70" t="s">
        <x:v>34</x:v>
      </x:c>
      <x:c r="S1291" s="70"/>
    </x:row>
    <x:row r="1292" ht="15" hidden="0">
      <x:c r="A1292" s="70" t="s">
        <x:v>2617</x:v>
      </x:c>
      <x:c r="B1292" s="70" t="s">
        <x:v>42</x:v>
      </x:c>
      <x:c r="C1292" s="70" t="s">
        <x:v>73</x:v>
      </x:c>
      <x:c r="D1292" s="70" t="s">
        <x:v>317</x:v>
      </x:c>
      <x:c r="E1292" s="70" t="s">
        <x:v>1129</x:v>
      </x:c>
      <x:c r="F1292" s="70" t="s">
        <x:v>317</x:v>
      </x:c>
      <x:c r="G1292" s="70" t="s">
        <x:v>1666</x:v>
      </x:c>
      <x:c r="H1292" s="70" t="s">
        <x:v>1204</x:v>
      </x:c>
      <x:c r="I1292" s="70" t="s">
        <x:v>1199</x:v>
      </x:c>
      <x:c r="J1292" s="70" t="n">
        <x:v>184</x:v>
      </x:c>
      <x:c r="K1292" s="70" t="s">
        <x:v>2305</x:v>
      </x:c>
      <x:c r="L1292" s="70" t="s">
        <x:v>1844</x:v>
      </x:c>
      <x:c r="M1292" s="70" t="s">
        <x:v>40</x:v>
      </x:c>
      <x:c r="N1292" s="71" t="n">
        <x:v>2150183</x:v>
      </x:c>
      <x:c r="O1292" s="72" t="n">
        <x:f aca="0">N1292/1000</x:f>
        <x:v>2150.183</x:v>
      </x:c>
      <x:c r="P1292" s="73" t="n">
        <x:f aca="0">MLCF!D31</x:f>
        <x:v>2150.183</x:v>
      </x:c>
      <x:c r="Q1292" s="70" t="str">
        <x:f aca="0">IF(ABS(O1292-P1292)&lt;0.000001,"PASS","FAIL")</x:f>
        <x:v>PASS</x:v>
      </x:c>
      <x:c r="R1292" s="70" t="s">
        <x:v>34</x:v>
      </x:c>
      <x:c r="S1292" s="70"/>
    </x:row>
    <x:row r="1293" ht="15" hidden="0">
      <x:c r="A1293" s="70" t="s">
        <x:v>2618</x:v>
      </x:c>
      <x:c r="B1293" s="70" t="s">
        <x:v>42</x:v>
      </x:c>
      <x:c r="C1293" s="70" t="s">
        <x:v>74</x:v>
      </x:c>
      <x:c r="D1293" s="70" t="s">
        <x:v>317</x:v>
      </x:c>
      <x:c r="E1293" s="70" t="s">
        <x:v>1129</x:v>
      </x:c>
      <x:c r="F1293" s="70" t="s">
        <x:v>317</x:v>
      </x:c>
      <x:c r="G1293" s="70" t="s">
        <x:v>1669</x:v>
      </x:c>
      <x:c r="H1293" s="70" t="s">
        <x:v>1208</x:v>
      </x:c>
      <x:c r="I1293" s="70" t="s">
        <x:v>1199</x:v>
      </x:c>
      <x:c r="J1293" s="70" t="n">
        <x:v>98</x:v>
      </x:c>
      <x:c r="K1293" s="70" t="s">
        <x:v>2562</x:v>
      </x:c>
      <x:c r="L1293" s="70"/>
      <x:c r="M1293" s="70" t="s">
        <x:v>40</x:v>
      </x:c>
      <x:c r="N1293" s="71" t="n">
        <x:v>2695621</x:v>
      </x:c>
      <x:c r="O1293" s="72" t="n">
        <x:f aca="0">N1293/1000</x:f>
        <x:v>2695.621</x:v>
      </x:c>
      <x:c r="P1293" s="73" t="n">
        <x:f aca="0">MLCF!E31</x:f>
        <x:v>2695.621</x:v>
      </x:c>
      <x:c r="Q1293" s="70" t="str">
        <x:f aca="0">IF(ABS(O1293-P1293)&lt;0.000001,"PASS","FAIL")</x:f>
        <x:v>PASS</x:v>
      </x:c>
      <x:c r="R1293" s="70" t="s">
        <x:v>34</x:v>
      </x:c>
      <x:c r="S1293" s="70"/>
    </x:row>
    <x:row r="1294" ht="15" hidden="0">
      <x:c r="A1294" s="70" t="s">
        <x:v>2619</x:v>
      </x:c>
      <x:c r="B1294" s="70" t="s">
        <x:v>42</x:v>
      </x:c>
      <x:c r="C1294" s="70" t="s">
        <x:v>75</x:v>
      </x:c>
      <x:c r="D1294" s="70" t="s">
        <x:v>317</x:v>
      </x:c>
      <x:c r="E1294" s="70" t="s">
        <x:v>1129</x:v>
      </x:c>
      <x:c r="F1294" s="70" t="s">
        <x:v>317</x:v>
      </x:c>
      <x:c r="G1294" s="70" t="s">
        <x:v>1672</x:v>
      </x:c>
      <x:c r="H1294" s="70" t="s">
        <x:v>1211</x:v>
      </x:c>
      <x:c r="I1294" s="70" t="s">
        <x:v>1199</x:v>
      </x:c>
      <x:c r="J1294" s="70" t="n">
        <x:v>190</x:v>
      </x:c>
      <x:c r="K1294" s="70" t="s">
        <x:v>2564</x:v>
      </x:c>
      <x:c r="L1294" s="70" t="s">
        <x:v>1844</x:v>
      </x:c>
      <x:c r="M1294" s="70" t="s">
        <x:v>40</x:v>
      </x:c>
      <x:c r="N1294" s="71" t="n">
        <x:v>3874605</x:v>
      </x:c>
      <x:c r="O1294" s="72" t="n">
        <x:f aca="0">N1294/1000</x:f>
        <x:v>3874.605</x:v>
      </x:c>
      <x:c r="P1294" s="73" t="n">
        <x:f aca="0">MLCF!F31</x:f>
        <x:v>3874.605</x:v>
      </x:c>
      <x:c r="Q1294" s="70" t="str">
        <x:f aca="0">IF(ABS(O1294-P1294)&lt;0.000001,"PASS","FAIL")</x:f>
        <x:v>PASS</x:v>
      </x:c>
      <x:c r="R1294" s="70" t="s">
        <x:v>34</x:v>
      </x:c>
      <x:c r="S1294" s="70"/>
    </x:row>
    <x:row r="1295" ht="15" hidden="0">
      <x:c r="A1295" s="70" t="s">
        <x:v>2620</x:v>
      </x:c>
      <x:c r="B1295" s="70" t="s">
        <x:v>42</x:v>
      </x:c>
      <x:c r="C1295" s="70" t="s">
        <x:v>76</x:v>
      </x:c>
      <x:c r="D1295" s="70" t="s">
        <x:v>317</x:v>
      </x:c>
      <x:c r="E1295" s="70" t="s">
        <x:v>1129</x:v>
      </x:c>
      <x:c r="F1295" s="70" t="s">
        <x:v>317</x:v>
      </x:c>
      <x:c r="G1295" s="70" t="s">
        <x:v>1675</x:v>
      </x:c>
      <x:c r="H1295" s="70" t="s">
        <x:v>1215</x:v>
      </x:c>
      <x:c r="I1295" s="70" t="s">
        <x:v>1199</x:v>
      </x:c>
      <x:c r="J1295" s="70" t="n">
        <x:v>202</x:v>
      </x:c>
      <x:c r="K1295" s="70" t="s">
        <x:v>2527</x:v>
      </x:c>
      <x:c r="L1295" s="70" t="s">
        <x:v>1301</x:v>
      </x:c>
      <x:c r="M1295" s="70" t="s">
        <x:v>40</x:v>
      </x:c>
      <x:c r="N1295" s="71" t="n">
        <x:v>3256553</x:v>
      </x:c>
      <x:c r="O1295" s="72" t="n">
        <x:f aca="0">N1295/1000</x:f>
        <x:v>3256.553</x:v>
      </x:c>
      <x:c r="P1295" s="73" t="n">
        <x:f aca="0">MLCF!G31</x:f>
        <x:v>3256.553</x:v>
      </x:c>
      <x:c r="Q1295" s="70" t="str">
        <x:f aca="0">IF(ABS(O1295-P1295)&lt;0.000001,"PASS","FAIL")</x:f>
        <x:v>PASS</x:v>
      </x:c>
      <x:c r="R1295" s="70" t="s">
        <x:v>34</x:v>
      </x:c>
      <x:c r="S1295" s="70"/>
    </x:row>
    <x:row r="1296" ht="15" hidden="0">
      <x:c r="A1296" s="70" t="s">
        <x:v>2621</x:v>
      </x:c>
      <x:c r="B1296" s="70" t="s">
        <x:v>42</x:v>
      </x:c>
      <x:c r="C1296" s="70" t="s">
        <x:v>77</x:v>
      </x:c>
      <x:c r="D1296" s="70" t="s">
        <x:v>317</x:v>
      </x:c>
      <x:c r="E1296" s="70" t="s">
        <x:v>1129</x:v>
      </x:c>
      <x:c r="F1296" s="70" t="s">
        <x:v>317</x:v>
      </x:c>
      <x:c r="G1296" s="70" t="s">
        <x:v>1675</x:v>
      </x:c>
      <x:c r="H1296" s="70" t="s">
        <x:v>1215</x:v>
      </x:c>
      <x:c r="I1296" s="70" t="s">
        <x:v>1218</x:v>
      </x:c>
      <x:c r="J1296" s="70" t="n">
        <x:v>202</x:v>
      </x:c>
      <x:c r="K1296" s="70" t="s">
        <x:v>2527</x:v>
      </x:c>
      <x:c r="L1296" s="70" t="s">
        <x:v>1301</x:v>
      </x:c>
      <x:c r="M1296" s="70" t="s">
        <x:v>40</x:v>
      </x:c>
      <x:c r="N1296" s="71" t="n">
        <x:v>4442989</x:v>
      </x:c>
      <x:c r="O1296" s="72" t="n">
        <x:f aca="0">N1296/1000</x:f>
        <x:v>4442.989</x:v>
      </x:c>
      <x:c r="P1296" s="73" t="n">
        <x:f aca="0">MLCF!H31</x:f>
        <x:v>4442.989</x:v>
      </x:c>
      <x:c r="Q1296" s="70" t="str">
        <x:f aca="0">IF(ABS(O1296-P1296)&lt;0.000001,"PASS","FAIL")</x:f>
        <x:v>PASS</x:v>
      </x:c>
      <x:c r="R1296" s="70" t="s">
        <x:v>34</x:v>
      </x:c>
      <x:c r="S1296" s="70"/>
    </x:row>
    <x:row r="1297" ht="15" hidden="0">
      <x:c r="A1297" s="70" t="s">
        <x:v>2622</x:v>
      </x:c>
      <x:c r="B1297" s="70" t="s">
        <x:v>42</x:v>
      </x:c>
      <x:c r="C1297" s="70" t="s">
        <x:v>1076</x:v>
      </x:c>
      <x:c r="D1297" s="70" t="s">
        <x:v>319</x:v>
      </x:c>
      <x:c r="E1297" s="70" t="s">
        <x:v>1129</x:v>
      </x:c>
      <x:c r="F1297" s="70" t="s">
        <x:v>319</x:v>
      </x:c>
      <x:c r="G1297" s="70" t="s">
        <x:v>1663</x:v>
      </x:c>
      <x:c r="H1297" s="70" t="s">
        <x:v>1198</x:v>
      </x:c>
      <x:c r="I1297" s="70" t="s">
        <x:v>1199</x:v>
      </x:c>
      <x:c r="J1297" s="70" t="n">
        <x:v>163</x:v>
      </x:c>
      <x:c r="K1297" s="70" t="s">
        <x:v>2559</x:v>
      </x:c>
      <x:c r="L1297" s="70" t="s">
        <x:v>2197</x:v>
      </x:c>
      <x:c r="M1297" s="70" t="s">
        <x:v>40</x:v>
      </x:c>
      <x:c r="N1297" s="71" t="n">
        <x:v>3052130</x:v>
      </x:c>
      <x:c r="O1297" s="72" t="n">
        <x:f aca="0">N1297/1000</x:f>
        <x:v>3052.13</x:v>
      </x:c>
      <x:c r="P1297" s="73" t="n">
        <x:f aca="0">MLCF!C32</x:f>
        <x:v>3052.13</x:v>
      </x:c>
      <x:c r="Q1297" s="70" t="str">
        <x:f aca="0">IF(ABS(O1297-P1297)&lt;0.000001,"PASS","FAIL")</x:f>
        <x:v>PASS</x:v>
      </x:c>
      <x:c r="R1297" s="70" t="s">
        <x:v>34</x:v>
      </x:c>
      <x:c r="S1297" s="70"/>
    </x:row>
    <x:row r="1298" ht="15" hidden="0">
      <x:c r="A1298" s="70" t="s">
        <x:v>2623</x:v>
      </x:c>
      <x:c r="B1298" s="70" t="s">
        <x:v>42</x:v>
      </x:c>
      <x:c r="C1298" s="70" t="s">
        <x:v>73</x:v>
      </x:c>
      <x:c r="D1298" s="70" t="s">
        <x:v>319</x:v>
      </x:c>
      <x:c r="E1298" s="70" t="s">
        <x:v>1129</x:v>
      </x:c>
      <x:c r="F1298" s="70" t="s">
        <x:v>319</x:v>
      </x:c>
      <x:c r="G1298" s="70" t="s">
        <x:v>1666</x:v>
      </x:c>
      <x:c r="H1298" s="70" t="s">
        <x:v>1204</x:v>
      </x:c>
      <x:c r="I1298" s="70" t="s">
        <x:v>1199</x:v>
      </x:c>
      <x:c r="J1298" s="70" t="n">
        <x:v>184</x:v>
      </x:c>
      <x:c r="K1298" s="70" t="s">
        <x:v>2305</x:v>
      </x:c>
      <x:c r="L1298" s="70" t="s">
        <x:v>2197</x:v>
      </x:c>
      <x:c r="M1298" s="70" t="s">
        <x:v>40</x:v>
      </x:c>
      <x:c r="N1298" s="71" t="n">
        <x:v>1679704</x:v>
      </x:c>
      <x:c r="O1298" s="72" t="n">
        <x:f aca="0">N1298/1000</x:f>
        <x:v>1679.704</x:v>
      </x:c>
      <x:c r="P1298" s="73" t="n">
        <x:f aca="0">MLCF!D32</x:f>
        <x:v>1679.704</x:v>
      </x:c>
      <x:c r="Q1298" s="70" t="str">
        <x:f aca="0">IF(ABS(O1298-P1298)&lt;0.000001,"PASS","FAIL")</x:f>
        <x:v>PASS</x:v>
      </x:c>
      <x:c r="R1298" s="70" t="s">
        <x:v>34</x:v>
      </x:c>
      <x:c r="S1298" s="70"/>
    </x:row>
    <x:row r="1299" ht="15" hidden="0">
      <x:c r="A1299" s="70" t="s">
        <x:v>2624</x:v>
      </x:c>
      <x:c r="B1299" s="70" t="s">
        <x:v>42</x:v>
      </x:c>
      <x:c r="C1299" s="70" t="s">
        <x:v>74</x:v>
      </x:c>
      <x:c r="D1299" s="70" t="s">
        <x:v>319</x:v>
      </x:c>
      <x:c r="E1299" s="70" t="s">
        <x:v>1129</x:v>
      </x:c>
      <x:c r="F1299" s="70" t="s">
        <x:v>319</x:v>
      </x:c>
      <x:c r="G1299" s="70" t="s">
        <x:v>1669</x:v>
      </x:c>
      <x:c r="H1299" s="70" t="s">
        <x:v>1208</x:v>
      </x:c>
      <x:c r="I1299" s="70" t="s">
        <x:v>1199</x:v>
      </x:c>
      <x:c r="J1299" s="70" t="n">
        <x:v>98</x:v>
      </x:c>
      <x:c r="K1299" s="70" t="s">
        <x:v>2562</x:v>
      </x:c>
      <x:c r="L1299" s="70"/>
      <x:c r="M1299" s="70" t="s">
        <x:v>40</x:v>
      </x:c>
      <x:c r="N1299" s="71" t="n">
        <x:v>2066212</x:v>
      </x:c>
      <x:c r="O1299" s="72" t="n">
        <x:f aca="0">N1299/1000</x:f>
        <x:v>2066.212</x:v>
      </x:c>
      <x:c r="P1299" s="73" t="n">
        <x:f aca="0">MLCF!E32</x:f>
        <x:v>2066.212</x:v>
      </x:c>
      <x:c r="Q1299" s="70" t="str">
        <x:f aca="0">IF(ABS(O1299-P1299)&lt;0.000001,"PASS","FAIL")</x:f>
        <x:v>PASS</x:v>
      </x:c>
      <x:c r="R1299" s="70" t="s">
        <x:v>34</x:v>
      </x:c>
      <x:c r="S1299" s="70"/>
    </x:row>
    <x:row r="1300" ht="15" hidden="0">
      <x:c r="A1300" s="70" t="s">
        <x:v>2625</x:v>
      </x:c>
      <x:c r="B1300" s="70" t="s">
        <x:v>42</x:v>
      </x:c>
      <x:c r="C1300" s="70" t="s">
        <x:v>75</x:v>
      </x:c>
      <x:c r="D1300" s="70" t="s">
        <x:v>319</x:v>
      </x:c>
      <x:c r="E1300" s="70" t="s">
        <x:v>1129</x:v>
      </x:c>
      <x:c r="F1300" s="70" t="s">
        <x:v>319</x:v>
      </x:c>
      <x:c r="G1300" s="70" t="s">
        <x:v>1672</x:v>
      </x:c>
      <x:c r="H1300" s="70" t="s">
        <x:v>1211</x:v>
      </x:c>
      <x:c r="I1300" s="70" t="s">
        <x:v>1199</x:v>
      </x:c>
      <x:c r="J1300" s="70" t="n">
        <x:v>190</x:v>
      </x:c>
      <x:c r="K1300" s="70" t="s">
        <x:v>2564</x:v>
      </x:c>
      <x:c r="L1300" s="70" t="s">
        <x:v>2197</x:v>
      </x:c>
      <x:c r="M1300" s="70" t="s">
        <x:v>40</x:v>
      </x:c>
      <x:c r="N1300" s="71" t="n">
        <x:v>2600985</x:v>
      </x:c>
      <x:c r="O1300" s="72" t="n">
        <x:f aca="0">N1300/1000</x:f>
        <x:v>2600.985</x:v>
      </x:c>
      <x:c r="P1300" s="73" t="n">
        <x:f aca="0">MLCF!F32</x:f>
        <x:v>2600.985</x:v>
      </x:c>
      <x:c r="Q1300" s="70" t="str">
        <x:f aca="0">IF(ABS(O1300-P1300)&lt;0.000001,"PASS","FAIL")</x:f>
        <x:v>PASS</x:v>
      </x:c>
      <x:c r="R1300" s="70" t="s">
        <x:v>34</x:v>
      </x:c>
      <x:c r="S1300" s="70" t="s">
        <x:v>1205</x:v>
      </x:c>
    </x:row>
    <x:row r="1301" ht="15" hidden="0">
      <x:c r="A1301" s="70" t="s">
        <x:v>2626</x:v>
      </x:c>
      <x:c r="B1301" s="70" t="s">
        <x:v>42</x:v>
      </x:c>
      <x:c r="C1301" s="70" t="s">
        <x:v>76</x:v>
      </x:c>
      <x:c r="D1301" s="70" t="s">
        <x:v>319</x:v>
      </x:c>
      <x:c r="E1301" s="70" t="s">
        <x:v>1129</x:v>
      </x:c>
      <x:c r="F1301" s="70" t="s">
        <x:v>319</x:v>
      </x:c>
      <x:c r="G1301" s="70" t="s">
        <x:v>1675</x:v>
      </x:c>
      <x:c r="H1301" s="70" t="s">
        <x:v>1215</x:v>
      </x:c>
      <x:c r="I1301" s="70" t="s">
        <x:v>1199</x:v>
      </x:c>
      <x:c r="J1301" s="70" t="n">
        <x:v>202</x:v>
      </x:c>
      <x:c r="K1301" s="70" t="s">
        <x:v>2527</x:v>
      </x:c>
      <x:c r="L1301" s="70" t="s">
        <x:v>1844</x:v>
      </x:c>
      <x:c r="M1301" s="70" t="s">
        <x:v>40</x:v>
      </x:c>
      <x:c r="N1301" s="71" t="n">
        <x:v>4188745</x:v>
      </x:c>
      <x:c r="O1301" s="72" t="n">
        <x:f aca="0">N1301/1000</x:f>
        <x:v>4188.745</x:v>
      </x:c>
      <x:c r="P1301" s="73" t="n">
        <x:f aca="0">MLCF!G32</x:f>
        <x:v>4188.745</x:v>
      </x:c>
      <x:c r="Q1301" s="70" t="str">
        <x:f aca="0">IF(ABS(O1301-P1301)&lt;0.000001,"PASS","FAIL")</x:f>
        <x:v>PASS</x:v>
      </x:c>
      <x:c r="R1301" s="70" t="s">
        <x:v>34</x:v>
      </x:c>
      <x:c r="S1301" s="70"/>
    </x:row>
    <x:row r="1302" ht="15" hidden="0">
      <x:c r="A1302" s="70" t="s">
        <x:v>2627</x:v>
      </x:c>
      <x:c r="B1302" s="70" t="s">
        <x:v>42</x:v>
      </x:c>
      <x:c r="C1302" s="70" t="s">
        <x:v>77</x:v>
      </x:c>
      <x:c r="D1302" s="70" t="s">
        <x:v>319</x:v>
      </x:c>
      <x:c r="E1302" s="70" t="s">
        <x:v>1129</x:v>
      </x:c>
      <x:c r="F1302" s="70" t="s">
        <x:v>319</x:v>
      </x:c>
      <x:c r="G1302" s="70" t="s">
        <x:v>1675</x:v>
      </x:c>
      <x:c r="H1302" s="70" t="s">
        <x:v>1215</x:v>
      </x:c>
      <x:c r="I1302" s="70" t="s">
        <x:v>1218</x:v>
      </x:c>
      <x:c r="J1302" s="70" t="n">
        <x:v>202</x:v>
      </x:c>
      <x:c r="K1302" s="70" t="s">
        <x:v>2527</x:v>
      </x:c>
      <x:c r="L1302" s="70" t="s">
        <x:v>1844</x:v>
      </x:c>
      <x:c r="M1302" s="70" t="s">
        <x:v>40</x:v>
      </x:c>
      <x:c r="N1302" s="71" t="n">
        <x:v>4610182</x:v>
      </x:c>
      <x:c r="O1302" s="72" t="n">
        <x:f aca="0">N1302/1000</x:f>
        <x:v>4610.182</x:v>
      </x:c>
      <x:c r="P1302" s="73" t="n">
        <x:f aca="0">MLCF!H32</x:f>
        <x:v>4610.182</x:v>
      </x:c>
      <x:c r="Q1302" s="70" t="str">
        <x:f aca="0">IF(ABS(O1302-P1302)&lt;0.000001,"PASS","FAIL")</x:f>
        <x:v>PASS</x:v>
      </x:c>
      <x:c r="R1302" s="70" t="s">
        <x:v>34</x:v>
      </x:c>
      <x:c r="S1302" s="70"/>
    </x:row>
    <x:row r="1303" ht="15" hidden="0">
      <x:c r="A1303" s="70" t="s">
        <x:v>2628</x:v>
      </x:c>
      <x:c r="B1303" s="70" t="s">
        <x:v>42</x:v>
      </x:c>
      <x:c r="C1303" s="70" t="s">
        <x:v>1076</x:v>
      </x:c>
      <x:c r="D1303" s="70" t="s">
        <x:v>321</x:v>
      </x:c>
      <x:c r="E1303" s="70" t="s">
        <x:v>1129</x:v>
      </x:c>
      <x:c r="F1303" s="70" t="s">
        <x:v>2629</x:v>
      </x:c>
      <x:c r="G1303" s="70" t="s">
        <x:v>1663</x:v>
      </x:c>
      <x:c r="H1303" s="70" t="s">
        <x:v>1198</x:v>
      </x:c>
      <x:c r="I1303" s="70" t="s">
        <x:v>1199</x:v>
      </x:c>
      <x:c r="J1303" s="70" t="n">
        <x:v>163</x:v>
      </x:c>
      <x:c r="K1303" s="70" t="s">
        <x:v>2559</x:v>
      </x:c>
      <x:c r="L1303" s="70" t="s">
        <x:v>2630</x:v>
      </x:c>
      <x:c r="M1303" s="70" t="s">
        <x:v>40</x:v>
      </x:c>
      <x:c r="N1303" s="71" t="n">
        <x:v>75245</x:v>
      </x:c>
      <x:c r="O1303" s="72" t="n">
        <x:f aca="0">N1303/1000</x:f>
        <x:v>75.245</x:v>
      </x:c>
      <x:c r="P1303" s="73" t="n">
        <x:f aca="0">MLCF!C33</x:f>
        <x:v>75.245</x:v>
      </x:c>
      <x:c r="Q1303" s="70" t="str">
        <x:f aca="0">IF(ABS(O1303-P1303)&lt;0.000001,"PASS","FAIL")</x:f>
        <x:v>PASS</x:v>
      </x:c>
      <x:c r="R1303" s="70" t="s">
        <x:v>34</x:v>
      </x:c>
      <x:c r="S1303" s="70"/>
    </x:row>
    <x:row r="1304" ht="15" hidden="0">
      <x:c r="A1304" s="70" t="s">
        <x:v>2631</x:v>
      </x:c>
      <x:c r="B1304" s="70" t="s">
        <x:v>42</x:v>
      </x:c>
      <x:c r="C1304" s="70" t="s">
        <x:v>73</x:v>
      </x:c>
      <x:c r="D1304" s="70" t="s">
        <x:v>321</x:v>
      </x:c>
      <x:c r="E1304" s="70" t="s">
        <x:v>1129</x:v>
      </x:c>
      <x:c r="F1304" s="70" t="s">
        <x:v>2629</x:v>
      </x:c>
      <x:c r="G1304" s="70" t="s">
        <x:v>1666</x:v>
      </x:c>
      <x:c r="H1304" s="70" t="s">
        <x:v>1204</x:v>
      </x:c>
      <x:c r="I1304" s="70" t="s">
        <x:v>1199</x:v>
      </x:c>
      <x:c r="J1304" s="70" t="n">
        <x:v>184</x:v>
      </x:c>
      <x:c r="K1304" s="70" t="s">
        <x:v>2305</x:v>
      </x:c>
      <x:c r="L1304" s="70" t="s">
        <x:v>2630</x:v>
      </x:c>
      <x:c r="M1304" s="70" t="s">
        <x:v>40</x:v>
      </x:c>
      <x:c r="N1304" s="71" t="n">
        <x:v>149148</x:v>
      </x:c>
      <x:c r="O1304" s="72" t="n">
        <x:f aca="0">N1304/1000</x:f>
        <x:v>149.148</x:v>
      </x:c>
      <x:c r="P1304" s="73" t="n">
        <x:f aca="0">MLCF!D33</x:f>
        <x:v>149.148</x:v>
      </x:c>
      <x:c r="Q1304" s="70" t="str">
        <x:f aca="0">IF(ABS(O1304-P1304)&lt;0.000001,"PASS","FAIL")</x:f>
        <x:v>PASS</x:v>
      </x:c>
      <x:c r="R1304" s="70" t="s">
        <x:v>34</x:v>
      </x:c>
      <x:c r="S1304" s="70"/>
    </x:row>
    <x:row r="1305" ht="15" hidden="0">
      <x:c r="A1305" s="70" t="s">
        <x:v>2632</x:v>
      </x:c>
      <x:c r="B1305" s="70" t="s">
        <x:v>42</x:v>
      </x:c>
      <x:c r="C1305" s="70" t="s">
        <x:v>74</x:v>
      </x:c>
      <x:c r="D1305" s="70" t="s">
        <x:v>321</x:v>
      </x:c>
      <x:c r="E1305" s="70" t="s">
        <x:v>1129</x:v>
      </x:c>
      <x:c r="F1305" s="70" t="s">
        <x:v>2629</x:v>
      </x:c>
      <x:c r="G1305" s="70" t="s">
        <x:v>1669</x:v>
      </x:c>
      <x:c r="H1305" s="70" t="s">
        <x:v>1208</x:v>
      </x:c>
      <x:c r="I1305" s="70" t="s">
        <x:v>1199</x:v>
      </x:c>
      <x:c r="J1305" s="70" t="n">
        <x:v>98</x:v>
      </x:c>
      <x:c r="K1305" s="70" t="s">
        <x:v>2562</x:v>
      </x:c>
      <x:c r="L1305" s="70"/>
      <x:c r="M1305" s="70" t="s">
        <x:v>40</x:v>
      </x:c>
      <x:c r="N1305" s="71" t="n">
        <x:v>198346</x:v>
      </x:c>
      <x:c r="O1305" s="72" t="n">
        <x:f aca="0">N1305/1000</x:f>
        <x:v>198.346</x:v>
      </x:c>
      <x:c r="P1305" s="73" t="n">
        <x:f aca="0">MLCF!E33</x:f>
        <x:v>198.346</x:v>
      </x:c>
      <x:c r="Q1305" s="70" t="str">
        <x:f aca="0">IF(ABS(O1305-P1305)&lt;0.000001,"PASS","FAIL")</x:f>
        <x:v>PASS</x:v>
      </x:c>
      <x:c r="R1305" s="70" t="s">
        <x:v>34</x:v>
      </x:c>
      <x:c r="S1305" s="70"/>
    </x:row>
    <x:row r="1306" ht="15" hidden="0">
      <x:c r="A1306" s="70" t="s">
        <x:v>2633</x:v>
      </x:c>
      <x:c r="B1306" s="70" t="s">
        <x:v>42</x:v>
      </x:c>
      <x:c r="C1306" s="70" t="s">
        <x:v>75</x:v>
      </x:c>
      <x:c r="D1306" s="70" t="s">
        <x:v>321</x:v>
      </x:c>
      <x:c r="E1306" s="70" t="s">
        <x:v>1129</x:v>
      </x:c>
      <x:c r="F1306" s="70" t="s">
        <x:v>1291</x:v>
      </x:c>
      <x:c r="G1306" s="70" t="s">
        <x:v>1672</x:v>
      </x:c>
      <x:c r="H1306" s="70" t="s">
        <x:v>1211</x:v>
      </x:c>
      <x:c r="I1306" s="70" t="s">
        <x:v>1199</x:v>
      </x:c>
      <x:c r="J1306" s="70" t="n">
        <x:v>190</x:v>
      </x:c>
      <x:c r="K1306" s="70" t="s">
        <x:v>2564</x:v>
      </x:c>
      <x:c r="L1306" s="70" t="s">
        <x:v>2630</x:v>
      </x:c>
      <x:c r="M1306" s="70" t="s">
        <x:v>40</x:v>
      </x:c>
      <x:c r="N1306" s="71" t="n">
        <x:v>3689556</x:v>
      </x:c>
      <x:c r="O1306" s="72" t="n">
        <x:f aca="0">N1306/1000</x:f>
        <x:v>3689.556</x:v>
      </x:c>
      <x:c r="P1306" s="73" t="n">
        <x:f aca="0">MLCF!F33</x:f>
        <x:v>3689.556</x:v>
      </x:c>
      <x:c r="Q1306" s="70" t="str">
        <x:f aca="0">IF(ABS(O1306-P1306)&lt;0.000001,"PASS","FAIL")</x:f>
        <x:v>PASS</x:v>
      </x:c>
      <x:c r="R1306" s="70" t="s">
        <x:v>34</x:v>
      </x:c>
      <x:c r="S1306" s="70"/>
    </x:row>
    <x:row r="1307" ht="15" hidden="0">
      <x:c r="A1307" s="70" t="s">
        <x:v>2634</x:v>
      </x:c>
      <x:c r="B1307" s="70" t="s">
        <x:v>42</x:v>
      </x:c>
      <x:c r="C1307" s="70" t="s">
        <x:v>76</x:v>
      </x:c>
      <x:c r="D1307" s="70" t="s">
        <x:v>321</x:v>
      </x:c>
      <x:c r="E1307" s="70" t="s">
        <x:v>1129</x:v>
      </x:c>
      <x:c r="F1307" s="70" t="s">
        <x:v>1291</x:v>
      </x:c>
      <x:c r="G1307" s="70" t="s">
        <x:v>1675</x:v>
      </x:c>
      <x:c r="H1307" s="70" t="s">
        <x:v>1215</x:v>
      </x:c>
      <x:c r="I1307" s="70" t="s">
        <x:v>1199</x:v>
      </x:c>
      <x:c r="J1307" s="70" t="n">
        <x:v>202</x:v>
      </x:c>
      <x:c r="K1307" s="70" t="s">
        <x:v>2527</x:v>
      </x:c>
      <x:c r="L1307" s="70" t="s">
        <x:v>2635</x:v>
      </x:c>
      <x:c r="M1307" s="70" t="s">
        <x:v>40</x:v>
      </x:c>
      <x:c r="N1307" s="71" t="n">
        <x:v>4220262</x:v>
      </x:c>
      <x:c r="O1307" s="72" t="n">
        <x:f aca="0">N1307/1000</x:f>
        <x:v>4220.262</x:v>
      </x:c>
      <x:c r="P1307" s="73" t="n">
        <x:f aca="0">MLCF!G33</x:f>
        <x:v>4220.262</x:v>
      </x:c>
      <x:c r="Q1307" s="70" t="str">
        <x:f aca="0">IF(ABS(O1307-P1307)&lt;0.000001,"PASS","FAIL")</x:f>
        <x:v>PASS</x:v>
      </x:c>
      <x:c r="R1307" s="70" t="s">
        <x:v>34</x:v>
      </x:c>
      <x:c r="S1307" s="70"/>
    </x:row>
    <x:row r="1308" ht="15" hidden="0">
      <x:c r="A1308" s="70" t="s">
        <x:v>2636</x:v>
      </x:c>
      <x:c r="B1308" s="70" t="s">
        <x:v>42</x:v>
      </x:c>
      <x:c r="C1308" s="70" t="s">
        <x:v>77</x:v>
      </x:c>
      <x:c r="D1308" s="70" t="s">
        <x:v>321</x:v>
      </x:c>
      <x:c r="E1308" s="70" t="s">
        <x:v>1129</x:v>
      </x:c>
      <x:c r="F1308" s="70" t="s">
        <x:v>1291</x:v>
      </x:c>
      <x:c r="G1308" s="70" t="s">
        <x:v>1675</x:v>
      </x:c>
      <x:c r="H1308" s="70" t="s">
        <x:v>1215</x:v>
      </x:c>
      <x:c r="I1308" s="70" t="s">
        <x:v>1218</x:v>
      </x:c>
      <x:c r="J1308" s="70" t="n">
        <x:v>202</x:v>
      </x:c>
      <x:c r="K1308" s="70" t="s">
        <x:v>2527</x:v>
      </x:c>
      <x:c r="L1308" s="70" t="s">
        <x:v>2635</x:v>
      </x:c>
      <x:c r="M1308" s="70" t="s">
        <x:v>40</x:v>
      </x:c>
      <x:c r="N1308" s="71" t="n">
        <x:v>11102413</x:v>
      </x:c>
      <x:c r="O1308" s="72" t="n">
        <x:f aca="0">N1308/1000</x:f>
        <x:v>11102.413</x:v>
      </x:c>
      <x:c r="P1308" s="73" t="n">
        <x:f aca="0">MLCF!H33</x:f>
        <x:v>11102.413</x:v>
      </x:c>
      <x:c r="Q1308" s="70" t="str">
        <x:f aca="0">IF(ABS(O1308-P1308)&lt;0.000001,"PASS","FAIL")</x:f>
        <x:v>PASS</x:v>
      </x:c>
      <x:c r="R1308" s="70" t="s">
        <x:v>34</x:v>
      </x:c>
      <x:c r="S1308" s="70"/>
    </x:row>
    <x:row r="1309" ht="15" hidden="0">
      <x:c r="A1309" s="70" t="s">
        <x:v>2637</x:v>
      </x:c>
      <x:c r="B1309" s="70" t="s">
        <x:v>42</x:v>
      </x:c>
      <x:c r="C1309" s="70" t="s">
        <x:v>1076</x:v>
      </x:c>
      <x:c r="D1309" s="70" t="s">
        <x:v>323</x:v>
      </x:c>
      <x:c r="E1309" s="70" t="s">
        <x:v>1129</x:v>
      </x:c>
      <x:c r="F1309" s="70" t="s">
        <x:v>323</x:v>
      </x:c>
      <x:c r="G1309" s="70" t="s">
        <x:v>1663</x:v>
      </x:c>
      <x:c r="H1309" s="70" t="s">
        <x:v>1198</x:v>
      </x:c>
      <x:c r="I1309" s="70" t="s">
        <x:v>1199</x:v>
      </x:c>
      <x:c r="J1309" s="70" t="n">
        <x:v>163</x:v>
      </x:c>
      <x:c r="K1309" s="70" t="s">
        <x:v>2559</x:v>
      </x:c>
      <x:c r="L1309" s="70" t="s">
        <x:v>2638</x:v>
      </x:c>
      <x:c r="M1309" s="70" t="s">
        <x:v>40</x:v>
      </x:c>
      <x:c r="N1309" s="71" t="n">
        <x:v>1046267</x:v>
      </x:c>
      <x:c r="O1309" s="72" t="n">
        <x:f aca="0">N1309/1000</x:f>
        <x:v>1046.267</x:v>
      </x:c>
      <x:c r="P1309" s="73" t="n">
        <x:f aca="0">MLCF!C34</x:f>
        <x:v>1046.267</x:v>
      </x:c>
      <x:c r="Q1309" s="70" t="str">
        <x:f aca="0">IF(ABS(O1309-P1309)&lt;0.000001,"PASS","FAIL")</x:f>
        <x:v>PASS</x:v>
      </x:c>
      <x:c r="R1309" s="70" t="s">
        <x:v>34</x:v>
      </x:c>
      <x:c r="S1309" s="70"/>
    </x:row>
    <x:row r="1310" ht="15" hidden="0">
      <x:c r="A1310" s="70" t="s">
        <x:v>2639</x:v>
      </x:c>
      <x:c r="B1310" s="70" t="s">
        <x:v>42</x:v>
      </x:c>
      <x:c r="C1310" s="70" t="s">
        <x:v>73</x:v>
      </x:c>
      <x:c r="D1310" s="70" t="s">
        <x:v>323</x:v>
      </x:c>
      <x:c r="E1310" s="70" t="s">
        <x:v>1129</x:v>
      </x:c>
      <x:c r="F1310" s="70" t="s">
        <x:v>323</x:v>
      </x:c>
      <x:c r="G1310" s="70" t="s">
        <x:v>1666</x:v>
      </x:c>
      <x:c r="H1310" s="70" t="s">
        <x:v>1204</x:v>
      </x:c>
      <x:c r="I1310" s="70" t="s">
        <x:v>1199</x:v>
      </x:c>
      <x:c r="J1310" s="70" t="n">
        <x:v>184</x:v>
      </x:c>
      <x:c r="K1310" s="70" t="s">
        <x:v>2305</x:v>
      </x:c>
      <x:c r="L1310" s="70" t="s">
        <x:v>2638</x:v>
      </x:c>
      <x:c r="M1310" s="70" t="s">
        <x:v>40</x:v>
      </x:c>
      <x:c r="N1310" s="71" t="n">
        <x:v>490329</x:v>
      </x:c>
      <x:c r="O1310" s="72" t="n">
        <x:f aca="0">N1310/1000</x:f>
        <x:v>490.329</x:v>
      </x:c>
      <x:c r="P1310" s="73" t="n">
        <x:f aca="0">MLCF!D34</x:f>
        <x:v>490.329</x:v>
      </x:c>
      <x:c r="Q1310" s="70" t="str">
        <x:f aca="0">IF(ABS(O1310-P1310)&lt;0.000001,"PASS","FAIL")</x:f>
        <x:v>PASS</x:v>
      </x:c>
      <x:c r="R1310" s="70" t="s">
        <x:v>34</x:v>
      </x:c>
      <x:c r="S1310" s="70"/>
    </x:row>
    <x:row r="1311" ht="15" hidden="0">
      <x:c r="A1311" s="70" t="s">
        <x:v>2640</x:v>
      </x:c>
      <x:c r="B1311" s="70" t="s">
        <x:v>42</x:v>
      </x:c>
      <x:c r="C1311" s="70" t="s">
        <x:v>74</x:v>
      </x:c>
      <x:c r="D1311" s="70" t="s">
        <x:v>323</x:v>
      </x:c>
      <x:c r="E1311" s="70" t="s">
        <x:v>1129</x:v>
      </x:c>
      <x:c r="F1311" s="70" t="s">
        <x:v>323</x:v>
      </x:c>
      <x:c r="G1311" s="70" t="s">
        <x:v>1669</x:v>
      </x:c>
      <x:c r="H1311" s="70" t="s">
        <x:v>1208</x:v>
      </x:c>
      <x:c r="I1311" s="70" t="s">
        <x:v>1199</x:v>
      </x:c>
      <x:c r="J1311" s="70" t="n">
        <x:v>98</x:v>
      </x:c>
      <x:c r="K1311" s="70" t="s">
        <x:v>2562</x:v>
      </x:c>
      <x:c r="L1311" s="70"/>
      <x:c r="M1311" s="70" t="s">
        <x:v>40</x:v>
      </x:c>
      <x:c r="N1311" s="71" t="n">
        <x:v>793576</x:v>
      </x:c>
      <x:c r="O1311" s="72" t="n">
        <x:f aca="0">N1311/1000</x:f>
        <x:v>793.576</x:v>
      </x:c>
      <x:c r="P1311" s="73" t="n">
        <x:f aca="0">MLCF!E34</x:f>
        <x:v>793.576</x:v>
      </x:c>
      <x:c r="Q1311" s="70" t="str">
        <x:f aca="0">IF(ABS(O1311-P1311)&lt;0.000001,"PASS","FAIL")</x:f>
        <x:v>PASS</x:v>
      </x:c>
      <x:c r="R1311" s="70" t="s">
        <x:v>34</x:v>
      </x:c>
      <x:c r="S1311" s="70"/>
    </x:row>
    <x:row r="1312" ht="15" hidden="0">
      <x:c r="A1312" s="70" t="s">
        <x:v>2641</x:v>
      </x:c>
      <x:c r="B1312" s="70" t="s">
        <x:v>42</x:v>
      </x:c>
      <x:c r="C1312" s="70" t="s">
        <x:v>75</x:v>
      </x:c>
      <x:c r="D1312" s="70" t="s">
        <x:v>323</x:v>
      </x:c>
      <x:c r="E1312" s="70" t="s">
        <x:v>1129</x:v>
      </x:c>
      <x:c r="F1312" s="70" t="s">
        <x:v>323</x:v>
      </x:c>
      <x:c r="G1312" s="70" t="s">
        <x:v>1672</x:v>
      </x:c>
      <x:c r="H1312" s="70" t="s">
        <x:v>1211</x:v>
      </x:c>
      <x:c r="I1312" s="70" t="s">
        <x:v>1199</x:v>
      </x:c>
      <x:c r="J1312" s="70" t="n">
        <x:v>190</x:v>
      </x:c>
      <x:c r="K1312" s="70" t="s">
        <x:v>2564</x:v>
      </x:c>
      <x:c r="L1312" s="70" t="s">
        <x:v>2638</x:v>
      </x:c>
      <x:c r="M1312" s="70" t="s">
        <x:v>40</x:v>
      </x:c>
      <x:c r="N1312" s="71" t="n">
        <x:v>740707</x:v>
      </x:c>
      <x:c r="O1312" s="72" t="n">
        <x:f aca="0">N1312/1000</x:f>
        <x:v>740.707</x:v>
      </x:c>
      <x:c r="P1312" s="73" t="n">
        <x:f aca="0">MLCF!F34</x:f>
        <x:v>740.707</x:v>
      </x:c>
      <x:c r="Q1312" s="70" t="str">
        <x:f aca="0">IF(ABS(O1312-P1312)&lt;0.000001,"PASS","FAIL")</x:f>
        <x:v>PASS</x:v>
      </x:c>
      <x:c r="R1312" s="70" t="s">
        <x:v>34</x:v>
      </x:c>
      <x:c r="S1312" s="70"/>
    </x:row>
    <x:row r="1313" ht="15" hidden="0">
      <x:c r="A1313" s="70" t="s">
        <x:v>2642</x:v>
      </x:c>
      <x:c r="B1313" s="70" t="s">
        <x:v>42</x:v>
      </x:c>
      <x:c r="C1313" s="70" t="s">
        <x:v>76</x:v>
      </x:c>
      <x:c r="D1313" s="70" t="s">
        <x:v>323</x:v>
      </x:c>
      <x:c r="E1313" s="70" t="s">
        <x:v>1129</x:v>
      </x:c>
      <x:c r="F1313" s="70" t="s">
        <x:v>323</x:v>
      </x:c>
      <x:c r="G1313" s="70" t="s">
        <x:v>1675</x:v>
      </x:c>
      <x:c r="H1313" s="70" t="s">
        <x:v>1215</x:v>
      </x:c>
      <x:c r="I1313" s="70" t="s">
        <x:v>1199</x:v>
      </x:c>
      <x:c r="J1313" s="70" t="n">
        <x:v>202</x:v>
      </x:c>
      <x:c r="K1313" s="70" t="s">
        <x:v>2527</x:v>
      </x:c>
      <x:c r="L1313" s="70" t="s">
        <x:v>2643</x:v>
      </x:c>
      <x:c r="M1313" s="70" t="s">
        <x:v>40</x:v>
      </x:c>
      <x:c r="N1313" s="71" t="n">
        <x:v>1133412</x:v>
      </x:c>
      <x:c r="O1313" s="72" t="n">
        <x:f aca="0">N1313/1000</x:f>
        <x:v>1133.412</x:v>
      </x:c>
      <x:c r="P1313" s="73" t="n">
        <x:f aca="0">MLCF!G34</x:f>
        <x:v>1133.412</x:v>
      </x:c>
      <x:c r="Q1313" s="70" t="str">
        <x:f aca="0">IF(ABS(O1313-P1313)&lt;0.000001,"PASS","FAIL")</x:f>
        <x:v>PASS</x:v>
      </x:c>
      <x:c r="R1313" s="70" t="s">
        <x:v>34</x:v>
      </x:c>
      <x:c r="S1313" s="70"/>
    </x:row>
    <x:row r="1314" ht="15" hidden="0">
      <x:c r="A1314" s="70" t="s">
        <x:v>2644</x:v>
      </x:c>
      <x:c r="B1314" s="70" t="s">
        <x:v>42</x:v>
      </x:c>
      <x:c r="C1314" s="70" t="s">
        <x:v>77</x:v>
      </x:c>
      <x:c r="D1314" s="70" t="s">
        <x:v>323</x:v>
      </x:c>
      <x:c r="E1314" s="70" t="s">
        <x:v>1129</x:v>
      </x:c>
      <x:c r="F1314" s="70" t="s">
        <x:v>323</x:v>
      </x:c>
      <x:c r="G1314" s="70" t="s">
        <x:v>1675</x:v>
      </x:c>
      <x:c r="H1314" s="70" t="s">
        <x:v>1215</x:v>
      </x:c>
      <x:c r="I1314" s="70" t="s">
        <x:v>1218</x:v>
      </x:c>
      <x:c r="J1314" s="70" t="n">
        <x:v>202</x:v>
      </x:c>
      <x:c r="K1314" s="70" t="s">
        <x:v>2527</x:v>
      </x:c>
      <x:c r="L1314" s="70" t="s">
        <x:v>2643</x:v>
      </x:c>
      <x:c r="M1314" s="70" t="s">
        <x:v>40</x:v>
      </x:c>
      <x:c r="N1314" s="71" t="n">
        <x:v>1615481</x:v>
      </x:c>
      <x:c r="O1314" s="72" t="n">
        <x:f aca="0">N1314/1000</x:f>
        <x:v>1615.481</x:v>
      </x:c>
      <x:c r="P1314" s="73" t="n">
        <x:f aca="0">MLCF!H34</x:f>
        <x:v>1615.481</x:v>
      </x:c>
      <x:c r="Q1314" s="70" t="str">
        <x:f aca="0">IF(ABS(O1314-P1314)&lt;0.000001,"PASS","FAIL")</x:f>
        <x:v>PASS</x:v>
      </x:c>
      <x:c r="R1314" s="70" t="s">
        <x:v>34</x:v>
      </x:c>
      <x:c r="S1314" s="70"/>
    </x:row>
    <x:row r="1315" ht="15" hidden="0">
      <x:c r="A1315" s="70" t="s">
        <x:v>2645</x:v>
      </x:c>
      <x:c r="B1315" s="70" t="s">
        <x:v>42</x:v>
      </x:c>
      <x:c r="C1315" s="70" t="s">
        <x:v>1076</x:v>
      </x:c>
      <x:c r="D1315" s="70" t="s">
        <x:v>325</x:v>
      </x:c>
      <x:c r="E1315" s="70" t="s">
        <x:v>1129</x:v>
      </x:c>
      <x:c r="F1315" s="70" t="s">
        <x:v>2646</x:v>
      </x:c>
      <x:c r="G1315" s="70" t="s">
        <x:v>1663</x:v>
      </x:c>
      <x:c r="H1315" s="70" t="s">
        <x:v>1198</x:v>
      </x:c>
      <x:c r="I1315" s="70" t="s">
        <x:v>1199</x:v>
      </x:c>
      <x:c r="J1315" s="70" t="n">
        <x:v>163</x:v>
      </x:c>
      <x:c r="K1315" s="70" t="s">
        <x:v>2559</x:v>
      </x:c>
      <x:c r="L1315" s="70" t="s">
        <x:v>2647</x:v>
      </x:c>
      <x:c r="M1315" s="70" t="s">
        <x:v>40</x:v>
      </x:c>
      <x:c r="N1315" s="71" t="n">
        <x:v>2258535</x:v>
      </x:c>
      <x:c r="O1315" s="72" t="n">
        <x:f aca="0">N1315/1000</x:f>
        <x:v>2258.535</x:v>
      </x:c>
      <x:c r="P1315" s="73" t="n">
        <x:f aca="0">MLCF!C35</x:f>
        <x:v>2258.535</x:v>
      </x:c>
      <x:c r="Q1315" s="70" t="str">
        <x:f aca="0">IF(ABS(O1315-P1315)&lt;0.000001,"PASS","FAIL")</x:f>
        <x:v>PASS</x:v>
      </x:c>
      <x:c r="R1315" s="70" t="s">
        <x:v>34</x:v>
      </x:c>
      <x:c r="S1315" s="70"/>
    </x:row>
    <x:row r="1316" ht="15" hidden="0">
      <x:c r="A1316" s="70" t="s">
        <x:v>2648</x:v>
      </x:c>
      <x:c r="B1316" s="70" t="s">
        <x:v>42</x:v>
      </x:c>
      <x:c r="C1316" s="70" t="s">
        <x:v>73</x:v>
      </x:c>
      <x:c r="D1316" s="70" t="s">
        <x:v>325</x:v>
      </x:c>
      <x:c r="E1316" s="70" t="s">
        <x:v>1129</x:v>
      </x:c>
      <x:c r="F1316" s="70" t="s">
        <x:v>2646</x:v>
      </x:c>
      <x:c r="G1316" s="70" t="s">
        <x:v>1666</x:v>
      </x:c>
      <x:c r="H1316" s="70" t="s">
        <x:v>1204</x:v>
      </x:c>
      <x:c r="I1316" s="70" t="s">
        <x:v>1199</x:v>
      </x:c>
      <x:c r="J1316" s="70" t="n">
        <x:v>184</x:v>
      </x:c>
      <x:c r="K1316" s="70" t="s">
        <x:v>2305</x:v>
      </x:c>
      <x:c r="L1316" s="70" t="s">
        <x:v>2647</x:v>
      </x:c>
      <x:c r="M1316" s="70" t="s">
        <x:v>40</x:v>
      </x:c>
      <x:c r="N1316" s="71" t="n">
        <x:v>2715335</x:v>
      </x:c>
      <x:c r="O1316" s="72" t="n">
        <x:f aca="0">N1316/1000</x:f>
        <x:v>2715.335</x:v>
      </x:c>
      <x:c r="P1316" s="73" t="n">
        <x:f aca="0">MLCF!D35</x:f>
        <x:v>2715.335</x:v>
      </x:c>
      <x:c r="Q1316" s="70" t="str">
        <x:f aca="0">IF(ABS(O1316-P1316)&lt;0.000001,"PASS","FAIL")</x:f>
        <x:v>PASS</x:v>
      </x:c>
      <x:c r="R1316" s="70" t="s">
        <x:v>34</x:v>
      </x:c>
      <x:c r="S1316" s="70"/>
    </x:row>
    <x:row r="1317" ht="15" hidden="0">
      <x:c r="A1317" s="70" t="s">
        <x:v>2649</x:v>
      </x:c>
      <x:c r="B1317" s="70" t="s">
        <x:v>42</x:v>
      </x:c>
      <x:c r="C1317" s="70" t="s">
        <x:v>74</x:v>
      </x:c>
      <x:c r="D1317" s="70" t="s">
        <x:v>325</x:v>
      </x:c>
      <x:c r="E1317" s="70" t="s">
        <x:v>1129</x:v>
      </x:c>
      <x:c r="F1317" s="70" t="s">
        <x:v>2646</x:v>
      </x:c>
      <x:c r="G1317" s="70" t="s">
        <x:v>1669</x:v>
      </x:c>
      <x:c r="H1317" s="70" t="s">
        <x:v>1208</x:v>
      </x:c>
      <x:c r="I1317" s="70" t="s">
        <x:v>1199</x:v>
      </x:c>
      <x:c r="J1317" s="70" t="n">
        <x:v>98</x:v>
      </x:c>
      <x:c r="K1317" s="70" t="s">
        <x:v>2562</x:v>
      </x:c>
      <x:c r="L1317" s="70"/>
      <x:c r="M1317" s="70" t="s">
        <x:v>40</x:v>
      </x:c>
      <x:c r="N1317" s="71" t="n">
        <x:v>1714629</x:v>
      </x:c>
      <x:c r="O1317" s="72" t="n">
        <x:f aca="0">N1317/1000</x:f>
        <x:v>1714.629</x:v>
      </x:c>
      <x:c r="P1317" s="73" t="n">
        <x:f aca="0">MLCF!E35</x:f>
        <x:v>1714.629</x:v>
      </x:c>
      <x:c r="Q1317" s="70" t="str">
        <x:f aca="0">IF(ABS(O1317-P1317)&lt;0.000001,"PASS","FAIL")</x:f>
        <x:v>PASS</x:v>
      </x:c>
      <x:c r="R1317" s="70" t="s">
        <x:v>34</x:v>
      </x:c>
      <x:c r="S1317" s="70"/>
    </x:row>
    <x:row r="1318" ht="15" hidden="0">
      <x:c r="A1318" s="70" t="s">
        <x:v>2650</x:v>
      </x:c>
      <x:c r="B1318" s="70" t="s">
        <x:v>42</x:v>
      </x:c>
      <x:c r="C1318" s="70" t="s">
        <x:v>75</x:v>
      </x:c>
      <x:c r="D1318" s="70" t="s">
        <x:v>325</x:v>
      </x:c>
      <x:c r="E1318" s="70" t="s">
        <x:v>1129</x:v>
      </x:c>
      <x:c r="F1318" s="70" t="s">
        <x:v>2651</x:v>
      </x:c>
      <x:c r="G1318" s="70" t="s">
        <x:v>1672</x:v>
      </x:c>
      <x:c r="H1318" s="70" t="s">
        <x:v>1211</x:v>
      </x:c>
      <x:c r="I1318" s="70" t="s">
        <x:v>1199</x:v>
      </x:c>
      <x:c r="J1318" s="70" t="n">
        <x:v>190</x:v>
      </x:c>
      <x:c r="K1318" s="70" t="s">
        <x:v>2564</x:v>
      </x:c>
      <x:c r="L1318" s="70" t="s">
        <x:v>2647</x:v>
      </x:c>
      <x:c r="M1318" s="70" t="s">
        <x:v>40</x:v>
      </x:c>
      <x:c r="N1318" s="71" t="n">
        <x:v>1407959</x:v>
      </x:c>
      <x:c r="O1318" s="72" t="n">
        <x:f aca="0">N1318/1000</x:f>
        <x:v>1407.959</x:v>
      </x:c>
      <x:c r="P1318" s="73" t="n">
        <x:f aca="0">MLCF!F35</x:f>
        <x:v>1407.959</x:v>
      </x:c>
      <x:c r="Q1318" s="70" t="str">
        <x:f aca="0">IF(ABS(O1318-P1318)&lt;0.000001,"PASS","FAIL")</x:f>
        <x:v>PASS</x:v>
      </x:c>
      <x:c r="R1318" s="70" t="s">
        <x:v>34</x:v>
      </x:c>
      <x:c r="S1318" s="70"/>
    </x:row>
    <x:row r="1319" ht="15" hidden="0">
      <x:c r="A1319" s="70" t="s">
        <x:v>2652</x:v>
      </x:c>
      <x:c r="B1319" s="70" t="s">
        <x:v>42</x:v>
      </x:c>
      <x:c r="C1319" s="70" t="s">
        <x:v>76</x:v>
      </x:c>
      <x:c r="D1319" s="70" t="s">
        <x:v>325</x:v>
      </x:c>
      <x:c r="E1319" s="70" t="s">
        <x:v>1129</x:v>
      </x:c>
      <x:c r="F1319" s="70" t="s">
        <x:v>2651</x:v>
      </x:c>
      <x:c r="G1319" s="70" t="s">
        <x:v>1675</x:v>
      </x:c>
      <x:c r="H1319" s="70" t="s">
        <x:v>1215</x:v>
      </x:c>
      <x:c r="I1319" s="70" t="s">
        <x:v>1199</x:v>
      </x:c>
      <x:c r="J1319" s="70" t="n">
        <x:v>202</x:v>
      </x:c>
      <x:c r="K1319" s="70" t="s">
        <x:v>2527</x:v>
      </x:c>
      <x:c r="L1319" s="70" t="s">
        <x:v>1230</x:v>
      </x:c>
      <x:c r="M1319" s="70" t="s">
        <x:v>40</x:v>
      </x:c>
      <x:c r="N1319" s="71" t="n">
        <x:v>1791577</x:v>
      </x:c>
      <x:c r="O1319" s="72" t="n">
        <x:f aca="0">N1319/1000</x:f>
        <x:v>1791.577</x:v>
      </x:c>
      <x:c r="P1319" s="73" t="n">
        <x:f aca="0">MLCF!G35</x:f>
        <x:v>1791.577</x:v>
      </x:c>
      <x:c r="Q1319" s="70" t="str">
        <x:f aca="0">IF(ABS(O1319-P1319)&lt;0.000001,"PASS","FAIL")</x:f>
        <x:v>PASS</x:v>
      </x:c>
      <x:c r="R1319" s="70" t="s">
        <x:v>34</x:v>
      </x:c>
      <x:c r="S1319" s="70"/>
    </x:row>
    <x:row r="1320" ht="15" hidden="0">
      <x:c r="A1320" s="70" t="s">
        <x:v>2653</x:v>
      </x:c>
      <x:c r="B1320" s="70" t="s">
        <x:v>42</x:v>
      </x:c>
      <x:c r="C1320" s="70" t="s">
        <x:v>77</x:v>
      </x:c>
      <x:c r="D1320" s="70" t="s">
        <x:v>325</x:v>
      </x:c>
      <x:c r="E1320" s="70" t="s">
        <x:v>1129</x:v>
      </x:c>
      <x:c r="F1320" s="70" t="s">
        <x:v>2651</x:v>
      </x:c>
      <x:c r="G1320" s="70" t="s">
        <x:v>1675</x:v>
      </x:c>
      <x:c r="H1320" s="70" t="s">
        <x:v>1215</x:v>
      </x:c>
      <x:c r="I1320" s="70" t="s">
        <x:v>1218</x:v>
      </x:c>
      <x:c r="J1320" s="70" t="n">
        <x:v>202</x:v>
      </x:c>
      <x:c r="K1320" s="70" t="s">
        <x:v>2527</x:v>
      </x:c>
      <x:c r="L1320" s="70" t="s">
        <x:v>1230</x:v>
      </x:c>
      <x:c r="M1320" s="70" t="s">
        <x:v>40</x:v>
      </x:c>
      <x:c r="N1320" s="71" t="n">
        <x:v>1520227</x:v>
      </x:c>
      <x:c r="O1320" s="72" t="n">
        <x:f aca="0">N1320/1000</x:f>
        <x:v>1520.227</x:v>
      </x:c>
      <x:c r="P1320" s="73" t="n">
        <x:f aca="0">MLCF!H35</x:f>
        <x:v>1520.227</x:v>
      </x:c>
      <x:c r="Q1320" s="70" t="str">
        <x:f aca="0">IF(ABS(O1320-P1320)&lt;0.000001,"PASS","FAIL")</x:f>
        <x:v>PASS</x:v>
      </x:c>
      <x:c r="R1320" s="70" t="s">
        <x:v>34</x:v>
      </x:c>
      <x:c r="S1320" s="70"/>
    </x:row>
    <x:row r="1321" ht="15" hidden="0">
      <x:c r="A1321" s="70" t="s">
        <x:v>2654</x:v>
      </x:c>
      <x:c r="B1321" s="70" t="s">
        <x:v>42</x:v>
      </x:c>
      <x:c r="C1321" s="70" t="s">
        <x:v>1076</x:v>
      </x:c>
      <x:c r="D1321" s="70" t="s">
        <x:v>332</x:v>
      </x:c>
      <x:c r="E1321" s="70" t="s">
        <x:v>1129</x:v>
      </x:c>
      <x:c r="F1321" s="70" t="s">
        <x:v>1762</x:v>
      </x:c>
      <x:c r="G1321" s="70" t="s">
        <x:v>1663</x:v>
      </x:c>
      <x:c r="H1321" s="70" t="s">
        <x:v>1198</x:v>
      </x:c>
      <x:c r="I1321" s="70" t="s">
        <x:v>1199</x:v>
      </x:c>
      <x:c r="J1321" s="70" t="n">
        <x:v>162</x:v>
      </x:c>
      <x:c r="K1321" s="70" t="s">
        <x:v>2578</x:v>
      </x:c>
      <x:c r="L1321" s="70" t="s">
        <x:v>1664</x:v>
      </x:c>
      <x:c r="M1321" s="70" t="s">
        <x:v>40</x:v>
      </x:c>
      <x:c r="N1321" s="71" t="n">
        <x:v>10983462</x:v>
      </x:c>
      <x:c r="O1321" s="72" t="n">
        <x:f aca="0">N1321/1000</x:f>
        <x:v>10983.462</x:v>
      </x:c>
      <x:c r="P1321" s="73" t="n">
        <x:f aca="0">MLCF!C39</x:f>
        <x:v>10983.462</x:v>
      </x:c>
      <x:c r="Q1321" s="70" t="str">
        <x:f aca="0">IF(ABS(O1321-P1321)&lt;0.000001,"PASS","FAIL")</x:f>
        <x:v>PASS</x:v>
      </x:c>
      <x:c r="R1321" s="70" t="s">
        <x:v>34</x:v>
      </x:c>
      <x:c r="S1321" s="70"/>
    </x:row>
    <x:row r="1322" ht="15" hidden="0">
      <x:c r="A1322" s="70" t="s">
        <x:v>2655</x:v>
      </x:c>
      <x:c r="B1322" s="70" t="s">
        <x:v>42</x:v>
      </x:c>
      <x:c r="C1322" s="70" t="s">
        <x:v>73</x:v>
      </x:c>
      <x:c r="D1322" s="70" t="s">
        <x:v>332</x:v>
      </x:c>
      <x:c r="E1322" s="70" t="s">
        <x:v>1129</x:v>
      </x:c>
      <x:c r="F1322" s="70" t="s">
        <x:v>1762</x:v>
      </x:c>
      <x:c r="G1322" s="70" t="s">
        <x:v>1666</x:v>
      </x:c>
      <x:c r="H1322" s="70" t="s">
        <x:v>1204</x:v>
      </x:c>
      <x:c r="I1322" s="70" t="s">
        <x:v>1199</x:v>
      </x:c>
      <x:c r="J1322" s="70" t="n">
        <x:v>183</x:v>
      </x:c>
      <x:c r="K1322" s="70" t="s">
        <x:v>2276</x:v>
      </x:c>
      <x:c r="L1322" s="70" t="s">
        <x:v>1664</x:v>
      </x:c>
      <x:c r="M1322" s="70" t="s">
        <x:v>40</x:v>
      </x:c>
      <x:c r="N1322" s="71" t="n">
        <x:v>10983462</x:v>
      </x:c>
      <x:c r="O1322" s="72" t="n">
        <x:f aca="0">N1322/1000</x:f>
        <x:v>10983.462</x:v>
      </x:c>
      <x:c r="P1322" s="73" t="n">
        <x:f aca="0">MLCF!D39</x:f>
        <x:v>10983.462</x:v>
      </x:c>
      <x:c r="Q1322" s="70" t="str">
        <x:f aca="0">IF(ABS(O1322-P1322)&lt;0.000001,"PASS","FAIL")</x:f>
        <x:v>PASS</x:v>
      </x:c>
      <x:c r="R1322" s="70" t="s">
        <x:v>34</x:v>
      </x:c>
      <x:c r="S1322" s="70"/>
    </x:row>
    <x:row r="1323" ht="15" hidden="0">
      <x:c r="A1323" s="70" t="s">
        <x:v>2656</x:v>
      </x:c>
      <x:c r="B1323" s="70" t="s">
        <x:v>42</x:v>
      </x:c>
      <x:c r="C1323" s="70" t="s">
        <x:v>74</x:v>
      </x:c>
      <x:c r="D1323" s="70" t="s">
        <x:v>332</x:v>
      </x:c>
      <x:c r="E1323" s="70" t="s">
        <x:v>1129</x:v>
      </x:c>
      <x:c r="F1323" s="70" t="s">
        <x:v>1762</x:v>
      </x:c>
      <x:c r="G1323" s="70" t="s">
        <x:v>1669</x:v>
      </x:c>
      <x:c r="H1323" s="70" t="s">
        <x:v>1208</x:v>
      </x:c>
      <x:c r="I1323" s="70" t="s">
        <x:v>1199</x:v>
      </x:c>
      <x:c r="J1323" s="70" t="n">
        <x:v>98</x:v>
      </x:c>
      <x:c r="K1323" s="70" t="s">
        <x:v>2562</x:v>
      </x:c>
      <x:c r="L1323" s="70"/>
      <x:c r="M1323" s="70" t="s">
        <x:v>40</x:v>
      </x:c>
      <x:c r="N1323" s="71" t="n">
        <x:v>10983462</x:v>
      </x:c>
      <x:c r="O1323" s="72" t="n">
        <x:f aca="0">N1323/1000</x:f>
        <x:v>10983.462</x:v>
      </x:c>
      <x:c r="P1323" s="73" t="n">
        <x:f aca="0">MLCF!E39</x:f>
        <x:v>10983.462</x:v>
      </x:c>
      <x:c r="Q1323" s="70" t="str">
        <x:f aca="0">IF(ABS(O1323-P1323)&lt;0.000001,"PASS","FAIL")</x:f>
        <x:v>PASS</x:v>
      </x:c>
      <x:c r="R1323" s="70" t="s">
        <x:v>34</x:v>
      </x:c>
      <x:c r="S1323" s="70"/>
    </x:row>
    <x:row r="1324" ht="15" hidden="0">
      <x:c r="A1324" s="70" t="s">
        <x:v>2657</x:v>
      </x:c>
      <x:c r="B1324" s="70" t="s">
        <x:v>42</x:v>
      </x:c>
      <x:c r="C1324" s="70" t="s">
        <x:v>75</x:v>
      </x:c>
      <x:c r="D1324" s="70" t="s">
        <x:v>332</x:v>
      </x:c>
      <x:c r="E1324" s="70" t="s">
        <x:v>1129</x:v>
      </x:c>
      <x:c r="F1324" s="70" t="s">
        <x:v>2658</x:v>
      </x:c>
      <x:c r="G1324" s="70" t="s">
        <x:v>1672</x:v>
      </x:c>
      <x:c r="H1324" s="70" t="s">
        <x:v>1211</x:v>
      </x:c>
      <x:c r="I1324" s="70" t="s">
        <x:v>1199</x:v>
      </x:c>
      <x:c r="J1324" s="70" t="n">
        <x:v>189</x:v>
      </x:c>
      <x:c r="K1324" s="70" t="s">
        <x:v>2130</x:v>
      </x:c>
      <x:c r="L1324" s="70" t="s">
        <x:v>1664</x:v>
      </x:c>
      <x:c r="M1324" s="70" t="s">
        <x:v>40</x:v>
      </x:c>
      <x:c r="N1324" s="71" t="n">
        <x:v>10733462</x:v>
      </x:c>
      <x:c r="O1324" s="72" t="n">
        <x:f aca="0">N1324/1000</x:f>
        <x:v>10733.462</x:v>
      </x:c>
      <x:c r="P1324" s="73" t="n">
        <x:f aca="0">MLCF!F39</x:f>
        <x:v>10733.462</x:v>
      </x:c>
      <x:c r="Q1324" s="70" t="str">
        <x:f aca="0">IF(ABS(O1324-P1324)&lt;0.000001,"PASS","FAIL")</x:f>
        <x:v>PASS</x:v>
      </x:c>
      <x:c r="R1324" s="70" t="s">
        <x:v>34</x:v>
      </x:c>
      <x:c r="S1324" s="70"/>
    </x:row>
    <x:row r="1325" ht="15" hidden="0">
      <x:c r="A1325" s="70" t="s">
        <x:v>2659</x:v>
      </x:c>
      <x:c r="B1325" s="70" t="s">
        <x:v>42</x:v>
      </x:c>
      <x:c r="C1325" s="70" t="s">
        <x:v>76</x:v>
      </x:c>
      <x:c r="D1325" s="70" t="s">
        <x:v>332</x:v>
      </x:c>
      <x:c r="E1325" s="70" t="s">
        <x:v>1129</x:v>
      </x:c>
      <x:c r="F1325" s="70" t="s">
        <x:v>2211</x:v>
      </x:c>
      <x:c r="G1325" s="70" t="s">
        <x:v>1675</x:v>
      </x:c>
      <x:c r="H1325" s="70" t="s">
        <x:v>1215</x:v>
      </x:c>
      <x:c r="I1325" s="70" t="s">
        <x:v>1199</x:v>
      </x:c>
      <x:c r="J1325" s="70" t="n">
        <x:v>201</x:v>
      </x:c>
      <x:c r="K1325" s="70" t="s">
        <x:v>2455</x:v>
      </x:c>
      <x:c r="L1325" s="70" t="s">
        <x:v>1664</x:v>
      </x:c>
      <x:c r="M1325" s="70" t="s">
        <x:v>40</x:v>
      </x:c>
      <x:c r="N1325" s="71" t="n">
        <x:v>10475626</x:v>
      </x:c>
      <x:c r="O1325" s="72" t="n">
        <x:f aca="0">N1325/1000</x:f>
        <x:v>10475.626</x:v>
      </x:c>
      <x:c r="P1325" s="73" t="n">
        <x:f aca="0">MLCF!G39</x:f>
        <x:v>10475.626</x:v>
      </x:c>
      <x:c r="Q1325" s="70" t="str">
        <x:f aca="0">IF(ABS(O1325-P1325)&lt;0.000001,"PASS","FAIL")</x:f>
        <x:v>PASS</x:v>
      </x:c>
      <x:c r="R1325" s="70" t="s">
        <x:v>34</x:v>
      </x:c>
      <x:c r="S1325" s="70"/>
    </x:row>
    <x:row r="1326" ht="15" hidden="0">
      <x:c r="A1326" s="70" t="s">
        <x:v>2660</x:v>
      </x:c>
      <x:c r="B1326" s="70" t="s">
        <x:v>42</x:v>
      </x:c>
      <x:c r="C1326" s="70" t="s">
        <x:v>77</x:v>
      </x:c>
      <x:c r="D1326" s="70" t="s">
        <x:v>332</x:v>
      </x:c>
      <x:c r="E1326" s="70" t="s">
        <x:v>1129</x:v>
      </x:c>
      <x:c r="F1326" s="70" t="s">
        <x:v>2211</x:v>
      </x:c>
      <x:c r="G1326" s="70" t="s">
        <x:v>1675</x:v>
      </x:c>
      <x:c r="H1326" s="70" t="s">
        <x:v>1215</x:v>
      </x:c>
      <x:c r="I1326" s="70" t="s">
        <x:v>1218</x:v>
      </x:c>
      <x:c r="J1326" s="70" t="n">
        <x:v>201</x:v>
      </x:c>
      <x:c r="K1326" s="70" t="s">
        <x:v>2455</x:v>
      </x:c>
      <x:c r="L1326" s="70" t="s">
        <x:v>1664</x:v>
      </x:c>
      <x:c r="M1326" s="70" t="s">
        <x:v>40</x:v>
      </x:c>
      <x:c r="N1326" s="71" t="n">
        <x:v>10475626</x:v>
      </x:c>
      <x:c r="O1326" s="72" t="n">
        <x:f aca="0">N1326/1000</x:f>
        <x:v>10475.626</x:v>
      </x:c>
      <x:c r="P1326" s="73" t="n">
        <x:f aca="0">MLCF!H39</x:f>
        <x:v>10475.626</x:v>
      </x:c>
      <x:c r="Q1326" s="70" t="str">
        <x:f aca="0">IF(ABS(O1326-P1326)&lt;0.000001,"PASS","FAIL")</x:f>
        <x:v>PASS</x:v>
      </x:c>
      <x:c r="R1326" s="70" t="s">
        <x:v>34</x:v>
      </x:c>
      <x:c r="S1326" s="70"/>
    </x:row>
    <x:row r="1327" ht="15" hidden="0">
      <x:c r="A1327" s="70" t="s">
        <x:v>2661</x:v>
      </x:c>
      <x:c r="B1327" s="70" t="s">
        <x:v>42</x:v>
      </x:c>
      <x:c r="C1327" s="70" t="s">
        <x:v>1076</x:v>
      </x:c>
      <x:c r="D1327" s="70" t="s">
        <x:v>334</x:v>
      </x:c>
      <x:c r="E1327" s="70" t="s">
        <x:v>1129</x:v>
      </x:c>
      <x:c r="F1327" s="70" t="s">
        <x:v>2662</x:v>
      </x:c>
      <x:c r="G1327" s="70" t="s">
        <x:v>1663</x:v>
      </x:c>
      <x:c r="H1327" s="70" t="s">
        <x:v>1198</x:v>
      </x:c>
      <x:c r="I1327" s="70" t="s">
        <x:v>1199</x:v>
      </x:c>
      <x:c r="J1327" s="70" t="n">
        <x:v>162</x:v>
      </x:c>
      <x:c r="K1327" s="70" t="s">
        <x:v>2578</x:v>
      </x:c>
      <x:c r="L1327" s="70"/>
      <x:c r="M1327" s="70" t="s">
        <x:v>40</x:v>
      </x:c>
      <x:c r="N1327" s="71" t="n">
        <x:v>20337369</x:v>
      </x:c>
      <x:c r="O1327" s="72" t="n">
        <x:f aca="0">N1327/1000</x:f>
        <x:v>20337.369</x:v>
      </x:c>
      <x:c r="P1327" s="73" t="n">
        <x:f aca="0">MLCF!C40</x:f>
        <x:v>20337.369</x:v>
      </x:c>
      <x:c r="Q1327" s="70" t="str">
        <x:f aca="0">IF(ABS(O1327-P1327)&lt;0.000001,"PASS","FAIL")</x:f>
        <x:v>PASS</x:v>
      </x:c>
      <x:c r="R1327" s="70" t="s">
        <x:v>34</x:v>
      </x:c>
      <x:c r="S1327" s="70"/>
    </x:row>
    <x:row r="1328" ht="15" hidden="0">
      <x:c r="A1328" s="70" t="s">
        <x:v>2663</x:v>
      </x:c>
      <x:c r="B1328" s="70" t="s">
        <x:v>42</x:v>
      </x:c>
      <x:c r="C1328" s="70" t="s">
        <x:v>73</x:v>
      </x:c>
      <x:c r="D1328" s="70" t="s">
        <x:v>334</x:v>
      </x:c>
      <x:c r="E1328" s="70" t="s">
        <x:v>1129</x:v>
      </x:c>
      <x:c r="F1328" s="70" t="s">
        <x:v>2662</x:v>
      </x:c>
      <x:c r="G1328" s="70" t="s">
        <x:v>1666</x:v>
      </x:c>
      <x:c r="H1328" s="70" t="s">
        <x:v>1204</x:v>
      </x:c>
      <x:c r="I1328" s="70" t="s">
        <x:v>1199</x:v>
      </x:c>
      <x:c r="J1328" s="70" t="n">
        <x:v>183</x:v>
      </x:c>
      <x:c r="K1328" s="70" t="s">
        <x:v>2276</x:v>
      </x:c>
      <x:c r="L1328" s="70"/>
      <x:c r="M1328" s="70" t="s">
        <x:v>40</x:v>
      </x:c>
      <x:c r="N1328" s="71" t="n">
        <x:v>26559079</x:v>
      </x:c>
      <x:c r="O1328" s="72" t="n">
        <x:f aca="0">N1328/1000</x:f>
        <x:v>26559.079</x:v>
      </x:c>
      <x:c r="P1328" s="73" t="n">
        <x:f aca="0">MLCF!D40</x:f>
        <x:v>26559.079</x:v>
      </x:c>
      <x:c r="Q1328" s="70" t="str">
        <x:f aca="0">IF(ABS(O1328-P1328)&lt;0.000001,"PASS","FAIL")</x:f>
        <x:v>PASS</x:v>
      </x:c>
      <x:c r="R1328" s="70" t="s">
        <x:v>34</x:v>
      </x:c>
      <x:c r="S1328" s="70"/>
    </x:row>
    <x:row r="1329" ht="15" hidden="0">
      <x:c r="A1329" s="70" t="s">
        <x:v>2664</x:v>
      </x:c>
      <x:c r="B1329" s="70" t="s">
        <x:v>42</x:v>
      </x:c>
      <x:c r="C1329" s="70" t="s">
        <x:v>74</x:v>
      </x:c>
      <x:c r="D1329" s="70" t="s">
        <x:v>334</x:v>
      </x:c>
      <x:c r="E1329" s="70" t="s">
        <x:v>1129</x:v>
      </x:c>
      <x:c r="F1329" s="70" t="s">
        <x:v>2662</x:v>
      </x:c>
      <x:c r="G1329" s="70" t="s">
        <x:v>1669</x:v>
      </x:c>
      <x:c r="H1329" s="70" t="s">
        <x:v>1208</x:v>
      </x:c>
      <x:c r="I1329" s="70" t="s">
        <x:v>1199</x:v>
      </x:c>
      <x:c r="J1329" s="70" t="n">
        <x:v>98</x:v>
      </x:c>
      <x:c r="K1329" s="70" t="s">
        <x:v>2562</x:v>
      </x:c>
      <x:c r="L1329" s="70"/>
      <x:c r="M1329" s="70" t="s">
        <x:v>40</x:v>
      </x:c>
      <x:c r="N1329" s="71" t="n">
        <x:v>29575553</x:v>
      </x:c>
      <x:c r="O1329" s="72" t="n">
        <x:f aca="0">N1329/1000</x:f>
        <x:v>29575.553</x:v>
      </x:c>
      <x:c r="P1329" s="73" t="n">
        <x:f aca="0">MLCF!E40</x:f>
        <x:v>29575.553</x:v>
      </x:c>
      <x:c r="Q1329" s="70" t="str">
        <x:f aca="0">IF(ABS(O1329-P1329)&lt;0.000001,"PASS","FAIL")</x:f>
        <x:v>PASS</x:v>
      </x:c>
      <x:c r="R1329" s="70" t="s">
        <x:v>34</x:v>
      </x:c>
      <x:c r="S1329" s="70"/>
    </x:row>
    <x:row r="1330" ht="15" hidden="0">
      <x:c r="A1330" s="70" t="s">
        <x:v>2665</x:v>
      </x:c>
      <x:c r="B1330" s="70" t="s">
        <x:v>42</x:v>
      </x:c>
      <x:c r="C1330" s="70" t="s">
        <x:v>75</x:v>
      </x:c>
      <x:c r="D1330" s="70" t="s">
        <x:v>334</x:v>
      </x:c>
      <x:c r="E1330" s="70" t="s">
        <x:v>1129</x:v>
      </x:c>
      <x:c r="F1330" s="70" t="s">
        <x:v>2666</x:v>
      </x:c>
      <x:c r="G1330" s="70" t="s">
        <x:v>1672</x:v>
      </x:c>
      <x:c r="H1330" s="70" t="s">
        <x:v>1211</x:v>
      </x:c>
      <x:c r="I1330" s="70" t="s">
        <x:v>1199</x:v>
      </x:c>
      <x:c r="J1330" s="70" t="n">
        <x:v>189</x:v>
      </x:c>
      <x:c r="K1330" s="70" t="s">
        <x:v>2130</x:v>
      </x:c>
      <x:c r="L1330" s="70" t="s">
        <x:v>1332</x:v>
      </x:c>
      <x:c r="M1330" s="70" t="s">
        <x:v>40</x:v>
      </x:c>
      <x:c r="N1330" s="71" t="n">
        <x:v>34179652</x:v>
      </x:c>
      <x:c r="O1330" s="72" t="n">
        <x:f aca="0">N1330/1000</x:f>
        <x:v>34179.652</x:v>
      </x:c>
      <x:c r="P1330" s="73" t="n">
        <x:f aca="0">MLCF!F40</x:f>
        <x:v>34179.652</x:v>
      </x:c>
      <x:c r="Q1330" s="70" t="str">
        <x:f aca="0">IF(ABS(O1330-P1330)&lt;0.000001,"PASS","FAIL")</x:f>
        <x:v>PASS</x:v>
      </x:c>
      <x:c r="R1330" s="70" t="s">
        <x:v>34</x:v>
      </x:c>
      <x:c r="S1330" s="70"/>
    </x:row>
    <x:row r="1331" ht="15" hidden="0">
      <x:c r="A1331" s="70" t="s">
        <x:v>2667</x:v>
      </x:c>
      <x:c r="B1331" s="70" t="s">
        <x:v>42</x:v>
      </x:c>
      <x:c r="C1331" s="70" t="s">
        <x:v>76</x:v>
      </x:c>
      <x:c r="D1331" s="70" t="s">
        <x:v>334</x:v>
      </x:c>
      <x:c r="E1331" s="70" t="s">
        <x:v>1129</x:v>
      </x:c>
      <x:c r="F1331" s="70" t="s">
        <x:v>2666</x:v>
      </x:c>
      <x:c r="G1331" s="70" t="s">
        <x:v>1675</x:v>
      </x:c>
      <x:c r="H1331" s="70" t="s">
        <x:v>1215</x:v>
      </x:c>
      <x:c r="I1331" s="70" t="s">
        <x:v>1199</x:v>
      </x:c>
      <x:c r="J1331" s="70" t="n">
        <x:v>201</x:v>
      </x:c>
      <x:c r="K1331" s="70" t="s">
        <x:v>2455</x:v>
      </x:c>
      <x:c r="L1331" s="70" t="s">
        <x:v>1332</x:v>
      </x:c>
      <x:c r="M1331" s="70" t="s">
        <x:v>40</x:v>
      </x:c>
      <x:c r="N1331" s="71" t="n">
        <x:v>42140282</x:v>
      </x:c>
      <x:c r="O1331" s="72" t="n">
        <x:f aca="0">N1331/1000</x:f>
        <x:v>42140.282</x:v>
      </x:c>
      <x:c r="P1331" s="73" t="n">
        <x:f aca="0">MLCF!G40</x:f>
        <x:v>42140.282</x:v>
      </x:c>
      <x:c r="Q1331" s="70" t="str">
        <x:f aca="0">IF(ABS(O1331-P1331)&lt;0.000001,"PASS","FAIL")</x:f>
        <x:v>PASS</x:v>
      </x:c>
      <x:c r="R1331" s="70" t="s">
        <x:v>34</x:v>
      </x:c>
      <x:c r="S1331" s="70"/>
    </x:row>
    <x:row r="1332" ht="15" hidden="0">
      <x:c r="A1332" s="70" t="s">
        <x:v>2668</x:v>
      </x:c>
      <x:c r="B1332" s="70" t="s">
        <x:v>42</x:v>
      </x:c>
      <x:c r="C1332" s="70" t="s">
        <x:v>77</x:v>
      </x:c>
      <x:c r="D1332" s="70" t="s">
        <x:v>334</x:v>
      </x:c>
      <x:c r="E1332" s="70" t="s">
        <x:v>1129</x:v>
      </x:c>
      <x:c r="F1332" s="70" t="s">
        <x:v>2666</x:v>
      </x:c>
      <x:c r="G1332" s="70" t="s">
        <x:v>1675</x:v>
      </x:c>
      <x:c r="H1332" s="70" t="s">
        <x:v>1215</x:v>
      </x:c>
      <x:c r="I1332" s="70" t="s">
        <x:v>1218</x:v>
      </x:c>
      <x:c r="J1332" s="70" t="n">
        <x:v>201</x:v>
      </x:c>
      <x:c r="K1332" s="70" t="s">
        <x:v>2455</x:v>
      </x:c>
      <x:c r="L1332" s="70" t="s">
        <x:v>1332</x:v>
      </x:c>
      <x:c r="M1332" s="70" t="s">
        <x:v>40</x:v>
      </x:c>
      <x:c r="N1332" s="71" t="n">
        <x:v>60985966</x:v>
      </x:c>
      <x:c r="O1332" s="72" t="n">
        <x:f aca="0">N1332/1000</x:f>
        <x:v>60985.966</x:v>
      </x:c>
      <x:c r="P1332" s="73" t="n">
        <x:f aca="0">MLCF!H40</x:f>
        <x:v>60985.966</x:v>
      </x:c>
      <x:c r="Q1332" s="70" t="str">
        <x:f aca="0">IF(ABS(O1332-P1332)&lt;0.000001,"PASS","FAIL")</x:f>
        <x:v>PASS</x:v>
      </x:c>
      <x:c r="R1332" s="70" t="s">
        <x:v>34</x:v>
      </x:c>
      <x:c r="S1332" s="70"/>
    </x:row>
    <x:row r="1333" ht="15" hidden="0">
      <x:c r="A1333" s="70" t="s">
        <x:v>2669</x:v>
      </x:c>
      <x:c r="B1333" s="70" t="s">
        <x:v>42</x:v>
      </x:c>
      <x:c r="C1333" s="70" t="s">
        <x:v>1076</x:v>
      </x:c>
      <x:c r="D1333" s="70" t="s">
        <x:v>339</x:v>
      </x:c>
      <x:c r="E1333" s="70" t="s">
        <x:v>1129</x:v>
      </x:c>
      <x:c r="F1333" s="70" t="s">
        <x:v>2670</x:v>
      </x:c>
      <x:c r="G1333" s="70" t="s">
        <x:v>1663</x:v>
      </x:c>
      <x:c r="H1333" s="70" t="s">
        <x:v>1198</x:v>
      </x:c>
      <x:c r="I1333" s="70" t="s">
        <x:v>1199</x:v>
      </x:c>
      <x:c r="J1333" s="70" t="n">
        <x:v>162</x:v>
      </x:c>
      <x:c r="K1333" s="70" t="s">
        <x:v>2578</x:v>
      </x:c>
      <x:c r="L1333" s="70" t="s">
        <x:v>1385</x:v>
      </x:c>
      <x:c r="M1333" s="70" t="s">
        <x:v>40</x:v>
      </x:c>
      <x:c r="N1333" s="71" t="n">
        <x:v>15173102</x:v>
      </x:c>
      <x:c r="O1333" s="72" t="n">
        <x:f aca="0">N1333/1000</x:f>
        <x:v>15173.102</x:v>
      </x:c>
      <x:c r="P1333" s="73" t="n">
        <x:f aca="0">MLCF!C43</x:f>
        <x:v>15173.102</x:v>
      </x:c>
      <x:c r="Q1333" s="70" t="str">
        <x:f aca="0">IF(ABS(O1333-P1333)&lt;0.000001,"PASS","FAIL")</x:f>
        <x:v>PASS</x:v>
      </x:c>
      <x:c r="R1333" s="70" t="s">
        <x:v>34</x:v>
      </x:c>
      <x:c r="S1333" s="70"/>
    </x:row>
    <x:row r="1334" ht="15" hidden="0">
      <x:c r="A1334" s="70" t="s">
        <x:v>2671</x:v>
      </x:c>
      <x:c r="B1334" s="70" t="s">
        <x:v>42</x:v>
      </x:c>
      <x:c r="C1334" s="70" t="s">
        <x:v>73</x:v>
      </x:c>
      <x:c r="D1334" s="70" t="s">
        <x:v>339</x:v>
      </x:c>
      <x:c r="E1334" s="70" t="s">
        <x:v>1129</x:v>
      </x:c>
      <x:c r="F1334" s="70" t="s">
        <x:v>2672</x:v>
      </x:c>
      <x:c r="G1334" s="70" t="s">
        <x:v>1666</x:v>
      </x:c>
      <x:c r="H1334" s="70" t="s">
        <x:v>1204</x:v>
      </x:c>
      <x:c r="I1334" s="70" t="s">
        <x:v>1199</x:v>
      </x:c>
      <x:c r="J1334" s="70" t="n">
        <x:v>183</x:v>
      </x:c>
      <x:c r="K1334" s="70" t="s">
        <x:v>2276</x:v>
      </x:c>
      <x:c r="L1334" s="70" t="s">
        <x:v>1385</x:v>
      </x:c>
      <x:c r="M1334" s="70" t="s">
        <x:v>40</x:v>
      </x:c>
      <x:c r="N1334" s="71" t="n">
        <x:v>12636749</x:v>
      </x:c>
      <x:c r="O1334" s="72" t="n">
        <x:f aca="0">N1334/1000</x:f>
        <x:v>12636.749</x:v>
      </x:c>
      <x:c r="P1334" s="73" t="n">
        <x:f aca="0">MLCF!D43</x:f>
        <x:v>12636.749</x:v>
      </x:c>
      <x:c r="Q1334" s="70" t="str">
        <x:f aca="0">IF(ABS(O1334-P1334)&lt;0.000001,"PASS","FAIL")</x:f>
        <x:v>PASS</x:v>
      </x:c>
      <x:c r="R1334" s="70" t="s">
        <x:v>34</x:v>
      </x:c>
      <x:c r="S1334" s="70"/>
    </x:row>
    <x:row r="1335" ht="15" hidden="0">
      <x:c r="A1335" s="70" t="s">
        <x:v>2673</x:v>
      </x:c>
      <x:c r="B1335" s="70" t="s">
        <x:v>42</x:v>
      </x:c>
      <x:c r="C1335" s="70" t="s">
        <x:v>74</x:v>
      </x:c>
      <x:c r="D1335" s="70" t="s">
        <x:v>339</x:v>
      </x:c>
      <x:c r="E1335" s="70" t="s">
        <x:v>1129</x:v>
      </x:c>
      <x:c r="F1335" s="70" t="s">
        <x:v>2672</x:v>
      </x:c>
      <x:c r="G1335" s="70" t="s">
        <x:v>1669</x:v>
      </x:c>
      <x:c r="H1335" s="70" t="s">
        <x:v>1208</x:v>
      </x:c>
      <x:c r="I1335" s="70" t="s">
        <x:v>1199</x:v>
      </x:c>
      <x:c r="J1335" s="70" t="n">
        <x:v>98</x:v>
      </x:c>
      <x:c r="K1335" s="70" t="s">
        <x:v>2562</x:v>
      </x:c>
      <x:c r="L1335" s="70"/>
      <x:c r="M1335" s="70" t="s">
        <x:v>40</x:v>
      </x:c>
      <x:c r="N1335" s="71" t="n">
        <x:v>18747868</x:v>
      </x:c>
      <x:c r="O1335" s="72" t="n">
        <x:f aca="0">N1335/1000</x:f>
        <x:v>18747.868</x:v>
      </x:c>
      <x:c r="P1335" s="73" t="n">
        <x:f aca="0">MLCF!E43</x:f>
        <x:v>18747.868</x:v>
      </x:c>
      <x:c r="Q1335" s="70" t="str">
        <x:f aca="0">IF(ABS(O1335-P1335)&lt;0.000001,"PASS","FAIL")</x:f>
        <x:v>PASS</x:v>
      </x:c>
      <x:c r="R1335" s="70" t="s">
        <x:v>34</x:v>
      </x:c>
      <x:c r="S1335" s="70"/>
    </x:row>
    <x:row r="1336" ht="15" hidden="0">
      <x:c r="A1336" s="70" t="s">
        <x:v>2674</x:v>
      </x:c>
      <x:c r="B1336" s="70" t="s">
        <x:v>42</x:v>
      </x:c>
      <x:c r="C1336" s="70" t="s">
        <x:v>75</x:v>
      </x:c>
      <x:c r="D1336" s="70" t="s">
        <x:v>339</x:v>
      </x:c>
      <x:c r="E1336" s="70" t="s">
        <x:v>1129</x:v>
      </x:c>
      <x:c r="F1336" s="70" t="s">
        <x:v>2675</x:v>
      </x:c>
      <x:c r="G1336" s="70" t="s">
        <x:v>1672</x:v>
      </x:c>
      <x:c r="H1336" s="70" t="s">
        <x:v>1211</x:v>
      </x:c>
      <x:c r="I1336" s="70" t="s">
        <x:v>1199</x:v>
      </x:c>
      <x:c r="J1336" s="70" t="n">
        <x:v>189</x:v>
      </x:c>
      <x:c r="K1336" s="70" t="s">
        <x:v>2130</x:v>
      </x:c>
      <x:c r="L1336" s="70" t="s">
        <x:v>1385</x:v>
      </x:c>
      <x:c r="M1336" s="70" t="s">
        <x:v>40</x:v>
      </x:c>
      <x:c r="N1336" s="71" t="n">
        <x:v>17233337</x:v>
      </x:c>
      <x:c r="O1336" s="72" t="n">
        <x:f aca="0">N1336/1000</x:f>
        <x:v>17233.337</x:v>
      </x:c>
      <x:c r="P1336" s="73" t="n">
        <x:f aca="0">MLCF!F43</x:f>
        <x:v>17233.337</x:v>
      </x:c>
      <x:c r="Q1336" s="70" t="str">
        <x:f aca="0">IF(ABS(O1336-P1336)&lt;0.000001,"PASS","FAIL")</x:f>
        <x:v>PASS</x:v>
      </x:c>
      <x:c r="R1336" s="70" t="s">
        <x:v>34</x:v>
      </x:c>
      <x:c r="S1336" s="70"/>
    </x:row>
    <x:row r="1337" ht="15" hidden="0">
      <x:c r="A1337" s="70" t="s">
        <x:v>2676</x:v>
      </x:c>
      <x:c r="B1337" s="70" t="s">
        <x:v>42</x:v>
      </x:c>
      <x:c r="C1337" s="70" t="s">
        <x:v>76</x:v>
      </x:c>
      <x:c r="D1337" s="70" t="s">
        <x:v>339</x:v>
      </x:c>
      <x:c r="E1337" s="70" t="s">
        <x:v>1129</x:v>
      </x:c>
      <x:c r="F1337" s="70" t="s">
        <x:v>2675</x:v>
      </x:c>
      <x:c r="G1337" s="70" t="s">
        <x:v>1675</x:v>
      </x:c>
      <x:c r="H1337" s="70" t="s">
        <x:v>1215</x:v>
      </x:c>
      <x:c r="I1337" s="70" t="s">
        <x:v>1199</x:v>
      </x:c>
      <x:c r="J1337" s="70" t="n">
        <x:v>201</x:v>
      </x:c>
      <x:c r="K1337" s="70" t="s">
        <x:v>2455</x:v>
      </x:c>
      <x:c r="L1337" s="70" t="s">
        <x:v>1385</x:v>
      </x:c>
      <x:c r="M1337" s="70" t="s">
        <x:v>40</x:v>
      </x:c>
      <x:c r="N1337" s="71" t="n">
        <x:v>14285786</x:v>
      </x:c>
      <x:c r="O1337" s="72" t="n">
        <x:f aca="0">N1337/1000</x:f>
        <x:v>14285.786</x:v>
      </x:c>
      <x:c r="P1337" s="73" t="n">
        <x:f aca="0">MLCF!G43</x:f>
        <x:v>14285.786</x:v>
      </x:c>
      <x:c r="Q1337" s="70" t="str">
        <x:f aca="0">IF(ABS(O1337-P1337)&lt;0.000001,"PASS","FAIL")</x:f>
        <x:v>PASS</x:v>
      </x:c>
      <x:c r="R1337" s="70" t="s">
        <x:v>34</x:v>
      </x:c>
      <x:c r="S1337" s="70"/>
    </x:row>
    <x:row r="1338" ht="15" hidden="0">
      <x:c r="A1338" s="70" t="s">
        <x:v>2677</x:v>
      </x:c>
      <x:c r="B1338" s="70" t="s">
        <x:v>42</x:v>
      </x:c>
      <x:c r="C1338" s="70" t="s">
        <x:v>77</x:v>
      </x:c>
      <x:c r="D1338" s="70" t="s">
        <x:v>339</x:v>
      </x:c>
      <x:c r="E1338" s="70" t="s">
        <x:v>1129</x:v>
      </x:c>
      <x:c r="F1338" s="70" t="s">
        <x:v>2675</x:v>
      </x:c>
      <x:c r="G1338" s="70" t="s">
        <x:v>1675</x:v>
      </x:c>
      <x:c r="H1338" s="70" t="s">
        <x:v>1215</x:v>
      </x:c>
      <x:c r="I1338" s="70" t="s">
        <x:v>1218</x:v>
      </x:c>
      <x:c r="J1338" s="70" t="n">
        <x:v>201</x:v>
      </x:c>
      <x:c r="K1338" s="70" t="s">
        <x:v>2455</x:v>
      </x:c>
      <x:c r="L1338" s="70" t="s">
        <x:v>1385</x:v>
      </x:c>
      <x:c r="M1338" s="70" t="s">
        <x:v>40</x:v>
      </x:c>
      <x:c r="N1338" s="71" t="n">
        <x:v>9781639</x:v>
      </x:c>
      <x:c r="O1338" s="72" t="n">
        <x:f aca="0">N1338/1000</x:f>
        <x:v>9781.639</x:v>
      </x:c>
      <x:c r="P1338" s="73" t="n">
        <x:f aca="0">MLCF!H43</x:f>
        <x:v>9781.639</x:v>
      </x:c>
      <x:c r="Q1338" s="70" t="str">
        <x:f aca="0">IF(ABS(O1338-P1338)&lt;0.000001,"PASS","FAIL")</x:f>
        <x:v>PASS</x:v>
      </x:c>
      <x:c r="R1338" s="70" t="s">
        <x:v>34</x:v>
      </x:c>
      <x:c r="S1338" s="70"/>
    </x:row>
    <x:row r="1339" ht="15" hidden="0">
      <x:c r="A1339" s="70" t="s">
        <x:v>2678</x:v>
      </x:c>
      <x:c r="B1339" s="70" t="s">
        <x:v>42</x:v>
      </x:c>
      <x:c r="C1339" s="70" t="s">
        <x:v>1076</x:v>
      </x:c>
      <x:c r="D1339" s="70" t="s">
        <x:v>341</x:v>
      </x:c>
      <x:c r="E1339" s="70" t="s">
        <x:v>1129</x:v>
      </x:c>
      <x:c r="F1339" s="70"/>
      <x:c r="G1339" s="70" t="s">
        <x:v>1663</x:v>
      </x:c>
      <x:c r="H1339" s="70" t="s">
        <x:v>1198</x:v>
      </x:c>
      <x:c r="I1339" s="70" t="s">
        <x:v>1199</x:v>
      </x:c>
      <x:c r="J1339" s="70" t="n">
        <x:v>162</x:v>
      </x:c>
      <x:c r="K1339" s="70" t="s">
        <x:v>2578</x:v>
      </x:c>
      <x:c r="L1339" s="70"/>
      <x:c r="M1339" s="70" t="s">
        <x:v>40</x:v>
      </x:c>
      <x:c r="N1339" s="71" t="n">
        <x:v>0</x:v>
      </x:c>
      <x:c r="O1339" s="72" t="n">
        <x:f aca="0">N1339/1000</x:f>
        <x:v>0</x:v>
      </x:c>
      <x:c r="P1339" s="73" t="n">
        <x:f aca="0">MLCF!C44</x:f>
        <x:v>0</x:v>
      </x:c>
      <x:c r="Q1339" s="70" t="str">
        <x:f aca="0">IF(ABS(O1339-P1339)&lt;0.000001,"PASS","FAIL")</x:f>
        <x:v>PASS</x:v>
      </x:c>
      <x:c r="R1339" s="70" t="s">
        <x:v>34</x:v>
      </x:c>
      <x:c r="S1339" s="70"/>
    </x:row>
    <x:row r="1340" ht="15" hidden="0">
      <x:c r="A1340" s="70" t="s">
        <x:v>2679</x:v>
      </x:c>
      <x:c r="B1340" s="70" t="s">
        <x:v>42</x:v>
      </x:c>
      <x:c r="C1340" s="70" t="s">
        <x:v>73</x:v>
      </x:c>
      <x:c r="D1340" s="70" t="s">
        <x:v>341</x:v>
      </x:c>
      <x:c r="E1340" s="70" t="s">
        <x:v>1129</x:v>
      </x:c>
      <x:c r="F1340" s="70" t="s">
        <x:v>2680</x:v>
      </x:c>
      <x:c r="G1340" s="70" t="s">
        <x:v>1666</x:v>
      </x:c>
      <x:c r="H1340" s="70" t="s">
        <x:v>1204</x:v>
      </x:c>
      <x:c r="I1340" s="70" t="s">
        <x:v>1199</x:v>
      </x:c>
      <x:c r="J1340" s="70" t="n">
        <x:v>183</x:v>
      </x:c>
      <x:c r="K1340" s="70" t="s">
        <x:v>2276</x:v>
      </x:c>
      <x:c r="L1340" s="70" t="s">
        <x:v>1406</x:v>
      </x:c>
      <x:c r="M1340" s="70" t="s">
        <x:v>40</x:v>
      </x:c>
      <x:c r="N1340" s="71" t="n">
        <x:v>0</x:v>
      </x:c>
      <x:c r="O1340" s="72" t="n">
        <x:f aca="0">N1340/1000</x:f>
        <x:v>0</x:v>
      </x:c>
      <x:c r="P1340" s="73" t="n">
        <x:f aca="0">MLCF!D44</x:f>
        <x:v>0</x:v>
      </x:c>
      <x:c r="Q1340" s="70" t="str">
        <x:f aca="0">IF(ABS(O1340-P1340)&lt;0.000001,"PASS","FAIL")</x:f>
        <x:v>PASS</x:v>
      </x:c>
      <x:c r="R1340" s="70" t="s">
        <x:v>34</x:v>
      </x:c>
      <x:c r="S1340" s="70"/>
    </x:row>
    <x:row r="1341" ht="15" hidden="0">
      <x:c r="A1341" s="70" t="s">
        <x:v>2681</x:v>
      </x:c>
      <x:c r="B1341" s="70" t="s">
        <x:v>42</x:v>
      </x:c>
      <x:c r="C1341" s="70" t="s">
        <x:v>74</x:v>
      </x:c>
      <x:c r="D1341" s="70" t="s">
        <x:v>341</x:v>
      </x:c>
      <x:c r="E1341" s="70" t="s">
        <x:v>1129</x:v>
      </x:c>
      <x:c r="F1341" s="70" t="s">
        <x:v>2680</x:v>
      </x:c>
      <x:c r="G1341" s="70" t="s">
        <x:v>1669</x:v>
      </x:c>
      <x:c r="H1341" s="70" t="s">
        <x:v>1208</x:v>
      </x:c>
      <x:c r="I1341" s="70" t="s">
        <x:v>1199</x:v>
      </x:c>
      <x:c r="J1341" s="70" t="n">
        <x:v>98</x:v>
      </x:c>
      <x:c r="K1341" s="70" t="s">
        <x:v>2562</x:v>
      </x:c>
      <x:c r="L1341" s="70"/>
      <x:c r="M1341" s="70" t="s">
        <x:v>40</x:v>
      </x:c>
      <x:c r="N1341" s="71" t="n">
        <x:v>27136</x:v>
      </x:c>
      <x:c r="O1341" s="72" t="n">
        <x:f aca="0">N1341/1000</x:f>
        <x:v>27.136</x:v>
      </x:c>
      <x:c r="P1341" s="73" t="n">
        <x:f aca="0">MLCF!E44</x:f>
        <x:v>27.136</x:v>
      </x:c>
      <x:c r="Q1341" s="70" t="str">
        <x:f aca="0">IF(ABS(O1341-P1341)&lt;0.000001,"PASS","FAIL")</x:f>
        <x:v>PASS</x:v>
      </x:c>
      <x:c r="R1341" s="70" t="s">
        <x:v>34</x:v>
      </x:c>
      <x:c r="S1341" s="70"/>
    </x:row>
    <x:row r="1342" ht="15" hidden="0">
      <x:c r="A1342" s="70" t="s">
        <x:v>2682</x:v>
      </x:c>
      <x:c r="B1342" s="70" t="s">
        <x:v>42</x:v>
      </x:c>
      <x:c r="C1342" s="70" t="s">
        <x:v>75</x:v>
      </x:c>
      <x:c r="D1342" s="70" t="s">
        <x:v>341</x:v>
      </x:c>
      <x:c r="E1342" s="70" t="s">
        <x:v>1129</x:v>
      </x:c>
      <x:c r="F1342" s="70" t="s">
        <x:v>2683</x:v>
      </x:c>
      <x:c r="G1342" s="70" t="s">
        <x:v>1672</x:v>
      </x:c>
      <x:c r="H1342" s="70" t="s">
        <x:v>1211</x:v>
      </x:c>
      <x:c r="I1342" s="70" t="s">
        <x:v>1199</x:v>
      </x:c>
      <x:c r="J1342" s="70" t="n">
        <x:v>189</x:v>
      </x:c>
      <x:c r="K1342" s="70" t="s">
        <x:v>2130</x:v>
      </x:c>
      <x:c r="L1342" s="70" t="s">
        <x:v>1406</x:v>
      </x:c>
      <x:c r="M1342" s="70" t="s">
        <x:v>40</x:v>
      </x:c>
      <x:c r="N1342" s="71" t="n">
        <x:v>31408</x:v>
      </x:c>
      <x:c r="O1342" s="72" t="n">
        <x:f aca="0">N1342/1000</x:f>
        <x:v>31.408</x:v>
      </x:c>
      <x:c r="P1342" s="73" t="n">
        <x:f aca="0">MLCF!F44</x:f>
        <x:v>31.408</x:v>
      </x:c>
      <x:c r="Q1342" s="70" t="str">
        <x:f aca="0">IF(ABS(O1342-P1342)&lt;0.000001,"PASS","FAIL")</x:f>
        <x:v>PASS</x:v>
      </x:c>
      <x:c r="R1342" s="70" t="s">
        <x:v>34</x:v>
      </x:c>
      <x:c r="S1342" s="70"/>
    </x:row>
    <x:row r="1343" ht="15" hidden="0">
      <x:c r="A1343" s="70" t="s">
        <x:v>2684</x:v>
      </x:c>
      <x:c r="B1343" s="70" t="s">
        <x:v>42</x:v>
      </x:c>
      <x:c r="C1343" s="70" t="s">
        <x:v>76</x:v>
      </x:c>
      <x:c r="D1343" s="70" t="s">
        <x:v>341</x:v>
      </x:c>
      <x:c r="E1343" s="70" t="s">
        <x:v>1129</x:v>
      </x:c>
      <x:c r="F1343" s="70" t="s">
        <x:v>2683</x:v>
      </x:c>
      <x:c r="G1343" s="70" t="s">
        <x:v>1675</x:v>
      </x:c>
      <x:c r="H1343" s="70" t="s">
        <x:v>1215</x:v>
      </x:c>
      <x:c r="I1343" s="70" t="s">
        <x:v>1199</x:v>
      </x:c>
      <x:c r="J1343" s="70" t="n">
        <x:v>201</x:v>
      </x:c>
      <x:c r="K1343" s="70" t="s">
        <x:v>2455</x:v>
      </x:c>
      <x:c r="L1343" s="70" t="s">
        <x:v>1406</x:v>
      </x:c>
      <x:c r="M1343" s="70" t="s">
        <x:v>40</x:v>
      </x:c>
      <x:c r="N1343" s="71" t="n">
        <x:v>34670</x:v>
      </x:c>
      <x:c r="O1343" s="72" t="n">
        <x:f aca="0">N1343/1000</x:f>
        <x:v>34.67</x:v>
      </x:c>
      <x:c r="P1343" s="73" t="n">
        <x:f aca="0">MLCF!G44</x:f>
        <x:v>34.67</x:v>
      </x:c>
      <x:c r="Q1343" s="70" t="str">
        <x:f aca="0">IF(ABS(O1343-P1343)&lt;0.000001,"PASS","FAIL")</x:f>
        <x:v>PASS</x:v>
      </x:c>
      <x:c r="R1343" s="70" t="s">
        <x:v>34</x:v>
      </x:c>
      <x:c r="S1343" s="70"/>
    </x:row>
    <x:row r="1344" ht="15" hidden="0">
      <x:c r="A1344" s="70" t="s">
        <x:v>2685</x:v>
      </x:c>
      <x:c r="B1344" s="70" t="s">
        <x:v>42</x:v>
      </x:c>
      <x:c r="C1344" s="70" t="s">
        <x:v>77</x:v>
      </x:c>
      <x:c r="D1344" s="70" t="s">
        <x:v>341</x:v>
      </x:c>
      <x:c r="E1344" s="70" t="s">
        <x:v>1129</x:v>
      </x:c>
      <x:c r="F1344" s="70" t="s">
        <x:v>2683</x:v>
      </x:c>
      <x:c r="G1344" s="70" t="s">
        <x:v>1675</x:v>
      </x:c>
      <x:c r="H1344" s="70" t="s">
        <x:v>1215</x:v>
      </x:c>
      <x:c r="I1344" s="70" t="s">
        <x:v>1218</x:v>
      </x:c>
      <x:c r="J1344" s="70" t="n">
        <x:v>201</x:v>
      </x:c>
      <x:c r="K1344" s="70" t="s">
        <x:v>2455</x:v>
      </x:c>
      <x:c r="L1344" s="70" t="s">
        <x:v>1406</x:v>
      </x:c>
      <x:c r="M1344" s="70" t="s">
        <x:v>40</x:v>
      </x:c>
      <x:c r="N1344" s="71" t="n">
        <x:v>28495</x:v>
      </x:c>
      <x:c r="O1344" s="72" t="n">
        <x:f aca="0">N1344/1000</x:f>
        <x:v>28.495</x:v>
      </x:c>
      <x:c r="P1344" s="73" t="n">
        <x:f aca="0">MLCF!H44</x:f>
        <x:v>28.495</x:v>
      </x:c>
      <x:c r="Q1344" s="70" t="str">
        <x:f aca="0">IF(ABS(O1344-P1344)&lt;0.000001,"PASS","FAIL")</x:f>
        <x:v>PASS</x:v>
      </x:c>
      <x:c r="R1344" s="70" t="s">
        <x:v>34</x:v>
      </x:c>
      <x:c r="S1344" s="70"/>
    </x:row>
    <x:row r="1345" ht="15" hidden="0">
      <x:c r="A1345" s="70" t="s">
        <x:v>2686</x:v>
      </x:c>
      <x:c r="B1345" s="70" t="s">
        <x:v>42</x:v>
      </x:c>
      <x:c r="C1345" s="70" t="s">
        <x:v>1076</x:v>
      </x:c>
      <x:c r="D1345" s="70" t="s">
        <x:v>343</x:v>
      </x:c>
      <x:c r="E1345" s="70" t="s">
        <x:v>1129</x:v>
      </x:c>
      <x:c r="F1345" s="70" t="s">
        <x:v>1345</x:v>
      </x:c>
      <x:c r="G1345" s="70" t="s">
        <x:v>1663</x:v>
      </x:c>
      <x:c r="H1345" s="70" t="s">
        <x:v>1198</x:v>
      </x:c>
      <x:c r="I1345" s="70" t="s">
        <x:v>1199</x:v>
      </x:c>
      <x:c r="J1345" s="70" t="n">
        <x:v>162</x:v>
      </x:c>
      <x:c r="K1345" s="70" t="s">
        <x:v>2578</x:v>
      </x:c>
      <x:c r="L1345" s="70" t="s">
        <x:v>1368</x:v>
      </x:c>
      <x:c r="M1345" s="70" t="s">
        <x:v>40</x:v>
      </x:c>
      <x:c r="N1345" s="71" t="n">
        <x:v>0</x:v>
      </x:c>
      <x:c r="O1345" s="72" t="n">
        <x:f aca="0">N1345/1000</x:f>
        <x:v>0</x:v>
      </x:c>
      <x:c r="P1345" s="73" t="n">
        <x:f aca="0">MLCF!C45</x:f>
        <x:v>0</x:v>
      </x:c>
      <x:c r="Q1345" s="70" t="str">
        <x:f aca="0">IF(ABS(O1345-P1345)&lt;0.000001,"PASS","FAIL")</x:f>
        <x:v>PASS</x:v>
      </x:c>
      <x:c r="R1345" s="70" t="s">
        <x:v>34</x:v>
      </x:c>
      <x:c r="S1345" s="70"/>
    </x:row>
    <x:row r="1346" ht="15" hidden="0">
      <x:c r="A1346" s="70" t="s">
        <x:v>2687</x:v>
      </x:c>
      <x:c r="B1346" s="70" t="s">
        <x:v>42</x:v>
      </x:c>
      <x:c r="C1346" s="70" t="s">
        <x:v>73</x:v>
      </x:c>
      <x:c r="D1346" s="70" t="s">
        <x:v>343</x:v>
      </x:c>
      <x:c r="E1346" s="70" t="s">
        <x:v>1129</x:v>
      </x:c>
      <x:c r="F1346" s="70" t="s">
        <x:v>1345</x:v>
      </x:c>
      <x:c r="G1346" s="70" t="s">
        <x:v>1666</x:v>
      </x:c>
      <x:c r="H1346" s="70" t="s">
        <x:v>1204</x:v>
      </x:c>
      <x:c r="I1346" s="70" t="s">
        <x:v>1199</x:v>
      </x:c>
      <x:c r="J1346" s="70" t="n">
        <x:v>183</x:v>
      </x:c>
      <x:c r="K1346" s="70" t="s">
        <x:v>2276</x:v>
      </x:c>
      <x:c r="L1346" s="70" t="s">
        <x:v>1368</x:v>
      </x:c>
      <x:c r="M1346" s="70" t="s">
        <x:v>40</x:v>
      </x:c>
      <x:c r="N1346" s="71" t="n">
        <x:v>49569</x:v>
      </x:c>
      <x:c r="O1346" s="72" t="n">
        <x:f aca="0">N1346/1000</x:f>
        <x:v>49.569</x:v>
      </x:c>
      <x:c r="P1346" s="73" t="n">
        <x:f aca="0">MLCF!D45</x:f>
        <x:v>49.569</x:v>
      </x:c>
      <x:c r="Q1346" s="70" t="str">
        <x:f aca="0">IF(ABS(O1346-P1346)&lt;0.000001,"PASS","FAIL")</x:f>
        <x:v>PASS</x:v>
      </x:c>
      <x:c r="R1346" s="70" t="s">
        <x:v>34</x:v>
      </x:c>
      <x:c r="S1346" s="70"/>
    </x:row>
    <x:row r="1347" ht="15" hidden="0">
      <x:c r="A1347" s="70" t="s">
        <x:v>2688</x:v>
      </x:c>
      <x:c r="B1347" s="70" t="s">
        <x:v>42</x:v>
      </x:c>
      <x:c r="C1347" s="70" t="s">
        <x:v>74</x:v>
      </x:c>
      <x:c r="D1347" s="70" t="s">
        <x:v>343</x:v>
      </x:c>
      <x:c r="E1347" s="70" t="s">
        <x:v>1129</x:v>
      </x:c>
      <x:c r="F1347" s="70" t="s">
        <x:v>1345</x:v>
      </x:c>
      <x:c r="G1347" s="70" t="s">
        <x:v>1669</x:v>
      </x:c>
      <x:c r="H1347" s="70" t="s">
        <x:v>1208</x:v>
      </x:c>
      <x:c r="I1347" s="70" t="s">
        <x:v>1199</x:v>
      </x:c>
      <x:c r="J1347" s="70" t="n">
        <x:v>98</x:v>
      </x:c>
      <x:c r="K1347" s="70" t="s">
        <x:v>2562</x:v>
      </x:c>
      <x:c r="L1347" s="70"/>
      <x:c r="M1347" s="70" t="s">
        <x:v>40</x:v>
      </x:c>
      <x:c r="N1347" s="71" t="n">
        <x:v>786758</x:v>
      </x:c>
      <x:c r="O1347" s="72" t="n">
        <x:f aca="0">N1347/1000</x:f>
        <x:v>786.758</x:v>
      </x:c>
      <x:c r="P1347" s="73" t="n">
        <x:f aca="0">MLCF!E45</x:f>
        <x:v>786.758</x:v>
      </x:c>
      <x:c r="Q1347" s="70" t="str">
        <x:f aca="0">IF(ABS(O1347-P1347)&lt;0.000001,"PASS","FAIL")</x:f>
        <x:v>PASS</x:v>
      </x:c>
      <x:c r="R1347" s="70" t="s">
        <x:v>34</x:v>
      </x:c>
      <x:c r="S1347" s="70"/>
    </x:row>
    <x:row r="1348" ht="15" hidden="0">
      <x:c r="A1348" s="70" t="s">
        <x:v>2689</x:v>
      </x:c>
      <x:c r="B1348" s="70" t="s">
        <x:v>42</x:v>
      </x:c>
      <x:c r="C1348" s="70" t="s">
        <x:v>75</x:v>
      </x:c>
      <x:c r="D1348" s="70" t="s">
        <x:v>343</x:v>
      </x:c>
      <x:c r="E1348" s="70" t="s">
        <x:v>1129</x:v>
      </x:c>
      <x:c r="F1348" s="70" t="s">
        <x:v>2239</x:v>
      </x:c>
      <x:c r="G1348" s="70" t="s">
        <x:v>1672</x:v>
      </x:c>
      <x:c r="H1348" s="70" t="s">
        <x:v>1211</x:v>
      </x:c>
      <x:c r="I1348" s="70" t="s">
        <x:v>1199</x:v>
      </x:c>
      <x:c r="J1348" s="70" t="n">
        <x:v>189</x:v>
      </x:c>
      <x:c r="K1348" s="70" t="s">
        <x:v>2130</x:v>
      </x:c>
      <x:c r="L1348" s="70" t="s">
        <x:v>1368</x:v>
      </x:c>
      <x:c r="M1348" s="70" t="s">
        <x:v>40</x:v>
      </x:c>
      <x:c r="N1348" s="71" t="n">
        <x:v>605926</x:v>
      </x:c>
      <x:c r="O1348" s="72" t="n">
        <x:f aca="0">N1348/1000</x:f>
        <x:v>605.926</x:v>
      </x:c>
      <x:c r="P1348" s="73" t="n">
        <x:f aca="0">MLCF!F45</x:f>
        <x:v>605.926</x:v>
      </x:c>
      <x:c r="Q1348" s="70" t="str">
        <x:f aca="0">IF(ABS(O1348-P1348)&lt;0.000001,"PASS","FAIL")</x:f>
        <x:v>PASS</x:v>
      </x:c>
      <x:c r="R1348" s="70" t="s">
        <x:v>34</x:v>
      </x:c>
      <x:c r="S1348" s="70"/>
    </x:row>
    <x:row r="1349" ht="15" hidden="0">
      <x:c r="A1349" s="70" t="s">
        <x:v>2690</x:v>
      </x:c>
      <x:c r="B1349" s="70" t="s">
        <x:v>42</x:v>
      </x:c>
      <x:c r="C1349" s="70" t="s">
        <x:v>76</x:v>
      </x:c>
      <x:c r="D1349" s="70" t="s">
        <x:v>343</x:v>
      </x:c>
      <x:c r="E1349" s="70" t="s">
        <x:v>1129</x:v>
      </x:c>
      <x:c r="F1349" s="70" t="s">
        <x:v>2239</x:v>
      </x:c>
      <x:c r="G1349" s="70" t="s">
        <x:v>1675</x:v>
      </x:c>
      <x:c r="H1349" s="70" t="s">
        <x:v>1215</x:v>
      </x:c>
      <x:c r="I1349" s="70" t="s">
        <x:v>1199</x:v>
      </x:c>
      <x:c r="J1349" s="70" t="n">
        <x:v>201</x:v>
      </x:c>
      <x:c r="K1349" s="70" t="s">
        <x:v>2455</x:v>
      </x:c>
      <x:c r="L1349" s="70" t="s">
        <x:v>1368</x:v>
      </x:c>
      <x:c r="M1349" s="70" t="s">
        <x:v>40</x:v>
      </x:c>
      <x:c r="N1349" s="71" t="n">
        <x:v>450487</x:v>
      </x:c>
      <x:c r="O1349" s="72" t="n">
        <x:f aca="0">N1349/1000</x:f>
        <x:v>450.487</x:v>
      </x:c>
      <x:c r="P1349" s="73" t="n">
        <x:f aca="0">MLCF!G45</x:f>
        <x:v>450.487</x:v>
      </x:c>
      <x:c r="Q1349" s="70" t="str">
        <x:f aca="0">IF(ABS(O1349-P1349)&lt;0.000001,"PASS","FAIL")</x:f>
        <x:v>PASS</x:v>
      </x:c>
      <x:c r="R1349" s="70" t="s">
        <x:v>34</x:v>
      </x:c>
      <x:c r="S1349" s="70"/>
    </x:row>
    <x:row r="1350" ht="15" hidden="0">
      <x:c r="A1350" s="70" t="s">
        <x:v>2691</x:v>
      </x:c>
      <x:c r="B1350" s="70" t="s">
        <x:v>42</x:v>
      </x:c>
      <x:c r="C1350" s="70" t="s">
        <x:v>77</x:v>
      </x:c>
      <x:c r="D1350" s="70" t="s">
        <x:v>343</x:v>
      </x:c>
      <x:c r="E1350" s="70" t="s">
        <x:v>1129</x:v>
      </x:c>
      <x:c r="F1350" s="70" t="s">
        <x:v>2239</x:v>
      </x:c>
      <x:c r="G1350" s="70" t="s">
        <x:v>1675</x:v>
      </x:c>
      <x:c r="H1350" s="70" t="s">
        <x:v>1215</x:v>
      </x:c>
      <x:c r="I1350" s="70" t="s">
        <x:v>1218</x:v>
      </x:c>
      <x:c r="J1350" s="70" t="n">
        <x:v>201</x:v>
      </x:c>
      <x:c r="K1350" s="70" t="s">
        <x:v>2455</x:v>
      </x:c>
      <x:c r="L1350" s="70" t="s">
        <x:v>1368</x:v>
      </x:c>
      <x:c r="M1350" s="70" t="s">
        <x:v>40</x:v>
      </x:c>
      <x:c r="N1350" s="71" t="n">
        <x:v>322304</x:v>
      </x:c>
      <x:c r="O1350" s="72" t="n">
        <x:f aca="0">N1350/1000</x:f>
        <x:v>322.304</x:v>
      </x:c>
      <x:c r="P1350" s="73" t="n">
        <x:f aca="0">MLCF!H45</x:f>
        <x:v>322.304</x:v>
      </x:c>
      <x:c r="Q1350" s="70" t="str">
        <x:f aca="0">IF(ABS(O1350-P1350)&lt;0.000001,"PASS","FAIL")</x:f>
        <x:v>PASS</x:v>
      </x:c>
      <x:c r="R1350" s="70" t="s">
        <x:v>34</x:v>
      </x:c>
      <x:c r="S1350" s="70"/>
    </x:row>
    <x:row r="1351" ht="15" hidden="0">
      <x:c r="A1351" s="70" t="s">
        <x:v>2692</x:v>
      </x:c>
      <x:c r="B1351" s="70" t="s">
        <x:v>42</x:v>
      </x:c>
      <x:c r="C1351" s="70" t="s">
        <x:v>1076</x:v>
      </x:c>
      <x:c r="D1351" s="70" t="s">
        <x:v>345</x:v>
      </x:c>
      <x:c r="E1351" s="70" t="s">
        <x:v>1129</x:v>
      </x:c>
      <x:c r="F1351" s="70" t="s">
        <x:v>2246</x:v>
      </x:c>
      <x:c r="G1351" s="70" t="s">
        <x:v>1663</x:v>
      </x:c>
      <x:c r="H1351" s="70" t="s">
        <x:v>1198</x:v>
      </x:c>
      <x:c r="I1351" s="70" t="s">
        <x:v>1199</x:v>
      </x:c>
      <x:c r="J1351" s="70" t="n">
        <x:v>162</x:v>
      </x:c>
      <x:c r="K1351" s="70" t="s">
        <x:v>2578</x:v>
      </x:c>
      <x:c r="L1351" s="70" t="s">
        <x:v>1397</x:v>
      </x:c>
      <x:c r="M1351" s="70" t="s">
        <x:v>40</x:v>
      </x:c>
      <x:c r="N1351" s="71" t="n">
        <x:v>3379440</x:v>
      </x:c>
      <x:c r="O1351" s="72" t="n">
        <x:f aca="0">N1351/1000</x:f>
        <x:v>3379.44</x:v>
      </x:c>
      <x:c r="P1351" s="73" t="n">
        <x:f aca="0">MLCF!C46</x:f>
        <x:v>3379.44</x:v>
      </x:c>
      <x:c r="Q1351" s="70" t="str">
        <x:f aca="0">IF(ABS(O1351-P1351)&lt;0.000001,"PASS","FAIL")</x:f>
        <x:v>PASS</x:v>
      </x:c>
      <x:c r="R1351" s="70" t="s">
        <x:v>34</x:v>
      </x:c>
      <x:c r="S1351" s="70"/>
    </x:row>
    <x:row r="1352" ht="15" hidden="0">
      <x:c r="A1352" s="70" t="s">
        <x:v>2693</x:v>
      </x:c>
      <x:c r="B1352" s="70" t="s">
        <x:v>42</x:v>
      </x:c>
      <x:c r="C1352" s="70" t="s">
        <x:v>73</x:v>
      </x:c>
      <x:c r="D1352" s="70" t="s">
        <x:v>345</x:v>
      </x:c>
      <x:c r="E1352" s="70" t="s">
        <x:v>1129</x:v>
      </x:c>
      <x:c r="F1352" s="70" t="s">
        <x:v>2246</x:v>
      </x:c>
      <x:c r="G1352" s="70" t="s">
        <x:v>1666</x:v>
      </x:c>
      <x:c r="H1352" s="70" t="s">
        <x:v>1204</x:v>
      </x:c>
      <x:c r="I1352" s="70" t="s">
        <x:v>1199</x:v>
      </x:c>
      <x:c r="J1352" s="70" t="n">
        <x:v>183</x:v>
      </x:c>
      <x:c r="K1352" s="70" t="s">
        <x:v>2276</x:v>
      </x:c>
      <x:c r="L1352" s="70" t="s">
        <x:v>1397</x:v>
      </x:c>
      <x:c r="M1352" s="70" t="s">
        <x:v>40</x:v>
      </x:c>
      <x:c r="N1352" s="71" t="n">
        <x:v>3889907</x:v>
      </x:c>
      <x:c r="O1352" s="72" t="n">
        <x:f aca="0">N1352/1000</x:f>
        <x:v>3889.907</x:v>
      </x:c>
      <x:c r="P1352" s="73" t="n">
        <x:f aca="0">MLCF!D46</x:f>
        <x:v>3889.907</x:v>
      </x:c>
      <x:c r="Q1352" s="70" t="str">
        <x:f aca="0">IF(ABS(O1352-P1352)&lt;0.000001,"PASS","FAIL")</x:f>
        <x:v>PASS</x:v>
      </x:c>
      <x:c r="R1352" s="70" t="s">
        <x:v>34</x:v>
      </x:c>
      <x:c r="S1352" s="70"/>
    </x:row>
    <x:row r="1353" ht="15" hidden="0">
      <x:c r="A1353" s="70" t="s">
        <x:v>2694</x:v>
      </x:c>
      <x:c r="B1353" s="70" t="s">
        <x:v>42</x:v>
      </x:c>
      <x:c r="C1353" s="70" t="s">
        <x:v>74</x:v>
      </x:c>
      <x:c r="D1353" s="70" t="s">
        <x:v>345</x:v>
      </x:c>
      <x:c r="E1353" s="70" t="s">
        <x:v>1129</x:v>
      </x:c>
      <x:c r="F1353" s="70" t="s">
        <x:v>2246</x:v>
      </x:c>
      <x:c r="G1353" s="70" t="s">
        <x:v>1669</x:v>
      </x:c>
      <x:c r="H1353" s="70" t="s">
        <x:v>1208</x:v>
      </x:c>
      <x:c r="I1353" s="70" t="s">
        <x:v>1199</x:v>
      </x:c>
      <x:c r="J1353" s="70" t="n">
        <x:v>98</x:v>
      </x:c>
      <x:c r="K1353" s="70" t="s">
        <x:v>2562</x:v>
      </x:c>
      <x:c r="L1353" s="70"/>
      <x:c r="M1353" s="70" t="s">
        <x:v>40</x:v>
      </x:c>
      <x:c r="N1353" s="71" t="n">
        <x:v>5656499</x:v>
      </x:c>
      <x:c r="O1353" s="72" t="n">
        <x:f aca="0">N1353/1000</x:f>
        <x:v>5656.499</x:v>
      </x:c>
      <x:c r="P1353" s="73" t="n">
        <x:f aca="0">MLCF!E46</x:f>
        <x:v>5656.499</x:v>
      </x:c>
      <x:c r="Q1353" s="70" t="str">
        <x:f aca="0">IF(ABS(O1353-P1353)&lt;0.000001,"PASS","FAIL")</x:f>
        <x:v>PASS</x:v>
      </x:c>
      <x:c r="R1353" s="70" t="s">
        <x:v>34</x:v>
      </x:c>
      <x:c r="S1353" s="70"/>
    </x:row>
    <x:row r="1354" ht="15" hidden="0">
      <x:c r="A1354" s="70" t="s">
        <x:v>2695</x:v>
      </x:c>
      <x:c r="B1354" s="70" t="s">
        <x:v>42</x:v>
      </x:c>
      <x:c r="C1354" s="70" t="s">
        <x:v>75</x:v>
      </x:c>
      <x:c r="D1354" s="70" t="s">
        <x:v>345</x:v>
      </x:c>
      <x:c r="E1354" s="70" t="s">
        <x:v>1129</x:v>
      </x:c>
      <x:c r="F1354" s="70" t="s">
        <x:v>2246</x:v>
      </x:c>
      <x:c r="G1354" s="70" t="s">
        <x:v>1672</x:v>
      </x:c>
      <x:c r="H1354" s="70" t="s">
        <x:v>1211</x:v>
      </x:c>
      <x:c r="I1354" s="70" t="s">
        <x:v>1199</x:v>
      </x:c>
      <x:c r="J1354" s="70" t="n">
        <x:v>189</x:v>
      </x:c>
      <x:c r="K1354" s="70" t="s">
        <x:v>2130</x:v>
      </x:c>
      <x:c r="L1354" s="70" t="s">
        <x:v>1216</x:v>
      </x:c>
      <x:c r="M1354" s="70" t="s">
        <x:v>40</x:v>
      </x:c>
      <x:c r="N1354" s="71" t="n">
        <x:v>8669211</x:v>
      </x:c>
      <x:c r="O1354" s="72" t="n">
        <x:f aca="0">N1354/1000</x:f>
        <x:v>8669.211</x:v>
      </x:c>
      <x:c r="P1354" s="73" t="n">
        <x:f aca="0">MLCF!F46</x:f>
        <x:v>8669.211</x:v>
      </x:c>
      <x:c r="Q1354" s="70" t="str">
        <x:f aca="0">IF(ABS(O1354-P1354)&lt;0.000001,"PASS","FAIL")</x:f>
        <x:v>PASS</x:v>
      </x:c>
      <x:c r="R1354" s="70" t="s">
        <x:v>34</x:v>
      </x:c>
      <x:c r="S1354" s="70"/>
    </x:row>
    <x:row r="1355" ht="15" hidden="0">
      <x:c r="A1355" s="70" t="s">
        <x:v>2696</x:v>
      </x:c>
      <x:c r="B1355" s="70" t="s">
        <x:v>42</x:v>
      </x:c>
      <x:c r="C1355" s="70" t="s">
        <x:v>76</x:v>
      </x:c>
      <x:c r="D1355" s="70" t="s">
        <x:v>345</x:v>
      </x:c>
      <x:c r="E1355" s="70" t="s">
        <x:v>1129</x:v>
      </x:c>
      <x:c r="F1355" s="70" t="s">
        <x:v>2697</x:v>
      </x:c>
      <x:c r="G1355" s="70" t="s">
        <x:v>1675</x:v>
      </x:c>
      <x:c r="H1355" s="70" t="s">
        <x:v>1215</x:v>
      </x:c>
      <x:c r="I1355" s="70" t="s">
        <x:v>1199</x:v>
      </x:c>
      <x:c r="J1355" s="70" t="n">
        <x:v>201</x:v>
      </x:c>
      <x:c r="K1355" s="70" t="s">
        <x:v>2455</x:v>
      </x:c>
      <x:c r="L1355" s="70" t="s">
        <x:v>1216</x:v>
      </x:c>
      <x:c r="M1355" s="70" t="s">
        <x:v>40</x:v>
      </x:c>
      <x:c r="N1355" s="71" t="n">
        <x:v>13044290</x:v>
      </x:c>
      <x:c r="O1355" s="72" t="n">
        <x:f aca="0">N1355/1000</x:f>
        <x:v>13044.29</x:v>
      </x:c>
      <x:c r="P1355" s="73" t="n">
        <x:f aca="0">MLCF!G46</x:f>
        <x:v>13044.29</x:v>
      </x:c>
      <x:c r="Q1355" s="70" t="str">
        <x:f aca="0">IF(ABS(O1355-P1355)&lt;0.000001,"PASS","FAIL")</x:f>
        <x:v>PASS</x:v>
      </x:c>
      <x:c r="R1355" s="70" t="s">
        <x:v>34</x:v>
      </x:c>
      <x:c r="S1355" s="70"/>
    </x:row>
    <x:row r="1356" ht="15" hidden="0">
      <x:c r="A1356" s="70" t="s">
        <x:v>2698</x:v>
      </x:c>
      <x:c r="B1356" s="70" t="s">
        <x:v>42</x:v>
      </x:c>
      <x:c r="C1356" s="70" t="s">
        <x:v>77</x:v>
      </x:c>
      <x:c r="D1356" s="70" t="s">
        <x:v>345</x:v>
      </x:c>
      <x:c r="E1356" s="70" t="s">
        <x:v>1129</x:v>
      </x:c>
      <x:c r="F1356" s="70" t="s">
        <x:v>2697</x:v>
      </x:c>
      <x:c r="G1356" s="70" t="s">
        <x:v>1675</x:v>
      </x:c>
      <x:c r="H1356" s="70" t="s">
        <x:v>1215</x:v>
      </x:c>
      <x:c r="I1356" s="70" t="s">
        <x:v>1218</x:v>
      </x:c>
      <x:c r="J1356" s="70" t="n">
        <x:v>201</x:v>
      </x:c>
      <x:c r="K1356" s="70" t="s">
        <x:v>2455</x:v>
      </x:c>
      <x:c r="L1356" s="70" t="s">
        <x:v>1216</x:v>
      </x:c>
      <x:c r="M1356" s="70" t="s">
        <x:v>40</x:v>
      </x:c>
      <x:c r="N1356" s="71" t="n">
        <x:v>13822898</x:v>
      </x:c>
      <x:c r="O1356" s="72" t="n">
        <x:f aca="0">N1356/1000</x:f>
        <x:v>13822.898</x:v>
      </x:c>
      <x:c r="P1356" s="73" t="n">
        <x:f aca="0">MLCF!H46</x:f>
        <x:v>13822.898</x:v>
      </x:c>
      <x:c r="Q1356" s="70" t="str">
        <x:f aca="0">IF(ABS(O1356-P1356)&lt;0.000001,"PASS","FAIL")</x:f>
        <x:v>PASS</x:v>
      </x:c>
      <x:c r="R1356" s="70" t="s">
        <x:v>34</x:v>
      </x:c>
      <x:c r="S1356" s="70"/>
    </x:row>
    <x:row r="1357" ht="15" hidden="0">
      <x:c r="A1357" s="70" t="s">
        <x:v>2699</x:v>
      </x:c>
      <x:c r="B1357" s="70" t="s">
        <x:v>42</x:v>
      </x:c>
      <x:c r="C1357" s="70" t="s">
        <x:v>1076</x:v>
      </x:c>
      <x:c r="D1357" s="70" t="s">
        <x:v>347</x:v>
      </x:c>
      <x:c r="E1357" s="70" t="s">
        <x:v>1129</x:v>
      </x:c>
      <x:c r="F1357" s="70" t="s">
        <x:v>2700</x:v>
      </x:c>
      <x:c r="G1357" s="70" t="s">
        <x:v>1663</x:v>
      </x:c>
      <x:c r="H1357" s="70" t="s">
        <x:v>1198</x:v>
      </x:c>
      <x:c r="I1357" s="70" t="s">
        <x:v>1199</x:v>
      </x:c>
      <x:c r="J1357" s="70" t="n">
        <x:v>162</x:v>
      </x:c>
      <x:c r="K1357" s="70" t="s">
        <x:v>2578</x:v>
      </x:c>
      <x:c r="L1357" s="70" t="s">
        <x:v>1406</x:v>
      </x:c>
      <x:c r="M1357" s="70" t="s">
        <x:v>40</x:v>
      </x:c>
      <x:c r="N1357" s="71" t="n">
        <x:v>822623</x:v>
      </x:c>
      <x:c r="O1357" s="72" t="n">
        <x:f aca="0">N1357/1000</x:f>
        <x:v>822.623</x:v>
      </x:c>
      <x:c r="P1357" s="73" t="n">
        <x:f aca="0">MLCF!C47</x:f>
        <x:v>822.623</x:v>
      </x:c>
      <x:c r="Q1357" s="70" t="str">
        <x:f aca="0">IF(ABS(O1357-P1357)&lt;0.000001,"PASS","FAIL")</x:f>
        <x:v>PASS</x:v>
      </x:c>
      <x:c r="R1357" s="70" t="s">
        <x:v>34</x:v>
      </x:c>
      <x:c r="S1357" s="70"/>
    </x:row>
    <x:row r="1358" ht="15" hidden="0">
      <x:c r="A1358" s="70" t="s">
        <x:v>2701</x:v>
      </x:c>
      <x:c r="B1358" s="70" t="s">
        <x:v>42</x:v>
      </x:c>
      <x:c r="C1358" s="70" t="s">
        <x:v>73</x:v>
      </x:c>
      <x:c r="D1358" s="70" t="s">
        <x:v>347</x:v>
      </x:c>
      <x:c r="E1358" s="70" t="s">
        <x:v>1129</x:v>
      </x:c>
      <x:c r="F1358" s="70" t="s">
        <x:v>2700</x:v>
      </x:c>
      <x:c r="G1358" s="70" t="s">
        <x:v>1666</x:v>
      </x:c>
      <x:c r="H1358" s="70" t="s">
        <x:v>1204</x:v>
      </x:c>
      <x:c r="I1358" s="70" t="s">
        <x:v>1199</x:v>
      </x:c>
      <x:c r="J1358" s="70" t="n">
        <x:v>183</x:v>
      </x:c>
      <x:c r="K1358" s="70" t="s">
        <x:v>2276</x:v>
      </x:c>
      <x:c r="L1358" s="70"/>
      <x:c r="M1358" s="70" t="s">
        <x:v>40</x:v>
      </x:c>
      <x:c r="N1358" s="71" t="n">
        <x:v>671064</x:v>
      </x:c>
      <x:c r="O1358" s="72" t="n">
        <x:f aca="0">N1358/1000</x:f>
        <x:v>671.064</x:v>
      </x:c>
      <x:c r="P1358" s="73" t="n">
        <x:f aca="0">MLCF!D47</x:f>
        <x:v>671.064</x:v>
      </x:c>
      <x:c r="Q1358" s="70" t="str">
        <x:f aca="0">IF(ABS(O1358-P1358)&lt;0.000001,"PASS","FAIL")</x:f>
        <x:v>PASS</x:v>
      </x:c>
      <x:c r="R1358" s="70" t="s">
        <x:v>34</x:v>
      </x:c>
      <x:c r="S1358" s="70"/>
    </x:row>
    <x:row r="1359" ht="15" hidden="0">
      <x:c r="A1359" s="70" t="s">
        <x:v>2702</x:v>
      </x:c>
      <x:c r="B1359" s="70" t="s">
        <x:v>42</x:v>
      </x:c>
      <x:c r="C1359" s="70" t="s">
        <x:v>74</x:v>
      </x:c>
      <x:c r="D1359" s="70" t="s">
        <x:v>347</x:v>
      </x:c>
      <x:c r="E1359" s="70" t="s">
        <x:v>1129</x:v>
      </x:c>
      <x:c r="F1359" s="70" t="s">
        <x:v>2703</x:v>
      </x:c>
      <x:c r="G1359" s="70" t="s">
        <x:v>1669</x:v>
      </x:c>
      <x:c r="H1359" s="70" t="s">
        <x:v>1208</x:v>
      </x:c>
      <x:c r="I1359" s="70" t="s">
        <x:v>1199</x:v>
      </x:c>
      <x:c r="J1359" s="70" t="n">
        <x:v>98</x:v>
      </x:c>
      <x:c r="K1359" s="70" t="s">
        <x:v>2562</x:v>
      </x:c>
      <x:c r="L1359" s="70"/>
      <x:c r="M1359" s="70" t="s">
        <x:v>40</x:v>
      </x:c>
      <x:c r="N1359" s="71" t="n">
        <x:v>243543</x:v>
      </x:c>
      <x:c r="O1359" s="72" t="n">
        <x:f aca="0">N1359/1000</x:f>
        <x:v>243.543</x:v>
      </x:c>
      <x:c r="P1359" s="73" t="n">
        <x:f aca="0">MLCF!E47</x:f>
        <x:v>243.543</x:v>
      </x:c>
      <x:c r="Q1359" s="70" t="str">
        <x:f aca="0">IF(ABS(O1359-P1359)&lt;0.000001,"PASS","FAIL")</x:f>
        <x:v>PASS</x:v>
      </x:c>
      <x:c r="R1359" s="70" t="s">
        <x:v>34</x:v>
      </x:c>
      <x:c r="S1359" s="70"/>
    </x:row>
    <x:row r="1360" ht="15" hidden="0">
      <x:c r="A1360" s="70" t="s">
        <x:v>2704</x:v>
      </x:c>
      <x:c r="B1360" s="70" t="s">
        <x:v>42</x:v>
      </x:c>
      <x:c r="C1360" s="70" t="s">
        <x:v>75</x:v>
      </x:c>
      <x:c r="D1360" s="70" t="s">
        <x:v>347</x:v>
      </x:c>
      <x:c r="E1360" s="70" t="s">
        <x:v>1129</x:v>
      </x:c>
      <x:c r="F1360" s="70" t="s">
        <x:v>2705</x:v>
      </x:c>
      <x:c r="G1360" s="70" t="s">
        <x:v>1672</x:v>
      </x:c>
      <x:c r="H1360" s="70" t="s">
        <x:v>1211</x:v>
      </x:c>
      <x:c r="I1360" s="70" t="s">
        <x:v>1199</x:v>
      </x:c>
      <x:c r="J1360" s="70" t="n">
        <x:v>189</x:v>
      </x:c>
      <x:c r="K1360" s="70" t="s">
        <x:v>2130</x:v>
      </x:c>
      <x:c r="L1360" s="70" t="s">
        <x:v>1201</x:v>
      </x:c>
      <x:c r="M1360" s="70" t="s">
        <x:v>40</x:v>
      </x:c>
      <x:c r="N1360" s="71" t="n">
        <x:v>2039694</x:v>
      </x:c>
      <x:c r="O1360" s="72" t="n">
        <x:f aca="0">N1360/1000</x:f>
        <x:v>2039.694</x:v>
      </x:c>
      <x:c r="P1360" s="73" t="n">
        <x:f aca="0">MLCF!F47</x:f>
        <x:v>2039.694</x:v>
      </x:c>
      <x:c r="Q1360" s="70" t="str">
        <x:f aca="0">IF(ABS(O1360-P1360)&lt;0.000001,"PASS","FAIL")</x:f>
        <x:v>PASS</x:v>
      </x:c>
      <x:c r="R1360" s="70" t="s">
        <x:v>34</x:v>
      </x:c>
      <x:c r="S1360" s="70"/>
    </x:row>
    <x:row r="1361" ht="15" hidden="0">
      <x:c r="A1361" s="70" t="s">
        <x:v>2706</x:v>
      </x:c>
      <x:c r="B1361" s="70" t="s">
        <x:v>42</x:v>
      </x:c>
      <x:c r="C1361" s="70" t="s">
        <x:v>76</x:v>
      </x:c>
      <x:c r="D1361" s="70" t="s">
        <x:v>347</x:v>
      </x:c>
      <x:c r="E1361" s="70" t="s">
        <x:v>1129</x:v>
      </x:c>
      <x:c r="F1361" s="70" t="s">
        <x:v>2255</x:v>
      </x:c>
      <x:c r="G1361" s="70" t="s">
        <x:v>1675</x:v>
      </x:c>
      <x:c r="H1361" s="70" t="s">
        <x:v>1215</x:v>
      </x:c>
      <x:c r="I1361" s="70" t="s">
        <x:v>1199</x:v>
      </x:c>
      <x:c r="J1361" s="70" t="n">
        <x:v>201</x:v>
      </x:c>
      <x:c r="K1361" s="70" t="s">
        <x:v>2455</x:v>
      </x:c>
      <x:c r="L1361" s="70" t="s">
        <x:v>1212</x:v>
      </x:c>
      <x:c r="M1361" s="70" t="s">
        <x:v>40</x:v>
      </x:c>
      <x:c r="N1361" s="71" t="n">
        <x:v>336741</x:v>
      </x:c>
      <x:c r="O1361" s="72" t="n">
        <x:f aca="0">N1361/1000</x:f>
        <x:v>336.741</x:v>
      </x:c>
      <x:c r="P1361" s="73" t="n">
        <x:f aca="0">MLCF!G47</x:f>
        <x:v>336.741</x:v>
      </x:c>
      <x:c r="Q1361" s="70" t="str">
        <x:f aca="0">IF(ABS(O1361-P1361)&lt;0.000001,"PASS","FAIL")</x:f>
        <x:v>PASS</x:v>
      </x:c>
      <x:c r="R1361" s="70" t="s">
        <x:v>34</x:v>
      </x:c>
      <x:c r="S1361" s="70"/>
    </x:row>
    <x:row r="1362" ht="15" hidden="0">
      <x:c r="A1362" s="70" t="s">
        <x:v>2707</x:v>
      </x:c>
      <x:c r="B1362" s="70" t="s">
        <x:v>42</x:v>
      </x:c>
      <x:c r="C1362" s="70" t="s">
        <x:v>77</x:v>
      </x:c>
      <x:c r="D1362" s="70" t="s">
        <x:v>347</x:v>
      </x:c>
      <x:c r="E1362" s="70" t="s">
        <x:v>1129</x:v>
      </x:c>
      <x:c r="F1362" s="70" t="s">
        <x:v>2255</x:v>
      </x:c>
      <x:c r="G1362" s="70" t="s">
        <x:v>1675</x:v>
      </x:c>
      <x:c r="H1362" s="70" t="s">
        <x:v>1215</x:v>
      </x:c>
      <x:c r="I1362" s="70" t="s">
        <x:v>1218</x:v>
      </x:c>
      <x:c r="J1362" s="70" t="n">
        <x:v>201</x:v>
      </x:c>
      <x:c r="K1362" s="70" t="s">
        <x:v>2455</x:v>
      </x:c>
      <x:c r="L1362" s="70" t="s">
        <x:v>1212</x:v>
      </x:c>
      <x:c r="M1362" s="70" t="s">
        <x:v>40</x:v>
      </x:c>
      <x:c r="N1362" s="71" t="n">
        <x:v>358852</x:v>
      </x:c>
      <x:c r="O1362" s="72" t="n">
        <x:f aca="0">N1362/1000</x:f>
        <x:v>358.852</x:v>
      </x:c>
      <x:c r="P1362" s="73" t="n">
        <x:f aca="0">MLCF!H47</x:f>
        <x:v>358.852</x:v>
      </x:c>
      <x:c r="Q1362" s="70" t="str">
        <x:f aca="0">IF(ABS(O1362-P1362)&lt;0.000001,"PASS","FAIL")</x:f>
        <x:v>PASS</x:v>
      </x:c>
      <x:c r="R1362" s="70" t="s">
        <x:v>34</x:v>
      </x:c>
      <x:c r="S1362" s="70"/>
    </x:row>
    <x:row r="1363" ht="15" hidden="0">
      <x:c r="A1363" s="70" t="s">
        <x:v>2708</x:v>
      </x:c>
      <x:c r="B1363" s="70" t="s">
        <x:v>42</x:v>
      </x:c>
      <x:c r="C1363" s="70" t="s">
        <x:v>1076</x:v>
      </x:c>
      <x:c r="D1363" s="70" t="s">
        <x:v>352</x:v>
      </x:c>
      <x:c r="E1363" s="70" t="s">
        <x:v>1129</x:v>
      </x:c>
      <x:c r="F1363" s="70" t="s">
        <x:v>352</x:v>
      </x:c>
      <x:c r="G1363" s="70" t="s">
        <x:v>1663</x:v>
      </x:c>
      <x:c r="H1363" s="70" t="s">
        <x:v>1198</x:v>
      </x:c>
      <x:c r="I1363" s="70" t="s">
        <x:v>1199</x:v>
      </x:c>
      <x:c r="J1363" s="70" t="n">
        <x:v>162</x:v>
      </x:c>
      <x:c r="K1363" s="70" t="s">
        <x:v>2578</x:v>
      </x:c>
      <x:c r="L1363" s="70" t="s">
        <x:v>1239</x:v>
      </x:c>
      <x:c r="M1363" s="70" t="s">
        <x:v>40</x:v>
      </x:c>
      <x:c r="N1363" s="71" t="n">
        <x:v>7951221</x:v>
      </x:c>
      <x:c r="O1363" s="72" t="n">
        <x:f aca="0">N1363/1000</x:f>
        <x:v>7951.221</x:v>
      </x:c>
      <x:c r="P1363" s="73" t="n">
        <x:f aca="0">MLCF!C50</x:f>
        <x:v>7951.221</x:v>
      </x:c>
      <x:c r="Q1363" s="70" t="str">
        <x:f aca="0">IF(ABS(O1363-P1363)&lt;0.000001,"PASS","FAIL")</x:f>
        <x:v>PASS</x:v>
      </x:c>
      <x:c r="R1363" s="70" t="s">
        <x:v>34</x:v>
      </x:c>
      <x:c r="S1363" s="70"/>
    </x:row>
    <x:row r="1364" ht="15" hidden="0">
      <x:c r="A1364" s="70" t="s">
        <x:v>2709</x:v>
      </x:c>
      <x:c r="B1364" s="70" t="s">
        <x:v>42</x:v>
      </x:c>
      <x:c r="C1364" s="70" t="s">
        <x:v>73</x:v>
      </x:c>
      <x:c r="D1364" s="70" t="s">
        <x:v>352</x:v>
      </x:c>
      <x:c r="E1364" s="70" t="s">
        <x:v>1129</x:v>
      </x:c>
      <x:c r="F1364" s="70" t="s">
        <x:v>352</x:v>
      </x:c>
      <x:c r="G1364" s="70" t="s">
        <x:v>1666</x:v>
      </x:c>
      <x:c r="H1364" s="70" t="s">
        <x:v>1204</x:v>
      </x:c>
      <x:c r="I1364" s="70" t="s">
        <x:v>1199</x:v>
      </x:c>
      <x:c r="J1364" s="70" t="n">
        <x:v>183</x:v>
      </x:c>
      <x:c r="K1364" s="70" t="s">
        <x:v>2276</x:v>
      </x:c>
      <x:c r="L1364" s="70" t="s">
        <x:v>1239</x:v>
      </x:c>
      <x:c r="M1364" s="70" t="s">
        <x:v>40</x:v>
      </x:c>
      <x:c r="N1364" s="71" t="n">
        <x:v>7511637</x:v>
      </x:c>
      <x:c r="O1364" s="72" t="n">
        <x:f aca="0">N1364/1000</x:f>
        <x:v>7511.637</x:v>
      </x:c>
      <x:c r="P1364" s="73" t="n">
        <x:f aca="0">MLCF!D50</x:f>
        <x:v>7511.637</x:v>
      </x:c>
      <x:c r="Q1364" s="70" t="str">
        <x:f aca="0">IF(ABS(O1364-P1364)&lt;0.000001,"PASS","FAIL")</x:f>
        <x:v>PASS</x:v>
      </x:c>
      <x:c r="R1364" s="70" t="s">
        <x:v>34</x:v>
      </x:c>
      <x:c r="S1364" s="70"/>
    </x:row>
    <x:row r="1365" ht="15" hidden="0">
      <x:c r="A1365" s="70" t="s">
        <x:v>2710</x:v>
      </x:c>
      <x:c r="B1365" s="70" t="s">
        <x:v>42</x:v>
      </x:c>
      <x:c r="C1365" s="70" t="s">
        <x:v>74</x:v>
      </x:c>
      <x:c r="D1365" s="70" t="s">
        <x:v>352</x:v>
      </x:c>
      <x:c r="E1365" s="70" t="s">
        <x:v>1129</x:v>
      </x:c>
      <x:c r="F1365" s="70" t="s">
        <x:v>352</x:v>
      </x:c>
      <x:c r="G1365" s="70" t="s">
        <x:v>1669</x:v>
      </x:c>
      <x:c r="H1365" s="70" t="s">
        <x:v>1208</x:v>
      </x:c>
      <x:c r="I1365" s="70" t="s">
        <x:v>1199</x:v>
      </x:c>
      <x:c r="J1365" s="70" t="n">
        <x:v>98</x:v>
      </x:c>
      <x:c r="K1365" s="70" t="s">
        <x:v>2562</x:v>
      </x:c>
      <x:c r="L1365" s="70"/>
      <x:c r="M1365" s="70" t="s">
        <x:v>40</x:v>
      </x:c>
      <x:c r="N1365" s="71" t="n">
        <x:v>9117414</x:v>
      </x:c>
      <x:c r="O1365" s="72" t="n">
        <x:f aca="0">N1365/1000</x:f>
        <x:v>9117.414</x:v>
      </x:c>
      <x:c r="P1365" s="73" t="n">
        <x:f aca="0">MLCF!E50</x:f>
        <x:v>9117.414</x:v>
      </x:c>
      <x:c r="Q1365" s="70" t="str">
        <x:f aca="0">IF(ABS(O1365-P1365)&lt;0.000001,"PASS","FAIL")</x:f>
        <x:v>PASS</x:v>
      </x:c>
      <x:c r="R1365" s="70" t="s">
        <x:v>34</x:v>
      </x:c>
      <x:c r="S1365" s="70"/>
    </x:row>
    <x:row r="1366" ht="15" hidden="0">
      <x:c r="A1366" s="70" t="s">
        <x:v>2711</x:v>
      </x:c>
      <x:c r="B1366" s="70" t="s">
        <x:v>42</x:v>
      </x:c>
      <x:c r="C1366" s="70" t="s">
        <x:v>75</x:v>
      </x:c>
      <x:c r="D1366" s="70" t="s">
        <x:v>352</x:v>
      </x:c>
      <x:c r="E1366" s="70" t="s">
        <x:v>1129</x:v>
      </x:c>
      <x:c r="F1366" s="70" t="s">
        <x:v>352</x:v>
      </x:c>
      <x:c r="G1366" s="70" t="s">
        <x:v>1672</x:v>
      </x:c>
      <x:c r="H1366" s="70" t="s">
        <x:v>1211</x:v>
      </x:c>
      <x:c r="I1366" s="70" t="s">
        <x:v>1199</x:v>
      </x:c>
      <x:c r="J1366" s="70" t="n">
        <x:v>189</x:v>
      </x:c>
      <x:c r="K1366" s="70" t="s">
        <x:v>2130</x:v>
      </x:c>
      <x:c r="L1366" s="70" t="s">
        <x:v>1239</x:v>
      </x:c>
      <x:c r="M1366" s="70" t="s">
        <x:v>40</x:v>
      </x:c>
      <x:c r="N1366" s="71" t="n">
        <x:v>12518180</x:v>
      </x:c>
      <x:c r="O1366" s="72" t="n">
        <x:f aca="0">N1366/1000</x:f>
        <x:v>12518.18</x:v>
      </x:c>
      <x:c r="P1366" s="73" t="n">
        <x:f aca="0">MLCF!F50</x:f>
        <x:v>12518.18</x:v>
      </x:c>
      <x:c r="Q1366" s="70" t="str">
        <x:f aca="0">IF(ABS(O1366-P1366)&lt;0.000001,"PASS","FAIL")</x:f>
        <x:v>PASS</x:v>
      </x:c>
      <x:c r="R1366" s="70" t="s">
        <x:v>34</x:v>
      </x:c>
      <x:c r="S1366" s="70"/>
    </x:row>
    <x:row r="1367" ht="15" hidden="0">
      <x:c r="A1367" s="70" t="s">
        <x:v>2712</x:v>
      </x:c>
      <x:c r="B1367" s="70" t="s">
        <x:v>42</x:v>
      </x:c>
      <x:c r="C1367" s="70" t="s">
        <x:v>76</x:v>
      </x:c>
      <x:c r="D1367" s="70" t="s">
        <x:v>352</x:v>
      </x:c>
      <x:c r="E1367" s="70" t="s">
        <x:v>1129</x:v>
      </x:c>
      <x:c r="F1367" s="70" t="s">
        <x:v>352</x:v>
      </x:c>
      <x:c r="G1367" s="70" t="s">
        <x:v>1675</x:v>
      </x:c>
      <x:c r="H1367" s="70" t="s">
        <x:v>1215</x:v>
      </x:c>
      <x:c r="I1367" s="70" t="s">
        <x:v>1199</x:v>
      </x:c>
      <x:c r="J1367" s="70" t="n">
        <x:v>201</x:v>
      </x:c>
      <x:c r="K1367" s="70" t="s">
        <x:v>2455</x:v>
      </x:c>
      <x:c r="L1367" s="70" t="s">
        <x:v>1201</x:v>
      </x:c>
      <x:c r="M1367" s="70" t="s">
        <x:v>40</x:v>
      </x:c>
      <x:c r="N1367" s="71" t="n">
        <x:v>12482233</x:v>
      </x:c>
      <x:c r="O1367" s="72" t="n">
        <x:f aca="0">N1367/1000</x:f>
        <x:v>12482.233</x:v>
      </x:c>
      <x:c r="P1367" s="73" t="n">
        <x:f aca="0">MLCF!G50</x:f>
        <x:v>12482.233</x:v>
      </x:c>
      <x:c r="Q1367" s="70" t="str">
        <x:f aca="0">IF(ABS(O1367-P1367)&lt;0.000001,"PASS","FAIL")</x:f>
        <x:v>PASS</x:v>
      </x:c>
      <x:c r="R1367" s="70" t="s">
        <x:v>34</x:v>
      </x:c>
      <x:c r="S1367" s="70"/>
    </x:row>
    <x:row r="1368" ht="15" hidden="0">
      <x:c r="A1368" s="70" t="s">
        <x:v>2713</x:v>
      </x:c>
      <x:c r="B1368" s="70" t="s">
        <x:v>42</x:v>
      </x:c>
      <x:c r="C1368" s="70" t="s">
        <x:v>77</x:v>
      </x:c>
      <x:c r="D1368" s="70" t="s">
        <x:v>352</x:v>
      </x:c>
      <x:c r="E1368" s="70" t="s">
        <x:v>1129</x:v>
      </x:c>
      <x:c r="F1368" s="70" t="s">
        <x:v>352</x:v>
      </x:c>
      <x:c r="G1368" s="70" t="s">
        <x:v>1675</x:v>
      </x:c>
      <x:c r="H1368" s="70" t="s">
        <x:v>1215</x:v>
      </x:c>
      <x:c r="I1368" s="70" t="s">
        <x:v>1218</x:v>
      </x:c>
      <x:c r="J1368" s="70" t="n">
        <x:v>201</x:v>
      </x:c>
      <x:c r="K1368" s="70" t="s">
        <x:v>2455</x:v>
      </x:c>
      <x:c r="L1368" s="70" t="s">
        <x:v>1201</x:v>
      </x:c>
      <x:c r="M1368" s="70" t="s">
        <x:v>40</x:v>
      </x:c>
      <x:c r="N1368" s="71" t="n">
        <x:v>17926267</x:v>
      </x:c>
      <x:c r="O1368" s="72" t="n">
        <x:f aca="0">N1368/1000</x:f>
        <x:v>17926.267</x:v>
      </x:c>
      <x:c r="P1368" s="73" t="n">
        <x:f aca="0">MLCF!H50</x:f>
        <x:v>17926.267</x:v>
      </x:c>
      <x:c r="Q1368" s="70" t="str">
        <x:f aca="0">IF(ABS(O1368-P1368)&lt;0.000001,"PASS","FAIL")</x:f>
        <x:v>PASS</x:v>
      </x:c>
      <x:c r="R1368" s="70" t="s">
        <x:v>34</x:v>
      </x:c>
      <x:c r="S1368" s="70"/>
    </x:row>
    <x:row r="1369" ht="15" hidden="0">
      <x:c r="A1369" s="70" t="s">
        <x:v>2714</x:v>
      </x:c>
      <x:c r="B1369" s="70" t="s">
        <x:v>42</x:v>
      </x:c>
      <x:c r="C1369" s="70" t="s">
        <x:v>1076</x:v>
      </x:c>
      <x:c r="D1369" s="70" t="s">
        <x:v>1375</x:v>
      </x:c>
      <x:c r="E1369" s="70" t="s">
        <x:v>1221</x:v>
      </x:c>
      <x:c r="F1369" s="70" t="s">
        <x:v>2715</x:v>
      </x:c>
      <x:c r="G1369" s="70" t="s">
        <x:v>1663</x:v>
      </x:c>
      <x:c r="H1369" s="70" t="s">
        <x:v>1198</x:v>
      </x:c>
      <x:c r="I1369" s="70" t="s">
        <x:v>1199</x:v>
      </x:c>
      <x:c r="J1369" s="70" t="n">
        <x:v>198</x:v>
      </x:c>
      <x:c r="K1369" s="70" t="s">
        <x:v>2716</x:v>
      </x:c>
      <x:c r="L1369" s="70"/>
      <x:c r="M1369" s="70" t="s">
        <x:v>40</x:v>
      </x:c>
      <x:c r="N1369" s="71" t="n">
        <x:v>3886684</x:v>
      </x:c>
      <x:c r="O1369" s="72" t="n">
        <x:f aca="0">N1369/1000</x:f>
        <x:v>3886.684</x:v>
      </x:c>
      <x:c r="P1369" s="73" t="n">
        <x:f aca="0">MLCF!C51</x:f>
        <x:v>3886.684</x:v>
      </x:c>
      <x:c r="Q1369" s="70" t="str">
        <x:f aca="0">IF(ABS(O1369-P1369)&lt;0.000001,"PASS","FAIL")</x:f>
        <x:v>PASS</x:v>
      </x:c>
      <x:c r="R1369" s="70" t="s">
        <x:v>34</x:v>
      </x:c>
      <x:c r="S1369" s="70"/>
    </x:row>
    <x:row r="1370" ht="15" hidden="0">
      <x:c r="A1370" s="70" t="s">
        <x:v>2717</x:v>
      </x:c>
      <x:c r="B1370" s="70" t="s">
        <x:v>42</x:v>
      </x:c>
      <x:c r="C1370" s="70" t="s">
        <x:v>73</x:v>
      </x:c>
      <x:c r="D1370" s="70" t="s">
        <x:v>1375</x:v>
      </x:c>
      <x:c r="E1370" s="70" t="s">
        <x:v>1221</x:v>
      </x:c>
      <x:c r="F1370" s="70" t="s">
        <x:v>2715</x:v>
      </x:c>
      <x:c r="G1370" s="70" t="s">
        <x:v>1666</x:v>
      </x:c>
      <x:c r="H1370" s="70" t="s">
        <x:v>1204</x:v>
      </x:c>
      <x:c r="I1370" s="70" t="s">
        <x:v>1199</x:v>
      </x:c>
      <x:c r="J1370" s="70" t="n">
        <x:v>220</x:v>
      </x:c>
      <x:c r="K1370" s="70" t="s">
        <x:v>2718</x:v>
      </x:c>
      <x:c r="L1370" s="70"/>
      <x:c r="M1370" s="70" t="s">
        <x:v>40</x:v>
      </x:c>
      <x:c r="N1370" s="71" t="n">
        <x:v>3515408</x:v>
      </x:c>
      <x:c r="O1370" s="72" t="n">
        <x:f aca="0">N1370/1000</x:f>
        <x:v>3515.408</x:v>
      </x:c>
      <x:c r="P1370" s="73" t="n">
        <x:f aca="0">MLCF!D51</x:f>
        <x:v>3515.408</x:v>
      </x:c>
      <x:c r="Q1370" s="70" t="str">
        <x:f aca="0">IF(ABS(O1370-P1370)&lt;0.000001,"PASS","FAIL")</x:f>
        <x:v>PASS</x:v>
      </x:c>
      <x:c r="R1370" s="70" t="s">
        <x:v>34</x:v>
      </x:c>
      <x:c r="S1370" s="70"/>
    </x:row>
    <x:row r="1371" ht="15" hidden="0">
      <x:c r="A1371" s="70" t="s">
        <x:v>2719</x:v>
      </x:c>
      <x:c r="B1371" s="70" t="s">
        <x:v>42</x:v>
      </x:c>
      <x:c r="C1371" s="70" t="s">
        <x:v>74</x:v>
      </x:c>
      <x:c r="D1371" s="70" t="s">
        <x:v>1375</x:v>
      </x:c>
      <x:c r="E1371" s="70" t="s">
        <x:v>1221</x:v>
      </x:c>
      <x:c r="F1371" s="70" t="s">
        <x:v>2715</x:v>
      </x:c>
      <x:c r="G1371" s="70" t="s">
        <x:v>1669</x:v>
      </x:c>
      <x:c r="H1371" s="70" t="s">
        <x:v>1208</x:v>
      </x:c>
      <x:c r="I1371" s="70" t="s">
        <x:v>1199</x:v>
      </x:c>
      <x:c r="J1371" s="70" t="n">
        <x:v>116</x:v>
      </x:c>
      <x:c r="K1371" s="70" t="s">
        <x:v>1200</x:v>
      </x:c>
      <x:c r="L1371" s="70"/>
      <x:c r="M1371" s="70" t="s">
        <x:v>40</x:v>
      </x:c>
      <x:c r="N1371" s="71" t="n">
        <x:v>3975712</x:v>
      </x:c>
      <x:c r="O1371" s="72" t="n">
        <x:f aca="0">N1371/1000</x:f>
        <x:v>3975.712</x:v>
      </x:c>
      <x:c r="P1371" s="73" t="n">
        <x:f aca="0">MLCF!E51</x:f>
        <x:v>3975.712</x:v>
      </x:c>
      <x:c r="Q1371" s="70" t="str">
        <x:f aca="0">IF(ABS(O1371-P1371)&lt;0.000001,"PASS","FAIL")</x:f>
        <x:v>PASS</x:v>
      </x:c>
      <x:c r="R1371" s="70" t="s">
        <x:v>34</x:v>
      </x:c>
      <x:c r="S1371" s="70"/>
    </x:row>
    <x:row r="1372" ht="15" hidden="0">
      <x:c r="A1372" s="70" t="s">
        <x:v>2720</x:v>
      </x:c>
      <x:c r="B1372" s="70" t="s">
        <x:v>42</x:v>
      </x:c>
      <x:c r="C1372" s="70" t="s">
        <x:v>75</x:v>
      </x:c>
      <x:c r="D1372" s="70" t="s">
        <x:v>1375</x:v>
      </x:c>
      <x:c r="E1372" s="70" t="s">
        <x:v>1221</x:v>
      </x:c>
      <x:c r="F1372" s="70" t="s">
        <x:v>2715</x:v>
      </x:c>
      <x:c r="G1372" s="70" t="s">
        <x:v>1672</x:v>
      </x:c>
      <x:c r="H1372" s="70" t="s">
        <x:v>1211</x:v>
      </x:c>
      <x:c r="I1372" s="70" t="s">
        <x:v>1199</x:v>
      </x:c>
      <x:c r="J1372" s="70" t="n">
        <x:v>226</x:v>
      </x:c>
      <x:c r="K1372" s="70" t="s">
        <x:v>1918</x:v>
      </x:c>
      <x:c r="L1372" s="70"/>
      <x:c r="M1372" s="70" t="s">
        <x:v>40</x:v>
      </x:c>
      <x:c r="N1372" s="71" t="n">
        <x:v>4804356</x:v>
      </x:c>
      <x:c r="O1372" s="72" t="n">
        <x:f aca="0">N1372/1000</x:f>
        <x:v>4804.356</x:v>
      </x:c>
      <x:c r="P1372" s="73" t="n">
        <x:f aca="0">MLCF!F51</x:f>
        <x:v>4804.356</x:v>
      </x:c>
      <x:c r="Q1372" s="70" t="str">
        <x:f aca="0">IF(ABS(O1372-P1372)&lt;0.000001,"PASS","FAIL")</x:f>
        <x:v>PASS</x:v>
      </x:c>
      <x:c r="R1372" s="70" t="s">
        <x:v>34</x:v>
      </x:c>
      <x:c r="S1372" s="70"/>
    </x:row>
    <x:row r="1373" ht="15" hidden="0">
      <x:c r="A1373" s="70" t="s">
        <x:v>2721</x:v>
      </x:c>
      <x:c r="B1373" s="70" t="s">
        <x:v>42</x:v>
      </x:c>
      <x:c r="C1373" s="70" t="s">
        <x:v>76</x:v>
      </x:c>
      <x:c r="D1373" s="70" t="s">
        <x:v>1375</x:v>
      </x:c>
      <x:c r="E1373" s="70" t="s">
        <x:v>1221</x:v>
      </x:c>
      <x:c r="F1373" s="70" t="s">
        <x:v>2715</x:v>
      </x:c>
      <x:c r="G1373" s="70" t="s">
        <x:v>1675</x:v>
      </x:c>
      <x:c r="H1373" s="70" t="s">
        <x:v>1215</x:v>
      </x:c>
      <x:c r="I1373" s="70" t="s">
        <x:v>1199</x:v>
      </x:c>
      <x:c r="J1373" s="70" t="n">
        <x:v>240</x:v>
      </x:c>
      <x:c r="K1373" s="70" t="s">
        <x:v>2027</x:v>
      </x:c>
      <x:c r="L1373" s="70"/>
      <x:c r="M1373" s="70" t="s">
        <x:v>40</x:v>
      </x:c>
      <x:c r="N1373" s="71" t="n">
        <x:v>4575180</x:v>
      </x:c>
      <x:c r="O1373" s="72" t="n">
        <x:f aca="0">N1373/1000</x:f>
        <x:v>4575.18</x:v>
      </x:c>
      <x:c r="P1373" s="73" t="n">
        <x:f aca="0">MLCF!G51</x:f>
        <x:v>4575.18</x:v>
      </x:c>
      <x:c r="Q1373" s="70" t="str">
        <x:f aca="0">IF(ABS(O1373-P1373)&lt;0.000001,"PASS","FAIL")</x:f>
        <x:v>PASS</x:v>
      </x:c>
      <x:c r="R1373" s="70" t="s">
        <x:v>34</x:v>
      </x:c>
      <x:c r="S1373" s="70"/>
    </x:row>
    <x:row r="1374" ht="15" hidden="0">
      <x:c r="A1374" s="70" t="s">
        <x:v>2722</x:v>
      </x:c>
      <x:c r="B1374" s="70" t="s">
        <x:v>42</x:v>
      </x:c>
      <x:c r="C1374" s="70" t="s">
        <x:v>77</x:v>
      </x:c>
      <x:c r="D1374" s="70" t="s">
        <x:v>1375</x:v>
      </x:c>
      <x:c r="E1374" s="70" t="s">
        <x:v>1221</x:v>
      </x:c>
      <x:c r="F1374" s="70" t="s">
        <x:v>2715</x:v>
      </x:c>
      <x:c r="G1374" s="70" t="s">
        <x:v>1675</x:v>
      </x:c>
      <x:c r="H1374" s="70" t="s">
        <x:v>1215</x:v>
      </x:c>
      <x:c r="I1374" s="70" t="s">
        <x:v>1218</x:v>
      </x:c>
      <x:c r="J1374" s="70" t="n">
        <x:v>240</x:v>
      </x:c>
      <x:c r="K1374" s="70" t="s">
        <x:v>2027</x:v>
      </x:c>
      <x:c r="L1374" s="70"/>
      <x:c r="M1374" s="70" t="s">
        <x:v>40</x:v>
      </x:c>
      <x:c r="N1374" s="71" t="n">
        <x:v>5869802</x:v>
      </x:c>
      <x:c r="O1374" s="72" t="n">
        <x:f aca="0">N1374/1000</x:f>
        <x:v>5869.802</x:v>
      </x:c>
      <x:c r="P1374" s="73" t="n">
        <x:f aca="0">MLCF!H51</x:f>
        <x:v>5869.802</x:v>
      </x:c>
      <x:c r="Q1374" s="70" t="str">
        <x:f aca="0">IF(ABS(O1374-P1374)&lt;0.000001,"PASS","FAIL")</x:f>
        <x:v>PASS</x:v>
      </x:c>
      <x:c r="R1374" s="70" t="s">
        <x:v>34</x:v>
      </x:c>
      <x:c r="S1374" s="70"/>
    </x:row>
    <x:row r="1375" ht="15" hidden="0">
      <x:c r="A1375" s="70" t="s">
        <x:v>2723</x:v>
      </x:c>
      <x:c r="B1375" s="70" t="s">
        <x:v>42</x:v>
      </x:c>
      <x:c r="C1375" s="70" t="s">
        <x:v>1076</x:v>
      </x:c>
      <x:c r="D1375" s="70" t="s">
        <x:v>356</x:v>
      </x:c>
      <x:c r="E1375" s="70" t="s">
        <x:v>1129</x:v>
      </x:c>
      <x:c r="F1375" s="70"/>
      <x:c r="G1375" s="70" t="s">
        <x:v>1663</x:v>
      </x:c>
      <x:c r="H1375" s="70" t="s">
        <x:v>1198</x:v>
      </x:c>
      <x:c r="I1375" s="70" t="s">
        <x:v>1199</x:v>
      </x:c>
      <x:c r="J1375" s="70" t="n">
        <x:v>162</x:v>
      </x:c>
      <x:c r="K1375" s="70" t="s">
        <x:v>2578</x:v>
      </x:c>
      <x:c r="L1375" s="70"/>
      <x:c r="M1375" s="70" t="s">
        <x:v>40</x:v>
      </x:c>
      <x:c r="N1375" s="71" t="n">
        <x:v>0</x:v>
      </x:c>
      <x:c r="O1375" s="72" t="n">
        <x:f aca="0">N1375/1000</x:f>
        <x:v>0</x:v>
      </x:c>
      <x:c r="P1375" s="73" t="n">
        <x:f aca="0">MLCF!C52</x:f>
        <x:v>0</x:v>
      </x:c>
      <x:c r="Q1375" s="70" t="str">
        <x:f aca="0">IF(ABS(O1375-P1375)&lt;0.000001,"PASS","FAIL")</x:f>
        <x:v>PASS</x:v>
      </x:c>
      <x:c r="R1375" s="70" t="s">
        <x:v>34</x:v>
      </x:c>
      <x:c r="S1375" s="70"/>
    </x:row>
    <x:row r="1376" ht="15" hidden="0">
      <x:c r="A1376" s="70" t="s">
        <x:v>2724</x:v>
      </x:c>
      <x:c r="B1376" s="70" t="s">
        <x:v>42</x:v>
      </x:c>
      <x:c r="C1376" s="70" t="s">
        <x:v>73</x:v>
      </x:c>
      <x:c r="D1376" s="70" t="s">
        <x:v>356</x:v>
      </x:c>
      <x:c r="E1376" s="70" t="s">
        <x:v>1129</x:v>
      </x:c>
      <x:c r="F1376" s="70"/>
      <x:c r="G1376" s="70" t="s">
        <x:v>1666</x:v>
      </x:c>
      <x:c r="H1376" s="70" t="s">
        <x:v>1204</x:v>
      </x:c>
      <x:c r="I1376" s="70" t="s">
        <x:v>1199</x:v>
      </x:c>
      <x:c r="J1376" s="70" t="n">
        <x:v>183</x:v>
      </x:c>
      <x:c r="K1376" s="70" t="s">
        <x:v>2276</x:v>
      </x:c>
      <x:c r="L1376" s="70"/>
      <x:c r="M1376" s="70" t="s">
        <x:v>40</x:v>
      </x:c>
      <x:c r="N1376" s="71" t="n">
        <x:v>0</x:v>
      </x:c>
      <x:c r="O1376" s="72" t="n">
        <x:f aca="0">N1376/1000</x:f>
        <x:v>0</x:v>
      </x:c>
      <x:c r="P1376" s="73" t="n">
        <x:f aca="0">MLCF!D52</x:f>
        <x:v>0</x:v>
      </x:c>
      <x:c r="Q1376" s="70" t="str">
        <x:f aca="0">IF(ABS(O1376-P1376)&lt;0.000001,"PASS","FAIL")</x:f>
        <x:v>PASS</x:v>
      </x:c>
      <x:c r="R1376" s="70" t="s">
        <x:v>34</x:v>
      </x:c>
      <x:c r="S1376" s="70"/>
    </x:row>
    <x:row r="1377" ht="15" hidden="0">
      <x:c r="A1377" s="70" t="s">
        <x:v>2725</x:v>
      </x:c>
      <x:c r="B1377" s="70" t="s">
        <x:v>42</x:v>
      </x:c>
      <x:c r="C1377" s="70" t="s">
        <x:v>74</x:v>
      </x:c>
      <x:c r="D1377" s="70" t="s">
        <x:v>356</x:v>
      </x:c>
      <x:c r="E1377" s="70" t="s">
        <x:v>1129</x:v>
      </x:c>
      <x:c r="F1377" s="70"/>
      <x:c r="G1377" s="70" t="s">
        <x:v>1669</x:v>
      </x:c>
      <x:c r="H1377" s="70" t="s">
        <x:v>1208</x:v>
      </x:c>
      <x:c r="I1377" s="70" t="s">
        <x:v>1199</x:v>
      </x:c>
      <x:c r="J1377" s="70" t="n">
        <x:v>98</x:v>
      </x:c>
      <x:c r="K1377" s="70" t="s">
        <x:v>2562</x:v>
      </x:c>
      <x:c r="L1377" s="70"/>
      <x:c r="M1377" s="70" t="s">
        <x:v>40</x:v>
      </x:c>
      <x:c r="N1377" s="71" t="n">
        <x:v>0</x:v>
      </x:c>
      <x:c r="O1377" s="72" t="n">
        <x:f aca="0">N1377/1000</x:f>
        <x:v>0</x:v>
      </x:c>
      <x:c r="P1377" s="73" t="n">
        <x:f aca="0">MLCF!E52</x:f>
        <x:v>0</x:v>
      </x:c>
      <x:c r="Q1377" s="70" t="str">
        <x:f aca="0">IF(ABS(O1377-P1377)&lt;0.000001,"PASS","FAIL")</x:f>
        <x:v>PASS</x:v>
      </x:c>
      <x:c r="R1377" s="70" t="s">
        <x:v>34</x:v>
      </x:c>
      <x:c r="S1377" s="70"/>
    </x:row>
    <x:row r="1378" ht="15" hidden="0">
      <x:c r="A1378" s="70" t="s">
        <x:v>2726</x:v>
      </x:c>
      <x:c r="B1378" s="70" t="s">
        <x:v>42</x:v>
      </x:c>
      <x:c r="C1378" s="70" t="s">
        <x:v>75</x:v>
      </x:c>
      <x:c r="D1378" s="70" t="s">
        <x:v>356</x:v>
      </x:c>
      <x:c r="E1378" s="70" t="s">
        <x:v>1129</x:v>
      </x:c>
      <x:c r="F1378" s="70"/>
      <x:c r="G1378" s="70" t="s">
        <x:v>1672</x:v>
      </x:c>
      <x:c r="H1378" s="70" t="s">
        <x:v>1211</x:v>
      </x:c>
      <x:c r="I1378" s="70" t="s">
        <x:v>1199</x:v>
      </x:c>
      <x:c r="J1378" s="70" t="n">
        <x:v>189</x:v>
      </x:c>
      <x:c r="K1378" s="70" t="s">
        <x:v>2130</x:v>
      </x:c>
      <x:c r="L1378" s="70"/>
      <x:c r="M1378" s="70" t="s">
        <x:v>40</x:v>
      </x:c>
      <x:c r="N1378" s="71" t="n">
        <x:v>0</x:v>
      </x:c>
      <x:c r="O1378" s="72" t="n">
        <x:f aca="0">N1378/1000</x:f>
        <x:v>0</x:v>
      </x:c>
      <x:c r="P1378" s="73" t="n">
        <x:f aca="0">MLCF!F52</x:f>
        <x:v>0</x:v>
      </x:c>
      <x:c r="Q1378" s="70" t="str">
        <x:f aca="0">IF(ABS(O1378-P1378)&lt;0.000001,"PASS","FAIL")</x:f>
        <x:v>PASS</x:v>
      </x:c>
      <x:c r="R1378" s="70" t="s">
        <x:v>34</x:v>
      </x:c>
      <x:c r="S1378" s="70"/>
    </x:row>
    <x:row r="1379" ht="15" hidden="0">
      <x:c r="A1379" s="70" t="s">
        <x:v>2727</x:v>
      </x:c>
      <x:c r="B1379" s="70" t="s">
        <x:v>42</x:v>
      </x:c>
      <x:c r="C1379" s="70" t="s">
        <x:v>76</x:v>
      </x:c>
      <x:c r="D1379" s="70" t="s">
        <x:v>356</x:v>
      </x:c>
      <x:c r="E1379" s="70" t="s">
        <x:v>1129</x:v>
      </x:c>
      <x:c r="F1379" s="70"/>
      <x:c r="G1379" s="70" t="s">
        <x:v>1675</x:v>
      </x:c>
      <x:c r="H1379" s="70" t="s">
        <x:v>1215</x:v>
      </x:c>
      <x:c r="I1379" s="70" t="s">
        <x:v>1199</x:v>
      </x:c>
      <x:c r="J1379" s="70" t="n">
        <x:v>201</x:v>
      </x:c>
      <x:c r="K1379" s="70" t="s">
        <x:v>2455</x:v>
      </x:c>
      <x:c r="L1379" s="70"/>
      <x:c r="M1379" s="70" t="s">
        <x:v>40</x:v>
      </x:c>
      <x:c r="N1379" s="71" t="n">
        <x:v>0</x:v>
      </x:c>
      <x:c r="O1379" s="72" t="n">
        <x:f aca="0">N1379/1000</x:f>
        <x:v>0</x:v>
      </x:c>
      <x:c r="P1379" s="73" t="n">
        <x:f aca="0">MLCF!G52</x:f>
        <x:v>0</x:v>
      </x:c>
      <x:c r="Q1379" s="70" t="str">
        <x:f aca="0">IF(ABS(O1379-P1379)&lt;0.000001,"PASS","FAIL")</x:f>
        <x:v>PASS</x:v>
      </x:c>
      <x:c r="R1379" s="70" t="s">
        <x:v>34</x:v>
      </x:c>
      <x:c r="S1379" s="70"/>
    </x:row>
    <x:row r="1380" ht="15" hidden="0">
      <x:c r="A1380" s="70" t="s">
        <x:v>2728</x:v>
      </x:c>
      <x:c r="B1380" s="70" t="s">
        <x:v>42</x:v>
      </x:c>
      <x:c r="C1380" s="70" t="s">
        <x:v>77</x:v>
      </x:c>
      <x:c r="D1380" s="70" t="s">
        <x:v>356</x:v>
      </x:c>
      <x:c r="E1380" s="70" t="s">
        <x:v>1129</x:v>
      </x:c>
      <x:c r="F1380" s="70"/>
      <x:c r="G1380" s="70" t="s">
        <x:v>1675</x:v>
      </x:c>
      <x:c r="H1380" s="70" t="s">
        <x:v>1215</x:v>
      </x:c>
      <x:c r="I1380" s="70" t="s">
        <x:v>1218</x:v>
      </x:c>
      <x:c r="J1380" s="70" t="n">
        <x:v>201</x:v>
      </x:c>
      <x:c r="K1380" s="70" t="s">
        <x:v>2455</x:v>
      </x:c>
      <x:c r="L1380" s="70"/>
      <x:c r="M1380" s="70" t="s">
        <x:v>40</x:v>
      </x:c>
      <x:c r="N1380" s="71" t="n">
        <x:v>0</x:v>
      </x:c>
      <x:c r="O1380" s="72" t="n">
        <x:f aca="0">N1380/1000</x:f>
        <x:v>0</x:v>
      </x:c>
      <x:c r="P1380" s="73" t="n">
        <x:f aca="0">MLCF!H52</x:f>
        <x:v>0</x:v>
      </x:c>
      <x:c r="Q1380" s="70" t="str">
        <x:f aca="0">IF(ABS(O1380-P1380)&lt;0.000001,"PASS","FAIL")</x:f>
        <x:v>PASS</x:v>
      </x:c>
      <x:c r="R1380" s="70" t="s">
        <x:v>34</x:v>
      </x:c>
      <x:c r="S1380" s="70"/>
    </x:row>
    <x:row r="1381" ht="15" hidden="0">
      <x:c r="A1381" s="70" t="s">
        <x:v>2729</x:v>
      </x:c>
      <x:c r="B1381" s="70" t="s">
        <x:v>42</x:v>
      </x:c>
      <x:c r="C1381" s="70" t="s">
        <x:v>1076</x:v>
      </x:c>
      <x:c r="D1381" s="70" t="s">
        <x:v>358</x:v>
      </x:c>
      <x:c r="E1381" s="70" t="s">
        <x:v>1129</x:v>
      </x:c>
      <x:c r="F1381" s="70" t="s">
        <x:v>1393</x:v>
      </x:c>
      <x:c r="G1381" s="70" t="s">
        <x:v>1663</x:v>
      </x:c>
      <x:c r="H1381" s="70" t="s">
        <x:v>1198</x:v>
      </x:c>
      <x:c r="I1381" s="70" t="s">
        <x:v>1199</x:v>
      </x:c>
      <x:c r="J1381" s="70" t="n">
        <x:v>162</x:v>
      </x:c>
      <x:c r="K1381" s="70" t="s">
        <x:v>2578</x:v>
      </x:c>
      <x:c r="L1381" s="70" t="s">
        <x:v>1252</x:v>
      </x:c>
      <x:c r="M1381" s="70" t="s">
        <x:v>40</x:v>
      </x:c>
      <x:c r="N1381" s="71" t="n">
        <x:v>547189</x:v>
      </x:c>
      <x:c r="O1381" s="72" t="n">
        <x:f aca="0">N1381/1000</x:f>
        <x:v>547.189</x:v>
      </x:c>
      <x:c r="P1381" s="73" t="n">
        <x:f aca="0">MLCF!C53</x:f>
        <x:v>547.189</x:v>
      </x:c>
      <x:c r="Q1381" s="70" t="str">
        <x:f aca="0">IF(ABS(O1381-P1381)&lt;0.000001,"PASS","FAIL")</x:f>
        <x:v>PASS</x:v>
      </x:c>
      <x:c r="R1381" s="70" t="s">
        <x:v>34</x:v>
      </x:c>
      <x:c r="S1381" s="70"/>
    </x:row>
    <x:row r="1382" ht="15" hidden="0">
      <x:c r="A1382" s="70" t="s">
        <x:v>2730</x:v>
      </x:c>
      <x:c r="B1382" s="70" t="s">
        <x:v>42</x:v>
      </x:c>
      <x:c r="C1382" s="70" t="s">
        <x:v>73</x:v>
      </x:c>
      <x:c r="D1382" s="70" t="s">
        <x:v>358</x:v>
      </x:c>
      <x:c r="E1382" s="70" t="s">
        <x:v>1129</x:v>
      </x:c>
      <x:c r="F1382" s="70" t="s">
        <x:v>1393</x:v>
      </x:c>
      <x:c r="G1382" s="70" t="s">
        <x:v>1666</x:v>
      </x:c>
      <x:c r="H1382" s="70" t="s">
        <x:v>1204</x:v>
      </x:c>
      <x:c r="I1382" s="70" t="s">
        <x:v>1199</x:v>
      </x:c>
      <x:c r="J1382" s="70" t="n">
        <x:v>183</x:v>
      </x:c>
      <x:c r="K1382" s="70" t="s">
        <x:v>2276</x:v>
      </x:c>
      <x:c r="L1382" s="70" t="s">
        <x:v>1252</x:v>
      </x:c>
      <x:c r="M1382" s="70" t="s">
        <x:v>40</x:v>
      </x:c>
      <x:c r="N1382" s="71" t="n">
        <x:v>260953</x:v>
      </x:c>
      <x:c r="O1382" s="72" t="n">
        <x:f aca="0">N1382/1000</x:f>
        <x:v>260.953</x:v>
      </x:c>
      <x:c r="P1382" s="73" t="n">
        <x:f aca="0">MLCF!D53</x:f>
        <x:v>260.953</x:v>
      </x:c>
      <x:c r="Q1382" s="70" t="str">
        <x:f aca="0">IF(ABS(O1382-P1382)&lt;0.000001,"PASS","FAIL")</x:f>
        <x:v>PASS</x:v>
      </x:c>
      <x:c r="R1382" s="70" t="s">
        <x:v>34</x:v>
      </x:c>
      <x:c r="S1382" s="70"/>
    </x:row>
    <x:row r="1383" ht="15" hidden="0">
      <x:c r="A1383" s="70" t="s">
        <x:v>2731</x:v>
      </x:c>
      <x:c r="B1383" s="70" t="s">
        <x:v>42</x:v>
      </x:c>
      <x:c r="C1383" s="70" t="s">
        <x:v>74</x:v>
      </x:c>
      <x:c r="D1383" s="70" t="s">
        <x:v>358</x:v>
      </x:c>
      <x:c r="E1383" s="70" t="s">
        <x:v>1129</x:v>
      </x:c>
      <x:c r="F1383" s="70" t="s">
        <x:v>1393</x:v>
      </x:c>
      <x:c r="G1383" s="70" t="s">
        <x:v>1669</x:v>
      </x:c>
      <x:c r="H1383" s="70" t="s">
        <x:v>1208</x:v>
      </x:c>
      <x:c r="I1383" s="70" t="s">
        <x:v>1199</x:v>
      </x:c>
      <x:c r="J1383" s="70" t="n">
        <x:v>98</x:v>
      </x:c>
      <x:c r="K1383" s="70" t="s">
        <x:v>2562</x:v>
      </x:c>
      <x:c r="L1383" s="70"/>
      <x:c r="M1383" s="70" t="s">
        <x:v>40</x:v>
      </x:c>
      <x:c r="N1383" s="71" t="n">
        <x:v>665122</x:v>
      </x:c>
      <x:c r="O1383" s="72" t="n">
        <x:f aca="0">N1383/1000</x:f>
        <x:v>665.122</x:v>
      </x:c>
      <x:c r="P1383" s="73" t="n">
        <x:f aca="0">MLCF!E53</x:f>
        <x:v>665.122</x:v>
      </x:c>
      <x:c r="Q1383" s="70" t="str">
        <x:f aca="0">IF(ABS(O1383-P1383)&lt;0.000001,"PASS","FAIL")</x:f>
        <x:v>PASS</x:v>
      </x:c>
      <x:c r="R1383" s="70" t="s">
        <x:v>34</x:v>
      </x:c>
      <x:c r="S1383" s="70"/>
    </x:row>
    <x:row r="1384" ht="15" hidden="0">
      <x:c r="A1384" s="70" t="s">
        <x:v>2732</x:v>
      </x:c>
      <x:c r="B1384" s="70" t="s">
        <x:v>42</x:v>
      </x:c>
      <x:c r="C1384" s="70" t="s">
        <x:v>75</x:v>
      </x:c>
      <x:c r="D1384" s="70" t="s">
        <x:v>358</x:v>
      </x:c>
      <x:c r="E1384" s="70" t="s">
        <x:v>1129</x:v>
      </x:c>
      <x:c r="F1384" s="70" t="s">
        <x:v>1393</x:v>
      </x:c>
      <x:c r="G1384" s="70" t="s">
        <x:v>1672</x:v>
      </x:c>
      <x:c r="H1384" s="70" t="s">
        <x:v>1211</x:v>
      </x:c>
      <x:c r="I1384" s="70" t="s">
        <x:v>1199</x:v>
      </x:c>
      <x:c r="J1384" s="70" t="n">
        <x:v>189</x:v>
      </x:c>
      <x:c r="K1384" s="70" t="s">
        <x:v>2130</x:v>
      </x:c>
      <x:c r="L1384" s="70" t="s">
        <x:v>1252</x:v>
      </x:c>
      <x:c r="M1384" s="70" t="s">
        <x:v>40</x:v>
      </x:c>
      <x:c r="N1384" s="71" t="n">
        <x:v>880039</x:v>
      </x:c>
      <x:c r="O1384" s="72" t="n">
        <x:f aca="0">N1384/1000</x:f>
        <x:v>880.039</x:v>
      </x:c>
      <x:c r="P1384" s="73" t="n">
        <x:f aca="0">MLCF!F53</x:f>
        <x:v>880.039</x:v>
      </x:c>
      <x:c r="Q1384" s="70" t="str">
        <x:f aca="0">IF(ABS(O1384-P1384)&lt;0.000001,"PASS","FAIL")</x:f>
        <x:v>PASS</x:v>
      </x:c>
      <x:c r="R1384" s="70" t="s">
        <x:v>34</x:v>
      </x:c>
      <x:c r="S1384" s="70"/>
    </x:row>
    <x:row r="1385" ht="15" hidden="0">
      <x:c r="A1385" s="70" t="s">
        <x:v>2733</x:v>
      </x:c>
      <x:c r="B1385" s="70" t="s">
        <x:v>42</x:v>
      </x:c>
      <x:c r="C1385" s="70" t="s">
        <x:v>76</x:v>
      </x:c>
      <x:c r="D1385" s="70" t="s">
        <x:v>358</x:v>
      </x:c>
      <x:c r="E1385" s="70" t="s">
        <x:v>1129</x:v>
      </x:c>
      <x:c r="F1385" s="70" t="s">
        <x:v>1393</x:v>
      </x:c>
      <x:c r="G1385" s="70" t="s">
        <x:v>1675</x:v>
      </x:c>
      <x:c r="H1385" s="70" t="s">
        <x:v>1215</x:v>
      </x:c>
      <x:c r="I1385" s="70" t="s">
        <x:v>1199</x:v>
      </x:c>
      <x:c r="J1385" s="70" t="n">
        <x:v>201</x:v>
      </x:c>
      <x:c r="K1385" s="70" t="s">
        <x:v>2455</x:v>
      </x:c>
      <x:c r="L1385" s="70" t="s">
        <x:v>1239</x:v>
      </x:c>
      <x:c r="M1385" s="70" t="s">
        <x:v>40</x:v>
      </x:c>
      <x:c r="N1385" s="71" t="n">
        <x:v>865945</x:v>
      </x:c>
      <x:c r="O1385" s="72" t="n">
        <x:f aca="0">N1385/1000</x:f>
        <x:v>865.945</x:v>
      </x:c>
      <x:c r="P1385" s="73" t="n">
        <x:f aca="0">MLCF!G53</x:f>
        <x:v>865.945</x:v>
      </x:c>
      <x:c r="Q1385" s="70" t="str">
        <x:f aca="0">IF(ABS(O1385-P1385)&lt;0.000001,"PASS","FAIL")</x:f>
        <x:v>PASS</x:v>
      </x:c>
      <x:c r="R1385" s="70" t="s">
        <x:v>34</x:v>
      </x:c>
      <x:c r="S1385" s="70"/>
    </x:row>
    <x:row r="1386" ht="15" hidden="0">
      <x:c r="A1386" s="70" t="s">
        <x:v>2734</x:v>
      </x:c>
      <x:c r="B1386" s="70" t="s">
        <x:v>42</x:v>
      </x:c>
      <x:c r="C1386" s="70" t="s">
        <x:v>77</x:v>
      </x:c>
      <x:c r="D1386" s="70" t="s">
        <x:v>358</x:v>
      </x:c>
      <x:c r="E1386" s="70" t="s">
        <x:v>1129</x:v>
      </x:c>
      <x:c r="F1386" s="70" t="s">
        <x:v>1393</x:v>
      </x:c>
      <x:c r="G1386" s="70" t="s">
        <x:v>1675</x:v>
      </x:c>
      <x:c r="H1386" s="70" t="s">
        <x:v>1215</x:v>
      </x:c>
      <x:c r="I1386" s="70" t="s">
        <x:v>1218</x:v>
      </x:c>
      <x:c r="J1386" s="70" t="n">
        <x:v>201</x:v>
      </x:c>
      <x:c r="K1386" s="70" t="s">
        <x:v>2455</x:v>
      </x:c>
      <x:c r="L1386" s="70" t="s">
        <x:v>1239</x:v>
      </x:c>
      <x:c r="M1386" s="70" t="s">
        <x:v>40</x:v>
      </x:c>
      <x:c r="N1386" s="71" t="n">
        <x:v>320434</x:v>
      </x:c>
      <x:c r="O1386" s="72" t="n">
        <x:f aca="0">N1386/1000</x:f>
        <x:v>320.434</x:v>
      </x:c>
      <x:c r="P1386" s="73" t="n">
        <x:f aca="0">MLCF!H53</x:f>
        <x:v>320.434</x:v>
      </x:c>
      <x:c r="Q1386" s="70" t="str">
        <x:f aca="0">IF(ABS(O1386-P1386)&lt;0.000001,"PASS","FAIL")</x:f>
        <x:v>PASS</x:v>
      </x:c>
      <x:c r="R1386" s="70" t="s">
        <x:v>34</x:v>
      </x:c>
      <x:c r="S1386" s="70"/>
    </x:row>
    <x:row r="1387" ht="15" hidden="0">
      <x:c r="A1387" s="70" t="s">
        <x:v>2735</x:v>
      </x:c>
      <x:c r="B1387" s="70" t="s">
        <x:v>42</x:v>
      </x:c>
      <x:c r="C1387" s="70" t="s">
        <x:v>1076</x:v>
      </x:c>
      <x:c r="D1387" s="70" t="s">
        <x:v>360</x:v>
      </x:c>
      <x:c r="E1387" s="70" t="s">
        <x:v>1129</x:v>
      </x:c>
      <x:c r="F1387" s="70" t="s">
        <x:v>1843</x:v>
      </x:c>
      <x:c r="G1387" s="70" t="s">
        <x:v>1663</x:v>
      </x:c>
      <x:c r="H1387" s="70" t="s">
        <x:v>1198</x:v>
      </x:c>
      <x:c r="I1387" s="70" t="s">
        <x:v>1199</x:v>
      </x:c>
      <x:c r="J1387" s="70" t="n">
        <x:v>162</x:v>
      </x:c>
      <x:c r="K1387" s="70" t="s">
        <x:v>2578</x:v>
      </x:c>
      <x:c r="L1387" s="70" t="s">
        <x:v>1246</x:v>
      </x:c>
      <x:c r="M1387" s="70" t="s">
        <x:v>40</x:v>
      </x:c>
      <x:c r="N1387" s="71" t="n">
        <x:v>6642312</x:v>
      </x:c>
      <x:c r="O1387" s="72" t="n">
        <x:f aca="0">N1387/1000</x:f>
        <x:v>6642.312</x:v>
      </x:c>
      <x:c r="P1387" s="73" t="n">
        <x:f aca="0">MLCF!C54</x:f>
        <x:v>6642.312</x:v>
      </x:c>
      <x:c r="Q1387" s="70" t="str">
        <x:f aca="0">IF(ABS(O1387-P1387)&lt;0.000001,"PASS","FAIL")</x:f>
        <x:v>PASS</x:v>
      </x:c>
      <x:c r="R1387" s="70" t="s">
        <x:v>34</x:v>
      </x:c>
      <x:c r="S1387" s="70"/>
    </x:row>
    <x:row r="1388" ht="15" hidden="0">
      <x:c r="A1388" s="70" t="s">
        <x:v>2736</x:v>
      </x:c>
      <x:c r="B1388" s="70" t="s">
        <x:v>42</x:v>
      </x:c>
      <x:c r="C1388" s="70" t="s">
        <x:v>73</x:v>
      </x:c>
      <x:c r="D1388" s="70" t="s">
        <x:v>360</x:v>
      </x:c>
      <x:c r="E1388" s="70" t="s">
        <x:v>1129</x:v>
      </x:c>
      <x:c r="F1388" s="70" t="s">
        <x:v>1843</x:v>
      </x:c>
      <x:c r="G1388" s="70" t="s">
        <x:v>1666</x:v>
      </x:c>
      <x:c r="H1388" s="70" t="s">
        <x:v>1204</x:v>
      </x:c>
      <x:c r="I1388" s="70" t="s">
        <x:v>1199</x:v>
      </x:c>
      <x:c r="J1388" s="70" t="n">
        <x:v>183</x:v>
      </x:c>
      <x:c r="K1388" s="70" t="s">
        <x:v>2276</x:v>
      </x:c>
      <x:c r="L1388" s="70" t="s">
        <x:v>1246</x:v>
      </x:c>
      <x:c r="M1388" s="70" t="s">
        <x:v>40</x:v>
      </x:c>
      <x:c r="N1388" s="71" t="n">
        <x:v>1894115</x:v>
      </x:c>
      <x:c r="O1388" s="72" t="n">
        <x:f aca="0">N1388/1000</x:f>
        <x:v>1894.115</x:v>
      </x:c>
      <x:c r="P1388" s="73" t="n">
        <x:f aca="0">MLCF!D54</x:f>
        <x:v>1894.115</x:v>
      </x:c>
      <x:c r="Q1388" s="70" t="str">
        <x:f aca="0">IF(ABS(O1388-P1388)&lt;0.000001,"PASS","FAIL")</x:f>
        <x:v>PASS</x:v>
      </x:c>
      <x:c r="R1388" s="70" t="s">
        <x:v>34</x:v>
      </x:c>
      <x:c r="S1388" s="70"/>
    </x:row>
    <x:row r="1389" ht="15" hidden="0">
      <x:c r="A1389" s="70" t="s">
        <x:v>2737</x:v>
      </x:c>
      <x:c r="B1389" s="70" t="s">
        <x:v>42</x:v>
      </x:c>
      <x:c r="C1389" s="70" t="s">
        <x:v>74</x:v>
      </x:c>
      <x:c r="D1389" s="70" t="s">
        <x:v>360</x:v>
      </x:c>
      <x:c r="E1389" s="70" t="s">
        <x:v>1129</x:v>
      </x:c>
      <x:c r="F1389" s="70" t="s">
        <x:v>1843</x:v>
      </x:c>
      <x:c r="G1389" s="70" t="s">
        <x:v>1669</x:v>
      </x:c>
      <x:c r="H1389" s="70" t="s">
        <x:v>1208</x:v>
      </x:c>
      <x:c r="I1389" s="70" t="s">
        <x:v>1199</x:v>
      </x:c>
      <x:c r="J1389" s="70" t="n">
        <x:v>98</x:v>
      </x:c>
      <x:c r="K1389" s="70" t="s">
        <x:v>2562</x:v>
      </x:c>
      <x:c r="L1389" s="70"/>
      <x:c r="M1389" s="70" t="s">
        <x:v>40</x:v>
      </x:c>
      <x:c r="N1389" s="71" t="n">
        <x:v>3572073</x:v>
      </x:c>
      <x:c r="O1389" s="72" t="n">
        <x:f aca="0">N1389/1000</x:f>
        <x:v>3572.073</x:v>
      </x:c>
      <x:c r="P1389" s="73" t="n">
        <x:f aca="0">MLCF!E54</x:f>
        <x:v>3572.073</x:v>
      </x:c>
      <x:c r="Q1389" s="70" t="str">
        <x:f aca="0">IF(ABS(O1389-P1389)&lt;0.000001,"PASS","FAIL")</x:f>
        <x:v>PASS</x:v>
      </x:c>
      <x:c r="R1389" s="70" t="s">
        <x:v>34</x:v>
      </x:c>
      <x:c r="S1389" s="70"/>
    </x:row>
    <x:row r="1390" ht="15" hidden="0">
      <x:c r="A1390" s="70" t="s">
        <x:v>2738</x:v>
      </x:c>
      <x:c r="B1390" s="70" t="s">
        <x:v>42</x:v>
      </x:c>
      <x:c r="C1390" s="70" t="s">
        <x:v>75</x:v>
      </x:c>
      <x:c r="D1390" s="70" t="s">
        <x:v>360</x:v>
      </x:c>
      <x:c r="E1390" s="70" t="s">
        <x:v>1129</x:v>
      </x:c>
      <x:c r="F1390" s="70" t="s">
        <x:v>2292</x:v>
      </x:c>
      <x:c r="G1390" s="70" t="s">
        <x:v>1672</x:v>
      </x:c>
      <x:c r="H1390" s="70" t="s">
        <x:v>1211</x:v>
      </x:c>
      <x:c r="I1390" s="70" t="s">
        <x:v>1199</x:v>
      </x:c>
      <x:c r="J1390" s="70" t="n">
        <x:v>189</x:v>
      </x:c>
      <x:c r="K1390" s="70" t="s">
        <x:v>2130</x:v>
      </x:c>
      <x:c r="L1390" s="70" t="s">
        <x:v>1246</x:v>
      </x:c>
      <x:c r="M1390" s="70" t="s">
        <x:v>40</x:v>
      </x:c>
      <x:c r="N1390" s="71" t="n">
        <x:v>0</x:v>
      </x:c>
      <x:c r="O1390" s="72" t="n">
        <x:f aca="0">N1390/1000</x:f>
        <x:v>0</x:v>
      </x:c>
      <x:c r="P1390" s="73" t="n">
        <x:f aca="0">MLCF!F54</x:f>
        <x:v>0</x:v>
      </x:c>
      <x:c r="Q1390" s="70" t="str">
        <x:f aca="0">IF(ABS(O1390-P1390)&lt;0.000001,"PASS","FAIL")</x:f>
        <x:v>PASS</x:v>
      </x:c>
      <x:c r="R1390" s="70" t="s">
        <x:v>34</x:v>
      </x:c>
      <x:c r="S1390" s="70"/>
    </x:row>
    <x:row r="1391" ht="15" hidden="0">
      <x:c r="A1391" s="70" t="s">
        <x:v>2739</x:v>
      </x:c>
      <x:c r="B1391" s="70" t="s">
        <x:v>42</x:v>
      </x:c>
      <x:c r="C1391" s="70" t="s">
        <x:v>76</x:v>
      </x:c>
      <x:c r="D1391" s="70" t="s">
        <x:v>360</x:v>
      </x:c>
      <x:c r="E1391" s="70" t="s">
        <x:v>1129</x:v>
      </x:c>
      <x:c r="F1391" s="70" t="s">
        <x:v>2292</x:v>
      </x:c>
      <x:c r="G1391" s="70" t="s">
        <x:v>1675</x:v>
      </x:c>
      <x:c r="H1391" s="70" t="s">
        <x:v>1215</x:v>
      </x:c>
      <x:c r="I1391" s="70" t="s">
        <x:v>1199</x:v>
      </x:c>
      <x:c r="J1391" s="70" t="n">
        <x:v>201</x:v>
      </x:c>
      <x:c r="K1391" s="70" t="s">
        <x:v>2455</x:v>
      </x:c>
      <x:c r="L1391" s="70" t="s">
        <x:v>1252</x:v>
      </x:c>
      <x:c r="M1391" s="70" t="s">
        <x:v>40</x:v>
      </x:c>
      <x:c r="N1391" s="71" t="n">
        <x:v>1645316</x:v>
      </x:c>
      <x:c r="O1391" s="72" t="n">
        <x:f aca="0">N1391/1000</x:f>
        <x:v>1645.316</x:v>
      </x:c>
      <x:c r="P1391" s="73" t="n">
        <x:f aca="0">MLCF!G54</x:f>
        <x:v>1645.316</x:v>
      </x:c>
      <x:c r="Q1391" s="70" t="str">
        <x:f aca="0">IF(ABS(O1391-P1391)&lt;0.000001,"PASS","FAIL")</x:f>
        <x:v>PASS</x:v>
      </x:c>
      <x:c r="R1391" s="70" t="s">
        <x:v>34</x:v>
      </x:c>
      <x:c r="S1391" s="70"/>
    </x:row>
    <x:row r="1392" ht="15" hidden="0">
      <x:c r="A1392" s="70" t="s">
        <x:v>2740</x:v>
      </x:c>
      <x:c r="B1392" s="70" t="s">
        <x:v>42</x:v>
      </x:c>
      <x:c r="C1392" s="70" t="s">
        <x:v>77</x:v>
      </x:c>
      <x:c r="D1392" s="70" t="s">
        <x:v>360</x:v>
      </x:c>
      <x:c r="E1392" s="70" t="s">
        <x:v>1129</x:v>
      </x:c>
      <x:c r="F1392" s="70" t="s">
        <x:v>2292</x:v>
      </x:c>
      <x:c r="G1392" s="70" t="s">
        <x:v>1675</x:v>
      </x:c>
      <x:c r="H1392" s="70" t="s">
        <x:v>1215</x:v>
      </x:c>
      <x:c r="I1392" s="70" t="s">
        <x:v>1218</x:v>
      </x:c>
      <x:c r="J1392" s="70" t="n">
        <x:v>201</x:v>
      </x:c>
      <x:c r="K1392" s="70" t="s">
        <x:v>2455</x:v>
      </x:c>
      <x:c r="L1392" s="70" t="s">
        <x:v>1252</x:v>
      </x:c>
      <x:c r="M1392" s="70" t="s">
        <x:v>40</x:v>
      </x:c>
      <x:c r="N1392" s="71" t="n">
        <x:v>822285</x:v>
      </x:c>
      <x:c r="O1392" s="72" t="n">
        <x:f aca="0">N1392/1000</x:f>
        <x:v>822.285</x:v>
      </x:c>
      <x:c r="P1392" s="73" t="n">
        <x:f aca="0">MLCF!H54</x:f>
        <x:v>822.285</x:v>
      </x:c>
      <x:c r="Q1392" s="70" t="str">
        <x:f aca="0">IF(ABS(O1392-P1392)&lt;0.000001,"PASS","FAIL")</x:f>
        <x:v>PASS</x:v>
      </x:c>
      <x:c r="R1392" s="70" t="s">
        <x:v>34</x:v>
      </x:c>
      <x:c r="S1392" s="70"/>
    </x:row>
    <x:row r="1393" ht="15" hidden="0">
      <x:c r="A1393" s="70" t="s">
        <x:v>2741</x:v>
      </x:c>
      <x:c r="B1393" s="70" t="s">
        <x:v>42</x:v>
      </x:c>
      <x:c r="C1393" s="70" t="s">
        <x:v>1076</x:v>
      </x:c>
      <x:c r="D1393" s="70" t="s">
        <x:v>362</x:v>
      </x:c>
      <x:c r="E1393" s="70" t="s">
        <x:v>1129</x:v>
      </x:c>
      <x:c r="F1393" s="70" t="s">
        <x:v>2742</x:v>
      </x:c>
      <x:c r="G1393" s="70" t="s">
        <x:v>1663</x:v>
      </x:c>
      <x:c r="H1393" s="70" t="s">
        <x:v>1198</x:v>
      </x:c>
      <x:c r="I1393" s="70" t="s">
        <x:v>1199</x:v>
      </x:c>
      <x:c r="J1393" s="70" t="n">
        <x:v>162</x:v>
      </x:c>
      <x:c r="K1393" s="70" t="s">
        <x:v>2578</x:v>
      </x:c>
      <x:c r="L1393" s="70"/>
      <x:c r="M1393" s="70" t="s">
        <x:v>40</x:v>
      </x:c>
      <x:c r="N1393" s="71" t="n">
        <x:v>125000</x:v>
      </x:c>
      <x:c r="O1393" s="72" t="n">
        <x:f aca="0">N1393/1000</x:f>
        <x:v>125</x:v>
      </x:c>
      <x:c r="P1393" s="73" t="n">
        <x:f aca="0">MLCF!C55</x:f>
        <x:v>125</x:v>
      </x:c>
      <x:c r="Q1393" s="70" t="str">
        <x:f aca="0">IF(ABS(O1393-P1393)&lt;0.000001,"PASS","FAIL")</x:f>
        <x:v>PASS</x:v>
      </x:c>
      <x:c r="R1393" s="70" t="s">
        <x:v>34</x:v>
      </x:c>
      <x:c r="S1393" s="70"/>
    </x:row>
    <x:row r="1394" ht="15" hidden="0">
      <x:c r="A1394" s="70" t="s">
        <x:v>2743</x:v>
      </x:c>
      <x:c r="B1394" s="70" t="s">
        <x:v>42</x:v>
      </x:c>
      <x:c r="C1394" s="70" t="s">
        <x:v>73</x:v>
      </x:c>
      <x:c r="D1394" s="70" t="s">
        <x:v>362</x:v>
      </x:c>
      <x:c r="E1394" s="70" t="s">
        <x:v>1129</x:v>
      </x:c>
      <x:c r="F1394" s="70" t="s">
        <x:v>2742</x:v>
      </x:c>
      <x:c r="G1394" s="70" t="s">
        <x:v>1666</x:v>
      </x:c>
      <x:c r="H1394" s="70" t="s">
        <x:v>1204</x:v>
      </x:c>
      <x:c r="I1394" s="70" t="s">
        <x:v>1199</x:v>
      </x:c>
      <x:c r="J1394" s="70" t="n">
        <x:v>183</x:v>
      </x:c>
      <x:c r="K1394" s="70" t="s">
        <x:v>2276</x:v>
      </x:c>
      <x:c r="L1394" s="70"/>
      <x:c r="M1394" s="70" t="s">
        <x:v>40</x:v>
      </x:c>
      <x:c r="N1394" s="71" t="n">
        <x:v>1704612</x:v>
      </x:c>
      <x:c r="O1394" s="72" t="n">
        <x:f aca="0">N1394/1000</x:f>
        <x:v>1704.612</x:v>
      </x:c>
      <x:c r="P1394" s="73" t="n">
        <x:f aca="0">MLCF!D55</x:f>
        <x:v>1704.612</x:v>
      </x:c>
      <x:c r="Q1394" s="70" t="str">
        <x:f aca="0">IF(ABS(O1394-P1394)&lt;0.000001,"PASS","FAIL")</x:f>
        <x:v>PASS</x:v>
      </x:c>
      <x:c r="R1394" s="70" t="s">
        <x:v>34</x:v>
      </x:c>
      <x:c r="S1394" s="70"/>
    </x:row>
    <x:row r="1395" ht="15" hidden="0">
      <x:c r="A1395" s="70" t="s">
        <x:v>2744</x:v>
      </x:c>
      <x:c r="B1395" s="70" t="s">
        <x:v>42</x:v>
      </x:c>
      <x:c r="C1395" s="70" t="s">
        <x:v>74</x:v>
      </x:c>
      <x:c r="D1395" s="70" t="s">
        <x:v>362</x:v>
      </x:c>
      <x:c r="E1395" s="70" t="s">
        <x:v>1129</x:v>
      </x:c>
      <x:c r="F1395" s="70" t="s">
        <x:v>2742</x:v>
      </x:c>
      <x:c r="G1395" s="70" t="s">
        <x:v>1669</x:v>
      </x:c>
      <x:c r="H1395" s="70" t="s">
        <x:v>1208</x:v>
      </x:c>
      <x:c r="I1395" s="70" t="s">
        <x:v>1199</x:v>
      </x:c>
      <x:c r="J1395" s="70" t="n">
        <x:v>98</x:v>
      </x:c>
      <x:c r="K1395" s="70" t="s">
        <x:v>2562</x:v>
      </x:c>
      <x:c r="L1395" s="70"/>
      <x:c r="M1395" s="70" t="s">
        <x:v>40</x:v>
      </x:c>
      <x:c r="N1395" s="71" t="n">
        <x:v>2619800</x:v>
      </x:c>
      <x:c r="O1395" s="72" t="n">
        <x:f aca="0">N1395/1000</x:f>
        <x:v>2619.8</x:v>
      </x:c>
      <x:c r="P1395" s="73" t="n">
        <x:f aca="0">MLCF!E55</x:f>
        <x:v>2619.8</x:v>
      </x:c>
      <x:c r="Q1395" s="70" t="str">
        <x:f aca="0">IF(ABS(O1395-P1395)&lt;0.000001,"PASS","FAIL")</x:f>
        <x:v>PASS</x:v>
      </x:c>
      <x:c r="R1395" s="70" t="s">
        <x:v>34</x:v>
      </x:c>
      <x:c r="S1395" s="70"/>
    </x:row>
    <x:row r="1396" ht="15" hidden="0">
      <x:c r="A1396" s="70" t="s">
        <x:v>2745</x:v>
      </x:c>
      <x:c r="B1396" s="70" t="s">
        <x:v>42</x:v>
      </x:c>
      <x:c r="C1396" s="70" t="s">
        <x:v>75</x:v>
      </x:c>
      <x:c r="D1396" s="70" t="s">
        <x:v>362</x:v>
      </x:c>
      <x:c r="E1396" s="70" t="s">
        <x:v>1129</x:v>
      </x:c>
      <x:c r="F1396" s="70" t="s">
        <x:v>2742</x:v>
      </x:c>
      <x:c r="G1396" s="70" t="s">
        <x:v>1672</x:v>
      </x:c>
      <x:c r="H1396" s="70" t="s">
        <x:v>1211</x:v>
      </x:c>
      <x:c r="I1396" s="70" t="s">
        <x:v>1199</x:v>
      </x:c>
      <x:c r="J1396" s="70" t="n">
        <x:v>189</x:v>
      </x:c>
      <x:c r="K1396" s="70" t="s">
        <x:v>2130</x:v>
      </x:c>
      <x:c r="L1396" s="70"/>
      <x:c r="M1396" s="70" t="s">
        <x:v>40</x:v>
      </x:c>
      <x:c r="N1396" s="71" t="n">
        <x:v>2599401</x:v>
      </x:c>
      <x:c r="O1396" s="72" t="n">
        <x:f aca="0">N1396/1000</x:f>
        <x:v>2599.401</x:v>
      </x:c>
      <x:c r="P1396" s="73" t="n">
        <x:f aca="0">MLCF!F55</x:f>
        <x:v>2599.401</x:v>
      </x:c>
      <x:c r="Q1396" s="70" t="str">
        <x:f aca="0">IF(ABS(O1396-P1396)&lt;0.000001,"PASS","FAIL")</x:f>
        <x:v>PASS</x:v>
      </x:c>
      <x:c r="R1396" s="70" t="s">
        <x:v>34</x:v>
      </x:c>
      <x:c r="S1396" s="70"/>
    </x:row>
    <x:row r="1397" ht="15" hidden="0">
      <x:c r="A1397" s="70" t="s">
        <x:v>2746</x:v>
      </x:c>
      <x:c r="B1397" s="70" t="s">
        <x:v>42</x:v>
      </x:c>
      <x:c r="C1397" s="70" t="s">
        <x:v>76</x:v>
      </x:c>
      <x:c r="D1397" s="70" t="s">
        <x:v>362</x:v>
      </x:c>
      <x:c r="E1397" s="70" t="s">
        <x:v>1129</x:v>
      </x:c>
      <x:c r="F1397" s="70" t="s">
        <x:v>2742</x:v>
      </x:c>
      <x:c r="G1397" s="70" t="s">
        <x:v>1675</x:v>
      </x:c>
      <x:c r="H1397" s="70" t="s">
        <x:v>1215</x:v>
      </x:c>
      <x:c r="I1397" s="70" t="s">
        <x:v>1199</x:v>
      </x:c>
      <x:c r="J1397" s="70" t="n">
        <x:v>201</x:v>
      </x:c>
      <x:c r="K1397" s="70" t="s">
        <x:v>2455</x:v>
      </x:c>
      <x:c r="L1397" s="70"/>
      <x:c r="M1397" s="70" t="s">
        <x:v>40</x:v>
      </x:c>
      <x:c r="N1397" s="71" t="n">
        <x:v>3407702</x:v>
      </x:c>
      <x:c r="O1397" s="72" t="n">
        <x:f aca="0">N1397/1000</x:f>
        <x:v>3407.702</x:v>
      </x:c>
      <x:c r="P1397" s="73" t="n">
        <x:f aca="0">MLCF!G55</x:f>
        <x:v>3407.702</x:v>
      </x:c>
      <x:c r="Q1397" s="70" t="str">
        <x:f aca="0">IF(ABS(O1397-P1397)&lt;0.000001,"PASS","FAIL")</x:f>
        <x:v>PASS</x:v>
      </x:c>
      <x:c r="R1397" s="70" t="s">
        <x:v>34</x:v>
      </x:c>
      <x:c r="S1397" s="70"/>
    </x:row>
    <x:row r="1398" ht="15" hidden="0">
      <x:c r="A1398" s="70" t="s">
        <x:v>2747</x:v>
      </x:c>
      <x:c r="B1398" s="70" t="s">
        <x:v>42</x:v>
      </x:c>
      <x:c r="C1398" s="70" t="s">
        <x:v>77</x:v>
      </x:c>
      <x:c r="D1398" s="70" t="s">
        <x:v>362</x:v>
      </x:c>
      <x:c r="E1398" s="70" t="s">
        <x:v>1129</x:v>
      </x:c>
      <x:c r="F1398" s="70" t="s">
        <x:v>2742</x:v>
      </x:c>
      <x:c r="G1398" s="70" t="s">
        <x:v>1675</x:v>
      </x:c>
      <x:c r="H1398" s="70" t="s">
        <x:v>1215</x:v>
      </x:c>
      <x:c r="I1398" s="70" t="s">
        <x:v>1218</x:v>
      </x:c>
      <x:c r="J1398" s="70" t="n">
        <x:v>201</x:v>
      </x:c>
      <x:c r="K1398" s="70" t="s">
        <x:v>2455</x:v>
      </x:c>
      <x:c r="L1398" s="70"/>
      <x:c r="M1398" s="70" t="s">
        <x:v>40</x:v>
      </x:c>
      <x:c r="N1398" s="71" t="n">
        <x:v>3933328</x:v>
      </x:c>
      <x:c r="O1398" s="72" t="n">
        <x:f aca="0">N1398/1000</x:f>
        <x:v>3933.328</x:v>
      </x:c>
      <x:c r="P1398" s="73" t="n">
        <x:f aca="0">MLCF!H55</x:f>
        <x:v>3933.328</x:v>
      </x:c>
      <x:c r="Q1398" s="70" t="str">
        <x:f aca="0">IF(ABS(O1398-P1398)&lt;0.000001,"PASS","FAIL")</x:f>
        <x:v>PASS</x:v>
      </x:c>
      <x:c r="R1398" s="70" t="s">
        <x:v>34</x:v>
      </x:c>
      <x:c r="S1398" s="70"/>
    </x:row>
    <x:row r="1399" ht="15" hidden="0">
      <x:c r="A1399" s="70" t="s">
        <x:v>2748</x:v>
      </x:c>
      <x:c r="B1399" s="70" t="s">
        <x:v>42</x:v>
      </x:c>
      <x:c r="C1399" s="70" t="s">
        <x:v>1076</x:v>
      </x:c>
      <x:c r="D1399" s="70" t="s">
        <x:v>364</x:v>
      </x:c>
      <x:c r="E1399" s="70" t="s">
        <x:v>1129</x:v>
      </x:c>
      <x:c r="F1399" s="70"/>
      <x:c r="G1399" s="70" t="s">
        <x:v>1663</x:v>
      </x:c>
      <x:c r="H1399" s="70" t="s">
        <x:v>1198</x:v>
      </x:c>
      <x:c r="I1399" s="70" t="s">
        <x:v>1199</x:v>
      </x:c>
      <x:c r="J1399" s="70" t="n">
        <x:v>162</x:v>
      </x:c>
      <x:c r="K1399" s="70" t="s">
        <x:v>2578</x:v>
      </x:c>
      <x:c r="L1399" s="70"/>
      <x:c r="M1399" s="70" t="s">
        <x:v>40</x:v>
      </x:c>
      <x:c r="N1399" s="71" t="n">
        <x:v>0</x:v>
      </x:c>
      <x:c r="O1399" s="72" t="n">
        <x:f aca="0">N1399/1000</x:f>
        <x:v>0</x:v>
      </x:c>
      <x:c r="P1399" s="73" t="n">
        <x:f aca="0">MLCF!C56</x:f>
        <x:v>0</x:v>
      </x:c>
      <x:c r="Q1399" s="70" t="str">
        <x:f aca="0">IF(ABS(O1399-P1399)&lt;0.000001,"PASS","FAIL")</x:f>
        <x:v>PASS</x:v>
      </x:c>
      <x:c r="R1399" s="70" t="s">
        <x:v>34</x:v>
      </x:c>
      <x:c r="S1399" s="70"/>
    </x:row>
    <x:row r="1400" ht="15" hidden="0">
      <x:c r="A1400" s="70" t="s">
        <x:v>2749</x:v>
      </x:c>
      <x:c r="B1400" s="70" t="s">
        <x:v>42</x:v>
      </x:c>
      <x:c r="C1400" s="70" t="s">
        <x:v>73</x:v>
      </x:c>
      <x:c r="D1400" s="70" t="s">
        <x:v>364</x:v>
      </x:c>
      <x:c r="E1400" s="70" t="s">
        <x:v>1129</x:v>
      </x:c>
      <x:c r="F1400" s="70" t="s">
        <x:v>2750</x:v>
      </x:c>
      <x:c r="G1400" s="70" t="s">
        <x:v>1666</x:v>
      </x:c>
      <x:c r="H1400" s="70" t="s">
        <x:v>1204</x:v>
      </x:c>
      <x:c r="I1400" s="70" t="s">
        <x:v>1199</x:v>
      </x:c>
      <x:c r="J1400" s="70" t="n">
        <x:v>183</x:v>
      </x:c>
      <x:c r="K1400" s="70" t="s">
        <x:v>2276</x:v>
      </x:c>
      <x:c r="L1400" s="70" t="s">
        <x:v>1406</x:v>
      </x:c>
      <x:c r="M1400" s="70" t="s">
        <x:v>40</x:v>
      </x:c>
      <x:c r="N1400" s="71" t="n">
        <x:v>0</x:v>
      </x:c>
      <x:c r="O1400" s="72" t="n">
        <x:f aca="0">N1400/1000</x:f>
        <x:v>0</x:v>
      </x:c>
      <x:c r="P1400" s="73" t="n">
        <x:f aca="0">MLCF!D56</x:f>
        <x:v>0</x:v>
      </x:c>
      <x:c r="Q1400" s="70" t="str">
        <x:f aca="0">IF(ABS(O1400-P1400)&lt;0.000001,"PASS","FAIL")</x:f>
        <x:v>PASS</x:v>
      </x:c>
      <x:c r="R1400" s="70" t="s">
        <x:v>34</x:v>
      </x:c>
      <x:c r="S1400" s="70"/>
    </x:row>
    <x:row r="1401" ht="15" hidden="0">
      <x:c r="A1401" s="70" t="s">
        <x:v>2751</x:v>
      </x:c>
      <x:c r="B1401" s="70" t="s">
        <x:v>42</x:v>
      </x:c>
      <x:c r="C1401" s="70" t="s">
        <x:v>74</x:v>
      </x:c>
      <x:c r="D1401" s="70" t="s">
        <x:v>364</x:v>
      </x:c>
      <x:c r="E1401" s="70" t="s">
        <x:v>1129</x:v>
      </x:c>
      <x:c r="F1401" s="70" t="s">
        <x:v>2750</x:v>
      </x:c>
      <x:c r="G1401" s="70" t="s">
        <x:v>1669</x:v>
      </x:c>
      <x:c r="H1401" s="70" t="s">
        <x:v>1208</x:v>
      </x:c>
      <x:c r="I1401" s="70" t="s">
        <x:v>1199</x:v>
      </x:c>
      <x:c r="J1401" s="70" t="n">
        <x:v>98</x:v>
      </x:c>
      <x:c r="K1401" s="70" t="s">
        <x:v>2562</x:v>
      </x:c>
      <x:c r="L1401" s="70"/>
      <x:c r="M1401" s="70" t="s">
        <x:v>40</x:v>
      </x:c>
      <x:c r="N1401" s="71" t="n">
        <x:v>6837</x:v>
      </x:c>
      <x:c r="O1401" s="72" t="n">
        <x:f aca="0">N1401/1000</x:f>
        <x:v>6.837</x:v>
      </x:c>
      <x:c r="P1401" s="73" t="n">
        <x:f aca="0">MLCF!E56</x:f>
        <x:v>6.837</x:v>
      </x:c>
      <x:c r="Q1401" s="70" t="str">
        <x:f aca="0">IF(ABS(O1401-P1401)&lt;0.000001,"PASS","FAIL")</x:f>
        <x:v>PASS</x:v>
      </x:c>
      <x:c r="R1401" s="70" t="s">
        <x:v>34</x:v>
      </x:c>
      <x:c r="S1401" s="70"/>
    </x:row>
    <x:row r="1402" ht="15" hidden="0">
      <x:c r="A1402" s="70" t="s">
        <x:v>2752</x:v>
      </x:c>
      <x:c r="B1402" s="70" t="s">
        <x:v>42</x:v>
      </x:c>
      <x:c r="C1402" s="70" t="s">
        <x:v>75</x:v>
      </x:c>
      <x:c r="D1402" s="70" t="s">
        <x:v>364</x:v>
      </x:c>
      <x:c r="E1402" s="70" t="s">
        <x:v>1129</x:v>
      </x:c>
      <x:c r="F1402" s="70" t="s">
        <x:v>2753</x:v>
      </x:c>
      <x:c r="G1402" s="70" t="s">
        <x:v>1672</x:v>
      </x:c>
      <x:c r="H1402" s="70" t="s">
        <x:v>1211</x:v>
      </x:c>
      <x:c r="I1402" s="70" t="s">
        <x:v>1199</x:v>
      </x:c>
      <x:c r="J1402" s="70" t="n">
        <x:v>189</x:v>
      </x:c>
      <x:c r="K1402" s="70" t="s">
        <x:v>2130</x:v>
      </x:c>
      <x:c r="L1402" s="70" t="s">
        <x:v>1406</x:v>
      </x:c>
      <x:c r="M1402" s="70" t="s">
        <x:v>40</x:v>
      </x:c>
      <x:c r="N1402" s="71" t="n">
        <x:v>10257</x:v>
      </x:c>
      <x:c r="O1402" s="72" t="n">
        <x:f aca="0">N1402/1000</x:f>
        <x:v>10.257</x:v>
      </x:c>
      <x:c r="P1402" s="73" t="n">
        <x:f aca="0">MLCF!F56</x:f>
        <x:v>10.257</x:v>
      </x:c>
      <x:c r="Q1402" s="70" t="str">
        <x:f aca="0">IF(ABS(O1402-P1402)&lt;0.000001,"PASS","FAIL")</x:f>
        <x:v>PASS</x:v>
      </x:c>
      <x:c r="R1402" s="70" t="s">
        <x:v>34</x:v>
      </x:c>
      <x:c r="S1402" s="70"/>
    </x:row>
    <x:row r="1403" ht="15" hidden="0">
      <x:c r="A1403" s="70" t="s">
        <x:v>2754</x:v>
      </x:c>
      <x:c r="B1403" s="70" t="s">
        <x:v>42</x:v>
      </x:c>
      <x:c r="C1403" s="70" t="s">
        <x:v>76</x:v>
      </x:c>
      <x:c r="D1403" s="70" t="s">
        <x:v>364</x:v>
      </x:c>
      <x:c r="E1403" s="70" t="s">
        <x:v>1129</x:v>
      </x:c>
      <x:c r="F1403" s="70" t="s">
        <x:v>2753</x:v>
      </x:c>
      <x:c r="G1403" s="70" t="s">
        <x:v>1675</x:v>
      </x:c>
      <x:c r="H1403" s="70" t="s">
        <x:v>1215</x:v>
      </x:c>
      <x:c r="I1403" s="70" t="s">
        <x:v>1199</x:v>
      </x:c>
      <x:c r="J1403" s="70" t="n">
        <x:v>201</x:v>
      </x:c>
      <x:c r="K1403" s="70" t="s">
        <x:v>2455</x:v>
      </x:c>
      <x:c r="L1403" s="70" t="s">
        <x:v>1406</x:v>
      </x:c>
      <x:c r="M1403" s="70" t="s">
        <x:v>40</x:v>
      </x:c>
      <x:c r="N1403" s="71" t="n">
        <x:v>13909</x:v>
      </x:c>
      <x:c r="O1403" s="72" t="n">
        <x:f aca="0">N1403/1000</x:f>
        <x:v>13.909</x:v>
      </x:c>
      <x:c r="P1403" s="73" t="n">
        <x:f aca="0">MLCF!G56</x:f>
        <x:v>13.909</x:v>
      </x:c>
      <x:c r="Q1403" s="70" t="str">
        <x:f aca="0">IF(ABS(O1403-P1403)&lt;0.000001,"PASS","FAIL")</x:f>
        <x:v>PASS</x:v>
      </x:c>
      <x:c r="R1403" s="70" t="s">
        <x:v>34</x:v>
      </x:c>
      <x:c r="S1403" s="70"/>
    </x:row>
    <x:row r="1404" ht="15" hidden="0">
      <x:c r="A1404" s="70" t="s">
        <x:v>2755</x:v>
      </x:c>
      <x:c r="B1404" s="70" t="s">
        <x:v>42</x:v>
      </x:c>
      <x:c r="C1404" s="70" t="s">
        <x:v>77</x:v>
      </x:c>
      <x:c r="D1404" s="70" t="s">
        <x:v>364</x:v>
      </x:c>
      <x:c r="E1404" s="70" t="s">
        <x:v>1129</x:v>
      </x:c>
      <x:c r="F1404" s="70" t="s">
        <x:v>2753</x:v>
      </x:c>
      <x:c r="G1404" s="70" t="s">
        <x:v>1675</x:v>
      </x:c>
      <x:c r="H1404" s="70" t="s">
        <x:v>1215</x:v>
      </x:c>
      <x:c r="I1404" s="70" t="s">
        <x:v>1218</x:v>
      </x:c>
      <x:c r="J1404" s="70" t="n">
        <x:v>201</x:v>
      </x:c>
      <x:c r="K1404" s="70" t="s">
        <x:v>2455</x:v>
      </x:c>
      <x:c r="L1404" s="70" t="s">
        <x:v>1406</x:v>
      </x:c>
      <x:c r="M1404" s="70" t="s">
        <x:v>40</x:v>
      </x:c>
      <x:c r="N1404" s="71" t="n">
        <x:v>14323</x:v>
      </x:c>
      <x:c r="O1404" s="72" t="n">
        <x:f aca="0">N1404/1000</x:f>
        <x:v>14.323</x:v>
      </x:c>
      <x:c r="P1404" s="73" t="n">
        <x:f aca="0">MLCF!H56</x:f>
        <x:v>14.323</x:v>
      </x:c>
      <x:c r="Q1404" s="70" t="str">
        <x:f aca="0">IF(ABS(O1404-P1404)&lt;0.000001,"PASS","FAIL")</x:f>
        <x:v>PASS</x:v>
      </x:c>
      <x:c r="R1404" s="70" t="s">
        <x:v>34</x:v>
      </x:c>
      <x:c r="S1404" s="70"/>
    </x:row>
    <x:row r="1405" ht="15" hidden="0">
      <x:c r="A1405" s="70" t="s">
        <x:v>2756</x:v>
      </x:c>
      <x:c r="B1405" s="70" t="s">
        <x:v>42</x:v>
      </x:c>
      <x:c r="C1405" s="70" t="s">
        <x:v>1076</x:v>
      </x:c>
      <x:c r="D1405" s="70" t="s">
        <x:v>366</x:v>
      </x:c>
      <x:c r="E1405" s="70" t="s">
        <x:v>1129</x:v>
      </x:c>
      <x:c r="F1405" s="70" t="s">
        <x:v>2757</x:v>
      </x:c>
      <x:c r="G1405" s="70" t="s">
        <x:v>1663</x:v>
      </x:c>
      <x:c r="H1405" s="70" t="s">
        <x:v>1198</x:v>
      </x:c>
      <x:c r="I1405" s="70" t="s">
        <x:v>1199</x:v>
      </x:c>
      <x:c r="J1405" s="70" t="n">
        <x:v>162</x:v>
      </x:c>
      <x:c r="K1405" s="70" t="s">
        <x:v>2578</x:v>
      </x:c>
      <x:c r="L1405" s="70" t="s">
        <x:v>1368</x:v>
      </x:c>
      <x:c r="M1405" s="70" t="s">
        <x:v>40</x:v>
      </x:c>
      <x:c r="N1405" s="71" t="n">
        <x:v>0</x:v>
      </x:c>
      <x:c r="O1405" s="72" t="n">
        <x:f aca="0">N1405/1000</x:f>
        <x:v>0</x:v>
      </x:c>
      <x:c r="P1405" s="73" t="n">
        <x:f aca="0">MLCF!C57</x:f>
        <x:v>0</x:v>
      </x:c>
      <x:c r="Q1405" s="70" t="str">
        <x:f aca="0">IF(ABS(O1405-P1405)&lt;0.000001,"PASS","FAIL")</x:f>
        <x:v>PASS</x:v>
      </x:c>
      <x:c r="R1405" s="70" t="s">
        <x:v>34</x:v>
      </x:c>
      <x:c r="S1405" s="70"/>
    </x:row>
    <x:row r="1406" ht="15" hidden="0">
      <x:c r="A1406" s="70" t="s">
        <x:v>2758</x:v>
      </x:c>
      <x:c r="B1406" s="70" t="s">
        <x:v>42</x:v>
      </x:c>
      <x:c r="C1406" s="70" t="s">
        <x:v>73</x:v>
      </x:c>
      <x:c r="D1406" s="70" t="s">
        <x:v>366</x:v>
      </x:c>
      <x:c r="E1406" s="70" t="s">
        <x:v>1129</x:v>
      </x:c>
      <x:c r="F1406" s="70" t="s">
        <x:v>2757</x:v>
      </x:c>
      <x:c r="G1406" s="70" t="s">
        <x:v>1666</x:v>
      </x:c>
      <x:c r="H1406" s="70" t="s">
        <x:v>1204</x:v>
      </x:c>
      <x:c r="I1406" s="70" t="s">
        <x:v>1199</x:v>
      </x:c>
      <x:c r="J1406" s="70" t="n">
        <x:v>183</x:v>
      </x:c>
      <x:c r="K1406" s="70" t="s">
        <x:v>2276</x:v>
      </x:c>
      <x:c r="L1406" s="70" t="s">
        <x:v>1368</x:v>
      </x:c>
      <x:c r="M1406" s="70" t="s">
        <x:v>40</x:v>
      </x:c>
      <x:c r="N1406" s="71" t="n">
        <x:v>49997</x:v>
      </x:c>
      <x:c r="O1406" s="72" t="n">
        <x:f aca="0">N1406/1000</x:f>
        <x:v>49.997</x:v>
      </x:c>
      <x:c r="P1406" s="73" t="n">
        <x:f aca="0">MLCF!D57</x:f>
        <x:v>49.997</x:v>
      </x:c>
      <x:c r="Q1406" s="70" t="str">
        <x:f aca="0">IF(ABS(O1406-P1406)&lt;0.000001,"PASS","FAIL")</x:f>
        <x:v>PASS</x:v>
      </x:c>
      <x:c r="R1406" s="70" t="s">
        <x:v>34</x:v>
      </x:c>
      <x:c r="S1406" s="70"/>
    </x:row>
    <x:row r="1407" ht="15" hidden="0">
      <x:c r="A1407" s="70" t="s">
        <x:v>2759</x:v>
      </x:c>
      <x:c r="B1407" s="70" t="s">
        <x:v>42</x:v>
      </x:c>
      <x:c r="C1407" s="70" t="s">
        <x:v>74</x:v>
      </x:c>
      <x:c r="D1407" s="70" t="s">
        <x:v>366</x:v>
      </x:c>
      <x:c r="E1407" s="70" t="s">
        <x:v>1129</x:v>
      </x:c>
      <x:c r="F1407" s="70" t="s">
        <x:v>2757</x:v>
      </x:c>
      <x:c r="G1407" s="70" t="s">
        <x:v>1669</x:v>
      </x:c>
      <x:c r="H1407" s="70" t="s">
        <x:v>1208</x:v>
      </x:c>
      <x:c r="I1407" s="70" t="s">
        <x:v>1199</x:v>
      </x:c>
      <x:c r="J1407" s="70" t="n">
        <x:v>98</x:v>
      </x:c>
      <x:c r="K1407" s="70" t="s">
        <x:v>2562</x:v>
      </x:c>
      <x:c r="L1407" s="70"/>
      <x:c r="M1407" s="70" t="s">
        <x:v>40</x:v>
      </x:c>
      <x:c r="N1407" s="71" t="n">
        <x:v>184576</x:v>
      </x:c>
      <x:c r="O1407" s="72" t="n">
        <x:f aca="0">N1407/1000</x:f>
        <x:v>184.576</x:v>
      </x:c>
      <x:c r="P1407" s="73" t="n">
        <x:f aca="0">MLCF!E57</x:f>
        <x:v>184.576</x:v>
      </x:c>
      <x:c r="Q1407" s="70" t="str">
        <x:f aca="0">IF(ABS(O1407-P1407)&lt;0.000001,"PASS","FAIL")</x:f>
        <x:v>PASS</x:v>
      </x:c>
      <x:c r="R1407" s="70" t="s">
        <x:v>34</x:v>
      </x:c>
      <x:c r="S1407" s="70"/>
    </x:row>
    <x:row r="1408" ht="15" hidden="0">
      <x:c r="A1408" s="70" t="s">
        <x:v>2760</x:v>
      </x:c>
      <x:c r="B1408" s="70" t="s">
        <x:v>42</x:v>
      </x:c>
      <x:c r="C1408" s="70" t="s">
        <x:v>75</x:v>
      </x:c>
      <x:c r="D1408" s="70" t="s">
        <x:v>366</x:v>
      </x:c>
      <x:c r="E1408" s="70" t="s">
        <x:v>1129</x:v>
      </x:c>
      <x:c r="F1408" s="70" t="s">
        <x:v>2761</x:v>
      </x:c>
      <x:c r="G1408" s="70" t="s">
        <x:v>1672</x:v>
      </x:c>
      <x:c r="H1408" s="70" t="s">
        <x:v>1211</x:v>
      </x:c>
      <x:c r="I1408" s="70" t="s">
        <x:v>1199</x:v>
      </x:c>
      <x:c r="J1408" s="70" t="n">
        <x:v>189</x:v>
      </x:c>
      <x:c r="K1408" s="70" t="s">
        <x:v>2130</x:v>
      </x:c>
      <x:c r="L1408" s="70" t="s">
        <x:v>1368</x:v>
      </x:c>
      <x:c r="M1408" s="70" t="s">
        <x:v>40</x:v>
      </x:c>
      <x:c r="N1408" s="71" t="n">
        <x:v>179766</x:v>
      </x:c>
      <x:c r="O1408" s="72" t="n">
        <x:f aca="0">N1408/1000</x:f>
        <x:v>179.766</x:v>
      </x:c>
      <x:c r="P1408" s="73" t="n">
        <x:f aca="0">MLCF!F57</x:f>
        <x:v>179.766</x:v>
      </x:c>
      <x:c r="Q1408" s="70" t="str">
        <x:f aca="0">IF(ABS(O1408-P1408)&lt;0.000001,"PASS","FAIL")</x:f>
        <x:v>PASS</x:v>
      </x:c>
      <x:c r="R1408" s="70" t="s">
        <x:v>34</x:v>
      </x:c>
      <x:c r="S1408" s="70"/>
    </x:row>
    <x:row r="1409" ht="15" hidden="0">
      <x:c r="A1409" s="70" t="s">
        <x:v>2762</x:v>
      </x:c>
      <x:c r="B1409" s="70" t="s">
        <x:v>42</x:v>
      </x:c>
      <x:c r="C1409" s="70" t="s">
        <x:v>76</x:v>
      </x:c>
      <x:c r="D1409" s="70" t="s">
        <x:v>366</x:v>
      </x:c>
      <x:c r="E1409" s="70" t="s">
        <x:v>1129</x:v>
      </x:c>
      <x:c r="F1409" s="70" t="s">
        <x:v>2761</x:v>
      </x:c>
      <x:c r="G1409" s="70" t="s">
        <x:v>1675</x:v>
      </x:c>
      <x:c r="H1409" s="70" t="s">
        <x:v>1215</x:v>
      </x:c>
      <x:c r="I1409" s="70" t="s">
        <x:v>1199</x:v>
      </x:c>
      <x:c r="J1409" s="70" t="n">
        <x:v>201</x:v>
      </x:c>
      <x:c r="K1409" s="70" t="s">
        <x:v>2455</x:v>
      </x:c>
      <x:c r="L1409" s="70" t="s">
        <x:v>1368</x:v>
      </x:c>
      <x:c r="M1409" s="70" t="s">
        <x:v>40</x:v>
      </x:c>
      <x:c r="N1409" s="71" t="n">
        <x:v>155439</x:v>
      </x:c>
      <x:c r="O1409" s="72" t="n">
        <x:f aca="0">N1409/1000</x:f>
        <x:v>155.439</x:v>
      </x:c>
      <x:c r="P1409" s="73" t="n">
        <x:f aca="0">MLCF!G57</x:f>
        <x:v>155.439</x:v>
      </x:c>
      <x:c r="Q1409" s="70" t="str">
        <x:f aca="0">IF(ABS(O1409-P1409)&lt;0.000001,"PASS","FAIL")</x:f>
        <x:v>PASS</x:v>
      </x:c>
      <x:c r="R1409" s="70" t="s">
        <x:v>34</x:v>
      </x:c>
      <x:c r="S1409" s="70"/>
    </x:row>
    <x:row r="1410" ht="15" hidden="0">
      <x:c r="A1410" s="70" t="s">
        <x:v>2763</x:v>
      </x:c>
      <x:c r="B1410" s="70" t="s">
        <x:v>42</x:v>
      </x:c>
      <x:c r="C1410" s="70" t="s">
        <x:v>77</x:v>
      </x:c>
      <x:c r="D1410" s="70" t="s">
        <x:v>366</x:v>
      </x:c>
      <x:c r="E1410" s="70" t="s">
        <x:v>1129</x:v>
      </x:c>
      <x:c r="F1410" s="70" t="s">
        <x:v>2761</x:v>
      </x:c>
      <x:c r="G1410" s="70" t="s">
        <x:v>1675</x:v>
      </x:c>
      <x:c r="H1410" s="70" t="s">
        <x:v>1215</x:v>
      </x:c>
      <x:c r="I1410" s="70" t="s">
        <x:v>1218</x:v>
      </x:c>
      <x:c r="J1410" s="70" t="n">
        <x:v>201</x:v>
      </x:c>
      <x:c r="K1410" s="70" t="s">
        <x:v>2455</x:v>
      </x:c>
      <x:c r="L1410" s="70" t="s">
        <x:v>1368</x:v>
      </x:c>
      <x:c r="M1410" s="70" t="s">
        <x:v>40</x:v>
      </x:c>
      <x:c r="N1410" s="71" t="n">
        <x:v>128183</x:v>
      </x:c>
      <x:c r="O1410" s="72" t="n">
        <x:f aca="0">N1410/1000</x:f>
        <x:v>128.183</x:v>
      </x:c>
      <x:c r="P1410" s="73" t="n">
        <x:f aca="0">MLCF!H57</x:f>
        <x:v>128.183</x:v>
      </x:c>
      <x:c r="Q1410" s="70" t="str">
        <x:f aca="0">IF(ABS(O1410-P1410)&lt;0.000001,"PASS","FAIL")</x:f>
        <x:v>PASS</x:v>
      </x:c>
      <x:c r="R1410" s="70" t="s">
        <x:v>34</x:v>
      </x:c>
      <x:c r="S1410" s="70"/>
    </x:row>
    <x:row r="1411" ht="15" hidden="0">
      <x:c r="A1411" s="70" t="s">
        <x:v>2764</x:v>
      </x:c>
      <x:c r="B1411" s="70" t="s">
        <x:v>42</x:v>
      </x:c>
      <x:c r="C1411" s="70" t="s">
        <x:v>1076</x:v>
      </x:c>
      <x:c r="D1411" s="70" t="s">
        <x:v>368</x:v>
      </x:c>
      <x:c r="E1411" s="70" t="s">
        <x:v>1129</x:v>
      </x:c>
      <x:c r="F1411" s="70" t="s">
        <x:v>1874</x:v>
      </x:c>
      <x:c r="G1411" s="70" t="s">
        <x:v>1663</x:v>
      </x:c>
      <x:c r="H1411" s="70" t="s">
        <x:v>1198</x:v>
      </x:c>
      <x:c r="I1411" s="70" t="s">
        <x:v>1199</x:v>
      </x:c>
      <x:c r="J1411" s="70" t="n">
        <x:v>162</x:v>
      </x:c>
      <x:c r="K1411" s="70" t="s">
        <x:v>2578</x:v>
      </x:c>
      <x:c r="L1411" s="70"/>
      <x:c r="M1411" s="70" t="s">
        <x:v>40</x:v>
      </x:c>
      <x:c r="N1411" s="71" t="n">
        <x:v>48053</x:v>
      </x:c>
      <x:c r="O1411" s="72" t="n">
        <x:f aca="0">N1411/1000</x:f>
        <x:v>48.053</x:v>
      </x:c>
      <x:c r="P1411" s="73" t="n">
        <x:f aca="0">MLCF!C58</x:f>
        <x:v>48.053</x:v>
      </x:c>
      <x:c r="Q1411" s="70" t="str">
        <x:f aca="0">IF(ABS(O1411-P1411)&lt;0.000001,"PASS","FAIL")</x:f>
        <x:v>PASS</x:v>
      </x:c>
      <x:c r="R1411" s="70" t="s">
        <x:v>34</x:v>
      </x:c>
      <x:c r="S1411" s="70"/>
    </x:row>
    <x:row r="1412" ht="15" hidden="0">
      <x:c r="A1412" s="70" t="s">
        <x:v>2765</x:v>
      </x:c>
      <x:c r="B1412" s="70" t="s">
        <x:v>42</x:v>
      </x:c>
      <x:c r="C1412" s="70" t="s">
        <x:v>73</x:v>
      </x:c>
      <x:c r="D1412" s="70" t="s">
        <x:v>368</x:v>
      </x:c>
      <x:c r="E1412" s="70" t="s">
        <x:v>1129</x:v>
      </x:c>
      <x:c r="F1412" s="70" t="s">
        <x:v>1874</x:v>
      </x:c>
      <x:c r="G1412" s="70" t="s">
        <x:v>1666</x:v>
      </x:c>
      <x:c r="H1412" s="70" t="s">
        <x:v>1204</x:v>
      </x:c>
      <x:c r="I1412" s="70" t="s">
        <x:v>1199</x:v>
      </x:c>
      <x:c r="J1412" s="70" t="n">
        <x:v>183</x:v>
      </x:c>
      <x:c r="K1412" s="70" t="s">
        <x:v>2276</x:v>
      </x:c>
      <x:c r="L1412" s="70"/>
      <x:c r="M1412" s="70" t="s">
        <x:v>40</x:v>
      </x:c>
      <x:c r="N1412" s="71" t="n">
        <x:v>28134</x:v>
      </x:c>
      <x:c r="O1412" s="72" t="n">
        <x:f aca="0">N1412/1000</x:f>
        <x:v>28.134</x:v>
      </x:c>
      <x:c r="P1412" s="73" t="n">
        <x:f aca="0">MLCF!D58</x:f>
        <x:v>28.134</x:v>
      </x:c>
      <x:c r="Q1412" s="70" t="str">
        <x:f aca="0">IF(ABS(O1412-P1412)&lt;0.000001,"PASS","FAIL")</x:f>
        <x:v>PASS</x:v>
      </x:c>
      <x:c r="R1412" s="70" t="s">
        <x:v>34</x:v>
      </x:c>
      <x:c r="S1412" s="70"/>
    </x:row>
    <x:row r="1413" ht="15" hidden="0">
      <x:c r="A1413" s="70" t="s">
        <x:v>2766</x:v>
      </x:c>
      <x:c r="B1413" s="70" t="s">
        <x:v>42</x:v>
      </x:c>
      <x:c r="C1413" s="70" t="s">
        <x:v>74</x:v>
      </x:c>
      <x:c r="D1413" s="70" t="s">
        <x:v>368</x:v>
      </x:c>
      <x:c r="E1413" s="70" t="s">
        <x:v>1129</x:v>
      </x:c>
      <x:c r="F1413" s="70" t="s">
        <x:v>1874</x:v>
      </x:c>
      <x:c r="G1413" s="70" t="s">
        <x:v>1669</x:v>
      </x:c>
      <x:c r="H1413" s="70" t="s">
        <x:v>1208</x:v>
      </x:c>
      <x:c r="I1413" s="70" t="s">
        <x:v>1199</x:v>
      </x:c>
      <x:c r="J1413" s="70" t="n">
        <x:v>98</x:v>
      </x:c>
      <x:c r="K1413" s="70" t="s">
        <x:v>2562</x:v>
      </x:c>
      <x:c r="L1413" s="70"/>
      <x:c r="M1413" s="70" t="s">
        <x:v>40</x:v>
      </x:c>
      <x:c r="N1413" s="71" t="n">
        <x:v>27569</x:v>
      </x:c>
      <x:c r="O1413" s="72" t="n">
        <x:f aca="0">N1413/1000</x:f>
        <x:v>27.569</x:v>
      </x:c>
      <x:c r="P1413" s="73" t="n">
        <x:f aca="0">MLCF!E58</x:f>
        <x:v>27.569</x:v>
      </x:c>
      <x:c r="Q1413" s="70" t="str">
        <x:f aca="0">IF(ABS(O1413-P1413)&lt;0.000001,"PASS","FAIL")</x:f>
        <x:v>PASS</x:v>
      </x:c>
      <x:c r="R1413" s="70" t="s">
        <x:v>34</x:v>
      </x:c>
      <x:c r="S1413" s="70"/>
    </x:row>
    <x:row r="1414" ht="15" hidden="0">
      <x:c r="A1414" s="70" t="s">
        <x:v>2767</x:v>
      </x:c>
      <x:c r="B1414" s="70" t="s">
        <x:v>42</x:v>
      </x:c>
      <x:c r="C1414" s="70" t="s">
        <x:v>75</x:v>
      </x:c>
      <x:c r="D1414" s="70" t="s">
        <x:v>368</x:v>
      </x:c>
      <x:c r="E1414" s="70" t="s">
        <x:v>1129</x:v>
      </x:c>
      <x:c r="F1414" s="70" t="s">
        <x:v>1874</x:v>
      </x:c>
      <x:c r="G1414" s="70" t="s">
        <x:v>1672</x:v>
      </x:c>
      <x:c r="H1414" s="70" t="s">
        <x:v>1211</x:v>
      </x:c>
      <x:c r="I1414" s="70" t="s">
        <x:v>1199</x:v>
      </x:c>
      <x:c r="J1414" s="70" t="n">
        <x:v>189</x:v>
      </x:c>
      <x:c r="K1414" s="70" t="s">
        <x:v>2130</x:v>
      </x:c>
      <x:c r="L1414" s="70"/>
      <x:c r="M1414" s="70" t="s">
        <x:v>40</x:v>
      </x:c>
      <x:c r="N1414" s="71" t="n">
        <x:v>27378</x:v>
      </x:c>
      <x:c r="O1414" s="72" t="n">
        <x:f aca="0">N1414/1000</x:f>
        <x:v>27.378</x:v>
      </x:c>
      <x:c r="P1414" s="73" t="n">
        <x:f aca="0">MLCF!F58</x:f>
        <x:v>27.378</x:v>
      </x:c>
      <x:c r="Q1414" s="70" t="str">
        <x:f aca="0">IF(ABS(O1414-P1414)&lt;0.000001,"PASS","FAIL")</x:f>
        <x:v>PASS</x:v>
      </x:c>
      <x:c r="R1414" s="70" t="s">
        <x:v>34</x:v>
      </x:c>
      <x:c r="S1414" s="70"/>
    </x:row>
    <x:row r="1415" ht="15" hidden="0">
      <x:c r="A1415" s="70" t="s">
        <x:v>2768</x:v>
      </x:c>
      <x:c r="B1415" s="70" t="s">
        <x:v>42</x:v>
      </x:c>
      <x:c r="C1415" s="70" t="s">
        <x:v>76</x:v>
      </x:c>
      <x:c r="D1415" s="70" t="s">
        <x:v>368</x:v>
      </x:c>
      <x:c r="E1415" s="70" t="s">
        <x:v>1129</x:v>
      </x:c>
      <x:c r="F1415" s="70" t="s">
        <x:v>1874</x:v>
      </x:c>
      <x:c r="G1415" s="70" t="s">
        <x:v>1675</x:v>
      </x:c>
      <x:c r="H1415" s="70" t="s">
        <x:v>1215</x:v>
      </x:c>
      <x:c r="I1415" s="70" t="s">
        <x:v>1199</x:v>
      </x:c>
      <x:c r="J1415" s="70" t="n">
        <x:v>201</x:v>
      </x:c>
      <x:c r="K1415" s="70" t="s">
        <x:v>2455</x:v>
      </x:c>
      <x:c r="L1415" s="70"/>
      <x:c r="M1415" s="70" t="s">
        <x:v>40</x:v>
      </x:c>
      <x:c r="N1415" s="71" t="n">
        <x:v>27256</x:v>
      </x:c>
      <x:c r="O1415" s="72" t="n">
        <x:f aca="0">N1415/1000</x:f>
        <x:v>27.256</x:v>
      </x:c>
      <x:c r="P1415" s="73" t="n">
        <x:f aca="0">MLCF!G58</x:f>
        <x:v>27.256</x:v>
      </x:c>
      <x:c r="Q1415" s="70" t="str">
        <x:f aca="0">IF(ABS(O1415-P1415)&lt;0.000001,"PASS","FAIL")</x:f>
        <x:v>PASS</x:v>
      </x:c>
      <x:c r="R1415" s="70" t="s">
        <x:v>34</x:v>
      </x:c>
      <x:c r="S1415" s="70"/>
    </x:row>
    <x:row r="1416" ht="15" hidden="0">
      <x:c r="A1416" s="70" t="s">
        <x:v>2769</x:v>
      </x:c>
      <x:c r="B1416" s="70" t="s">
        <x:v>42</x:v>
      </x:c>
      <x:c r="C1416" s="70" t="s">
        <x:v>77</x:v>
      </x:c>
      <x:c r="D1416" s="70" t="s">
        <x:v>368</x:v>
      </x:c>
      <x:c r="E1416" s="70" t="s">
        <x:v>1129</x:v>
      </x:c>
      <x:c r="F1416" s="70" t="s">
        <x:v>1874</x:v>
      </x:c>
      <x:c r="G1416" s="70" t="s">
        <x:v>1675</x:v>
      </x:c>
      <x:c r="H1416" s="70" t="s">
        <x:v>1215</x:v>
      </x:c>
      <x:c r="I1416" s="70" t="s">
        <x:v>1218</x:v>
      </x:c>
      <x:c r="J1416" s="70" t="n">
        <x:v>201</x:v>
      </x:c>
      <x:c r="K1416" s="70" t="s">
        <x:v>2455</x:v>
      </x:c>
      <x:c r="L1416" s="70"/>
      <x:c r="M1416" s="70" t="s">
        <x:v>40</x:v>
      </x:c>
      <x:c r="N1416" s="71" t="n">
        <x:v>26877</x:v>
      </x:c>
      <x:c r="O1416" s="72" t="n">
        <x:f aca="0">N1416/1000</x:f>
        <x:v>26.877</x:v>
      </x:c>
      <x:c r="P1416" s="73" t="n">
        <x:f aca="0">MLCF!H58</x:f>
        <x:v>26.877</x:v>
      </x:c>
      <x:c r="Q1416" s="70" t="str">
        <x:f aca="0">IF(ABS(O1416-P1416)&lt;0.000001,"PASS","FAIL")</x:f>
        <x:v>PASS</x:v>
      </x:c>
      <x:c r="R1416" s="70" t="s">
        <x:v>34</x:v>
      </x:c>
      <x:c r="S1416" s="70"/>
    </x:row>
    <x:row r="1417" ht="15" hidden="0">
      <x:c r="A1417" s="70" t="s">
        <x:v>2770</x:v>
      </x:c>
      <x:c r="B1417" s="70" t="s">
        <x:v>42</x:v>
      </x:c>
      <x:c r="C1417" s="70" t="s">
        <x:v>1076</x:v>
      </x:c>
      <x:c r="D1417" s="70" t="s">
        <x:v>370</x:v>
      </x:c>
      <x:c r="E1417" s="70" t="s">
        <x:v>1129</x:v>
      </x:c>
      <x:c r="F1417" s="70"/>
      <x:c r="G1417" s="70" t="s">
        <x:v>1663</x:v>
      </x:c>
      <x:c r="H1417" s="70" t="s">
        <x:v>1198</x:v>
      </x:c>
      <x:c r="I1417" s="70" t="s">
        <x:v>1199</x:v>
      </x:c>
      <x:c r="J1417" s="70" t="n">
        <x:v>162</x:v>
      </x:c>
      <x:c r="K1417" s="70" t="s">
        <x:v>2578</x:v>
      </x:c>
      <x:c r="L1417" s="70"/>
      <x:c r="M1417" s="70" t="s">
        <x:v>40</x:v>
      </x:c>
      <x:c r="N1417" s="71" t="n">
        <x:v>0</x:v>
      </x:c>
      <x:c r="O1417" s="72" t="n">
        <x:f aca="0">N1417/1000</x:f>
        <x:v>0</x:v>
      </x:c>
      <x:c r="P1417" s="73" t="n">
        <x:f aca="0">MLCF!C59</x:f>
        <x:v>0</x:v>
      </x:c>
      <x:c r="Q1417" s="70" t="str">
        <x:f aca="0">IF(ABS(O1417-P1417)&lt;0.000001,"PASS","FAIL")</x:f>
        <x:v>PASS</x:v>
      </x:c>
      <x:c r="R1417" s="70" t="s">
        <x:v>34</x:v>
      </x:c>
      <x:c r="S1417" s="70"/>
    </x:row>
    <x:row r="1418" ht="15" hidden="0">
      <x:c r="A1418" s="70" t="s">
        <x:v>2771</x:v>
      </x:c>
      <x:c r="B1418" s="70" t="s">
        <x:v>42</x:v>
      </x:c>
      <x:c r="C1418" s="70" t="s">
        <x:v>73</x:v>
      </x:c>
      <x:c r="D1418" s="70" t="s">
        <x:v>370</x:v>
      </x:c>
      <x:c r="E1418" s="70" t="s">
        <x:v>1129</x:v>
      </x:c>
      <x:c r="F1418" s="70"/>
      <x:c r="G1418" s="70" t="s">
        <x:v>1666</x:v>
      </x:c>
      <x:c r="H1418" s="70" t="s">
        <x:v>1204</x:v>
      </x:c>
      <x:c r="I1418" s="70" t="s">
        <x:v>1199</x:v>
      </x:c>
      <x:c r="J1418" s="70" t="n">
        <x:v>183</x:v>
      </x:c>
      <x:c r="K1418" s="70" t="s">
        <x:v>2276</x:v>
      </x:c>
      <x:c r="L1418" s="70"/>
      <x:c r="M1418" s="70" t="s">
        <x:v>40</x:v>
      </x:c>
      <x:c r="N1418" s="71" t="n">
        <x:v>0</x:v>
      </x:c>
      <x:c r="O1418" s="72" t="n">
        <x:f aca="0">N1418/1000</x:f>
        <x:v>0</x:v>
      </x:c>
      <x:c r="P1418" s="73" t="n">
        <x:f aca="0">MLCF!D59</x:f>
        <x:v>0</x:v>
      </x:c>
      <x:c r="Q1418" s="70" t="str">
        <x:f aca="0">IF(ABS(O1418-P1418)&lt;0.000001,"PASS","FAIL")</x:f>
        <x:v>PASS</x:v>
      </x:c>
      <x:c r="R1418" s="70" t="s">
        <x:v>34</x:v>
      </x:c>
      <x:c r="S1418" s="70"/>
    </x:row>
    <x:row r="1419" ht="15" hidden="0">
      <x:c r="A1419" s="70" t="s">
        <x:v>2772</x:v>
      </x:c>
      <x:c r="B1419" s="70" t="s">
        <x:v>42</x:v>
      </x:c>
      <x:c r="C1419" s="70" t="s">
        <x:v>74</x:v>
      </x:c>
      <x:c r="D1419" s="70" t="s">
        <x:v>370</x:v>
      </x:c>
      <x:c r="E1419" s="70" t="s">
        <x:v>1129</x:v>
      </x:c>
      <x:c r="F1419" s="70"/>
      <x:c r="G1419" s="70" t="s">
        <x:v>1669</x:v>
      </x:c>
      <x:c r="H1419" s="70" t="s">
        <x:v>1208</x:v>
      </x:c>
      <x:c r="I1419" s="70" t="s">
        <x:v>1199</x:v>
      </x:c>
      <x:c r="J1419" s="70" t="n">
        <x:v>98</x:v>
      </x:c>
      <x:c r="K1419" s="70" t="s">
        <x:v>2562</x:v>
      </x:c>
      <x:c r="L1419" s="70"/>
      <x:c r="M1419" s="70" t="s">
        <x:v>40</x:v>
      </x:c>
      <x:c r="N1419" s="71" t="n">
        <x:v>0</x:v>
      </x:c>
      <x:c r="O1419" s="72" t="n">
        <x:f aca="0">N1419/1000</x:f>
        <x:v>0</x:v>
      </x:c>
      <x:c r="P1419" s="73" t="n">
        <x:f aca="0">MLCF!E59</x:f>
        <x:v>0</x:v>
      </x:c>
      <x:c r="Q1419" s="70" t="str">
        <x:f aca="0">IF(ABS(O1419-P1419)&lt;0.000001,"PASS","FAIL")</x:f>
        <x:v>PASS</x:v>
      </x:c>
      <x:c r="R1419" s="70" t="s">
        <x:v>34</x:v>
      </x:c>
      <x:c r="S1419" s="70"/>
    </x:row>
    <x:row r="1420" ht="15" hidden="0">
      <x:c r="A1420" s="70" t="s">
        <x:v>2773</x:v>
      </x:c>
      <x:c r="B1420" s="70" t="s">
        <x:v>42</x:v>
      </x:c>
      <x:c r="C1420" s="70" t="s">
        <x:v>75</x:v>
      </x:c>
      <x:c r="D1420" s="70" t="s">
        <x:v>370</x:v>
      </x:c>
      <x:c r="E1420" s="70" t="s">
        <x:v>1129</x:v>
      </x:c>
      <x:c r="F1420" s="70"/>
      <x:c r="G1420" s="70" t="s">
        <x:v>1672</x:v>
      </x:c>
      <x:c r="H1420" s="70" t="s">
        <x:v>1211</x:v>
      </x:c>
      <x:c r="I1420" s="70" t="s">
        <x:v>1199</x:v>
      </x:c>
      <x:c r="J1420" s="70" t="n">
        <x:v>189</x:v>
      </x:c>
      <x:c r="K1420" s="70" t="s">
        <x:v>2130</x:v>
      </x:c>
      <x:c r="L1420" s="70"/>
      <x:c r="M1420" s="70" t="s">
        <x:v>40</x:v>
      </x:c>
      <x:c r="N1420" s="71" t="n">
        <x:v>0</x:v>
      </x:c>
      <x:c r="O1420" s="72" t="n">
        <x:f aca="0">N1420/1000</x:f>
        <x:v>0</x:v>
      </x:c>
      <x:c r="P1420" s="73" t="n">
        <x:f aca="0">MLCF!F59</x:f>
        <x:v>0</x:v>
      </x:c>
      <x:c r="Q1420" s="70" t="str">
        <x:f aca="0">IF(ABS(O1420-P1420)&lt;0.000001,"PASS","FAIL")</x:f>
        <x:v>PASS</x:v>
      </x:c>
      <x:c r="R1420" s="70" t="s">
        <x:v>34</x:v>
      </x:c>
      <x:c r="S1420" s="70"/>
    </x:row>
    <x:row r="1421" ht="15" hidden="0">
      <x:c r="A1421" s="70" t="s">
        <x:v>2774</x:v>
      </x:c>
      <x:c r="B1421" s="70" t="s">
        <x:v>42</x:v>
      </x:c>
      <x:c r="C1421" s="70" t="s">
        <x:v>76</x:v>
      </x:c>
      <x:c r="D1421" s="70" t="s">
        <x:v>370</x:v>
      </x:c>
      <x:c r="E1421" s="70" t="s">
        <x:v>1129</x:v>
      </x:c>
      <x:c r="F1421" s="70" t="s">
        <x:v>2775</x:v>
      </x:c>
      <x:c r="G1421" s="70" t="s">
        <x:v>1675</x:v>
      </x:c>
      <x:c r="H1421" s="70" t="s">
        <x:v>1215</x:v>
      </x:c>
      <x:c r="I1421" s="70" t="s">
        <x:v>1199</x:v>
      </x:c>
      <x:c r="J1421" s="70" t="n">
        <x:v>201</x:v>
      </x:c>
      <x:c r="K1421" s="70" t="s">
        <x:v>2455</x:v>
      </x:c>
      <x:c r="L1421" s="70" t="s">
        <x:v>2776</x:v>
      </x:c>
      <x:c r="M1421" s="70" t="s">
        <x:v>40</x:v>
      </x:c>
      <x:c r="N1421" s="71" t="n">
        <x:v>0</x:v>
      </x:c>
      <x:c r="O1421" s="72" t="n">
        <x:f aca="0">N1421/1000</x:f>
        <x:v>0</x:v>
      </x:c>
      <x:c r="P1421" s="73" t="n">
        <x:f aca="0">MLCF!G59</x:f>
        <x:v>0</x:v>
      </x:c>
      <x:c r="Q1421" s="70" t="str">
        <x:f aca="0">IF(ABS(O1421-P1421)&lt;0.000001,"PASS","FAIL")</x:f>
        <x:v>PASS</x:v>
      </x:c>
      <x:c r="R1421" s="70" t="s">
        <x:v>34</x:v>
      </x:c>
      <x:c r="S1421" s="70"/>
    </x:row>
    <x:row r="1422" ht="15" hidden="0">
      <x:c r="A1422" s="70" t="s">
        <x:v>2777</x:v>
      </x:c>
      <x:c r="B1422" s="70" t="s">
        <x:v>42</x:v>
      </x:c>
      <x:c r="C1422" s="70" t="s">
        <x:v>77</x:v>
      </x:c>
      <x:c r="D1422" s="70" t="s">
        <x:v>370</x:v>
      </x:c>
      <x:c r="E1422" s="70" t="s">
        <x:v>1129</x:v>
      </x:c>
      <x:c r="F1422" s="70" t="s">
        <x:v>2775</x:v>
      </x:c>
      <x:c r="G1422" s="70" t="s">
        <x:v>1675</x:v>
      </x:c>
      <x:c r="H1422" s="70" t="s">
        <x:v>1215</x:v>
      </x:c>
      <x:c r="I1422" s="70" t="s">
        <x:v>1218</x:v>
      </x:c>
      <x:c r="J1422" s="70" t="n">
        <x:v>201</x:v>
      </x:c>
      <x:c r="K1422" s="70" t="s">
        <x:v>2455</x:v>
      </x:c>
      <x:c r="L1422" s="70" t="s">
        <x:v>2776</x:v>
      </x:c>
      <x:c r="M1422" s="70" t="s">
        <x:v>40</x:v>
      </x:c>
      <x:c r="N1422" s="71" t="n">
        <x:v>158794</x:v>
      </x:c>
      <x:c r="O1422" s="72" t="n">
        <x:f aca="0">N1422/1000</x:f>
        <x:v>158.794</x:v>
      </x:c>
      <x:c r="P1422" s="73" t="n">
        <x:f aca="0">MLCF!H59</x:f>
        <x:v>158.794</x:v>
      </x:c>
      <x:c r="Q1422" s="70" t="str">
        <x:f aca="0">IF(ABS(O1422-P1422)&lt;0.000001,"PASS","FAIL")</x:f>
        <x:v>PASS</x:v>
      </x:c>
      <x:c r="R1422" s="70" t="s">
        <x:v>34</x:v>
      </x:c>
      <x:c r="S1422" s="70"/>
    </x:row>
    <x:row r="1423" ht="15" hidden="0">
      <x:c r="A1423" s="70" t="s">
        <x:v>2778</x:v>
      </x:c>
      <x:c r="B1423" s="70" t="s">
        <x:v>42</x:v>
      </x:c>
      <x:c r="C1423" s="70" t="s">
        <x:v>1076</x:v>
      </x:c>
      <x:c r="D1423" s="70" t="s">
        <x:v>372</x:v>
      </x:c>
      <x:c r="E1423" s="70" t="s">
        <x:v>1129</x:v>
      </x:c>
      <x:c r="F1423" s="70"/>
      <x:c r="G1423" s="70" t="s">
        <x:v>1663</x:v>
      </x:c>
      <x:c r="H1423" s="70" t="s">
        <x:v>1198</x:v>
      </x:c>
      <x:c r="I1423" s="70" t="s">
        <x:v>1199</x:v>
      </x:c>
      <x:c r="J1423" s="70" t="n">
        <x:v>162</x:v>
      </x:c>
      <x:c r="K1423" s="70" t="s">
        <x:v>2578</x:v>
      </x:c>
      <x:c r="L1423" s="70"/>
      <x:c r="M1423" s="70" t="s">
        <x:v>40</x:v>
      </x:c>
      <x:c r="N1423" s="71" t="n">
        <x:v>0</x:v>
      </x:c>
      <x:c r="O1423" s="72" t="n">
        <x:f aca="0">N1423/1000</x:f>
        <x:v>0</x:v>
      </x:c>
      <x:c r="P1423" s="73" t="n">
        <x:f aca="0">MLCF!C60</x:f>
        <x:v>0</x:v>
      </x:c>
      <x:c r="Q1423" s="70" t="str">
        <x:f aca="0">IF(ABS(O1423-P1423)&lt;0.000001,"PASS","FAIL")</x:f>
        <x:v>PASS</x:v>
      </x:c>
      <x:c r="R1423" s="70" t="s">
        <x:v>34</x:v>
      </x:c>
      <x:c r="S1423" s="70"/>
    </x:row>
    <x:row r="1424" ht="15" hidden="0">
      <x:c r="A1424" s="70" t="s">
        <x:v>2779</x:v>
      </x:c>
      <x:c r="B1424" s="70" t="s">
        <x:v>42</x:v>
      </x:c>
      <x:c r="C1424" s="70" t="s">
        <x:v>73</x:v>
      </x:c>
      <x:c r="D1424" s="70" t="s">
        <x:v>372</x:v>
      </x:c>
      <x:c r="E1424" s="70" t="s">
        <x:v>1129</x:v>
      </x:c>
      <x:c r="F1424" s="70"/>
      <x:c r="G1424" s="70" t="s">
        <x:v>1666</x:v>
      </x:c>
      <x:c r="H1424" s="70" t="s">
        <x:v>1204</x:v>
      </x:c>
      <x:c r="I1424" s="70" t="s">
        <x:v>1199</x:v>
      </x:c>
      <x:c r="J1424" s="70" t="n">
        <x:v>183</x:v>
      </x:c>
      <x:c r="K1424" s="70" t="s">
        <x:v>2276</x:v>
      </x:c>
      <x:c r="L1424" s="70"/>
      <x:c r="M1424" s="70" t="s">
        <x:v>40</x:v>
      </x:c>
      <x:c r="N1424" s="71" t="n">
        <x:v>0</x:v>
      </x:c>
      <x:c r="O1424" s="72" t="n">
        <x:f aca="0">N1424/1000</x:f>
        <x:v>0</x:v>
      </x:c>
      <x:c r="P1424" s="73" t="n">
        <x:f aca="0">MLCF!D60</x:f>
        <x:v>0</x:v>
      </x:c>
      <x:c r="Q1424" s="70" t="str">
        <x:f aca="0">IF(ABS(O1424-P1424)&lt;0.000001,"PASS","FAIL")</x:f>
        <x:v>PASS</x:v>
      </x:c>
      <x:c r="R1424" s="70" t="s">
        <x:v>34</x:v>
      </x:c>
      <x:c r="S1424" s="70"/>
    </x:row>
    <x:row r="1425" ht="15" hidden="0">
      <x:c r="A1425" s="70" t="s">
        <x:v>2780</x:v>
      </x:c>
      <x:c r="B1425" s="70" t="s">
        <x:v>42</x:v>
      </x:c>
      <x:c r="C1425" s="70" t="s">
        <x:v>74</x:v>
      </x:c>
      <x:c r="D1425" s="70" t="s">
        <x:v>372</x:v>
      </x:c>
      <x:c r="E1425" s="70" t="s">
        <x:v>1129</x:v>
      </x:c>
      <x:c r="F1425" s="70"/>
      <x:c r="G1425" s="70" t="s">
        <x:v>1669</x:v>
      </x:c>
      <x:c r="H1425" s="70" t="s">
        <x:v>1208</x:v>
      </x:c>
      <x:c r="I1425" s="70" t="s">
        <x:v>1199</x:v>
      </x:c>
      <x:c r="J1425" s="70" t="n">
        <x:v>98</x:v>
      </x:c>
      <x:c r="K1425" s="70" t="s">
        <x:v>2562</x:v>
      </x:c>
      <x:c r="L1425" s="70"/>
      <x:c r="M1425" s="70" t="s">
        <x:v>40</x:v>
      </x:c>
      <x:c r="N1425" s="71" t="n">
        <x:v>0</x:v>
      </x:c>
      <x:c r="O1425" s="72" t="n">
        <x:f aca="0">N1425/1000</x:f>
        <x:v>0</x:v>
      </x:c>
      <x:c r="P1425" s="73" t="n">
        <x:f aca="0">MLCF!E60</x:f>
        <x:v>0</x:v>
      </x:c>
      <x:c r="Q1425" s="70" t="str">
        <x:f aca="0">IF(ABS(O1425-P1425)&lt;0.000001,"PASS","FAIL")</x:f>
        <x:v>PASS</x:v>
      </x:c>
      <x:c r="R1425" s="70" t="s">
        <x:v>34</x:v>
      </x:c>
      <x:c r="S1425" s="70"/>
    </x:row>
    <x:row r="1426" ht="15" hidden="0">
      <x:c r="A1426" s="70" t="s">
        <x:v>2781</x:v>
      </x:c>
      <x:c r="B1426" s="70" t="s">
        <x:v>42</x:v>
      </x:c>
      <x:c r="C1426" s="70" t="s">
        <x:v>75</x:v>
      </x:c>
      <x:c r="D1426" s="70" t="s">
        <x:v>372</x:v>
      </x:c>
      <x:c r="E1426" s="70" t="s">
        <x:v>1129</x:v>
      </x:c>
      <x:c r="F1426" s="70"/>
      <x:c r="G1426" s="70" t="s">
        <x:v>1672</x:v>
      </x:c>
      <x:c r="H1426" s="70" t="s">
        <x:v>1211</x:v>
      </x:c>
      <x:c r="I1426" s="70" t="s">
        <x:v>1199</x:v>
      </x:c>
      <x:c r="J1426" s="70" t="n">
        <x:v>189</x:v>
      </x:c>
      <x:c r="K1426" s="70" t="s">
        <x:v>2130</x:v>
      </x:c>
      <x:c r="L1426" s="70"/>
      <x:c r="M1426" s="70" t="s">
        <x:v>40</x:v>
      </x:c>
      <x:c r="N1426" s="71" t="n">
        <x:v>0</x:v>
      </x:c>
      <x:c r="O1426" s="72" t="n">
        <x:f aca="0">N1426/1000</x:f>
        <x:v>0</x:v>
      </x:c>
      <x:c r="P1426" s="73" t="n">
        <x:f aca="0">MLCF!F60</x:f>
        <x:v>0</x:v>
      </x:c>
      <x:c r="Q1426" s="70" t="str">
        <x:f aca="0">IF(ABS(O1426-P1426)&lt;0.000001,"PASS","FAIL")</x:f>
        <x:v>PASS</x:v>
      </x:c>
      <x:c r="R1426" s="70" t="s">
        <x:v>34</x:v>
      </x:c>
      <x:c r="S1426" s="70"/>
    </x:row>
    <x:row r="1427" ht="15" hidden="0">
      <x:c r="A1427" s="70" t="s">
        <x:v>2782</x:v>
      </x:c>
      <x:c r="B1427" s="70" t="s">
        <x:v>42</x:v>
      </x:c>
      <x:c r="C1427" s="70" t="s">
        <x:v>76</x:v>
      </x:c>
      <x:c r="D1427" s="70" t="s">
        <x:v>372</x:v>
      </x:c>
      <x:c r="E1427" s="70" t="s">
        <x:v>1129</x:v>
      </x:c>
      <x:c r="F1427" s="70"/>
      <x:c r="G1427" s="70" t="s">
        <x:v>1675</x:v>
      </x:c>
      <x:c r="H1427" s="70" t="s">
        <x:v>1215</x:v>
      </x:c>
      <x:c r="I1427" s="70" t="s">
        <x:v>1199</x:v>
      </x:c>
      <x:c r="J1427" s="70" t="n">
        <x:v>201</x:v>
      </x:c>
      <x:c r="K1427" s="70" t="s">
        <x:v>2455</x:v>
      </x:c>
      <x:c r="L1427" s="70"/>
      <x:c r="M1427" s="70" t="s">
        <x:v>40</x:v>
      </x:c>
      <x:c r="N1427" s="71" t="n">
        <x:v>0</x:v>
      </x:c>
      <x:c r="O1427" s="72" t="n">
        <x:f aca="0">N1427/1000</x:f>
        <x:v>0</x:v>
      </x:c>
      <x:c r="P1427" s="73" t="n">
        <x:f aca="0">MLCF!G60</x:f>
        <x:v>0</x:v>
      </x:c>
      <x:c r="Q1427" s="70" t="str">
        <x:f aca="0">IF(ABS(O1427-P1427)&lt;0.000001,"PASS","FAIL")</x:f>
        <x:v>PASS</x:v>
      </x:c>
      <x:c r="R1427" s="70" t="s">
        <x:v>34</x:v>
      </x:c>
      <x:c r="S1427" s="70"/>
    </x:row>
    <x:row r="1428" ht="15" hidden="0">
      <x:c r="A1428" s="70" t="s">
        <x:v>2783</x:v>
      </x:c>
      <x:c r="B1428" s="70" t="s">
        <x:v>42</x:v>
      </x:c>
      <x:c r="C1428" s="70" t="s">
        <x:v>77</x:v>
      </x:c>
      <x:c r="D1428" s="70" t="s">
        <x:v>372</x:v>
      </x:c>
      <x:c r="E1428" s="70" t="s">
        <x:v>1129</x:v>
      </x:c>
      <x:c r="F1428" s="70"/>
      <x:c r="G1428" s="70" t="s">
        <x:v>1675</x:v>
      </x:c>
      <x:c r="H1428" s="70" t="s">
        <x:v>1215</x:v>
      </x:c>
      <x:c r="I1428" s="70" t="s">
        <x:v>1218</x:v>
      </x:c>
      <x:c r="J1428" s="70" t="n">
        <x:v>201</x:v>
      </x:c>
      <x:c r="K1428" s="70" t="s">
        <x:v>2455</x:v>
      </x:c>
      <x:c r="L1428" s="70"/>
      <x:c r="M1428" s="70" t="s">
        <x:v>40</x:v>
      </x:c>
      <x:c r="N1428" s="71" t="n">
        <x:v>0</x:v>
      </x:c>
      <x:c r="O1428" s="72" t="n">
        <x:f aca="0">N1428/1000</x:f>
        <x:v>0</x:v>
      </x:c>
      <x:c r="P1428" s="73" t="n">
        <x:f aca="0">MLCF!H60</x:f>
        <x:v>0</x:v>
      </x:c>
      <x:c r="Q1428" s="70" t="str">
        <x:f aca="0">IF(ABS(O1428-P1428)&lt;0.000001,"PASS","FAIL")</x:f>
        <x:v>PASS</x:v>
      </x:c>
      <x:c r="R1428" s="70" t="s">
        <x:v>34</x:v>
      </x:c>
      <x:c r="S1428" s="70"/>
    </x:row>
    <x:row r="1429" ht="15" hidden="0">
      <x:c r="A1429" s="70" t="s">
        <x:v>2784</x:v>
      </x:c>
      <x:c r="B1429" s="70" t="s">
        <x:v>42</x:v>
      </x:c>
      <x:c r="C1429" s="70" t="s">
        <x:v>1076</x:v>
      </x:c>
      <x:c r="D1429" s="70" t="s">
        <x:v>401</x:v>
      </x:c>
      <x:c r="E1429" s="70" t="s">
        <x:v>1129</x:v>
      </x:c>
      <x:c r="F1429" s="70"/>
      <x:c r="G1429" s="70" t="s">
        <x:v>1663</x:v>
      </x:c>
      <x:c r="H1429" s="70" t="s">
        <x:v>1198</x:v>
      </x:c>
      <x:c r="I1429" s="70" t="s">
        <x:v>1199</x:v>
      </x:c>
      <x:c r="J1429" s="70" t="n">
        <x:v>163</x:v>
      </x:c>
      <x:c r="K1429" s="70" t="s">
        <x:v>2559</x:v>
      </x:c>
      <x:c r="L1429" s="70"/>
      <x:c r="M1429" s="70" t="s">
        <x:v>40</x:v>
      </x:c>
      <x:c r="N1429" s="71" t="n">
        <x:v>66009771</x:v>
      </x:c>
      <x:c r="O1429" s="72" t="n">
        <x:f aca="0">N1429/1000</x:f>
        <x:v>66009.771</x:v>
      </x:c>
      <x:c r="P1429" s="73" t="n">
        <x:f aca="0">MLCF!C75</x:f>
        <x:v>66009.771</x:v>
      </x:c>
      <x:c r="Q1429" s="70" t="str">
        <x:f aca="0">IF(ABS(O1429-P1429)&lt;0.000001,"PASS","FAIL")</x:f>
        <x:v>PASS</x:v>
      </x:c>
      <x:c r="R1429" s="70" t="s">
        <x:v>34</x:v>
      </x:c>
      <x:c r="S1429" s="70"/>
    </x:row>
    <x:row r="1430" ht="15" hidden="0">
      <x:c r="A1430" s="70" t="s">
        <x:v>2785</x:v>
      </x:c>
      <x:c r="B1430" s="70" t="s">
        <x:v>42</x:v>
      </x:c>
      <x:c r="C1430" s="70" t="s">
        <x:v>73</x:v>
      </x:c>
      <x:c r="D1430" s="70" t="s">
        <x:v>401</x:v>
      </x:c>
      <x:c r="E1430" s="70" t="s">
        <x:v>1129</x:v>
      </x:c>
      <x:c r="F1430" s="70"/>
      <x:c r="G1430" s="70" t="s">
        <x:v>1666</x:v>
      </x:c>
      <x:c r="H1430" s="70" t="s">
        <x:v>1204</x:v>
      </x:c>
      <x:c r="I1430" s="70" t="s">
        <x:v>1199</x:v>
      </x:c>
      <x:c r="J1430" s="70" t="n">
        <x:v>184</x:v>
      </x:c>
      <x:c r="K1430" s="70" t="s">
        <x:v>2305</x:v>
      </x:c>
      <x:c r="L1430" s="70"/>
      <x:c r="M1430" s="70" t="s">
        <x:v>40</x:v>
      </x:c>
      <x:c r="N1430" s="71" t="n">
        <x:v>66239278</x:v>
      </x:c>
      <x:c r="O1430" s="72" t="n">
        <x:f aca="0">N1430/1000</x:f>
        <x:v>66239.278</x:v>
      </x:c>
      <x:c r="P1430" s="73" t="n">
        <x:f aca="0">MLCF!D75</x:f>
        <x:v>66239.278</x:v>
      </x:c>
      <x:c r="Q1430" s="70" t="str">
        <x:f aca="0">IF(ABS(O1430-P1430)&lt;0.000001,"PASS","FAIL")</x:f>
        <x:v>PASS</x:v>
      </x:c>
      <x:c r="R1430" s="70" t="s">
        <x:v>34</x:v>
      </x:c>
      <x:c r="S1430" s="70"/>
    </x:row>
    <x:row r="1431" ht="15" hidden="0">
      <x:c r="A1431" s="70" t="s">
        <x:v>2786</x:v>
      </x:c>
      <x:c r="B1431" s="70" t="s">
        <x:v>42</x:v>
      </x:c>
      <x:c r="C1431" s="70" t="s">
        <x:v>74</x:v>
      </x:c>
      <x:c r="D1431" s="70" t="s">
        <x:v>401</x:v>
      </x:c>
      <x:c r="E1431" s="70" t="s">
        <x:v>1129</x:v>
      </x:c>
      <x:c r="F1431" s="70"/>
      <x:c r="G1431" s="70" t="s">
        <x:v>1669</x:v>
      </x:c>
      <x:c r="H1431" s="70" t="s">
        <x:v>1208</x:v>
      </x:c>
      <x:c r="I1431" s="70" t="s">
        <x:v>1199</x:v>
      </x:c>
      <x:c r="J1431" s="70" t="n">
        <x:v>98</x:v>
      </x:c>
      <x:c r="K1431" s="70" t="s">
        <x:v>2562</x:v>
      </x:c>
      <x:c r="L1431" s="70"/>
      <x:c r="M1431" s="70" t="s">
        <x:v>40</x:v>
      </x:c>
      <x:c r="N1431" s="71" t="n">
        <x:v>82214210</x:v>
      </x:c>
      <x:c r="O1431" s="72" t="n">
        <x:f aca="0">N1431/1000</x:f>
        <x:v>82214.21</x:v>
      </x:c>
      <x:c r="P1431" s="73" t="n">
        <x:f aca="0">MLCF!E75</x:f>
        <x:v>82214.21</x:v>
      </x:c>
      <x:c r="Q1431" s="70" t="str">
        <x:f aca="0">IF(ABS(O1431-P1431)&lt;0.000001,"PASS","FAIL")</x:f>
        <x:v>PASS</x:v>
      </x:c>
      <x:c r="R1431" s="70" t="s">
        <x:v>34</x:v>
      </x:c>
      <x:c r="S1431" s="70"/>
    </x:row>
    <x:row r="1432" ht="15" hidden="0">
      <x:c r="A1432" s="70" t="s">
        <x:v>2787</x:v>
      </x:c>
      <x:c r="B1432" s="70" t="s">
        <x:v>42</x:v>
      </x:c>
      <x:c r="C1432" s="70" t="s">
        <x:v>75</x:v>
      </x:c>
      <x:c r="D1432" s="70" t="s">
        <x:v>401</x:v>
      </x:c>
      <x:c r="E1432" s="70" t="s">
        <x:v>1129</x:v>
      </x:c>
      <x:c r="F1432" s="70"/>
      <x:c r="G1432" s="70" t="s">
        <x:v>1672</x:v>
      </x:c>
      <x:c r="H1432" s="70" t="s">
        <x:v>1211</x:v>
      </x:c>
      <x:c r="I1432" s="70" t="s">
        <x:v>1199</x:v>
      </x:c>
      <x:c r="J1432" s="70" t="n">
        <x:v>190</x:v>
      </x:c>
      <x:c r="K1432" s="70" t="s">
        <x:v>2564</x:v>
      </x:c>
      <x:c r="L1432" s="70"/>
      <x:c r="M1432" s="70" t="s">
        <x:v>40</x:v>
      </x:c>
      <x:c r="N1432" s="71" t="n">
        <x:v>89707711</x:v>
      </x:c>
      <x:c r="O1432" s="72" t="n">
        <x:f aca="0">N1432/1000</x:f>
        <x:v>89707.711</x:v>
      </x:c>
      <x:c r="P1432" s="73" t="n">
        <x:f aca="0">MLCF!F75</x:f>
        <x:v>89707.711</x:v>
      </x:c>
      <x:c r="Q1432" s="70" t="str">
        <x:f aca="0">IF(ABS(O1432-P1432)&lt;0.000001,"PASS","FAIL")</x:f>
        <x:v>PASS</x:v>
      </x:c>
      <x:c r="R1432" s="70" t="s">
        <x:v>34</x:v>
      </x:c>
      <x:c r="S1432" s="70"/>
    </x:row>
    <x:row r="1433" ht="15" hidden="0">
      <x:c r="A1433" s="70" t="s">
        <x:v>2788</x:v>
      </x:c>
      <x:c r="B1433" s="70" t="s">
        <x:v>42</x:v>
      </x:c>
      <x:c r="C1433" s="70" t="s">
        <x:v>76</x:v>
      </x:c>
      <x:c r="D1433" s="70" t="s">
        <x:v>401</x:v>
      </x:c>
      <x:c r="E1433" s="70" t="s">
        <x:v>1129</x:v>
      </x:c>
      <x:c r="F1433" s="70"/>
      <x:c r="G1433" s="70" t="s">
        <x:v>1675</x:v>
      </x:c>
      <x:c r="H1433" s="70" t="s">
        <x:v>1215</x:v>
      </x:c>
      <x:c r="I1433" s="70" t="s">
        <x:v>1199</x:v>
      </x:c>
      <x:c r="J1433" s="70" t="n">
        <x:v>202</x:v>
      </x:c>
      <x:c r="K1433" s="70" t="s">
        <x:v>2527</x:v>
      </x:c>
      <x:c r="L1433" s="70"/>
      <x:c r="M1433" s="70" t="s">
        <x:v>40</x:v>
      </x:c>
      <x:c r="N1433" s="71" t="n">
        <x:v>99365682</x:v>
      </x:c>
      <x:c r="O1433" s="72" t="n">
        <x:f aca="0">N1433/1000</x:f>
        <x:v>99365.682</x:v>
      </x:c>
      <x:c r="P1433" s="73" t="n">
        <x:f aca="0">MLCF!G75</x:f>
        <x:v>99365.682</x:v>
      </x:c>
      <x:c r="Q1433" s="70" t="str">
        <x:f aca="0">IF(ABS(O1433-P1433)&lt;0.000001,"PASS","FAIL")</x:f>
        <x:v>PASS</x:v>
      </x:c>
      <x:c r="R1433" s="70" t="s">
        <x:v>34</x:v>
      </x:c>
      <x:c r="S1433" s="70"/>
    </x:row>
    <x:row r="1434" ht="15" hidden="0">
      <x:c r="A1434" s="70" t="s">
        <x:v>2789</x:v>
      </x:c>
      <x:c r="B1434" s="70" t="s">
        <x:v>42</x:v>
      </x:c>
      <x:c r="C1434" s="70" t="s">
        <x:v>77</x:v>
      </x:c>
      <x:c r="D1434" s="70" t="s">
        <x:v>401</x:v>
      </x:c>
      <x:c r="E1434" s="70" t="s">
        <x:v>1129</x:v>
      </x:c>
      <x:c r="F1434" s="70"/>
      <x:c r="G1434" s="70" t="s">
        <x:v>1675</x:v>
      </x:c>
      <x:c r="H1434" s="70" t="s">
        <x:v>1215</x:v>
      </x:c>
      <x:c r="I1434" s="70" t="s">
        <x:v>1218</x:v>
      </x:c>
      <x:c r="J1434" s="70" t="n">
        <x:v>202</x:v>
      </x:c>
      <x:c r="K1434" s="70" t="s">
        <x:v>2527</x:v>
      </x:c>
      <x:c r="L1434" s="70"/>
      <x:c r="M1434" s="70" t="s">
        <x:v>40</x:v>
      </x:c>
      <x:c r="N1434" s="71" t="n">
        <x:v>119106271</x:v>
      </x:c>
      <x:c r="O1434" s="72" t="n">
        <x:f aca="0">N1434/1000</x:f>
        <x:v>119106.271</x:v>
      </x:c>
      <x:c r="P1434" s="73" t="n">
        <x:f aca="0">MLCF!H75</x:f>
        <x:v>119106.271</x:v>
      </x:c>
      <x:c r="Q1434" s="70" t="str">
        <x:f aca="0">IF(ABS(O1434-P1434)&lt;0.000001,"PASS","FAIL")</x:f>
        <x:v>PASS</x:v>
      </x:c>
      <x:c r="R1434" s="70" t="s">
        <x:v>34</x:v>
      </x:c>
      <x:c r="S1434" s="70"/>
    </x:row>
    <x:row r="1435" ht="15" hidden="0">
      <x:c r="A1435" s="70" t="s">
        <x:v>2790</x:v>
      </x:c>
      <x:c r="B1435" s="70" t="s">
        <x:v>42</x:v>
      </x:c>
      <x:c r="C1435" s="70" t="s">
        <x:v>1076</x:v>
      </x:c>
      <x:c r="D1435" s="70" t="s">
        <x:v>403</x:v>
      </x:c>
      <x:c r="E1435" s="70" t="s">
        <x:v>1129</x:v>
      </x:c>
      <x:c r="F1435" s="70"/>
      <x:c r="G1435" s="70" t="s">
        <x:v>1663</x:v>
      </x:c>
      <x:c r="H1435" s="70" t="s">
        <x:v>1198</x:v>
      </x:c>
      <x:c r="I1435" s="70" t="s">
        <x:v>1199</x:v>
      </x:c>
      <x:c r="J1435" s="70" t="n">
        <x:v>162</x:v>
      </x:c>
      <x:c r="K1435" s="70" t="s">
        <x:v>2578</x:v>
      </x:c>
      <x:c r="L1435" s="70"/>
      <x:c r="M1435" s="70" t="s">
        <x:v>40</x:v>
      </x:c>
      <x:c r="N1435" s="71" t="n">
        <x:v>31320831</x:v>
      </x:c>
      <x:c r="O1435" s="72" t="n">
        <x:f aca="0">N1435/1000</x:f>
        <x:v>31320.831</x:v>
      </x:c>
      <x:c r="P1435" s="73" t="n">
        <x:f aca="0">MLCF!C76</x:f>
        <x:v>31320.831</x:v>
      </x:c>
      <x:c r="Q1435" s="70" t="str">
        <x:f aca="0">IF(ABS(O1435-P1435)&lt;0.000001,"PASS","FAIL")</x:f>
        <x:v>PASS</x:v>
      </x:c>
      <x:c r="R1435" s="70" t="s">
        <x:v>34</x:v>
      </x:c>
      <x:c r="S1435" s="70"/>
    </x:row>
    <x:row r="1436" ht="15" hidden="0">
      <x:c r="A1436" s="70" t="s">
        <x:v>2791</x:v>
      </x:c>
      <x:c r="B1436" s="70" t="s">
        <x:v>42</x:v>
      </x:c>
      <x:c r="C1436" s="70" t="s">
        <x:v>73</x:v>
      </x:c>
      <x:c r="D1436" s="70" t="s">
        <x:v>403</x:v>
      </x:c>
      <x:c r="E1436" s="70" t="s">
        <x:v>1129</x:v>
      </x:c>
      <x:c r="F1436" s="70"/>
      <x:c r="G1436" s="70" t="s">
        <x:v>1666</x:v>
      </x:c>
      <x:c r="H1436" s="70" t="s">
        <x:v>1204</x:v>
      </x:c>
      <x:c r="I1436" s="70" t="s">
        <x:v>1199</x:v>
      </x:c>
      <x:c r="J1436" s="70" t="n">
        <x:v>183</x:v>
      </x:c>
      <x:c r="K1436" s="70" t="s">
        <x:v>2276</x:v>
      </x:c>
      <x:c r="L1436" s="70"/>
      <x:c r="M1436" s="70" t="s">
        <x:v>40</x:v>
      </x:c>
      <x:c r="N1436" s="71" t="n">
        <x:v>37542541</x:v>
      </x:c>
      <x:c r="O1436" s="72" t="n">
        <x:f aca="0">N1436/1000</x:f>
        <x:v>37542.541</x:v>
      </x:c>
      <x:c r="P1436" s="73" t="n">
        <x:f aca="0">MLCF!D76</x:f>
        <x:v>37542.541</x:v>
      </x:c>
      <x:c r="Q1436" s="70" t="str">
        <x:f aca="0">IF(ABS(O1436-P1436)&lt;0.000001,"PASS","FAIL")</x:f>
        <x:v>PASS</x:v>
      </x:c>
      <x:c r="R1436" s="70" t="s">
        <x:v>34</x:v>
      </x:c>
      <x:c r="S1436" s="70"/>
    </x:row>
    <x:row r="1437" ht="15" hidden="0">
      <x:c r="A1437" s="70" t="s">
        <x:v>2792</x:v>
      </x:c>
      <x:c r="B1437" s="70" t="s">
        <x:v>42</x:v>
      </x:c>
      <x:c r="C1437" s="70" t="s">
        <x:v>74</x:v>
      </x:c>
      <x:c r="D1437" s="70" t="s">
        <x:v>403</x:v>
      </x:c>
      <x:c r="E1437" s="70" t="s">
        <x:v>1129</x:v>
      </x:c>
      <x:c r="F1437" s="70"/>
      <x:c r="G1437" s="70" t="s">
        <x:v>1669</x:v>
      </x:c>
      <x:c r="H1437" s="70" t="s">
        <x:v>1208</x:v>
      </x:c>
      <x:c r="I1437" s="70" t="s">
        <x:v>1199</x:v>
      </x:c>
      <x:c r="J1437" s="70" t="n">
        <x:v>98</x:v>
      </x:c>
      <x:c r="K1437" s="70" t="s">
        <x:v>2562</x:v>
      </x:c>
      <x:c r="L1437" s="70"/>
      <x:c r="M1437" s="70" t="s">
        <x:v>40</x:v>
      </x:c>
      <x:c r="N1437" s="71" t="n">
        <x:v>40559015</x:v>
      </x:c>
      <x:c r="O1437" s="72" t="n">
        <x:f aca="0">N1437/1000</x:f>
        <x:v>40559.015</x:v>
      </x:c>
      <x:c r="P1437" s="73" t="n">
        <x:f aca="0">MLCF!E76</x:f>
        <x:v>40559.015</x:v>
      </x:c>
      <x:c r="Q1437" s="70" t="str">
        <x:f aca="0">IF(ABS(O1437-P1437)&lt;0.000001,"PASS","FAIL")</x:f>
        <x:v>PASS</x:v>
      </x:c>
      <x:c r="R1437" s="70" t="s">
        <x:v>34</x:v>
      </x:c>
      <x:c r="S1437" s="70"/>
    </x:row>
    <x:row r="1438" ht="15" hidden="0">
      <x:c r="A1438" s="70" t="s">
        <x:v>2793</x:v>
      </x:c>
      <x:c r="B1438" s="70" t="s">
        <x:v>42</x:v>
      </x:c>
      <x:c r="C1438" s="70" t="s">
        <x:v>75</x:v>
      </x:c>
      <x:c r="D1438" s="70" t="s">
        <x:v>403</x:v>
      </x:c>
      <x:c r="E1438" s="70" t="s">
        <x:v>1129</x:v>
      </x:c>
      <x:c r="F1438" s="70"/>
      <x:c r="G1438" s="70" t="s">
        <x:v>1672</x:v>
      </x:c>
      <x:c r="H1438" s="70" t="s">
        <x:v>1211</x:v>
      </x:c>
      <x:c r="I1438" s="70" t="s">
        <x:v>1199</x:v>
      </x:c>
      <x:c r="J1438" s="70" t="n">
        <x:v>189</x:v>
      </x:c>
      <x:c r="K1438" s="70" t="s">
        <x:v>2130</x:v>
      </x:c>
      <x:c r="L1438" s="70"/>
      <x:c r="M1438" s="70" t="s">
        <x:v>40</x:v>
      </x:c>
      <x:c r="N1438" s="71" t="n">
        <x:v>44913114</x:v>
      </x:c>
      <x:c r="O1438" s="72" t="n">
        <x:f aca="0">N1438/1000</x:f>
        <x:v>44913.114</x:v>
      </x:c>
      <x:c r="P1438" s="73" t="n">
        <x:f aca="0">MLCF!F76</x:f>
        <x:v>44913.114</x:v>
      </x:c>
      <x:c r="Q1438" s="70" t="str">
        <x:f aca="0">IF(ABS(O1438-P1438)&lt;0.000001,"PASS","FAIL")</x:f>
        <x:v>PASS</x:v>
      </x:c>
      <x:c r="R1438" s="70" t="s">
        <x:v>34</x:v>
      </x:c>
      <x:c r="S1438" s="70"/>
    </x:row>
    <x:row r="1439" ht="15" hidden="0">
      <x:c r="A1439" s="70" t="s">
        <x:v>2794</x:v>
      </x:c>
      <x:c r="B1439" s="70" t="s">
        <x:v>42</x:v>
      </x:c>
      <x:c r="C1439" s="70" t="s">
        <x:v>76</x:v>
      </x:c>
      <x:c r="D1439" s="70" t="s">
        <x:v>403</x:v>
      </x:c>
      <x:c r="E1439" s="70" t="s">
        <x:v>1129</x:v>
      </x:c>
      <x:c r="F1439" s="70"/>
      <x:c r="G1439" s="70" t="s">
        <x:v>1675</x:v>
      </x:c>
      <x:c r="H1439" s="70" t="s">
        <x:v>1215</x:v>
      </x:c>
      <x:c r="I1439" s="70" t="s">
        <x:v>1199</x:v>
      </x:c>
      <x:c r="J1439" s="70" t="n">
        <x:v>201</x:v>
      </x:c>
      <x:c r="K1439" s="70" t="s">
        <x:v>2455</x:v>
      </x:c>
      <x:c r="L1439" s="70"/>
      <x:c r="M1439" s="70" t="s">
        <x:v>40</x:v>
      </x:c>
      <x:c r="N1439" s="71" t="n">
        <x:v>52615908</x:v>
      </x:c>
      <x:c r="O1439" s="72" t="n">
        <x:f aca="0">N1439/1000</x:f>
        <x:v>52615.908</x:v>
      </x:c>
      <x:c r="P1439" s="73" t="n">
        <x:f aca="0">MLCF!G76</x:f>
        <x:v>52615.908</x:v>
      </x:c>
      <x:c r="Q1439" s="70" t="str">
        <x:f aca="0">IF(ABS(O1439-P1439)&lt;0.000001,"PASS","FAIL")</x:f>
        <x:v>PASS</x:v>
      </x:c>
      <x:c r="R1439" s="70" t="s">
        <x:v>34</x:v>
      </x:c>
      <x:c r="S1439" s="70"/>
    </x:row>
    <x:row r="1440" ht="15" hidden="0">
      <x:c r="A1440" s="70" t="s">
        <x:v>2795</x:v>
      </x:c>
      <x:c r="B1440" s="70" t="s">
        <x:v>42</x:v>
      </x:c>
      <x:c r="C1440" s="70" t="s">
        <x:v>77</x:v>
      </x:c>
      <x:c r="D1440" s="70" t="s">
        <x:v>403</x:v>
      </x:c>
      <x:c r="E1440" s="70" t="s">
        <x:v>1129</x:v>
      </x:c>
      <x:c r="F1440" s="70"/>
      <x:c r="G1440" s="70" t="s">
        <x:v>1675</x:v>
      </x:c>
      <x:c r="H1440" s="70" t="s">
        <x:v>1215</x:v>
      </x:c>
      <x:c r="I1440" s="70" t="s">
        <x:v>1218</x:v>
      </x:c>
      <x:c r="J1440" s="70" t="n">
        <x:v>201</x:v>
      </x:c>
      <x:c r="K1440" s="70" t="s">
        <x:v>2455</x:v>
      </x:c>
      <x:c r="L1440" s="70"/>
      <x:c r="M1440" s="70" t="s">
        <x:v>40</x:v>
      </x:c>
      <x:c r="N1440" s="71" t="n">
        <x:v>71461592</x:v>
      </x:c>
      <x:c r="O1440" s="72" t="n">
        <x:f aca="0">N1440/1000</x:f>
        <x:v>71461.592</x:v>
      </x:c>
      <x:c r="P1440" s="73" t="n">
        <x:f aca="0">MLCF!H76</x:f>
        <x:v>71461.592</x:v>
      </x:c>
      <x:c r="Q1440" s="70" t="str">
        <x:f aca="0">IF(ABS(O1440-P1440)&lt;0.000001,"PASS","FAIL")</x:f>
        <x:v>PASS</x:v>
      </x:c>
      <x:c r="R1440" s="70" t="s">
        <x:v>34</x:v>
      </x:c>
      <x:c r="S1440" s="70"/>
    </x:row>
    <x:row r="1441" ht="15" hidden="0">
      <x:c r="A1441" s="70" t="s">
        <x:v>2796</x:v>
      </x:c>
      <x:c r="B1441" s="70" t="s">
        <x:v>42</x:v>
      </x:c>
      <x:c r="C1441" s="70" t="s">
        <x:v>1076</x:v>
      </x:c>
      <x:c r="D1441" s="70" t="s">
        <x:v>405</x:v>
      </x:c>
      <x:c r="E1441" s="70" t="s">
        <x:v>1129</x:v>
      </x:c>
      <x:c r="F1441" s="70"/>
      <x:c r="G1441" s="70" t="s">
        <x:v>1663</x:v>
      </x:c>
      <x:c r="H1441" s="70" t="s">
        <x:v>1198</x:v>
      </x:c>
      <x:c r="I1441" s="70" t="s">
        <x:v>1199</x:v>
      </x:c>
      <x:c r="J1441" s="70" t="n">
        <x:v>162</x:v>
      </x:c>
      <x:c r="K1441" s="70" t="s">
        <x:v>2578</x:v>
      </x:c>
      <x:c r="L1441" s="70"/>
      <x:c r="M1441" s="70" t="s">
        <x:v>40</x:v>
      </x:c>
      <x:c r="N1441" s="71" t="n">
        <x:v>16607191</x:v>
      </x:c>
      <x:c r="O1441" s="72" t="n">
        <x:f aca="0">N1441/1000</x:f>
        <x:v>16607.191</x:v>
      </x:c>
      <x:c r="P1441" s="73" t="n">
        <x:f aca="0">MLCF!C77</x:f>
        <x:v>16607.191</x:v>
      </x:c>
      <x:c r="Q1441" s="70" t="str">
        <x:f aca="0">IF(ABS(O1441-P1441)&lt;0.000001,"PASS","FAIL")</x:f>
        <x:v>PASS</x:v>
      </x:c>
      <x:c r="R1441" s="70" t="s">
        <x:v>34</x:v>
      </x:c>
      <x:c r="S1441" s="70"/>
    </x:row>
    <x:row r="1442" ht="15" hidden="0">
      <x:c r="A1442" s="70" t="s">
        <x:v>2797</x:v>
      </x:c>
      <x:c r="B1442" s="70" t="s">
        <x:v>42</x:v>
      </x:c>
      <x:c r="C1442" s="70" t="s">
        <x:v>73</x:v>
      </x:c>
      <x:c r="D1442" s="70" t="s">
        <x:v>405</x:v>
      </x:c>
      <x:c r="E1442" s="70" t="s">
        <x:v>1129</x:v>
      </x:c>
      <x:c r="F1442" s="70"/>
      <x:c r="G1442" s="70" t="s">
        <x:v>1666</x:v>
      </x:c>
      <x:c r="H1442" s="70" t="s">
        <x:v>1204</x:v>
      </x:c>
      <x:c r="I1442" s="70" t="s">
        <x:v>1199</x:v>
      </x:c>
      <x:c r="J1442" s="70" t="n">
        <x:v>183</x:v>
      </x:c>
      <x:c r="K1442" s="70" t="s">
        <x:v>2276</x:v>
      </x:c>
      <x:c r="L1442" s="70"/>
      <x:c r="M1442" s="70" t="s">
        <x:v>40</x:v>
      </x:c>
      <x:c r="N1442" s="71" t="n">
        <x:v>16923416</x:v>
      </x:c>
      <x:c r="O1442" s="72" t="n">
        <x:f aca="0">N1442/1000</x:f>
        <x:v>16923.416</x:v>
      </x:c>
      <x:c r="P1442" s="73" t="n">
        <x:f aca="0">MLCF!D77</x:f>
        <x:v>16923.416</x:v>
      </x:c>
      <x:c r="Q1442" s="70" t="str">
        <x:f aca="0">IF(ABS(O1442-P1442)&lt;0.000001,"PASS","FAIL")</x:f>
        <x:v>PASS</x:v>
      </x:c>
      <x:c r="R1442" s="70" t="s">
        <x:v>34</x:v>
      </x:c>
      <x:c r="S1442" s="70"/>
    </x:row>
    <x:row r="1443" ht="15" hidden="0">
      <x:c r="A1443" s="70" t="s">
        <x:v>2798</x:v>
      </x:c>
      <x:c r="B1443" s="70" t="s">
        <x:v>42</x:v>
      </x:c>
      <x:c r="C1443" s="70" t="s">
        <x:v>74</x:v>
      </x:c>
      <x:c r="D1443" s="70" t="s">
        <x:v>405</x:v>
      </x:c>
      <x:c r="E1443" s="70" t="s">
        <x:v>1129</x:v>
      </x:c>
      <x:c r="F1443" s="70"/>
      <x:c r="G1443" s="70" t="s">
        <x:v>1669</x:v>
      </x:c>
      <x:c r="H1443" s="70" t="s">
        <x:v>1208</x:v>
      </x:c>
      <x:c r="I1443" s="70" t="s">
        <x:v>1199</x:v>
      </x:c>
      <x:c r="J1443" s="70" t="n">
        <x:v>98</x:v>
      </x:c>
      <x:c r="K1443" s="70" t="s">
        <x:v>2562</x:v>
      </x:c>
      <x:c r="L1443" s="70"/>
      <x:c r="M1443" s="70" t="s">
        <x:v>40</x:v>
      </x:c>
      <x:c r="N1443" s="71" t="n">
        <x:v>20321989</x:v>
      </x:c>
      <x:c r="O1443" s="72" t="n">
        <x:f aca="0">N1443/1000</x:f>
        <x:v>20321.989</x:v>
      </x:c>
      <x:c r="P1443" s="73" t="n">
        <x:f aca="0">MLCF!E77</x:f>
        <x:v>20321.989</x:v>
      </x:c>
      <x:c r="Q1443" s="70" t="str">
        <x:f aca="0">IF(ABS(O1443-P1443)&lt;0.000001,"PASS","FAIL")</x:f>
        <x:v>PASS</x:v>
      </x:c>
      <x:c r="R1443" s="70" t="s">
        <x:v>34</x:v>
      </x:c>
      <x:c r="S1443" s="70"/>
    </x:row>
    <x:row r="1444" ht="15" hidden="0">
      <x:c r="A1444" s="70" t="s">
        <x:v>2799</x:v>
      </x:c>
      <x:c r="B1444" s="70" t="s">
        <x:v>42</x:v>
      </x:c>
      <x:c r="C1444" s="70" t="s">
        <x:v>75</x:v>
      </x:c>
      <x:c r="D1444" s="70" t="s">
        <x:v>405</x:v>
      </x:c>
      <x:c r="E1444" s="70" t="s">
        <x:v>1129</x:v>
      </x:c>
      <x:c r="F1444" s="70"/>
      <x:c r="G1444" s="70" t="s">
        <x:v>1672</x:v>
      </x:c>
      <x:c r="H1444" s="70" t="s">
        <x:v>1211</x:v>
      </x:c>
      <x:c r="I1444" s="70" t="s">
        <x:v>1199</x:v>
      </x:c>
      <x:c r="J1444" s="70" t="n">
        <x:v>189</x:v>
      </x:c>
      <x:c r="K1444" s="70" t="s">
        <x:v>2130</x:v>
      </x:c>
      <x:c r="L1444" s="70"/>
      <x:c r="M1444" s="70" t="s">
        <x:v>40</x:v>
      </x:c>
      <x:c r="N1444" s="71" t="n">
        <x:v>22239667</x:v>
      </x:c>
      <x:c r="O1444" s="72" t="n">
        <x:f aca="0">N1444/1000</x:f>
        <x:v>22239.667</x:v>
      </x:c>
      <x:c r="P1444" s="73" t="n">
        <x:f aca="0">MLCF!F77</x:f>
        <x:v>22239.667</x:v>
      </x:c>
      <x:c r="Q1444" s="70" t="str">
        <x:f aca="0">IF(ABS(O1444-P1444)&lt;0.000001,"PASS","FAIL")</x:f>
        <x:v>PASS</x:v>
      </x:c>
      <x:c r="R1444" s="70" t="s">
        <x:v>34</x:v>
      </x:c>
      <x:c r="S1444" s="70"/>
    </x:row>
    <x:row r="1445" ht="15" hidden="0">
      <x:c r="A1445" s="70" t="s">
        <x:v>2800</x:v>
      </x:c>
      <x:c r="B1445" s="70" t="s">
        <x:v>42</x:v>
      </x:c>
      <x:c r="C1445" s="70" t="s">
        <x:v>76</x:v>
      </x:c>
      <x:c r="D1445" s="70" t="s">
        <x:v>405</x:v>
      </x:c>
      <x:c r="E1445" s="70" t="s">
        <x:v>1129</x:v>
      </x:c>
      <x:c r="F1445" s="70"/>
      <x:c r="G1445" s="70" t="s">
        <x:v>1675</x:v>
      </x:c>
      <x:c r="H1445" s="70" t="s">
        <x:v>1215</x:v>
      </x:c>
      <x:c r="I1445" s="70" t="s">
        <x:v>1199</x:v>
      </x:c>
      <x:c r="J1445" s="70" t="n">
        <x:v>201</x:v>
      </x:c>
      <x:c r="K1445" s="70" t="s">
        <x:v>2455</x:v>
      </x:c>
      <x:c r="L1445" s="70"/>
      <x:c r="M1445" s="70" t="s">
        <x:v>40</x:v>
      </x:c>
      <x:c r="N1445" s="71" t="n">
        <x:v>26867837</x:v>
      </x:c>
      <x:c r="O1445" s="72" t="n">
        <x:f aca="0">N1445/1000</x:f>
        <x:v>26867.837</x:v>
      </x:c>
      <x:c r="P1445" s="73" t="n">
        <x:f aca="0">MLCF!G77</x:f>
        <x:v>26867.837</x:v>
      </x:c>
      <x:c r="Q1445" s="70" t="str">
        <x:f aca="0">IF(ABS(O1445-P1445)&lt;0.000001,"PASS","FAIL")</x:f>
        <x:v>PASS</x:v>
      </x:c>
      <x:c r="R1445" s="70" t="s">
        <x:v>34</x:v>
      </x:c>
      <x:c r="S1445" s="70"/>
    </x:row>
    <x:row r="1446" ht="15" hidden="0">
      <x:c r="A1446" s="70" t="s">
        <x:v>2801</x:v>
      </x:c>
      <x:c r="B1446" s="70" t="s">
        <x:v>42</x:v>
      </x:c>
      <x:c r="C1446" s="70" t="s">
        <x:v>77</x:v>
      </x:c>
      <x:c r="D1446" s="70" t="s">
        <x:v>405</x:v>
      </x:c>
      <x:c r="E1446" s="70" t="s">
        <x:v>1129</x:v>
      </x:c>
      <x:c r="F1446" s="70"/>
      <x:c r="G1446" s="70" t="s">
        <x:v>1675</x:v>
      </x:c>
      <x:c r="H1446" s="70" t="s">
        <x:v>1215</x:v>
      </x:c>
      <x:c r="I1446" s="70" t="s">
        <x:v>1218</x:v>
      </x:c>
      <x:c r="J1446" s="70" t="n">
        <x:v>201</x:v>
      </x:c>
      <x:c r="K1446" s="70" t="s">
        <x:v>2455</x:v>
      </x:c>
      <x:c r="L1446" s="70"/>
      <x:c r="M1446" s="70" t="s">
        <x:v>40</x:v>
      </x:c>
      <x:c r="N1446" s="71" t="n">
        <x:v>35752604</x:v>
      </x:c>
      <x:c r="O1446" s="72" t="n">
        <x:f aca="0">N1446/1000</x:f>
        <x:v>35752.604</x:v>
      </x:c>
      <x:c r="P1446" s="73" t="n">
        <x:f aca="0">MLCF!H77</x:f>
        <x:v>35752.604</x:v>
      </x:c>
      <x:c r="Q1446" s="70" t="str">
        <x:f aca="0">IF(ABS(O1446-P1446)&lt;0.000001,"PASS","FAIL")</x:f>
        <x:v>PASS</x:v>
      </x:c>
      <x:c r="R1446" s="70" t="s">
        <x:v>34</x:v>
      </x:c>
      <x:c r="S1446" s="70"/>
    </x:row>
    <x:row r="1447" ht="15" hidden="0">
      <x:c r="A1447" s="70" t="s">
        <x:v>2802</x:v>
      </x:c>
      <x:c r="B1447" s="70" t="s">
        <x:v>42</x:v>
      </x:c>
      <x:c r="C1447" s="70" t="s">
        <x:v>1076</x:v>
      </x:c>
      <x:c r="D1447" s="70" t="s">
        <x:v>407</x:v>
      </x:c>
      <x:c r="E1447" s="70" t="s">
        <x:v>1129</x:v>
      </x:c>
      <x:c r="F1447" s="70"/>
      <x:c r="G1447" s="70" t="s">
        <x:v>1663</x:v>
      </x:c>
      <x:c r="H1447" s="70" t="s">
        <x:v>1198</x:v>
      </x:c>
      <x:c r="I1447" s="70" t="s">
        <x:v>1199</x:v>
      </x:c>
      <x:c r="J1447" s="70" t="n">
        <x:v>162</x:v>
      </x:c>
      <x:c r="K1447" s="70" t="s">
        <x:v>2578</x:v>
      </x:c>
      <x:c r="L1447" s="70"/>
      <x:c r="M1447" s="70" t="s">
        <x:v>40</x:v>
      </x:c>
      <x:c r="N1447" s="71" t="n">
        <x:v>15313775</x:v>
      </x:c>
      <x:c r="O1447" s="72" t="n">
        <x:f aca="0">N1447/1000</x:f>
        <x:v>15313.775</x:v>
      </x:c>
      <x:c r="P1447" s="73" t="n">
        <x:f aca="0">MLCF!C78</x:f>
        <x:v>15313.775</x:v>
      </x:c>
      <x:c r="Q1447" s="70" t="str">
        <x:f aca="0">IF(ABS(O1447-P1447)&lt;0.000001,"PASS","FAIL")</x:f>
        <x:v>PASS</x:v>
      </x:c>
      <x:c r="R1447" s="70" t="s">
        <x:v>34</x:v>
      </x:c>
      <x:c r="S1447" s="70"/>
    </x:row>
    <x:row r="1448" ht="15" hidden="0">
      <x:c r="A1448" s="70" t="s">
        <x:v>2803</x:v>
      </x:c>
      <x:c r="B1448" s="70" t="s">
        <x:v>42</x:v>
      </x:c>
      <x:c r="C1448" s="70" t="s">
        <x:v>73</x:v>
      </x:c>
      <x:c r="D1448" s="70" t="s">
        <x:v>407</x:v>
      </x:c>
      <x:c r="E1448" s="70" t="s">
        <x:v>1129</x:v>
      </x:c>
      <x:c r="F1448" s="70"/>
      <x:c r="G1448" s="70" t="s">
        <x:v>1666</x:v>
      </x:c>
      <x:c r="H1448" s="70" t="s">
        <x:v>1204</x:v>
      </x:c>
      <x:c r="I1448" s="70" t="s">
        <x:v>1199</x:v>
      </x:c>
      <x:c r="J1448" s="70" t="n">
        <x:v>183</x:v>
      </x:c>
      <x:c r="K1448" s="70" t="s">
        <x:v>2276</x:v>
      </x:c>
      <x:c r="L1448" s="70"/>
      <x:c r="M1448" s="70" t="s">
        <x:v>40</x:v>
      </x:c>
      <x:c r="N1448" s="71" t="n">
        <x:v>11449448</x:v>
      </x:c>
      <x:c r="O1448" s="72" t="n">
        <x:f aca="0">N1448/1000</x:f>
        <x:v>11449.448</x:v>
      </x:c>
      <x:c r="P1448" s="73" t="n">
        <x:f aca="0">MLCF!D78</x:f>
        <x:v>11449.448</x:v>
      </x:c>
      <x:c r="Q1448" s="70" t="str">
        <x:f aca="0">IF(ABS(O1448-P1448)&lt;0.000001,"PASS","FAIL")</x:f>
        <x:v>PASS</x:v>
      </x:c>
      <x:c r="R1448" s="70" t="s">
        <x:v>34</x:v>
      </x:c>
      <x:c r="S1448" s="70"/>
    </x:row>
    <x:row r="1449" ht="15" hidden="0">
      <x:c r="A1449" s="70" t="s">
        <x:v>2804</x:v>
      </x:c>
      <x:c r="B1449" s="70" t="s">
        <x:v>42</x:v>
      </x:c>
      <x:c r="C1449" s="70" t="s">
        <x:v>74</x:v>
      </x:c>
      <x:c r="D1449" s="70" t="s">
        <x:v>407</x:v>
      </x:c>
      <x:c r="E1449" s="70" t="s">
        <x:v>1129</x:v>
      </x:c>
      <x:c r="F1449" s="70"/>
      <x:c r="G1449" s="70" t="s">
        <x:v>1669</x:v>
      </x:c>
      <x:c r="H1449" s="70" t="s">
        <x:v>1208</x:v>
      </x:c>
      <x:c r="I1449" s="70" t="s">
        <x:v>1199</x:v>
      </x:c>
      <x:c r="J1449" s="70" t="n">
        <x:v>98</x:v>
      </x:c>
      <x:c r="K1449" s="70" t="s">
        <x:v>2562</x:v>
      </x:c>
      <x:c r="L1449" s="70"/>
      <x:c r="M1449" s="70" t="s">
        <x:v>40</x:v>
      </x:c>
      <x:c r="N1449" s="71" t="n">
        <x:v>16193391</x:v>
      </x:c>
      <x:c r="O1449" s="72" t="n">
        <x:f aca="0">N1449/1000</x:f>
        <x:v>16193.391</x:v>
      </x:c>
      <x:c r="P1449" s="73" t="n">
        <x:f aca="0">MLCF!E78</x:f>
        <x:v>16193.391</x:v>
      </x:c>
      <x:c r="Q1449" s="70" t="str">
        <x:f aca="0">IF(ABS(O1449-P1449)&lt;0.000001,"PASS","FAIL")</x:f>
        <x:v>PASS</x:v>
      </x:c>
      <x:c r="R1449" s="70" t="s">
        <x:v>34</x:v>
      </x:c>
      <x:c r="S1449" s="70"/>
    </x:row>
    <x:row r="1450" ht="15" hidden="0">
      <x:c r="A1450" s="70" t="s">
        <x:v>2805</x:v>
      </x:c>
      <x:c r="B1450" s="70" t="s">
        <x:v>42</x:v>
      </x:c>
      <x:c r="C1450" s="70" t="s">
        <x:v>75</x:v>
      </x:c>
      <x:c r="D1450" s="70" t="s">
        <x:v>407</x:v>
      </x:c>
      <x:c r="E1450" s="70" t="s">
        <x:v>1129</x:v>
      </x:c>
      <x:c r="F1450" s="70"/>
      <x:c r="G1450" s="70" t="s">
        <x:v>1672</x:v>
      </x:c>
      <x:c r="H1450" s="70" t="s">
        <x:v>1211</x:v>
      </x:c>
      <x:c r="I1450" s="70" t="s">
        <x:v>1199</x:v>
      </x:c>
      <x:c r="J1450" s="70" t="n">
        <x:v>189</x:v>
      </x:c>
      <x:c r="K1450" s="70" t="s">
        <x:v>2130</x:v>
      </x:c>
      <x:c r="L1450" s="70"/>
      <x:c r="M1450" s="70" t="s">
        <x:v>40</x:v>
      </x:c>
      <x:c r="N1450" s="71" t="n">
        <x:v>16215021</x:v>
      </x:c>
      <x:c r="O1450" s="72" t="n">
        <x:f aca="0">N1450/1000</x:f>
        <x:v>16215.021</x:v>
      </x:c>
      <x:c r="P1450" s="73" t="n">
        <x:f aca="0">MLCF!F78</x:f>
        <x:v>16215.021</x:v>
      </x:c>
      <x:c r="Q1450" s="70" t="str">
        <x:f aca="0">IF(ABS(O1450-P1450)&lt;0.000001,"PASS","FAIL")</x:f>
        <x:v>PASS</x:v>
      </x:c>
      <x:c r="R1450" s="70" t="s">
        <x:v>34</x:v>
      </x:c>
      <x:c r="S1450" s="70"/>
    </x:row>
    <x:row r="1451" ht="15" hidden="0">
      <x:c r="A1451" s="70" t="s">
        <x:v>2806</x:v>
      </x:c>
      <x:c r="B1451" s="70" t="s">
        <x:v>42</x:v>
      </x:c>
      <x:c r="C1451" s="70" t="s">
        <x:v>76</x:v>
      </x:c>
      <x:c r="D1451" s="70" t="s">
        <x:v>407</x:v>
      </x:c>
      <x:c r="E1451" s="70" t="s">
        <x:v>1129</x:v>
      </x:c>
      <x:c r="F1451" s="70"/>
      <x:c r="G1451" s="70" t="s">
        <x:v>1675</x:v>
      </x:c>
      <x:c r="H1451" s="70" t="s">
        <x:v>1215</x:v>
      </x:c>
      <x:c r="I1451" s="70" t="s">
        <x:v>1199</x:v>
      </x:c>
      <x:c r="J1451" s="70" t="n">
        <x:v>201</x:v>
      </x:c>
      <x:c r="K1451" s="70" t="s">
        <x:v>2455</x:v>
      </x:c>
      <x:c r="L1451" s="70"/>
      <x:c r="M1451" s="70" t="s">
        <x:v>40</x:v>
      </x:c>
      <x:c r="N1451" s="71" t="n">
        <x:v>18597800</x:v>
      </x:c>
      <x:c r="O1451" s="72" t="n">
        <x:f aca="0">N1451/1000</x:f>
        <x:v>18597.8</x:v>
      </x:c>
      <x:c r="P1451" s="73" t="n">
        <x:f aca="0">MLCF!G78</x:f>
        <x:v>18597.8</x:v>
      </x:c>
      <x:c r="Q1451" s="70" t="str">
        <x:f aca="0">IF(ABS(O1451-P1451)&lt;0.000001,"PASS","FAIL")</x:f>
        <x:v>PASS</x:v>
      </x:c>
      <x:c r="R1451" s="70" t="s">
        <x:v>34</x:v>
      </x:c>
      <x:c r="S1451" s="70"/>
    </x:row>
    <x:row r="1452" ht="15" hidden="0">
      <x:c r="A1452" s="70" t="s">
        <x:v>2807</x:v>
      </x:c>
      <x:c r="B1452" s="70" t="s">
        <x:v>42</x:v>
      </x:c>
      <x:c r="C1452" s="70" t="s">
        <x:v>77</x:v>
      </x:c>
      <x:c r="D1452" s="70" t="s">
        <x:v>407</x:v>
      </x:c>
      <x:c r="E1452" s="70" t="s">
        <x:v>1129</x:v>
      </x:c>
      <x:c r="F1452" s="70"/>
      <x:c r="G1452" s="70" t="s">
        <x:v>1675</x:v>
      </x:c>
      <x:c r="H1452" s="70" t="s">
        <x:v>1215</x:v>
      </x:c>
      <x:c r="I1452" s="70" t="s">
        <x:v>1218</x:v>
      </x:c>
      <x:c r="J1452" s="70" t="n">
        <x:v>201</x:v>
      </x:c>
      <x:c r="K1452" s="70" t="s">
        <x:v>2455</x:v>
      </x:c>
      <x:c r="L1452" s="70"/>
      <x:c r="M1452" s="70" t="s">
        <x:v>40</x:v>
      </x:c>
      <x:c r="N1452" s="71" t="n">
        <x:v>23330491</x:v>
      </x:c>
      <x:c r="O1452" s="72" t="n">
        <x:f aca="0">N1452/1000</x:f>
        <x:v>23330.491</x:v>
      </x:c>
      <x:c r="P1452" s="73" t="n">
        <x:f aca="0">MLCF!H78</x:f>
        <x:v>23330.491</x:v>
      </x:c>
      <x:c r="Q1452" s="70" t="str">
        <x:f aca="0">IF(ABS(O1452-P1452)&lt;0.000001,"PASS","FAIL")</x:f>
        <x:v>PASS</x:v>
      </x:c>
      <x:c r="R1452" s="70" t="s">
        <x:v>34</x:v>
      </x:c>
      <x:c r="S1452" s="70"/>
    </x:row>
    <x:row r="1453" ht="15" hidden="0">
      <x:c r="A1453" s="70" t="s">
        <x:v>2808</x:v>
      </x:c>
      <x:c r="B1453" s="70" t="s">
        <x:v>42</x:v>
      </x:c>
      <x:c r="C1453" s="70" t="s">
        <x:v>73</x:v>
      </x:c>
      <x:c r="D1453" s="70" t="s">
        <x:v>414</x:v>
      </x:c>
      <x:c r="E1453" s="70" t="s">
        <x:v>1472</x:v>
      </x:c>
      <x:c r="F1453" s="70" t="s">
        <x:v>2809</x:v>
      </x:c>
      <x:c r="G1453" s="70" t="s">
        <x:v>1666</x:v>
      </x:c>
      <x:c r="H1453" s="70" t="s">
        <x:v>1204</x:v>
      </x:c>
      <x:c r="I1453" s="70" t="s">
        <x:v>1199</x:v>
      </x:c>
      <x:c r="J1453" s="70" t="n">
        <x:v>185</x:v>
      </x:c>
      <x:c r="K1453" s="70" t="s">
        <x:v>2126</x:v>
      </x:c>
      <x:c r="L1453" s="70"/>
      <x:c r="M1453" s="70" t="s">
        <x:v>40</x:v>
      </x:c>
      <x:c r="N1453" s="71" t="n">
        <x:v>35538301</x:v>
      </x:c>
      <x:c r="O1453" s="72" t="n">
        <x:f aca="0">N1453/1000</x:f>
        <x:v>35538.301</x:v>
      </x:c>
      <x:c r="P1453" s="73" t="n">
        <x:f aca="0">MLCF!D84</x:f>
        <x:v>35538.301</x:v>
      </x:c>
      <x:c r="Q1453" s="70" t="str">
        <x:f aca="0">IF(ABS(O1453-P1453)&lt;0.000001,"PASS","FAIL")</x:f>
        <x:v>PASS</x:v>
      </x:c>
      <x:c r="R1453" s="70" t="s">
        <x:v>34</x:v>
      </x:c>
      <x:c r="S1453" s="70" t="s">
        <x:v>1205</x:v>
      </x:c>
    </x:row>
    <x:row r="1454" ht="15" hidden="0">
      <x:c r="A1454" s="70" t="s">
        <x:v>2810</x:v>
      </x:c>
      <x:c r="B1454" s="70" t="s">
        <x:v>42</x:v>
      </x:c>
      <x:c r="C1454" s="70" t="s">
        <x:v>74</x:v>
      </x:c>
      <x:c r="D1454" s="70" t="s">
        <x:v>414</x:v>
      </x:c>
      <x:c r="E1454" s="70" t="s">
        <x:v>1472</x:v>
      </x:c>
      <x:c r="F1454" s="70" t="s">
        <x:v>2809</x:v>
      </x:c>
      <x:c r="G1454" s="70" t="s">
        <x:v>1669</x:v>
      </x:c>
      <x:c r="H1454" s="70" t="s">
        <x:v>1208</x:v>
      </x:c>
      <x:c r="I1454" s="70" t="s">
        <x:v>1199</x:v>
      </x:c>
      <x:c r="J1454" s="70" t="n">
        <x:v>99</x:v>
      </x:c>
      <x:c r="K1454" s="70" t="s">
        <x:v>2811</x:v>
      </x:c>
      <x:c r="L1454" s="70"/>
      <x:c r="M1454" s="70" t="s">
        <x:v>40</x:v>
      </x:c>
      <x:c r="N1454" s="71" t="n">
        <x:v>48519622</x:v>
      </x:c>
      <x:c r="O1454" s="72" t="n">
        <x:f aca="0">N1454/1000</x:f>
        <x:v>48519.622</x:v>
      </x:c>
      <x:c r="P1454" s="73" t="n">
        <x:f aca="0">MLCF!E84</x:f>
        <x:v>48519.622</x:v>
      </x:c>
      <x:c r="Q1454" s="70" t="str">
        <x:f aca="0">IF(ABS(O1454-P1454)&lt;0.000001,"PASS","FAIL")</x:f>
        <x:v>PASS</x:v>
      </x:c>
      <x:c r="R1454" s="70" t="s">
        <x:v>34</x:v>
      </x:c>
      <x:c r="S1454" s="70"/>
    </x:row>
    <x:row r="1455" ht="15" hidden="0">
      <x:c r="A1455" s="70" t="s">
        <x:v>2812</x:v>
      </x:c>
      <x:c r="B1455" s="70" t="s">
        <x:v>42</x:v>
      </x:c>
      <x:c r="C1455" s="70" t="s">
        <x:v>75</x:v>
      </x:c>
      <x:c r="D1455" s="70" t="s">
        <x:v>414</x:v>
      </x:c>
      <x:c r="E1455" s="70" t="s">
        <x:v>1472</x:v>
      </x:c>
      <x:c r="F1455" s="70" t="s">
        <x:v>2366</x:v>
      </x:c>
      <x:c r="G1455" s="70" t="s">
        <x:v>1672</x:v>
      </x:c>
      <x:c r="H1455" s="70" t="s">
        <x:v>1211</x:v>
      </x:c>
      <x:c r="I1455" s="70" t="s">
        <x:v>1199</x:v>
      </x:c>
      <x:c r="J1455" s="70" t="n">
        <x:v>191</x:v>
      </x:c>
      <x:c r="K1455" s="70" t="s">
        <x:v>2813</x:v>
      </x:c>
      <x:c r="L1455" s="70"/>
      <x:c r="M1455" s="70" t="s">
        <x:v>40</x:v>
      </x:c>
      <x:c r="N1455" s="71" t="n">
        <x:v>62075259</x:v>
      </x:c>
      <x:c r="O1455" s="72" t="n">
        <x:f aca="0">N1455/1000</x:f>
        <x:v>62075.259</x:v>
      </x:c>
      <x:c r="P1455" s="73" t="n">
        <x:f aca="0">MLCF!F84</x:f>
        <x:v>62075.259</x:v>
      </x:c>
      <x:c r="Q1455" s="70" t="str">
        <x:f aca="0">IF(ABS(O1455-P1455)&lt;0.000001,"PASS","FAIL")</x:f>
        <x:v>PASS</x:v>
      </x:c>
      <x:c r="R1455" s="70" t="s">
        <x:v>34</x:v>
      </x:c>
      <x:c r="S1455" s="70"/>
    </x:row>
    <x:row r="1456" ht="15" hidden="0">
      <x:c r="A1456" s="70" t="s">
        <x:v>2814</x:v>
      </x:c>
      <x:c r="B1456" s="70" t="s">
        <x:v>42</x:v>
      </x:c>
      <x:c r="C1456" s="70" t="s">
        <x:v>76</x:v>
      </x:c>
      <x:c r="D1456" s="70" t="s">
        <x:v>414</x:v>
      </x:c>
      <x:c r="E1456" s="70" t="s">
        <x:v>1472</x:v>
      </x:c>
      <x:c r="F1456" s="70" t="s">
        <x:v>2371</x:v>
      </x:c>
      <x:c r="G1456" s="70" t="s">
        <x:v>1675</x:v>
      </x:c>
      <x:c r="H1456" s="70" t="s">
        <x:v>1215</x:v>
      </x:c>
      <x:c r="I1456" s="70" t="s">
        <x:v>1199</x:v>
      </x:c>
      <x:c r="J1456" s="70" t="n">
        <x:v>203</x:v>
      </x:c>
      <x:c r="K1456" s="70" t="s">
        <x:v>2815</x:v>
      </x:c>
      <x:c r="L1456" s="70"/>
      <x:c r="M1456" s="70" t="s">
        <x:v>40</x:v>
      </x:c>
      <x:c r="N1456" s="71" t="n">
        <x:v>66452348</x:v>
      </x:c>
      <x:c r="O1456" s="72" t="n">
        <x:f aca="0">N1456/1000</x:f>
        <x:v>66452.348</x:v>
      </x:c>
      <x:c r="P1456" s="73" t="n">
        <x:f aca="0">MLCF!G84</x:f>
        <x:v>66452.348</x:v>
      </x:c>
      <x:c r="Q1456" s="70" t="str">
        <x:f aca="0">IF(ABS(O1456-P1456)&lt;0.000001,"PASS","FAIL")</x:f>
        <x:v>PASS</x:v>
      </x:c>
      <x:c r="R1456" s="70" t="s">
        <x:v>34</x:v>
      </x:c>
      <x:c r="S1456" s="70"/>
    </x:row>
    <x:row r="1457" ht="15" hidden="0">
      <x:c r="A1457" s="70" t="s">
        <x:v>2816</x:v>
      </x:c>
      <x:c r="B1457" s="70" t="s">
        <x:v>42</x:v>
      </x:c>
      <x:c r="C1457" s="70" t="s">
        <x:v>77</x:v>
      </x:c>
      <x:c r="D1457" s="70" t="s">
        <x:v>414</x:v>
      </x:c>
      <x:c r="E1457" s="70" t="s">
        <x:v>1472</x:v>
      </x:c>
      <x:c r="F1457" s="70" t="s">
        <x:v>2371</x:v>
      </x:c>
      <x:c r="G1457" s="70" t="s">
        <x:v>1675</x:v>
      </x:c>
      <x:c r="H1457" s="70" t="s">
        <x:v>1215</x:v>
      </x:c>
      <x:c r="I1457" s="70" t="s">
        <x:v>1218</x:v>
      </x:c>
      <x:c r="J1457" s="70" t="n">
        <x:v>203</x:v>
      </x:c>
      <x:c r="K1457" s="70" t="s">
        <x:v>2815</x:v>
      </x:c>
      <x:c r="L1457" s="70"/>
      <x:c r="M1457" s="70" t="s">
        <x:v>40</x:v>
      </x:c>
      <x:c r="N1457" s="71" t="n">
        <x:v>68942446</x:v>
      </x:c>
      <x:c r="O1457" s="72" t="n">
        <x:f aca="0">N1457/1000</x:f>
        <x:v>68942.446</x:v>
      </x:c>
      <x:c r="P1457" s="73" t="n">
        <x:f aca="0">MLCF!H84</x:f>
        <x:v>68942.446</x:v>
      </x:c>
      <x:c r="Q1457" s="70" t="str">
        <x:f aca="0">IF(ABS(O1457-P1457)&lt;0.000001,"PASS","FAIL")</x:f>
        <x:v>PASS</x:v>
      </x:c>
      <x:c r="R1457" s="70" t="s">
        <x:v>34</x:v>
      </x:c>
      <x:c r="S1457" s="70"/>
    </x:row>
    <x:row r="1458" ht="15" hidden="0">
      <x:c r="A1458" s="70" t="s">
        <x:v>2817</x:v>
      </x:c>
      <x:c r="B1458" s="70" t="s">
        <x:v>42</x:v>
      </x:c>
      <x:c r="C1458" s="70" t="s">
        <x:v>73</x:v>
      </x:c>
      <x:c r="D1458" s="70" t="s">
        <x:v>416</x:v>
      </x:c>
      <x:c r="E1458" s="70" t="s">
        <x:v>1472</x:v>
      </x:c>
      <x:c r="F1458" s="70" t="s">
        <x:v>416</x:v>
      </x:c>
      <x:c r="G1458" s="70" t="s">
        <x:v>1666</x:v>
      </x:c>
      <x:c r="H1458" s="70" t="s">
        <x:v>1204</x:v>
      </x:c>
      <x:c r="I1458" s="70" t="s">
        <x:v>1199</x:v>
      </x:c>
      <x:c r="J1458" s="70" t="n">
        <x:v>185</x:v>
      </x:c>
      <x:c r="K1458" s="70" t="s">
        <x:v>2126</x:v>
      </x:c>
      <x:c r="L1458" s="70"/>
      <x:c r="M1458" s="70" t="s">
        <x:v>40</x:v>
      </x:c>
      <x:c r="N1458" s="71" t="n">
        <x:v>-28135419</x:v>
      </x:c>
      <x:c r="O1458" s="72" t="n">
        <x:f aca="0">N1458/1000</x:f>
        <x:v>-28135.419</x:v>
      </x:c>
      <x:c r="P1458" s="73" t="n">
        <x:f aca="0">MLCF!D85</x:f>
        <x:v>-28135.419</x:v>
      </x:c>
      <x:c r="Q1458" s="70" t="str">
        <x:f aca="0">IF(ABS(O1458-P1458)&lt;0.000001,"PASS","FAIL")</x:f>
        <x:v>PASS</x:v>
      </x:c>
      <x:c r="R1458" s="70" t="s">
        <x:v>34</x:v>
      </x:c>
      <x:c r="S1458" s="70"/>
    </x:row>
    <x:row r="1459" ht="15" hidden="0">
      <x:c r="A1459" s="70" t="s">
        <x:v>2818</x:v>
      </x:c>
      <x:c r="B1459" s="70" t="s">
        <x:v>42</x:v>
      </x:c>
      <x:c r="C1459" s="70" t="s">
        <x:v>74</x:v>
      </x:c>
      <x:c r="D1459" s="70" t="s">
        <x:v>416</x:v>
      </x:c>
      <x:c r="E1459" s="70" t="s">
        <x:v>1472</x:v>
      </x:c>
      <x:c r="F1459" s="70" t="s">
        <x:v>416</x:v>
      </x:c>
      <x:c r="G1459" s="70" t="s">
        <x:v>1669</x:v>
      </x:c>
      <x:c r="H1459" s="70" t="s">
        <x:v>1208</x:v>
      </x:c>
      <x:c r="I1459" s="70" t="s">
        <x:v>1199</x:v>
      </x:c>
      <x:c r="J1459" s="70" t="n">
        <x:v>99</x:v>
      </x:c>
      <x:c r="K1459" s="70" t="s">
        <x:v>2811</x:v>
      </x:c>
      <x:c r="L1459" s="70"/>
      <x:c r="M1459" s="70" t="s">
        <x:v>40</x:v>
      </x:c>
      <x:c r="N1459" s="71" t="n">
        <x:v>-36244156</x:v>
      </x:c>
      <x:c r="O1459" s="72" t="n">
        <x:f aca="0">N1459/1000</x:f>
        <x:v>-36244.156</x:v>
      </x:c>
      <x:c r="P1459" s="73" t="n">
        <x:f aca="0">MLCF!E85</x:f>
        <x:v>-36244.156</x:v>
      </x:c>
      <x:c r="Q1459" s="70" t="str">
        <x:f aca="0">IF(ABS(O1459-P1459)&lt;0.000001,"PASS","FAIL")</x:f>
        <x:v>PASS</x:v>
      </x:c>
      <x:c r="R1459" s="70" t="s">
        <x:v>34</x:v>
      </x:c>
      <x:c r="S1459" s="70"/>
    </x:row>
    <x:row r="1460" ht="15" hidden="0">
      <x:c r="A1460" s="70" t="s">
        <x:v>2819</x:v>
      </x:c>
      <x:c r="B1460" s="70" t="s">
        <x:v>42</x:v>
      </x:c>
      <x:c r="C1460" s="70" t="s">
        <x:v>75</x:v>
      </x:c>
      <x:c r="D1460" s="70" t="s">
        <x:v>416</x:v>
      </x:c>
      <x:c r="E1460" s="70" t="s">
        <x:v>1472</x:v>
      </x:c>
      <x:c r="F1460" s="70" t="s">
        <x:v>416</x:v>
      </x:c>
      <x:c r="G1460" s="70" t="s">
        <x:v>1672</x:v>
      </x:c>
      <x:c r="H1460" s="70" t="s">
        <x:v>1211</x:v>
      </x:c>
      <x:c r="I1460" s="70" t="s">
        <x:v>1199</x:v>
      </x:c>
      <x:c r="J1460" s="70" t="n">
        <x:v>191</x:v>
      </x:c>
      <x:c r="K1460" s="70" t="s">
        <x:v>2813</x:v>
      </x:c>
      <x:c r="L1460" s="70"/>
      <x:c r="M1460" s="70" t="s">
        <x:v>40</x:v>
      </x:c>
      <x:c r="N1460" s="71" t="n">
        <x:v>-43901906</x:v>
      </x:c>
      <x:c r="O1460" s="72" t="n">
        <x:f aca="0">N1460/1000</x:f>
        <x:v>-43901.906</x:v>
      </x:c>
      <x:c r="P1460" s="73" t="n">
        <x:f aca="0">MLCF!F85</x:f>
        <x:v>-43901.906</x:v>
      </x:c>
      <x:c r="Q1460" s="70" t="str">
        <x:f aca="0">IF(ABS(O1460-P1460)&lt;0.000001,"PASS","FAIL")</x:f>
        <x:v>PASS</x:v>
      </x:c>
      <x:c r="R1460" s="70" t="s">
        <x:v>34</x:v>
      </x:c>
      <x:c r="S1460" s="70" t="s">
        <x:v>1205</x:v>
      </x:c>
    </x:row>
    <x:row r="1461" ht="15" hidden="0">
      <x:c r="A1461" s="70" t="s">
        <x:v>2820</x:v>
      </x:c>
      <x:c r="B1461" s="70" t="s">
        <x:v>42</x:v>
      </x:c>
      <x:c r="C1461" s="70" t="s">
        <x:v>76</x:v>
      </x:c>
      <x:c r="D1461" s="70" t="s">
        <x:v>416</x:v>
      </x:c>
      <x:c r="E1461" s="70" t="s">
        <x:v>1472</x:v>
      </x:c>
      <x:c r="F1461" s="70" t="s">
        <x:v>416</x:v>
      </x:c>
      <x:c r="G1461" s="70" t="s">
        <x:v>1675</x:v>
      </x:c>
      <x:c r="H1461" s="70" t="s">
        <x:v>1215</x:v>
      </x:c>
      <x:c r="I1461" s="70" t="s">
        <x:v>1199</x:v>
      </x:c>
      <x:c r="J1461" s="70" t="n">
        <x:v>203</x:v>
      </x:c>
      <x:c r="K1461" s="70" t="s">
        <x:v>2815</x:v>
      </x:c>
      <x:c r="L1461" s="70"/>
      <x:c r="M1461" s="70" t="s">
        <x:v>40</x:v>
      </x:c>
      <x:c r="N1461" s="71" t="n">
        <x:v>-45488064</x:v>
      </x:c>
      <x:c r="O1461" s="72" t="n">
        <x:f aca="0">N1461/1000</x:f>
        <x:v>-45488.064</x:v>
      </x:c>
      <x:c r="P1461" s="73" t="n">
        <x:f aca="0">MLCF!G85</x:f>
        <x:v>-45488.064</x:v>
      </x:c>
      <x:c r="Q1461" s="70" t="str">
        <x:f aca="0">IF(ABS(O1461-P1461)&lt;0.000001,"PASS","FAIL")</x:f>
        <x:v>PASS</x:v>
      </x:c>
      <x:c r="R1461" s="70" t="s">
        <x:v>34</x:v>
      </x:c>
      <x:c r="S1461" s="70"/>
    </x:row>
    <x:row r="1462" ht="15" hidden="0">
      <x:c r="A1462" s="70" t="s">
        <x:v>2821</x:v>
      </x:c>
      <x:c r="B1462" s="70" t="s">
        <x:v>42</x:v>
      </x:c>
      <x:c r="C1462" s="70" t="s">
        <x:v>77</x:v>
      </x:c>
      <x:c r="D1462" s="70" t="s">
        <x:v>416</x:v>
      </x:c>
      <x:c r="E1462" s="70" t="s">
        <x:v>1472</x:v>
      </x:c>
      <x:c r="F1462" s="70" t="s">
        <x:v>416</x:v>
      </x:c>
      <x:c r="G1462" s="70" t="s">
        <x:v>1675</x:v>
      </x:c>
      <x:c r="H1462" s="70" t="s">
        <x:v>1215</x:v>
      </x:c>
      <x:c r="I1462" s="70" t="s">
        <x:v>1218</x:v>
      </x:c>
      <x:c r="J1462" s="70" t="n">
        <x:v>203</x:v>
      </x:c>
      <x:c r="K1462" s="70" t="s">
        <x:v>2815</x:v>
      </x:c>
      <x:c r="L1462" s="70"/>
      <x:c r="M1462" s="70" t="s">
        <x:v>40</x:v>
      </x:c>
      <x:c r="N1462" s="71" t="n">
        <x:v>-45195630</x:v>
      </x:c>
      <x:c r="O1462" s="72" t="n">
        <x:f aca="0">N1462/1000</x:f>
        <x:v>-45195.63</x:v>
      </x:c>
      <x:c r="P1462" s="73" t="n">
        <x:f aca="0">MLCF!H85</x:f>
        <x:v>-45195.63</x:v>
      </x:c>
      <x:c r="Q1462" s="70" t="str">
        <x:f aca="0">IF(ABS(O1462-P1462)&lt;0.000001,"PASS","FAIL")</x:f>
        <x:v>PASS</x:v>
      </x:c>
      <x:c r="R1462" s="70" t="s">
        <x:v>34</x:v>
      </x:c>
      <x:c r="S1462" s="70"/>
    </x:row>
    <x:row r="1463" ht="15" hidden="0">
      <x:c r="A1463" s="70" t="s">
        <x:v>2822</x:v>
      </x:c>
      <x:c r="B1463" s="70" t="s">
        <x:v>42</x:v>
      </x:c>
      <x:c r="C1463" s="70" t="s">
        <x:v>73</x:v>
      </x:c>
      <x:c r="D1463" s="70" t="s">
        <x:v>420</x:v>
      </x:c>
      <x:c r="E1463" s="70" t="s">
        <x:v>1472</x:v>
      </x:c>
      <x:c r="F1463" s="70" t="s">
        <x:v>1932</x:v>
      </x:c>
      <x:c r="G1463" s="70" t="s">
        <x:v>1666</x:v>
      </x:c>
      <x:c r="H1463" s="70" t="s">
        <x:v>1204</x:v>
      </x:c>
      <x:c r="I1463" s="70" t="s">
        <x:v>1199</x:v>
      </x:c>
      <x:c r="J1463" s="70" t="n">
        <x:v>185</x:v>
      </x:c>
      <x:c r="K1463" s="70" t="s">
        <x:v>2126</x:v>
      </x:c>
      <x:c r="L1463" s="70"/>
      <x:c r="M1463" s="70" t="s">
        <x:v>40</x:v>
      </x:c>
      <x:c r="N1463" s="71" t="n">
        <x:v>-1013852</x:v>
      </x:c>
      <x:c r="O1463" s="72" t="n">
        <x:f aca="0">N1463/1000</x:f>
        <x:v>-1013.852</x:v>
      </x:c>
      <x:c r="P1463" s="73" t="n">
        <x:f aca="0">MLCF!D87</x:f>
        <x:v>-1013.852</x:v>
      </x:c>
      <x:c r="Q1463" s="70" t="str">
        <x:f aca="0">IF(ABS(O1463-P1463)&lt;0.000001,"PASS","FAIL")</x:f>
        <x:v>PASS</x:v>
      </x:c>
      <x:c r="R1463" s="70" t="s">
        <x:v>34</x:v>
      </x:c>
      <x:c r="S1463" s="70" t="s">
        <x:v>1205</x:v>
      </x:c>
    </x:row>
    <x:row r="1464" ht="15" hidden="0">
      <x:c r="A1464" s="70" t="s">
        <x:v>2823</x:v>
      </x:c>
      <x:c r="B1464" s="70" t="s">
        <x:v>42</x:v>
      </x:c>
      <x:c r="C1464" s="70" t="s">
        <x:v>74</x:v>
      </x:c>
      <x:c r="D1464" s="70" t="s">
        <x:v>420</x:v>
      </x:c>
      <x:c r="E1464" s="70" t="s">
        <x:v>1472</x:v>
      </x:c>
      <x:c r="F1464" s="70" t="s">
        <x:v>1932</x:v>
      </x:c>
      <x:c r="G1464" s="70" t="s">
        <x:v>1669</x:v>
      </x:c>
      <x:c r="H1464" s="70" t="s">
        <x:v>1208</x:v>
      </x:c>
      <x:c r="I1464" s="70" t="s">
        <x:v>1199</x:v>
      </x:c>
      <x:c r="J1464" s="70" t="n">
        <x:v>99</x:v>
      </x:c>
      <x:c r="K1464" s="70" t="s">
        <x:v>2811</x:v>
      </x:c>
      <x:c r="L1464" s="70"/>
      <x:c r="M1464" s="70" t="s">
        <x:v>40</x:v>
      </x:c>
      <x:c r="N1464" s="71" t="n">
        <x:v>-1483876</x:v>
      </x:c>
      <x:c r="O1464" s="72" t="n">
        <x:f aca="0">N1464/1000</x:f>
        <x:v>-1483.876</x:v>
      </x:c>
      <x:c r="P1464" s="73" t="n">
        <x:f aca="0">MLCF!E87</x:f>
        <x:v>-1483.876</x:v>
      </x:c>
      <x:c r="Q1464" s="70" t="str">
        <x:f aca="0">IF(ABS(O1464-P1464)&lt;0.000001,"PASS","FAIL")</x:f>
        <x:v>PASS</x:v>
      </x:c>
      <x:c r="R1464" s="70" t="s">
        <x:v>34</x:v>
      </x:c>
      <x:c r="S1464" s="70"/>
    </x:row>
    <x:row r="1465" ht="15" hidden="0">
      <x:c r="A1465" s="70" t="s">
        <x:v>2824</x:v>
      </x:c>
      <x:c r="B1465" s="70" t="s">
        <x:v>42</x:v>
      </x:c>
      <x:c r="C1465" s="70" t="s">
        <x:v>75</x:v>
      </x:c>
      <x:c r="D1465" s="70" t="s">
        <x:v>420</x:v>
      </x:c>
      <x:c r="E1465" s="70" t="s">
        <x:v>1472</x:v>
      </x:c>
      <x:c r="F1465" s="70" t="s">
        <x:v>420</x:v>
      </x:c>
      <x:c r="G1465" s="70" t="s">
        <x:v>1672</x:v>
      </x:c>
      <x:c r="H1465" s="70" t="s">
        <x:v>1211</x:v>
      </x:c>
      <x:c r="I1465" s="70" t="s">
        <x:v>1199</x:v>
      </x:c>
      <x:c r="J1465" s="70" t="n">
        <x:v>191</x:v>
      </x:c>
      <x:c r="K1465" s="70" t="s">
        <x:v>2813</x:v>
      </x:c>
      <x:c r="L1465" s="70"/>
      <x:c r="M1465" s="70" t="s">
        <x:v>40</x:v>
      </x:c>
      <x:c r="N1465" s="71" t="n">
        <x:v>-3751096</x:v>
      </x:c>
      <x:c r="O1465" s="72" t="n">
        <x:f aca="0">N1465/1000</x:f>
        <x:v>-3751.096</x:v>
      </x:c>
      <x:c r="P1465" s="73" t="n">
        <x:f aca="0">MLCF!F87</x:f>
        <x:v>-3751.096</x:v>
      </x:c>
      <x:c r="Q1465" s="70" t="str">
        <x:f aca="0">IF(ABS(O1465-P1465)&lt;0.000001,"PASS","FAIL")</x:f>
        <x:v>PASS</x:v>
      </x:c>
      <x:c r="R1465" s="70" t="s">
        <x:v>34</x:v>
      </x:c>
      <x:c r="S1465" s="70" t="s">
        <x:v>1205</x:v>
      </x:c>
    </x:row>
    <x:row r="1466" ht="15" hidden="0">
      <x:c r="A1466" s="70" t="s">
        <x:v>2825</x:v>
      </x:c>
      <x:c r="B1466" s="70" t="s">
        <x:v>42</x:v>
      </x:c>
      <x:c r="C1466" s="70" t="s">
        <x:v>76</x:v>
      </x:c>
      <x:c r="D1466" s="70" t="s">
        <x:v>420</x:v>
      </x:c>
      <x:c r="E1466" s="70" t="s">
        <x:v>1472</x:v>
      </x:c>
      <x:c r="F1466" s="70" t="s">
        <x:v>420</x:v>
      </x:c>
      <x:c r="G1466" s="70" t="s">
        <x:v>1675</x:v>
      </x:c>
      <x:c r="H1466" s="70" t="s">
        <x:v>1215</x:v>
      </x:c>
      <x:c r="I1466" s="70" t="s">
        <x:v>1199</x:v>
      </x:c>
      <x:c r="J1466" s="70" t="n">
        <x:v>203</x:v>
      </x:c>
      <x:c r="K1466" s="70" t="s">
        <x:v>2815</x:v>
      </x:c>
      <x:c r="L1466" s="70"/>
      <x:c r="M1466" s="70" t="s">
        <x:v>40</x:v>
      </x:c>
      <x:c r="N1466" s="71" t="n">
        <x:v>-5471808</x:v>
      </x:c>
      <x:c r="O1466" s="72" t="n">
        <x:f aca="0">N1466/1000</x:f>
        <x:v>-5471.808</x:v>
      </x:c>
      <x:c r="P1466" s="73" t="n">
        <x:f aca="0">MLCF!G87</x:f>
        <x:v>-5471.808</x:v>
      </x:c>
      <x:c r="Q1466" s="70" t="str">
        <x:f aca="0">IF(ABS(O1466-P1466)&lt;0.000001,"PASS","FAIL")</x:f>
        <x:v>PASS</x:v>
      </x:c>
      <x:c r="R1466" s="70" t="s">
        <x:v>34</x:v>
      </x:c>
      <x:c r="S1466" s="70"/>
    </x:row>
    <x:row r="1467" ht="15" hidden="0">
      <x:c r="A1467" s="70" t="s">
        <x:v>2826</x:v>
      </x:c>
      <x:c r="B1467" s="70" t="s">
        <x:v>42</x:v>
      </x:c>
      <x:c r="C1467" s="70" t="s">
        <x:v>77</x:v>
      </x:c>
      <x:c r="D1467" s="70" t="s">
        <x:v>420</x:v>
      </x:c>
      <x:c r="E1467" s="70" t="s">
        <x:v>1472</x:v>
      </x:c>
      <x:c r="F1467" s="70" t="s">
        <x:v>420</x:v>
      </x:c>
      <x:c r="G1467" s="70" t="s">
        <x:v>1675</x:v>
      </x:c>
      <x:c r="H1467" s="70" t="s">
        <x:v>1215</x:v>
      </x:c>
      <x:c r="I1467" s="70" t="s">
        <x:v>1218</x:v>
      </x:c>
      <x:c r="J1467" s="70" t="n">
        <x:v>203</x:v>
      </x:c>
      <x:c r="K1467" s="70" t="s">
        <x:v>2815</x:v>
      </x:c>
      <x:c r="L1467" s="70"/>
      <x:c r="M1467" s="70" t="s">
        <x:v>40</x:v>
      </x:c>
      <x:c r="N1467" s="71" t="n">
        <x:v>-4123754</x:v>
      </x:c>
      <x:c r="O1467" s="72" t="n">
        <x:f aca="0">N1467/1000</x:f>
        <x:v>-4123.754</x:v>
      </x:c>
      <x:c r="P1467" s="73" t="n">
        <x:f aca="0">MLCF!H87</x:f>
        <x:v>-4123.754</x:v>
      </x:c>
      <x:c r="Q1467" s="70" t="str">
        <x:f aca="0">IF(ABS(O1467-P1467)&lt;0.000001,"PASS","FAIL")</x:f>
        <x:v>PASS</x:v>
      </x:c>
      <x:c r="R1467" s="70" t="s">
        <x:v>34</x:v>
      </x:c>
      <x:c r="S1467" s="70"/>
    </x:row>
    <x:row r="1468" ht="15" hidden="0">
      <x:c r="A1468" s="70" t="s">
        <x:v>2827</x:v>
      </x:c>
      <x:c r="B1468" s="70" t="s">
        <x:v>42</x:v>
      </x:c>
      <x:c r="C1468" s="70" t="s">
        <x:v>73</x:v>
      </x:c>
      <x:c r="D1468" s="70" t="s">
        <x:v>422</x:v>
      </x:c>
      <x:c r="E1468" s="70" t="s">
        <x:v>1472</x:v>
      </x:c>
      <x:c r="F1468" s="70" t="s">
        <x:v>422</x:v>
      </x:c>
      <x:c r="G1468" s="70" t="s">
        <x:v>1666</x:v>
      </x:c>
      <x:c r="H1468" s="70" t="s">
        <x:v>1204</x:v>
      </x:c>
      <x:c r="I1468" s="70" t="s">
        <x:v>1199</x:v>
      </x:c>
      <x:c r="J1468" s="70" t="n">
        <x:v>185</x:v>
      </x:c>
      <x:c r="K1468" s="70" t="s">
        <x:v>2126</x:v>
      </x:c>
      <x:c r="L1468" s="70"/>
      <x:c r="M1468" s="70" t="s">
        <x:v>40</x:v>
      </x:c>
      <x:c r="N1468" s="71" t="n">
        <x:v>-813489</x:v>
      </x:c>
      <x:c r="O1468" s="72" t="n">
        <x:f aca="0">N1468/1000</x:f>
        <x:v>-813.489</x:v>
      </x:c>
      <x:c r="P1468" s="73" t="n">
        <x:f aca="0">MLCF!D88</x:f>
        <x:v>-813.489</x:v>
      </x:c>
      <x:c r="Q1468" s="70" t="str">
        <x:f aca="0">IF(ABS(O1468-P1468)&lt;0.000001,"PASS","FAIL")</x:f>
        <x:v>PASS</x:v>
      </x:c>
      <x:c r="R1468" s="70" t="s">
        <x:v>34</x:v>
      </x:c>
      <x:c r="S1468" s="70" t="s">
        <x:v>1205</x:v>
      </x:c>
    </x:row>
    <x:row r="1469" ht="15" hidden="0">
      <x:c r="A1469" s="70" t="s">
        <x:v>2828</x:v>
      </x:c>
      <x:c r="B1469" s="70" t="s">
        <x:v>42</x:v>
      </x:c>
      <x:c r="C1469" s="70" t="s">
        <x:v>74</x:v>
      </x:c>
      <x:c r="D1469" s="70" t="s">
        <x:v>422</x:v>
      </x:c>
      <x:c r="E1469" s="70" t="s">
        <x:v>1472</x:v>
      </x:c>
      <x:c r="F1469" s="70" t="s">
        <x:v>422</x:v>
      </x:c>
      <x:c r="G1469" s="70" t="s">
        <x:v>1669</x:v>
      </x:c>
      <x:c r="H1469" s="70" t="s">
        <x:v>1208</x:v>
      </x:c>
      <x:c r="I1469" s="70" t="s">
        <x:v>1199</x:v>
      </x:c>
      <x:c r="J1469" s="70" t="n">
        <x:v>99</x:v>
      </x:c>
      <x:c r="K1469" s="70" t="s">
        <x:v>2811</x:v>
      </x:c>
      <x:c r="L1469" s="70"/>
      <x:c r="M1469" s="70" t="s">
        <x:v>40</x:v>
      </x:c>
      <x:c r="N1469" s="71" t="n">
        <x:v>-971453</x:v>
      </x:c>
      <x:c r="O1469" s="72" t="n">
        <x:f aca="0">N1469/1000</x:f>
        <x:v>-971.453</x:v>
      </x:c>
      <x:c r="P1469" s="73" t="n">
        <x:f aca="0">MLCF!E88</x:f>
        <x:v>-971.453</x:v>
      </x:c>
      <x:c r="Q1469" s="70" t="str">
        <x:f aca="0">IF(ABS(O1469-P1469)&lt;0.000001,"PASS","FAIL")</x:f>
        <x:v>PASS</x:v>
      </x:c>
      <x:c r="R1469" s="70" t="s">
        <x:v>34</x:v>
      </x:c>
      <x:c r="S1469" s="70"/>
    </x:row>
    <x:row r="1470" ht="15" hidden="0">
      <x:c r="A1470" s="70" t="s">
        <x:v>2829</x:v>
      </x:c>
      <x:c r="B1470" s="70" t="s">
        <x:v>42</x:v>
      </x:c>
      <x:c r="C1470" s="70" t="s">
        <x:v>75</x:v>
      </x:c>
      <x:c r="D1470" s="70" t="s">
        <x:v>422</x:v>
      </x:c>
      <x:c r="E1470" s="70" t="s">
        <x:v>1472</x:v>
      </x:c>
      <x:c r="F1470" s="70" t="s">
        <x:v>422</x:v>
      </x:c>
      <x:c r="G1470" s="70" t="s">
        <x:v>1672</x:v>
      </x:c>
      <x:c r="H1470" s="70" t="s">
        <x:v>1211</x:v>
      </x:c>
      <x:c r="I1470" s="70" t="s">
        <x:v>1199</x:v>
      </x:c>
      <x:c r="J1470" s="70" t="n">
        <x:v>191</x:v>
      </x:c>
      <x:c r="K1470" s="70" t="s">
        <x:v>2813</x:v>
      </x:c>
      <x:c r="L1470" s="70"/>
      <x:c r="M1470" s="70" t="s">
        <x:v>40</x:v>
      </x:c>
      <x:c r="N1470" s="71" t="n">
        <x:v>-1380607</x:v>
      </x:c>
      <x:c r="O1470" s="72" t="n">
        <x:f aca="0">N1470/1000</x:f>
        <x:v>-1380.607</x:v>
      </x:c>
      <x:c r="P1470" s="73" t="n">
        <x:f aca="0">MLCF!F88</x:f>
        <x:v>-1380.607</x:v>
      </x:c>
      <x:c r="Q1470" s="70" t="str">
        <x:f aca="0">IF(ABS(O1470-P1470)&lt;0.000001,"PASS","FAIL")</x:f>
        <x:v>PASS</x:v>
      </x:c>
      <x:c r="R1470" s="70" t="s">
        <x:v>34</x:v>
      </x:c>
      <x:c r="S1470" s="70"/>
    </x:row>
    <x:row r="1471" ht="15" hidden="0">
      <x:c r="A1471" s="70" t="s">
        <x:v>2830</x:v>
      </x:c>
      <x:c r="B1471" s="70" t="s">
        <x:v>42</x:v>
      </x:c>
      <x:c r="C1471" s="70" t="s">
        <x:v>76</x:v>
      </x:c>
      <x:c r="D1471" s="70" t="s">
        <x:v>422</x:v>
      </x:c>
      <x:c r="E1471" s="70" t="s">
        <x:v>1472</x:v>
      </x:c>
      <x:c r="F1471" s="70" t="s">
        <x:v>422</x:v>
      </x:c>
      <x:c r="G1471" s="70" t="s">
        <x:v>1675</x:v>
      </x:c>
      <x:c r="H1471" s="70" t="s">
        <x:v>1215</x:v>
      </x:c>
      <x:c r="I1471" s="70" t="s">
        <x:v>1199</x:v>
      </x:c>
      <x:c r="J1471" s="70" t="n">
        <x:v>203</x:v>
      </x:c>
      <x:c r="K1471" s="70" t="s">
        <x:v>2815</x:v>
      </x:c>
      <x:c r="L1471" s="70"/>
      <x:c r="M1471" s="70" t="s">
        <x:v>40</x:v>
      </x:c>
      <x:c r="N1471" s="71" t="n">
        <x:v>-1852148</x:v>
      </x:c>
      <x:c r="O1471" s="72" t="n">
        <x:f aca="0">N1471/1000</x:f>
        <x:v>-1852.148</x:v>
      </x:c>
      <x:c r="P1471" s="73" t="n">
        <x:f aca="0">MLCF!G88</x:f>
        <x:v>-1852.148</x:v>
      </x:c>
      <x:c r="Q1471" s="70" t="str">
        <x:f aca="0">IF(ABS(O1471-P1471)&lt;0.000001,"PASS","FAIL")</x:f>
        <x:v>PASS</x:v>
      </x:c>
      <x:c r="R1471" s="70" t="s">
        <x:v>34</x:v>
      </x:c>
      <x:c r="S1471" s="70"/>
    </x:row>
    <x:row r="1472" ht="15" hidden="0">
      <x:c r="A1472" s="70" t="s">
        <x:v>2831</x:v>
      </x:c>
      <x:c r="B1472" s="70" t="s">
        <x:v>42</x:v>
      </x:c>
      <x:c r="C1472" s="70" t="s">
        <x:v>77</x:v>
      </x:c>
      <x:c r="D1472" s="70" t="s">
        <x:v>422</x:v>
      </x:c>
      <x:c r="E1472" s="70" t="s">
        <x:v>1472</x:v>
      </x:c>
      <x:c r="F1472" s="70" t="s">
        <x:v>422</x:v>
      </x:c>
      <x:c r="G1472" s="70" t="s">
        <x:v>1675</x:v>
      </x:c>
      <x:c r="H1472" s="70" t="s">
        <x:v>1215</x:v>
      </x:c>
      <x:c r="I1472" s="70" t="s">
        <x:v>1218</x:v>
      </x:c>
      <x:c r="J1472" s="70" t="n">
        <x:v>203</x:v>
      </x:c>
      <x:c r="K1472" s="70" t="s">
        <x:v>2815</x:v>
      </x:c>
      <x:c r="L1472" s="70"/>
      <x:c r="M1472" s="70" t="s">
        <x:v>40</x:v>
      </x:c>
      <x:c r="N1472" s="71" t="n">
        <x:v>-2176320</x:v>
      </x:c>
      <x:c r="O1472" s="72" t="n">
        <x:f aca="0">N1472/1000</x:f>
        <x:v>-2176.32</x:v>
      </x:c>
      <x:c r="P1472" s="73" t="n">
        <x:f aca="0">MLCF!H88</x:f>
        <x:v>-2176.32</x:v>
      </x:c>
      <x:c r="Q1472" s="70" t="str">
        <x:f aca="0">IF(ABS(O1472-P1472)&lt;0.000001,"PASS","FAIL")</x:f>
        <x:v>PASS</x:v>
      </x:c>
      <x:c r="R1472" s="70" t="s">
        <x:v>34</x:v>
      </x:c>
      <x:c r="S1472" s="70"/>
    </x:row>
    <x:row r="1473" ht="15" hidden="0">
      <x:c r="A1473" s="70" t="s">
        <x:v>2832</x:v>
      </x:c>
      <x:c r="B1473" s="70" t="s">
        <x:v>42</x:v>
      </x:c>
      <x:c r="C1473" s="70" t="s">
        <x:v>73</x:v>
      </x:c>
      <x:c r="D1473" s="70" t="s">
        <x:v>424</x:v>
      </x:c>
      <x:c r="E1473" s="70" t="s">
        <x:v>1472</x:v>
      </x:c>
      <x:c r="F1473" s="70"/>
      <x:c r="G1473" s="70" t="s">
        <x:v>1666</x:v>
      </x:c>
      <x:c r="H1473" s="70" t="s">
        <x:v>1204</x:v>
      </x:c>
      <x:c r="I1473" s="70" t="s">
        <x:v>1199</x:v>
      </x:c>
      <x:c r="J1473" s="70" t="n">
        <x:v>185</x:v>
      </x:c>
      <x:c r="K1473" s="70" t="s">
        <x:v>2126</x:v>
      </x:c>
      <x:c r="L1473" s="70"/>
      <x:c r="M1473" s="70" t="s">
        <x:v>40</x:v>
      </x:c>
      <x:c r="N1473" s="71" t="n">
        <x:v>0</x:v>
      </x:c>
      <x:c r="O1473" s="72" t="n">
        <x:f aca="0">N1473/1000</x:f>
        <x:v>0</x:v>
      </x:c>
      <x:c r="P1473" s="73" t="n">
        <x:f aca="0">MLCF!D89</x:f>
        <x:v>0</x:v>
      </x:c>
      <x:c r="Q1473" s="70" t="str">
        <x:f aca="0">IF(ABS(O1473-P1473)&lt;0.000001,"PASS","FAIL")</x:f>
        <x:v>PASS</x:v>
      </x:c>
      <x:c r="R1473" s="70" t="s">
        <x:v>34</x:v>
      </x:c>
      <x:c r="S1473" s="70"/>
    </x:row>
    <x:row r="1474" ht="15" hidden="0">
      <x:c r="A1474" s="70" t="s">
        <x:v>2833</x:v>
      </x:c>
      <x:c r="B1474" s="70" t="s">
        <x:v>42</x:v>
      </x:c>
      <x:c r="C1474" s="70" t="s">
        <x:v>74</x:v>
      </x:c>
      <x:c r="D1474" s="70" t="s">
        <x:v>424</x:v>
      </x:c>
      <x:c r="E1474" s="70" t="s">
        <x:v>1472</x:v>
      </x:c>
      <x:c r="F1474" s="70" t="s">
        <x:v>2391</x:v>
      </x:c>
      <x:c r="G1474" s="70" t="s">
        <x:v>1669</x:v>
      </x:c>
      <x:c r="H1474" s="70" t="s">
        <x:v>1208</x:v>
      </x:c>
      <x:c r="I1474" s="70" t="s">
        <x:v>1199</x:v>
      </x:c>
      <x:c r="J1474" s="70" t="n">
        <x:v>99</x:v>
      </x:c>
      <x:c r="K1474" s="70" t="s">
        <x:v>2811</x:v>
      </x:c>
      <x:c r="L1474" s="70"/>
      <x:c r="M1474" s="70" t="s">
        <x:v>40</x:v>
      </x:c>
      <x:c r="N1474" s="71" t="n">
        <x:v>-209920</x:v>
      </x:c>
      <x:c r="O1474" s="72" t="n">
        <x:f aca="0">N1474/1000</x:f>
        <x:v>-209.92</x:v>
      </x:c>
      <x:c r="P1474" s="73" t="n">
        <x:f aca="0">MLCF!E89</x:f>
        <x:v>-209.92</x:v>
      </x:c>
      <x:c r="Q1474" s="70" t="str">
        <x:f aca="0">IF(ABS(O1474-P1474)&lt;0.000001,"PASS","FAIL")</x:f>
        <x:v>PASS</x:v>
      </x:c>
      <x:c r="R1474" s="70" t="s">
        <x:v>34</x:v>
      </x:c>
      <x:c r="S1474" s="70"/>
    </x:row>
    <x:row r="1475" ht="15" hidden="0">
      <x:c r="A1475" s="70" t="s">
        <x:v>2834</x:v>
      </x:c>
      <x:c r="B1475" s="70" t="s">
        <x:v>42</x:v>
      </x:c>
      <x:c r="C1475" s="70" t="s">
        <x:v>75</x:v>
      </x:c>
      <x:c r="D1475" s="70" t="s">
        <x:v>424</x:v>
      </x:c>
      <x:c r="E1475" s="70" t="s">
        <x:v>1472</x:v>
      </x:c>
      <x:c r="F1475" s="70" t="s">
        <x:v>2391</x:v>
      </x:c>
      <x:c r="G1475" s="70" t="s">
        <x:v>1672</x:v>
      </x:c>
      <x:c r="H1475" s="70" t="s">
        <x:v>1211</x:v>
      </x:c>
      <x:c r="I1475" s="70" t="s">
        <x:v>1199</x:v>
      </x:c>
      <x:c r="J1475" s="70" t="n">
        <x:v>191</x:v>
      </x:c>
      <x:c r="K1475" s="70" t="s">
        <x:v>2813</x:v>
      </x:c>
      <x:c r="L1475" s="70"/>
      <x:c r="M1475" s="70" t="s">
        <x:v>40</x:v>
      </x:c>
      <x:c r="N1475" s="71" t="n">
        <x:v>-191421</x:v>
      </x:c>
      <x:c r="O1475" s="72" t="n">
        <x:f aca="0">N1475/1000</x:f>
        <x:v>-191.421</x:v>
      </x:c>
      <x:c r="P1475" s="73" t="n">
        <x:f aca="0">MLCF!F89</x:f>
        <x:v>-191.421</x:v>
      </x:c>
      <x:c r="Q1475" s="70" t="str">
        <x:f aca="0">IF(ABS(O1475-P1475)&lt;0.000001,"PASS","FAIL")</x:f>
        <x:v>PASS</x:v>
      </x:c>
      <x:c r="R1475" s="70" t="s">
        <x:v>34</x:v>
      </x:c>
      <x:c r="S1475" s="70"/>
    </x:row>
    <x:row r="1476" ht="15" hidden="0">
      <x:c r="A1476" s="70" t="s">
        <x:v>2835</x:v>
      </x:c>
      <x:c r="B1476" s="70" t="s">
        <x:v>42</x:v>
      </x:c>
      <x:c r="C1476" s="70" t="s">
        <x:v>76</x:v>
      </x:c>
      <x:c r="D1476" s="70" t="s">
        <x:v>424</x:v>
      </x:c>
      <x:c r="E1476" s="70" t="s">
        <x:v>1472</x:v>
      </x:c>
      <x:c r="F1476" s="70" t="s">
        <x:v>2391</x:v>
      </x:c>
      <x:c r="G1476" s="70" t="s">
        <x:v>1675</x:v>
      </x:c>
      <x:c r="H1476" s="70" t="s">
        <x:v>1215</x:v>
      </x:c>
      <x:c r="I1476" s="70" t="s">
        <x:v>1199</x:v>
      </x:c>
      <x:c r="J1476" s="70" t="n">
        <x:v>203</x:v>
      </x:c>
      <x:c r="K1476" s="70" t="s">
        <x:v>2815</x:v>
      </x:c>
      <x:c r="L1476" s="70"/>
      <x:c r="M1476" s="70" t="s">
        <x:v>40</x:v>
      </x:c>
      <x:c r="N1476" s="71" t="n">
        <x:v>-357191</x:v>
      </x:c>
      <x:c r="O1476" s="72" t="n">
        <x:f aca="0">N1476/1000</x:f>
        <x:v>-357.191</x:v>
      </x:c>
      <x:c r="P1476" s="73" t="n">
        <x:f aca="0">MLCF!G89</x:f>
        <x:v>-357.191</x:v>
      </x:c>
      <x:c r="Q1476" s="70" t="str">
        <x:f aca="0">IF(ABS(O1476-P1476)&lt;0.000001,"PASS","FAIL")</x:f>
        <x:v>PASS</x:v>
      </x:c>
      <x:c r="R1476" s="70" t="s">
        <x:v>34</x:v>
      </x:c>
      <x:c r="S1476" s="70"/>
    </x:row>
    <x:row r="1477" ht="15" hidden="0">
      <x:c r="A1477" s="70" t="s">
        <x:v>2836</x:v>
      </x:c>
      <x:c r="B1477" s="70" t="s">
        <x:v>42</x:v>
      </x:c>
      <x:c r="C1477" s="70" t="s">
        <x:v>77</x:v>
      </x:c>
      <x:c r="D1477" s="70" t="s">
        <x:v>424</x:v>
      </x:c>
      <x:c r="E1477" s="70" t="s">
        <x:v>1472</x:v>
      </x:c>
      <x:c r="F1477" s="70" t="s">
        <x:v>2391</x:v>
      </x:c>
      <x:c r="G1477" s="70" t="s">
        <x:v>1675</x:v>
      </x:c>
      <x:c r="H1477" s="70" t="s">
        <x:v>1215</x:v>
      </x:c>
      <x:c r="I1477" s="70" t="s">
        <x:v>1218</x:v>
      </x:c>
      <x:c r="J1477" s="70" t="n">
        <x:v>203</x:v>
      </x:c>
      <x:c r="K1477" s="70" t="s">
        <x:v>2815</x:v>
      </x:c>
      <x:c r="L1477" s="70"/>
      <x:c r="M1477" s="70" t="s">
        <x:v>40</x:v>
      </x:c>
      <x:c r="N1477" s="71" t="n">
        <x:v>-514430</x:v>
      </x:c>
      <x:c r="O1477" s="72" t="n">
        <x:f aca="0">N1477/1000</x:f>
        <x:v>-514.43</x:v>
      </x:c>
      <x:c r="P1477" s="73" t="n">
        <x:f aca="0">MLCF!H89</x:f>
        <x:v>-514.43</x:v>
      </x:c>
      <x:c r="Q1477" s="70" t="str">
        <x:f aca="0">IF(ABS(O1477-P1477)&lt;0.000001,"PASS","FAIL")</x:f>
        <x:v>PASS</x:v>
      </x:c>
      <x:c r="R1477" s="70" t="s">
        <x:v>34</x:v>
      </x:c>
      <x:c r="S1477" s="70"/>
    </x:row>
    <x:row r="1478" ht="15" hidden="0">
      <x:c r="A1478" s="70" t="s">
        <x:v>2837</x:v>
      </x:c>
      <x:c r="B1478" s="70" t="s">
        <x:v>42</x:v>
      </x:c>
      <x:c r="C1478" s="70" t="s">
        <x:v>73</x:v>
      </x:c>
      <x:c r="D1478" s="70" t="s">
        <x:v>426</x:v>
      </x:c>
      <x:c r="E1478" s="70" t="s">
        <x:v>1472</x:v>
      </x:c>
      <x:c r="F1478" s="70" t="s">
        <x:v>2838</x:v>
      </x:c>
      <x:c r="G1478" s="70" t="s">
        <x:v>1666</x:v>
      </x:c>
      <x:c r="H1478" s="70" t="s">
        <x:v>1204</x:v>
      </x:c>
      <x:c r="I1478" s="70" t="s">
        <x:v>1199</x:v>
      </x:c>
      <x:c r="J1478" s="70" t="n">
        <x:v>185</x:v>
      </x:c>
      <x:c r="K1478" s="70" t="s">
        <x:v>2126</x:v>
      </x:c>
      <x:c r="L1478" s="70"/>
      <x:c r="M1478" s="70" t="s">
        <x:v>40</x:v>
      </x:c>
      <x:c r="N1478" s="71" t="n">
        <x:v>-524142</x:v>
      </x:c>
      <x:c r="O1478" s="72" t="n">
        <x:f aca="0">N1478/1000</x:f>
        <x:v>-524.142</x:v>
      </x:c>
      <x:c r="P1478" s="73" t="n">
        <x:f aca="0">MLCF!D90</x:f>
        <x:v>-524.142</x:v>
      </x:c>
      <x:c r="Q1478" s="70" t="str">
        <x:f aca="0">IF(ABS(O1478-P1478)&lt;0.000001,"PASS","FAIL")</x:f>
        <x:v>PASS</x:v>
      </x:c>
      <x:c r="R1478" s="70" t="s">
        <x:v>34</x:v>
      </x:c>
      <x:c r="S1478" s="70" t="s">
        <x:v>1205</x:v>
      </x:c>
    </x:row>
    <x:row r="1479" ht="15" hidden="0">
      <x:c r="A1479" s="70" t="s">
        <x:v>2839</x:v>
      </x:c>
      <x:c r="B1479" s="70" t="s">
        <x:v>42</x:v>
      </x:c>
      <x:c r="C1479" s="70" t="s">
        <x:v>74</x:v>
      </x:c>
      <x:c r="D1479" s="70" t="s">
        <x:v>426</x:v>
      </x:c>
      <x:c r="E1479" s="70" t="s">
        <x:v>1472</x:v>
      </x:c>
      <x:c r="F1479" s="70" t="s">
        <x:v>2838</x:v>
      </x:c>
      <x:c r="G1479" s="70" t="s">
        <x:v>1669</x:v>
      </x:c>
      <x:c r="H1479" s="70" t="s">
        <x:v>1208</x:v>
      </x:c>
      <x:c r="I1479" s="70" t="s">
        <x:v>1199</x:v>
      </x:c>
      <x:c r="J1479" s="70" t="n">
        <x:v>99</x:v>
      </x:c>
      <x:c r="K1479" s="70" t="s">
        <x:v>2811</x:v>
      </x:c>
      <x:c r="L1479" s="70"/>
      <x:c r="M1479" s="70" t="s">
        <x:v>40</x:v>
      </x:c>
      <x:c r="N1479" s="71" t="n">
        <x:v>-742280</x:v>
      </x:c>
      <x:c r="O1479" s="72" t="n">
        <x:f aca="0">N1479/1000</x:f>
        <x:v>-742.28</x:v>
      </x:c>
      <x:c r="P1479" s="73" t="n">
        <x:f aca="0">MLCF!E90</x:f>
        <x:v>-742.28</x:v>
      </x:c>
      <x:c r="Q1479" s="70" t="str">
        <x:f aca="0">IF(ABS(O1479-P1479)&lt;0.000001,"PASS","FAIL")</x:f>
        <x:v>PASS</x:v>
      </x:c>
      <x:c r="R1479" s="70" t="s">
        <x:v>34</x:v>
      </x:c>
      <x:c r="S1479" s="70" t="s">
        <x:v>1205</x:v>
      </x:c>
    </x:row>
    <x:row r="1480" ht="15" hidden="0">
      <x:c r="A1480" s="70" t="s">
        <x:v>2840</x:v>
      </x:c>
      <x:c r="B1480" s="70" t="s">
        <x:v>42</x:v>
      </x:c>
      <x:c r="C1480" s="70" t="s">
        <x:v>75</x:v>
      </x:c>
      <x:c r="D1480" s="70" t="s">
        <x:v>426</x:v>
      </x:c>
      <x:c r="E1480" s="70" t="s">
        <x:v>1472</x:v>
      </x:c>
      <x:c r="F1480" s="70" t="s">
        <x:v>1502</x:v>
      </x:c>
      <x:c r="G1480" s="70" t="s">
        <x:v>1672</x:v>
      </x:c>
      <x:c r="H1480" s="70" t="s">
        <x:v>1211</x:v>
      </x:c>
      <x:c r="I1480" s="70" t="s">
        <x:v>1199</x:v>
      </x:c>
      <x:c r="J1480" s="70" t="n">
        <x:v>191</x:v>
      </x:c>
      <x:c r="K1480" s="70" t="s">
        <x:v>2813</x:v>
      </x:c>
      <x:c r="L1480" s="70"/>
      <x:c r="M1480" s="70" t="s">
        <x:v>40</x:v>
      </x:c>
      <x:c r="N1480" s="71" t="n">
        <x:v>-995460</x:v>
      </x:c>
      <x:c r="O1480" s="72" t="n">
        <x:f aca="0">N1480/1000</x:f>
        <x:v>-995.46</x:v>
      </x:c>
      <x:c r="P1480" s="73" t="n">
        <x:f aca="0">MLCF!F90</x:f>
        <x:v>-995.46</x:v>
      </x:c>
      <x:c r="Q1480" s="70" t="str">
        <x:f aca="0">IF(ABS(O1480-P1480)&lt;0.000001,"PASS","FAIL")</x:f>
        <x:v>PASS</x:v>
      </x:c>
      <x:c r="R1480" s="70" t="s">
        <x:v>34</x:v>
      </x:c>
      <x:c r="S1480" s="70"/>
    </x:row>
    <x:row r="1481" ht="15" hidden="0">
      <x:c r="A1481" s="70" t="s">
        <x:v>2841</x:v>
      </x:c>
      <x:c r="B1481" s="70" t="s">
        <x:v>42</x:v>
      </x:c>
      <x:c r="C1481" s="70" t="s">
        <x:v>76</x:v>
      </x:c>
      <x:c r="D1481" s="70" t="s">
        <x:v>426</x:v>
      </x:c>
      <x:c r="E1481" s="70" t="s">
        <x:v>1472</x:v>
      </x:c>
      <x:c r="F1481" s="70" t="s">
        <x:v>1502</x:v>
      </x:c>
      <x:c r="G1481" s="70" t="s">
        <x:v>1675</x:v>
      </x:c>
      <x:c r="H1481" s="70" t="s">
        <x:v>1215</x:v>
      </x:c>
      <x:c r="I1481" s="70" t="s">
        <x:v>1199</x:v>
      </x:c>
      <x:c r="J1481" s="70" t="n">
        <x:v>203</x:v>
      </x:c>
      <x:c r="K1481" s="70" t="s">
        <x:v>2815</x:v>
      </x:c>
      <x:c r="L1481" s="70"/>
      <x:c r="M1481" s="70" t="s">
        <x:v>40</x:v>
      </x:c>
      <x:c r="N1481" s="71" t="n">
        <x:v>-569545</x:v>
      </x:c>
      <x:c r="O1481" s="72" t="n">
        <x:f aca="0">N1481/1000</x:f>
        <x:v>-569.545</x:v>
      </x:c>
      <x:c r="P1481" s="73" t="n">
        <x:f aca="0">MLCF!G90</x:f>
        <x:v>-569.545</x:v>
      </x:c>
      <x:c r="Q1481" s="70" t="str">
        <x:f aca="0">IF(ABS(O1481-P1481)&lt;0.000001,"PASS","FAIL")</x:f>
        <x:v>PASS</x:v>
      </x:c>
      <x:c r="R1481" s="70" t="s">
        <x:v>34</x:v>
      </x:c>
      <x:c r="S1481" s="70"/>
    </x:row>
    <x:row r="1482" ht="15" hidden="0">
      <x:c r="A1482" s="70" t="s">
        <x:v>2842</x:v>
      </x:c>
      <x:c r="B1482" s="70" t="s">
        <x:v>42</x:v>
      </x:c>
      <x:c r="C1482" s="70" t="s">
        <x:v>77</x:v>
      </x:c>
      <x:c r="D1482" s="70" t="s">
        <x:v>426</x:v>
      </x:c>
      <x:c r="E1482" s="70" t="s">
        <x:v>1472</x:v>
      </x:c>
      <x:c r="F1482" s="70" t="s">
        <x:v>1502</x:v>
      </x:c>
      <x:c r="G1482" s="70" t="s">
        <x:v>1675</x:v>
      </x:c>
      <x:c r="H1482" s="70" t="s">
        <x:v>1215</x:v>
      </x:c>
      <x:c r="I1482" s="70" t="s">
        <x:v>1218</x:v>
      </x:c>
      <x:c r="J1482" s="70" t="n">
        <x:v>203</x:v>
      </x:c>
      <x:c r="K1482" s="70" t="s">
        <x:v>2815</x:v>
      </x:c>
      <x:c r="L1482" s="70"/>
      <x:c r="M1482" s="70" t="s">
        <x:v>40</x:v>
      </x:c>
      <x:c r="N1482" s="71" t="n">
        <x:v>-1207018</x:v>
      </x:c>
      <x:c r="O1482" s="72" t="n">
        <x:f aca="0">N1482/1000</x:f>
        <x:v>-1207.018</x:v>
      </x:c>
      <x:c r="P1482" s="73" t="n">
        <x:f aca="0">MLCF!H90</x:f>
        <x:v>-1207.018</x:v>
      </x:c>
      <x:c r="Q1482" s="70" t="str">
        <x:f aca="0">IF(ABS(O1482-P1482)&lt;0.000001,"PASS","FAIL")</x:f>
        <x:v>PASS</x:v>
      </x:c>
      <x:c r="R1482" s="70" t="s">
        <x:v>34</x:v>
      </x:c>
      <x:c r="S1482" s="70"/>
    </x:row>
    <x:row r="1483" ht="15" hidden="0">
      <x:c r="A1483" s="70" t="s">
        <x:v>2843</x:v>
      </x:c>
      <x:c r="B1483" s="70" t="s">
        <x:v>42</x:v>
      </x:c>
      <x:c r="C1483" s="70" t="s">
        <x:v>73</x:v>
      </x:c>
      <x:c r="D1483" s="70" t="s">
        <x:v>430</x:v>
      </x:c>
      <x:c r="E1483" s="70" t="s">
        <x:v>1472</x:v>
      </x:c>
      <x:c r="F1483" s="70" t="s">
        <x:v>430</x:v>
      </x:c>
      <x:c r="G1483" s="70" t="s">
        <x:v>1666</x:v>
      </x:c>
      <x:c r="H1483" s="70" t="s">
        <x:v>1204</x:v>
      </x:c>
      <x:c r="I1483" s="70" t="s">
        <x:v>1199</x:v>
      </x:c>
      <x:c r="J1483" s="70" t="n">
        <x:v>185</x:v>
      </x:c>
      <x:c r="K1483" s="70" t="s">
        <x:v>2126</x:v>
      </x:c>
      <x:c r="L1483" s="70"/>
      <x:c r="M1483" s="70" t="s">
        <x:v>40</x:v>
      </x:c>
      <x:c r="N1483" s="71" t="n">
        <x:v>3732132</x:v>
      </x:c>
      <x:c r="O1483" s="72" t="n">
        <x:f aca="0">N1483/1000</x:f>
        <x:v>3732.132</x:v>
      </x:c>
      <x:c r="P1483" s="73" t="n">
        <x:f aca="0">MLCF!D92</x:f>
        <x:v>3732.132</x:v>
      </x:c>
      <x:c r="Q1483" s="70" t="str">
        <x:f aca="0">IF(ABS(O1483-P1483)&lt;0.000001,"PASS","FAIL")</x:f>
        <x:v>PASS</x:v>
      </x:c>
      <x:c r="R1483" s="70" t="s">
        <x:v>34</x:v>
      </x:c>
      <x:c r="S1483" s="70"/>
    </x:row>
    <x:row r="1484" ht="15" hidden="0">
      <x:c r="A1484" s="70" t="s">
        <x:v>2844</x:v>
      </x:c>
      <x:c r="B1484" s="70" t="s">
        <x:v>42</x:v>
      </x:c>
      <x:c r="C1484" s="70" t="s">
        <x:v>74</x:v>
      </x:c>
      <x:c r="D1484" s="70" t="s">
        <x:v>430</x:v>
      </x:c>
      <x:c r="E1484" s="70" t="s">
        <x:v>1472</x:v>
      </x:c>
      <x:c r="F1484" s="70" t="s">
        <x:v>430</x:v>
      </x:c>
      <x:c r="G1484" s="70" t="s">
        <x:v>1669</x:v>
      </x:c>
      <x:c r="H1484" s="70" t="s">
        <x:v>1208</x:v>
      </x:c>
      <x:c r="I1484" s="70" t="s">
        <x:v>1199</x:v>
      </x:c>
      <x:c r="J1484" s="70" t="n">
        <x:v>99</x:v>
      </x:c>
      <x:c r="K1484" s="70" t="s">
        <x:v>2811</x:v>
      </x:c>
      <x:c r="L1484" s="70"/>
      <x:c r="M1484" s="70" t="s">
        <x:v>40</x:v>
      </x:c>
      <x:c r="N1484" s="71" t="n">
        <x:v>56601</x:v>
      </x:c>
      <x:c r="O1484" s="72" t="n">
        <x:f aca="0">N1484/1000</x:f>
        <x:v>56.601</x:v>
      </x:c>
      <x:c r="P1484" s="73" t="n">
        <x:f aca="0">MLCF!E92</x:f>
        <x:v>56.601</x:v>
      </x:c>
      <x:c r="Q1484" s="70" t="str">
        <x:f aca="0">IF(ABS(O1484-P1484)&lt;0.000001,"PASS","FAIL")</x:f>
        <x:v>PASS</x:v>
      </x:c>
      <x:c r="R1484" s="70" t="s">
        <x:v>34</x:v>
      </x:c>
      <x:c r="S1484" s="70"/>
    </x:row>
    <x:row r="1485" ht="15" hidden="0">
      <x:c r="A1485" s="70" t="s">
        <x:v>2845</x:v>
      </x:c>
      <x:c r="B1485" s="70" t="s">
        <x:v>42</x:v>
      </x:c>
      <x:c r="C1485" s="70" t="s">
        <x:v>75</x:v>
      </x:c>
      <x:c r="D1485" s="70" t="s">
        <x:v>430</x:v>
      </x:c>
      <x:c r="E1485" s="70" t="s">
        <x:v>1472</x:v>
      </x:c>
      <x:c r="F1485" s="70" t="s">
        <x:v>430</x:v>
      </x:c>
      <x:c r="G1485" s="70" t="s">
        <x:v>1672</x:v>
      </x:c>
      <x:c r="H1485" s="70" t="s">
        <x:v>1211</x:v>
      </x:c>
      <x:c r="I1485" s="70" t="s">
        <x:v>1199</x:v>
      </x:c>
      <x:c r="J1485" s="70" t="n">
        <x:v>191</x:v>
      </x:c>
      <x:c r="K1485" s="70" t="s">
        <x:v>2813</x:v>
      </x:c>
      <x:c r="L1485" s="70"/>
      <x:c r="M1485" s="70" t="s">
        <x:v>40</x:v>
      </x:c>
      <x:c r="N1485" s="71" t="n">
        <x:v>146646</x:v>
      </x:c>
      <x:c r="O1485" s="72" t="n">
        <x:f aca="0">N1485/1000</x:f>
        <x:v>146.646</x:v>
      </x:c>
      <x:c r="P1485" s="73" t="n">
        <x:f aca="0">MLCF!F92</x:f>
        <x:v>146.646</x:v>
      </x:c>
      <x:c r="Q1485" s="70" t="str">
        <x:f aca="0">IF(ABS(O1485-P1485)&lt;0.000001,"PASS","FAIL")</x:f>
        <x:v>PASS</x:v>
      </x:c>
      <x:c r="R1485" s="70" t="s">
        <x:v>34</x:v>
      </x:c>
      <x:c r="S1485" s="70"/>
    </x:row>
    <x:row r="1486" ht="15" hidden="0">
      <x:c r="A1486" s="70" t="s">
        <x:v>2846</x:v>
      </x:c>
      <x:c r="B1486" s="70" t="s">
        <x:v>42</x:v>
      </x:c>
      <x:c r="C1486" s="70" t="s">
        <x:v>76</x:v>
      </x:c>
      <x:c r="D1486" s="70" t="s">
        <x:v>430</x:v>
      </x:c>
      <x:c r="E1486" s="70" t="s">
        <x:v>1472</x:v>
      </x:c>
      <x:c r="F1486" s="70" t="s">
        <x:v>430</x:v>
      </x:c>
      <x:c r="G1486" s="70" t="s">
        <x:v>1675</x:v>
      </x:c>
      <x:c r="H1486" s="70" t="s">
        <x:v>1215</x:v>
      </x:c>
      <x:c r="I1486" s="70" t="s">
        <x:v>1199</x:v>
      </x:c>
      <x:c r="J1486" s="70" t="n">
        <x:v>203</x:v>
      </x:c>
      <x:c r="K1486" s="70" t="s">
        <x:v>2815</x:v>
      </x:c>
      <x:c r="L1486" s="70"/>
      <x:c r="M1486" s="70" t="s">
        <x:v>40</x:v>
      </x:c>
      <x:c r="N1486" s="71" t="n">
        <x:v>238451</x:v>
      </x:c>
      <x:c r="O1486" s="72" t="n">
        <x:f aca="0">N1486/1000</x:f>
        <x:v>238.451</x:v>
      </x:c>
      <x:c r="P1486" s="73" t="n">
        <x:f aca="0">MLCF!G92</x:f>
        <x:v>238.451</x:v>
      </x:c>
      <x:c r="Q1486" s="70" t="str">
        <x:f aca="0">IF(ABS(O1486-P1486)&lt;0.000001,"PASS","FAIL")</x:f>
        <x:v>PASS</x:v>
      </x:c>
      <x:c r="R1486" s="70" t="s">
        <x:v>34</x:v>
      </x:c>
      <x:c r="S1486" s="70" t="s">
        <x:v>1205</x:v>
      </x:c>
    </x:row>
    <x:row r="1487" ht="15" hidden="0">
      <x:c r="A1487" s="70" t="s">
        <x:v>2847</x:v>
      </x:c>
      <x:c r="B1487" s="70" t="s">
        <x:v>42</x:v>
      </x:c>
      <x:c r="C1487" s="70" t="s">
        <x:v>77</x:v>
      </x:c>
      <x:c r="D1487" s="70" t="s">
        <x:v>430</x:v>
      </x:c>
      <x:c r="E1487" s="70" t="s">
        <x:v>1472</x:v>
      </x:c>
      <x:c r="F1487" s="70" t="s">
        <x:v>430</x:v>
      </x:c>
      <x:c r="G1487" s="70" t="s">
        <x:v>1675</x:v>
      </x:c>
      <x:c r="H1487" s="70" t="s">
        <x:v>1215</x:v>
      </x:c>
      <x:c r="I1487" s="70" t="s">
        <x:v>1218</x:v>
      </x:c>
      <x:c r="J1487" s="70" t="n">
        <x:v>203</x:v>
      </x:c>
      <x:c r="K1487" s="70" t="s">
        <x:v>2815</x:v>
      </x:c>
      <x:c r="L1487" s="70"/>
      <x:c r="M1487" s="70" t="s">
        <x:v>40</x:v>
      </x:c>
      <x:c r="N1487" s="71" t="n">
        <x:v>8462656</x:v>
      </x:c>
      <x:c r="O1487" s="72" t="n">
        <x:f aca="0">N1487/1000</x:f>
        <x:v>8462.656</x:v>
      </x:c>
      <x:c r="P1487" s="73" t="n">
        <x:f aca="0">MLCF!H92</x:f>
        <x:v>8462.656</x:v>
      </x:c>
      <x:c r="Q1487" s="70" t="str">
        <x:f aca="0">IF(ABS(O1487-P1487)&lt;0.000001,"PASS","FAIL")</x:f>
        <x:v>PASS</x:v>
      </x:c>
      <x:c r="R1487" s="70" t="s">
        <x:v>34</x:v>
      </x:c>
      <x:c r="S1487" s="70"/>
    </x:row>
    <x:row r="1488" ht="15" hidden="0">
      <x:c r="A1488" s="70" t="s">
        <x:v>2848</x:v>
      </x:c>
      <x:c r="B1488" s="70" t="s">
        <x:v>42</x:v>
      </x:c>
      <x:c r="C1488" s="70" t="s">
        <x:v>73</x:v>
      </x:c>
      <x:c r="D1488" s="70" t="s">
        <x:v>432</x:v>
      </x:c>
      <x:c r="E1488" s="70" t="s">
        <x:v>1472</x:v>
      </x:c>
      <x:c r="F1488" s="70"/>
      <x:c r="G1488" s="70" t="s">
        <x:v>1666</x:v>
      </x:c>
      <x:c r="H1488" s="70" t="s">
        <x:v>1204</x:v>
      </x:c>
      <x:c r="I1488" s="70" t="s">
        <x:v>1199</x:v>
      </x:c>
      <x:c r="J1488" s="70" t="n">
        <x:v>185</x:v>
      </x:c>
      <x:c r="K1488" s="70" t="s">
        <x:v>2126</x:v>
      </x:c>
      <x:c r="L1488" s="70"/>
      <x:c r="M1488" s="70" t="s">
        <x:v>40</x:v>
      </x:c>
      <x:c r="N1488" s="71" t="n">
        <x:v>0</x:v>
      </x:c>
      <x:c r="O1488" s="72" t="n">
        <x:f aca="0">N1488/1000</x:f>
        <x:v>0</x:v>
      </x:c>
      <x:c r="P1488" s="73" t="n">
        <x:f aca="0">MLCF!D93</x:f>
        <x:v>0</x:v>
      </x:c>
      <x:c r="Q1488" s="70" t="str">
        <x:f aca="0">IF(ABS(O1488-P1488)&lt;0.000001,"PASS","FAIL")</x:f>
        <x:v>PASS</x:v>
      </x:c>
      <x:c r="R1488" s="70" t="s">
        <x:v>34</x:v>
      </x:c>
      <x:c r="S1488" s="70"/>
    </x:row>
    <x:row r="1489" ht="15" hidden="0">
      <x:c r="A1489" s="70" t="s">
        <x:v>2849</x:v>
      </x:c>
      <x:c r="B1489" s="70" t="s">
        <x:v>42</x:v>
      </x:c>
      <x:c r="C1489" s="70" t="s">
        <x:v>74</x:v>
      </x:c>
      <x:c r="D1489" s="70" t="s">
        <x:v>432</x:v>
      </x:c>
      <x:c r="E1489" s="70" t="s">
        <x:v>1472</x:v>
      </x:c>
      <x:c r="F1489" s="70"/>
      <x:c r="G1489" s="70" t="s">
        <x:v>1669</x:v>
      </x:c>
      <x:c r="H1489" s="70" t="s">
        <x:v>1208</x:v>
      </x:c>
      <x:c r="I1489" s="70" t="s">
        <x:v>1199</x:v>
      </x:c>
      <x:c r="J1489" s="70" t="n">
        <x:v>99</x:v>
      </x:c>
      <x:c r="K1489" s="70" t="s">
        <x:v>2811</x:v>
      </x:c>
      <x:c r="L1489" s="70"/>
      <x:c r="M1489" s="70" t="s">
        <x:v>40</x:v>
      </x:c>
      <x:c r="N1489" s="71" t="n">
        <x:v>0</x:v>
      </x:c>
      <x:c r="O1489" s="72" t="n">
        <x:f aca="0">N1489/1000</x:f>
        <x:v>0</x:v>
      </x:c>
      <x:c r="P1489" s="73" t="n">
        <x:f aca="0">MLCF!E93</x:f>
        <x:v>0</x:v>
      </x:c>
      <x:c r="Q1489" s="70" t="str">
        <x:f aca="0">IF(ABS(O1489-P1489)&lt;0.000001,"PASS","FAIL")</x:f>
        <x:v>PASS</x:v>
      </x:c>
      <x:c r="R1489" s="70" t="s">
        <x:v>34</x:v>
      </x:c>
      <x:c r="S1489" s="70"/>
    </x:row>
    <x:row r="1490" ht="15" hidden="0">
      <x:c r="A1490" s="70" t="s">
        <x:v>2850</x:v>
      </x:c>
      <x:c r="B1490" s="70" t="s">
        <x:v>42</x:v>
      </x:c>
      <x:c r="C1490" s="70" t="s">
        <x:v>75</x:v>
      </x:c>
      <x:c r="D1490" s="70" t="s">
        <x:v>432</x:v>
      </x:c>
      <x:c r="E1490" s="70" t="s">
        <x:v>1472</x:v>
      </x:c>
      <x:c r="F1490" s="70"/>
      <x:c r="G1490" s="70" t="s">
        <x:v>1672</x:v>
      </x:c>
      <x:c r="H1490" s="70" t="s">
        <x:v>1211</x:v>
      </x:c>
      <x:c r="I1490" s="70" t="s">
        <x:v>1199</x:v>
      </x:c>
      <x:c r="J1490" s="70" t="n">
        <x:v>191</x:v>
      </x:c>
      <x:c r="K1490" s="70" t="s">
        <x:v>2813</x:v>
      </x:c>
      <x:c r="L1490" s="70"/>
      <x:c r="M1490" s="70" t="s">
        <x:v>40</x:v>
      </x:c>
      <x:c r="N1490" s="71" t="n">
        <x:v>0</x:v>
      </x:c>
      <x:c r="O1490" s="72" t="n">
        <x:f aca="0">N1490/1000</x:f>
        <x:v>0</x:v>
      </x:c>
      <x:c r="P1490" s="73" t="n">
        <x:f aca="0">MLCF!F93</x:f>
        <x:v>0</x:v>
      </x:c>
      <x:c r="Q1490" s="70" t="str">
        <x:f aca="0">IF(ABS(O1490-P1490)&lt;0.000001,"PASS","FAIL")</x:f>
        <x:v>PASS</x:v>
      </x:c>
      <x:c r="R1490" s="70" t="s">
        <x:v>34</x:v>
      </x:c>
      <x:c r="S1490" s="70"/>
    </x:row>
    <x:row r="1491" ht="15" hidden="0">
      <x:c r="A1491" s="70" t="s">
        <x:v>2851</x:v>
      </x:c>
      <x:c r="B1491" s="70" t="s">
        <x:v>42</x:v>
      </x:c>
      <x:c r="C1491" s="70" t="s">
        <x:v>76</x:v>
      </x:c>
      <x:c r="D1491" s="70" t="s">
        <x:v>432</x:v>
      </x:c>
      <x:c r="E1491" s="70" t="s">
        <x:v>1472</x:v>
      </x:c>
      <x:c r="F1491" s="70" t="s">
        <x:v>2852</x:v>
      </x:c>
      <x:c r="G1491" s="70" t="s">
        <x:v>1675</x:v>
      </x:c>
      <x:c r="H1491" s="70" t="s">
        <x:v>1215</x:v>
      </x:c>
      <x:c r="I1491" s="70" t="s">
        <x:v>1199</x:v>
      </x:c>
      <x:c r="J1491" s="70" t="n">
        <x:v>203</x:v>
      </x:c>
      <x:c r="K1491" s="70" t="s">
        <x:v>2815</x:v>
      </x:c>
      <x:c r="L1491" s="70"/>
      <x:c r="M1491" s="70" t="s">
        <x:v>40</x:v>
      </x:c>
      <x:c r="N1491" s="71" t="n">
        <x:v>117691</x:v>
      </x:c>
      <x:c r="O1491" s="72" t="n">
        <x:f aca="0">N1491/1000</x:f>
        <x:v>117.691</x:v>
      </x:c>
      <x:c r="P1491" s="73" t="n">
        <x:f aca="0">MLCF!G93</x:f>
        <x:v>117.691</x:v>
      </x:c>
      <x:c r="Q1491" s="70" t="str">
        <x:f aca="0">IF(ABS(O1491-P1491)&lt;0.000001,"PASS","FAIL")</x:f>
        <x:v>PASS</x:v>
      </x:c>
      <x:c r="R1491" s="70" t="s">
        <x:v>34</x:v>
      </x:c>
      <x:c r="S1491" s="70"/>
    </x:row>
    <x:row r="1492" ht="15" hidden="0">
      <x:c r="A1492" s="70" t="s">
        <x:v>2853</x:v>
      </x:c>
      <x:c r="B1492" s="70" t="s">
        <x:v>42</x:v>
      </x:c>
      <x:c r="C1492" s="70" t="s">
        <x:v>77</x:v>
      </x:c>
      <x:c r="D1492" s="70" t="s">
        <x:v>432</x:v>
      </x:c>
      <x:c r="E1492" s="70" t="s">
        <x:v>1472</x:v>
      </x:c>
      <x:c r="F1492" s="70" t="s">
        <x:v>2852</x:v>
      </x:c>
      <x:c r="G1492" s="70" t="s">
        <x:v>1675</x:v>
      </x:c>
      <x:c r="H1492" s="70" t="s">
        <x:v>1215</x:v>
      </x:c>
      <x:c r="I1492" s="70" t="s">
        <x:v>1218</x:v>
      </x:c>
      <x:c r="J1492" s="70" t="n">
        <x:v>203</x:v>
      </x:c>
      <x:c r="K1492" s="70" t="s">
        <x:v>2815</x:v>
      </x:c>
      <x:c r="L1492" s="70"/>
      <x:c r="M1492" s="70" t="s">
        <x:v>40</x:v>
      </x:c>
      <x:c r="N1492" s="71" t="n">
        <x:v>1031075</x:v>
      </x:c>
      <x:c r="O1492" s="72" t="n">
        <x:f aca="0">N1492/1000</x:f>
        <x:v>1031.075</x:v>
      </x:c>
      <x:c r="P1492" s="73" t="n">
        <x:f aca="0">MLCF!H93</x:f>
        <x:v>1031.075</x:v>
      </x:c>
      <x:c r="Q1492" s="70" t="str">
        <x:f aca="0">IF(ABS(O1492-P1492)&lt;0.000001,"PASS","FAIL")</x:f>
        <x:v>PASS</x:v>
      </x:c>
      <x:c r="R1492" s="70" t="s">
        <x:v>34</x:v>
      </x:c>
      <x:c r="S1492" s="70"/>
    </x:row>
    <x:row r="1493" ht="15" hidden="0">
      <x:c r="A1493" s="70" t="s">
        <x:v>2854</x:v>
      </x:c>
      <x:c r="B1493" s="70" t="s">
        <x:v>42</x:v>
      </x:c>
      <x:c r="C1493" s="70" t="s">
        <x:v>73</x:v>
      </x:c>
      <x:c r="D1493" s="70" t="s">
        <x:v>434</x:v>
      </x:c>
      <x:c r="E1493" s="70" t="s">
        <x:v>1472</x:v>
      </x:c>
      <x:c r="F1493" s="70"/>
      <x:c r="G1493" s="70" t="s">
        <x:v>1666</x:v>
      </x:c>
      <x:c r="H1493" s="70" t="s">
        <x:v>1204</x:v>
      </x:c>
      <x:c r="I1493" s="70" t="s">
        <x:v>1199</x:v>
      </x:c>
      <x:c r="J1493" s="70" t="n">
        <x:v>185</x:v>
      </x:c>
      <x:c r="K1493" s="70" t="s">
        <x:v>2126</x:v>
      </x:c>
      <x:c r="L1493" s="70"/>
      <x:c r="M1493" s="70" t="s">
        <x:v>40</x:v>
      </x:c>
      <x:c r="N1493" s="71" t="n">
        <x:v>0</x:v>
      </x:c>
      <x:c r="O1493" s="72" t="n">
        <x:f aca="0">N1493/1000</x:f>
        <x:v>0</x:v>
      </x:c>
      <x:c r="P1493" s="73" t="n">
        <x:f aca="0">MLCF!D94</x:f>
        <x:v>0</x:v>
      </x:c>
      <x:c r="Q1493" s="70" t="str">
        <x:f aca="0">IF(ABS(O1493-P1493)&lt;0.000001,"PASS","FAIL")</x:f>
        <x:v>PASS</x:v>
      </x:c>
      <x:c r="R1493" s="70" t="s">
        <x:v>34</x:v>
      </x:c>
      <x:c r="S1493" s="70"/>
    </x:row>
    <x:row r="1494" ht="15" hidden="0">
      <x:c r="A1494" s="70" t="s">
        <x:v>2855</x:v>
      </x:c>
      <x:c r="B1494" s="70" t="s">
        <x:v>42</x:v>
      </x:c>
      <x:c r="C1494" s="70" t="s">
        <x:v>74</x:v>
      </x:c>
      <x:c r="D1494" s="70" t="s">
        <x:v>434</x:v>
      </x:c>
      <x:c r="E1494" s="70" t="s">
        <x:v>1472</x:v>
      </x:c>
      <x:c r="F1494" s="70"/>
      <x:c r="G1494" s="70" t="s">
        <x:v>1669</x:v>
      </x:c>
      <x:c r="H1494" s="70" t="s">
        <x:v>1208</x:v>
      </x:c>
      <x:c r="I1494" s="70" t="s">
        <x:v>1199</x:v>
      </x:c>
      <x:c r="J1494" s="70" t="n">
        <x:v>99</x:v>
      </x:c>
      <x:c r="K1494" s="70" t="s">
        <x:v>2811</x:v>
      </x:c>
      <x:c r="L1494" s="70"/>
      <x:c r="M1494" s="70" t="s">
        <x:v>40</x:v>
      </x:c>
      <x:c r="N1494" s="71" t="n">
        <x:v>0</x:v>
      </x:c>
      <x:c r="O1494" s="72" t="n">
        <x:f aca="0">N1494/1000</x:f>
        <x:v>0</x:v>
      </x:c>
      <x:c r="P1494" s="73" t="n">
        <x:f aca="0">MLCF!E94</x:f>
        <x:v>0</x:v>
      </x:c>
      <x:c r="Q1494" s="70" t="str">
        <x:f aca="0">IF(ABS(O1494-P1494)&lt;0.000001,"PASS","FAIL")</x:f>
        <x:v>PASS</x:v>
      </x:c>
      <x:c r="R1494" s="70" t="s">
        <x:v>34</x:v>
      </x:c>
      <x:c r="S1494" s="70"/>
    </x:row>
    <x:row r="1495" ht="15" hidden="0">
      <x:c r="A1495" s="70" t="s">
        <x:v>2856</x:v>
      </x:c>
      <x:c r="B1495" s="70" t="s">
        <x:v>42</x:v>
      </x:c>
      <x:c r="C1495" s="70" t="s">
        <x:v>75</x:v>
      </x:c>
      <x:c r="D1495" s="70" t="s">
        <x:v>434</x:v>
      </x:c>
      <x:c r="E1495" s="70" t="s">
        <x:v>1472</x:v>
      </x:c>
      <x:c r="F1495" s="70"/>
      <x:c r="G1495" s="70" t="s">
        <x:v>1672</x:v>
      </x:c>
      <x:c r="H1495" s="70" t="s">
        <x:v>1211</x:v>
      </x:c>
      <x:c r="I1495" s="70" t="s">
        <x:v>1199</x:v>
      </x:c>
      <x:c r="J1495" s="70" t="n">
        <x:v>191</x:v>
      </x:c>
      <x:c r="K1495" s="70" t="s">
        <x:v>2813</x:v>
      </x:c>
      <x:c r="L1495" s="70"/>
      <x:c r="M1495" s="70" t="s">
        <x:v>40</x:v>
      </x:c>
      <x:c r="N1495" s="71" t="n">
        <x:v>0</x:v>
      </x:c>
      <x:c r="O1495" s="72" t="n">
        <x:f aca="0">N1495/1000</x:f>
        <x:v>0</x:v>
      </x:c>
      <x:c r="P1495" s="73" t="n">
        <x:f aca="0">MLCF!F94</x:f>
        <x:v>0</x:v>
      </x:c>
      <x:c r="Q1495" s="70" t="str">
        <x:f aca="0">IF(ABS(O1495-P1495)&lt;0.000001,"PASS","FAIL")</x:f>
        <x:v>PASS</x:v>
      </x:c>
      <x:c r="R1495" s="70" t="s">
        <x:v>34</x:v>
      </x:c>
      <x:c r="S1495" s="70"/>
    </x:row>
    <x:row r="1496" ht="15" hidden="0">
      <x:c r="A1496" s="70" t="s">
        <x:v>2857</x:v>
      </x:c>
      <x:c r="B1496" s="70" t="s">
        <x:v>42</x:v>
      </x:c>
      <x:c r="C1496" s="70" t="s">
        <x:v>76</x:v>
      </x:c>
      <x:c r="D1496" s="70" t="s">
        <x:v>434</x:v>
      </x:c>
      <x:c r="E1496" s="70" t="s">
        <x:v>1472</x:v>
      </x:c>
      <x:c r="F1496" s="70"/>
      <x:c r="G1496" s="70" t="s">
        <x:v>1675</x:v>
      </x:c>
      <x:c r="H1496" s="70" t="s">
        <x:v>1215</x:v>
      </x:c>
      <x:c r="I1496" s="70" t="s">
        <x:v>1199</x:v>
      </x:c>
      <x:c r="J1496" s="70" t="n">
        <x:v>203</x:v>
      </x:c>
      <x:c r="K1496" s="70" t="s">
        <x:v>2815</x:v>
      </x:c>
      <x:c r="L1496" s="70"/>
      <x:c r="M1496" s="70" t="s">
        <x:v>40</x:v>
      </x:c>
      <x:c r="N1496" s="71" t="n">
        <x:v>0</x:v>
      </x:c>
      <x:c r="O1496" s="72" t="n">
        <x:f aca="0">N1496/1000</x:f>
        <x:v>0</x:v>
      </x:c>
      <x:c r="P1496" s="73" t="n">
        <x:f aca="0">MLCF!G94</x:f>
        <x:v>0</x:v>
      </x:c>
      <x:c r="Q1496" s="70" t="str">
        <x:f aca="0">IF(ABS(O1496-P1496)&lt;0.000001,"PASS","FAIL")</x:f>
        <x:v>PASS</x:v>
      </x:c>
      <x:c r="R1496" s="70" t="s">
        <x:v>34</x:v>
      </x:c>
      <x:c r="S1496" s="70"/>
    </x:row>
    <x:row r="1497" ht="15" hidden="0">
      <x:c r="A1497" s="70" t="s">
        <x:v>2858</x:v>
      </x:c>
      <x:c r="B1497" s="70" t="s">
        <x:v>42</x:v>
      </x:c>
      <x:c r="C1497" s="70" t="s">
        <x:v>77</x:v>
      </x:c>
      <x:c r="D1497" s="70" t="s">
        <x:v>434</x:v>
      </x:c>
      <x:c r="E1497" s="70" t="s">
        <x:v>1472</x:v>
      </x:c>
      <x:c r="F1497" s="70"/>
      <x:c r="G1497" s="70" t="s">
        <x:v>1675</x:v>
      </x:c>
      <x:c r="H1497" s="70" t="s">
        <x:v>1215</x:v>
      </x:c>
      <x:c r="I1497" s="70" t="s">
        <x:v>1218</x:v>
      </x:c>
      <x:c r="J1497" s="70" t="n">
        <x:v>203</x:v>
      </x:c>
      <x:c r="K1497" s="70" t="s">
        <x:v>2815</x:v>
      </x:c>
      <x:c r="L1497" s="70"/>
      <x:c r="M1497" s="70" t="s">
        <x:v>40</x:v>
      </x:c>
      <x:c r="N1497" s="71" t="n">
        <x:v>0</x:v>
      </x:c>
      <x:c r="O1497" s="72" t="n">
        <x:f aca="0">N1497/1000</x:f>
        <x:v>0</x:v>
      </x:c>
      <x:c r="P1497" s="73" t="n">
        <x:f aca="0">MLCF!H94</x:f>
        <x:v>0</x:v>
      </x:c>
      <x:c r="Q1497" s="70" t="str">
        <x:f aca="0">IF(ABS(O1497-P1497)&lt;0.000001,"PASS","FAIL")</x:f>
        <x:v>PASS</x:v>
      </x:c>
      <x:c r="R1497" s="70" t="s">
        <x:v>34</x:v>
      </x:c>
      <x:c r="S1497" s="70"/>
    </x:row>
    <x:row r="1498" ht="15" hidden="0">
      <x:c r="A1498" s="70" t="s">
        <x:v>2859</x:v>
      </x:c>
      <x:c r="B1498" s="70" t="s">
        <x:v>42</x:v>
      </x:c>
      <x:c r="C1498" s="70" t="s">
        <x:v>73</x:v>
      </x:c>
      <x:c r="D1498" s="70" t="s">
        <x:v>436</x:v>
      </x:c>
      <x:c r="E1498" s="70" t="s">
        <x:v>1472</x:v>
      </x:c>
      <x:c r="F1498" s="70" t="s">
        <x:v>436</x:v>
      </x:c>
      <x:c r="G1498" s="70" t="s">
        <x:v>1666</x:v>
      </x:c>
      <x:c r="H1498" s="70" t="s">
        <x:v>1204</x:v>
      </x:c>
      <x:c r="I1498" s="70" t="s">
        <x:v>1199</x:v>
      </x:c>
      <x:c r="J1498" s="70" t="n">
        <x:v>185</x:v>
      </x:c>
      <x:c r="K1498" s="70" t="s">
        <x:v>2126</x:v>
      </x:c>
      <x:c r="L1498" s="70"/>
      <x:c r="M1498" s="70" t="s">
        <x:v>40</x:v>
      </x:c>
      <x:c r="N1498" s="71" t="n">
        <x:v>-1493930</x:v>
      </x:c>
      <x:c r="O1498" s="72" t="n">
        <x:f aca="0">N1498/1000</x:f>
        <x:v>-1493.93</x:v>
      </x:c>
      <x:c r="P1498" s="73" t="n">
        <x:f aca="0">MLCF!D95</x:f>
        <x:v>-1493.93</x:v>
      </x:c>
      <x:c r="Q1498" s="70" t="str">
        <x:f aca="0">IF(ABS(O1498-P1498)&lt;0.000001,"PASS","FAIL")</x:f>
        <x:v>PASS</x:v>
      </x:c>
      <x:c r="R1498" s="70" t="s">
        <x:v>34</x:v>
      </x:c>
      <x:c r="S1498" s="70"/>
    </x:row>
    <x:row r="1499" ht="15" hidden="0">
      <x:c r="A1499" s="70" t="s">
        <x:v>2860</x:v>
      </x:c>
      <x:c r="B1499" s="70" t="s">
        <x:v>42</x:v>
      </x:c>
      <x:c r="C1499" s="70" t="s">
        <x:v>74</x:v>
      </x:c>
      <x:c r="D1499" s="70" t="s">
        <x:v>436</x:v>
      </x:c>
      <x:c r="E1499" s="70" t="s">
        <x:v>1472</x:v>
      </x:c>
      <x:c r="F1499" s="70" t="s">
        <x:v>436</x:v>
      </x:c>
      <x:c r="G1499" s="70" t="s">
        <x:v>1669</x:v>
      </x:c>
      <x:c r="H1499" s="70" t="s">
        <x:v>1208</x:v>
      </x:c>
      <x:c r="I1499" s="70" t="s">
        <x:v>1199</x:v>
      </x:c>
      <x:c r="J1499" s="70" t="n">
        <x:v>99</x:v>
      </x:c>
      <x:c r="K1499" s="70" t="s">
        <x:v>2811</x:v>
      </x:c>
      <x:c r="L1499" s="70"/>
      <x:c r="M1499" s="70" t="s">
        <x:v>40</x:v>
      </x:c>
      <x:c r="N1499" s="71" t="n">
        <x:v>-1741026</x:v>
      </x:c>
      <x:c r="O1499" s="72" t="n">
        <x:f aca="0">N1499/1000</x:f>
        <x:v>-1741.026</x:v>
      </x:c>
      <x:c r="P1499" s="73" t="n">
        <x:f aca="0">MLCF!E95</x:f>
        <x:v>-1741.026</x:v>
      </x:c>
      <x:c r="Q1499" s="70" t="str">
        <x:f aca="0">IF(ABS(O1499-P1499)&lt;0.000001,"PASS","FAIL")</x:f>
        <x:v>PASS</x:v>
      </x:c>
      <x:c r="R1499" s="70" t="s">
        <x:v>34</x:v>
      </x:c>
      <x:c r="S1499" s="70"/>
    </x:row>
    <x:row r="1500" ht="15" hidden="0">
      <x:c r="A1500" s="70" t="s">
        <x:v>2861</x:v>
      </x:c>
      <x:c r="B1500" s="70" t="s">
        <x:v>42</x:v>
      </x:c>
      <x:c r="C1500" s="70" t="s">
        <x:v>75</x:v>
      </x:c>
      <x:c r="D1500" s="70" t="s">
        <x:v>436</x:v>
      </x:c>
      <x:c r="E1500" s="70" t="s">
        <x:v>1472</x:v>
      </x:c>
      <x:c r="F1500" s="70" t="s">
        <x:v>436</x:v>
      </x:c>
      <x:c r="G1500" s="70" t="s">
        <x:v>1672</x:v>
      </x:c>
      <x:c r="H1500" s="70" t="s">
        <x:v>1211</x:v>
      </x:c>
      <x:c r="I1500" s="70" t="s">
        <x:v>1199</x:v>
      </x:c>
      <x:c r="J1500" s="70" t="n">
        <x:v>191</x:v>
      </x:c>
      <x:c r="K1500" s="70" t="s">
        <x:v>2813</x:v>
      </x:c>
      <x:c r="L1500" s="70"/>
      <x:c r="M1500" s="70" t="s">
        <x:v>40</x:v>
      </x:c>
      <x:c r="N1500" s="71" t="n">
        <x:v>-2750748</x:v>
      </x:c>
      <x:c r="O1500" s="72" t="n">
        <x:f aca="0">N1500/1000</x:f>
        <x:v>-2750.748</x:v>
      </x:c>
      <x:c r="P1500" s="73" t="n">
        <x:f aca="0">MLCF!F95</x:f>
        <x:v>-2750.748</x:v>
      </x:c>
      <x:c r="Q1500" s="70" t="str">
        <x:f aca="0">IF(ABS(O1500-P1500)&lt;0.000001,"PASS","FAIL")</x:f>
        <x:v>PASS</x:v>
      </x:c>
      <x:c r="R1500" s="70" t="s">
        <x:v>34</x:v>
      </x:c>
      <x:c r="S1500" s="70"/>
    </x:row>
    <x:row r="1501" ht="15" hidden="0">
      <x:c r="A1501" s="70" t="s">
        <x:v>2862</x:v>
      </x:c>
      <x:c r="B1501" s="70" t="s">
        <x:v>42</x:v>
      </x:c>
      <x:c r="C1501" s="70" t="s">
        <x:v>76</x:v>
      </x:c>
      <x:c r="D1501" s="70" t="s">
        <x:v>436</x:v>
      </x:c>
      <x:c r="E1501" s="70" t="s">
        <x:v>1472</x:v>
      </x:c>
      <x:c r="F1501" s="70" t="s">
        <x:v>436</x:v>
      </x:c>
      <x:c r="G1501" s="70" t="s">
        <x:v>1675</x:v>
      </x:c>
      <x:c r="H1501" s="70" t="s">
        <x:v>1215</x:v>
      </x:c>
      <x:c r="I1501" s="70" t="s">
        <x:v>1199</x:v>
      </x:c>
      <x:c r="J1501" s="70" t="n">
        <x:v>203</x:v>
      </x:c>
      <x:c r="K1501" s="70" t="s">
        <x:v>2815</x:v>
      </x:c>
      <x:c r="L1501" s="70"/>
      <x:c r="M1501" s="70" t="s">
        <x:v>40</x:v>
      </x:c>
      <x:c r="N1501" s="71" t="n">
        <x:v>-4138286</x:v>
      </x:c>
      <x:c r="O1501" s="72" t="n">
        <x:f aca="0">N1501/1000</x:f>
        <x:v>-4138.286</x:v>
      </x:c>
      <x:c r="P1501" s="73" t="n">
        <x:f aca="0">MLCF!G95</x:f>
        <x:v>-4138.286</x:v>
      </x:c>
      <x:c r="Q1501" s="70" t="str">
        <x:f aca="0">IF(ABS(O1501-P1501)&lt;0.000001,"PASS","FAIL")</x:f>
        <x:v>PASS</x:v>
      </x:c>
      <x:c r="R1501" s="70" t="s">
        <x:v>34</x:v>
      </x:c>
      <x:c r="S1501" s="70"/>
    </x:row>
    <x:row r="1502" ht="15" hidden="0">
      <x:c r="A1502" s="70" t="s">
        <x:v>2863</x:v>
      </x:c>
      <x:c r="B1502" s="70" t="s">
        <x:v>42</x:v>
      </x:c>
      <x:c r="C1502" s="70" t="s">
        <x:v>77</x:v>
      </x:c>
      <x:c r="D1502" s="70" t="s">
        <x:v>436</x:v>
      </x:c>
      <x:c r="E1502" s="70" t="s">
        <x:v>1472</x:v>
      </x:c>
      <x:c r="F1502" s="70" t="s">
        <x:v>436</x:v>
      </x:c>
      <x:c r="G1502" s="70" t="s">
        <x:v>1675</x:v>
      </x:c>
      <x:c r="H1502" s="70" t="s">
        <x:v>1215</x:v>
      </x:c>
      <x:c r="I1502" s="70" t="s">
        <x:v>1218</x:v>
      </x:c>
      <x:c r="J1502" s="70" t="n">
        <x:v>203</x:v>
      </x:c>
      <x:c r="K1502" s="70" t="s">
        <x:v>2815</x:v>
      </x:c>
      <x:c r="L1502" s="70"/>
      <x:c r="M1502" s="70" t="s">
        <x:v>40</x:v>
      </x:c>
      <x:c r="N1502" s="71" t="n">
        <x:v>-3554788</x:v>
      </x:c>
      <x:c r="O1502" s="72" t="n">
        <x:f aca="0">N1502/1000</x:f>
        <x:v>-3554.788</x:v>
      </x:c>
      <x:c r="P1502" s="73" t="n">
        <x:f aca="0">MLCF!H95</x:f>
        <x:v>-3554.788</x:v>
      </x:c>
      <x:c r="Q1502" s="70" t="str">
        <x:f aca="0">IF(ABS(O1502-P1502)&lt;0.000001,"PASS","FAIL")</x:f>
        <x:v>PASS</x:v>
      </x:c>
      <x:c r="R1502" s="70" t="s">
        <x:v>34</x:v>
      </x:c>
      <x:c r="S1502" s="70"/>
    </x:row>
    <x:row r="1503" ht="15" hidden="0">
      <x:c r="A1503" s="70" t="s">
        <x:v>2864</x:v>
      </x:c>
      <x:c r="B1503" s="70" t="s">
        <x:v>42</x:v>
      </x:c>
      <x:c r="C1503" s="70" t="s">
        <x:v>73</x:v>
      </x:c>
      <x:c r="D1503" s="70" t="s">
        <x:v>440</x:v>
      </x:c>
      <x:c r="E1503" s="70" t="s">
        <x:v>1472</x:v>
      </x:c>
      <x:c r="F1503" s="70"/>
      <x:c r="G1503" s="70" t="s">
        <x:v>1666</x:v>
      </x:c>
      <x:c r="H1503" s="70" t="s">
        <x:v>1204</x:v>
      </x:c>
      <x:c r="I1503" s="70" t="s">
        <x:v>1199</x:v>
      </x:c>
      <x:c r="J1503" s="70" t="n">
        <x:v>185</x:v>
      </x:c>
      <x:c r="K1503" s="70" t="s">
        <x:v>2126</x:v>
      </x:c>
      <x:c r="L1503" s="70"/>
      <x:c r="M1503" s="70" t="s">
        <x:v>40</x:v>
      </x:c>
      <x:c r="N1503" s="71" t="n">
        <x:v>0</x:v>
      </x:c>
      <x:c r="O1503" s="72" t="n">
        <x:f aca="0">N1503/1000</x:f>
        <x:v>0</x:v>
      </x:c>
      <x:c r="P1503" s="73" t="n">
        <x:f aca="0">MLCF!D97</x:f>
        <x:v>0</x:v>
      </x:c>
      <x:c r="Q1503" s="70" t="str">
        <x:f aca="0">IF(ABS(O1503-P1503)&lt;0.000001,"PASS","FAIL")</x:f>
        <x:v>PASS</x:v>
      </x:c>
      <x:c r="R1503" s="70" t="s">
        <x:v>34</x:v>
      </x:c>
      <x:c r="S1503" s="70"/>
    </x:row>
    <x:row r="1504" ht="15" hidden="0">
      <x:c r="A1504" s="70" t="s">
        <x:v>2865</x:v>
      </x:c>
      <x:c r="B1504" s="70" t="s">
        <x:v>42</x:v>
      </x:c>
      <x:c r="C1504" s="70" t="s">
        <x:v>74</x:v>
      </x:c>
      <x:c r="D1504" s="70" t="s">
        <x:v>440</x:v>
      </x:c>
      <x:c r="E1504" s="70" t="s">
        <x:v>1472</x:v>
      </x:c>
      <x:c r="F1504" s="70"/>
      <x:c r="G1504" s="70" t="s">
        <x:v>1669</x:v>
      </x:c>
      <x:c r="H1504" s="70" t="s">
        <x:v>1208</x:v>
      </x:c>
      <x:c r="I1504" s="70" t="s">
        <x:v>1199</x:v>
      </x:c>
      <x:c r="J1504" s="70" t="n">
        <x:v>99</x:v>
      </x:c>
      <x:c r="K1504" s="70" t="s">
        <x:v>2811</x:v>
      </x:c>
      <x:c r="L1504" s="70"/>
      <x:c r="M1504" s="70" t="s">
        <x:v>40</x:v>
      </x:c>
      <x:c r="N1504" s="71" t="n">
        <x:v>0</x:v>
      </x:c>
      <x:c r="O1504" s="72" t="n">
        <x:f aca="0">N1504/1000</x:f>
        <x:v>0</x:v>
      </x:c>
      <x:c r="P1504" s="73" t="n">
        <x:f aca="0">MLCF!E97</x:f>
        <x:v>0</x:v>
      </x:c>
      <x:c r="Q1504" s="70" t="str">
        <x:f aca="0">IF(ABS(O1504-P1504)&lt;0.000001,"PASS","FAIL")</x:f>
        <x:v>PASS</x:v>
      </x:c>
      <x:c r="R1504" s="70" t="s">
        <x:v>34</x:v>
      </x:c>
      <x:c r="S1504" s="70"/>
    </x:row>
    <x:row r="1505" ht="15" hidden="0">
      <x:c r="A1505" s="70" t="s">
        <x:v>2866</x:v>
      </x:c>
      <x:c r="B1505" s="70" t="s">
        <x:v>42</x:v>
      </x:c>
      <x:c r="C1505" s="70" t="s">
        <x:v>75</x:v>
      </x:c>
      <x:c r="D1505" s="70" t="s">
        <x:v>440</x:v>
      </x:c>
      <x:c r="E1505" s="70" t="s">
        <x:v>1472</x:v>
      </x:c>
      <x:c r="F1505" s="70" t="s">
        <x:v>2867</x:v>
      </x:c>
      <x:c r="G1505" s="70" t="s">
        <x:v>1672</x:v>
      </x:c>
      <x:c r="H1505" s="70" t="s">
        <x:v>1211</x:v>
      </x:c>
      <x:c r="I1505" s="70" t="s">
        <x:v>1199</x:v>
      </x:c>
      <x:c r="J1505" s="70" t="n">
        <x:v>191</x:v>
      </x:c>
      <x:c r="K1505" s="70" t="s">
        <x:v>2813</x:v>
      </x:c>
      <x:c r="L1505" s="70"/>
      <x:c r="M1505" s="70" t="s">
        <x:v>40</x:v>
      </x:c>
      <x:c r="N1505" s="71" t="n">
        <x:v>-12192</x:v>
      </x:c>
      <x:c r="O1505" s="72" t="n">
        <x:f aca="0">N1505/1000</x:f>
        <x:v>-12.192</x:v>
      </x:c>
      <x:c r="P1505" s="73" t="n">
        <x:f aca="0">MLCF!F97</x:f>
        <x:v>-12.192</x:v>
      </x:c>
      <x:c r="Q1505" s="70" t="str">
        <x:f aca="0">IF(ABS(O1505-P1505)&lt;0.000001,"PASS","FAIL")</x:f>
        <x:v>PASS</x:v>
      </x:c>
      <x:c r="R1505" s="70" t="s">
        <x:v>34</x:v>
      </x:c>
      <x:c r="S1505" s="70"/>
    </x:row>
    <x:row r="1506" ht="15" hidden="0">
      <x:c r="A1506" s="70" t="s">
        <x:v>2868</x:v>
      </x:c>
      <x:c r="B1506" s="70" t="s">
        <x:v>42</x:v>
      </x:c>
      <x:c r="C1506" s="70" t="s">
        <x:v>76</x:v>
      </x:c>
      <x:c r="D1506" s="70" t="s">
        <x:v>440</x:v>
      </x:c>
      <x:c r="E1506" s="70" t="s">
        <x:v>1472</x:v>
      </x:c>
      <x:c r="F1506" s="70" t="s">
        <x:v>2869</x:v>
      </x:c>
      <x:c r="G1506" s="70" t="s">
        <x:v>1675</x:v>
      </x:c>
      <x:c r="H1506" s="70" t="s">
        <x:v>1215</x:v>
      </x:c>
      <x:c r="I1506" s="70" t="s">
        <x:v>1199</x:v>
      </x:c>
      <x:c r="J1506" s="70" t="n">
        <x:v>203</x:v>
      </x:c>
      <x:c r="K1506" s="70" t="s">
        <x:v>2815</x:v>
      </x:c>
      <x:c r="L1506" s="70"/>
      <x:c r="M1506" s="70" t="s">
        <x:v>40</x:v>
      </x:c>
      <x:c r="N1506" s="71" t="n">
        <x:v>-45804</x:v>
      </x:c>
      <x:c r="O1506" s="72" t="n">
        <x:f aca="0">N1506/1000</x:f>
        <x:v>-45.804</x:v>
      </x:c>
      <x:c r="P1506" s="73" t="n">
        <x:f aca="0">MLCF!G97</x:f>
        <x:v>-45.804</x:v>
      </x:c>
      <x:c r="Q1506" s="70" t="str">
        <x:f aca="0">IF(ABS(O1506-P1506)&lt;0.000001,"PASS","FAIL")</x:f>
        <x:v>PASS</x:v>
      </x:c>
      <x:c r="R1506" s="70" t="s">
        <x:v>34</x:v>
      </x:c>
      <x:c r="S1506" s="70"/>
    </x:row>
    <x:row r="1507" ht="15" hidden="0">
      <x:c r="A1507" s="70" t="s">
        <x:v>2870</x:v>
      </x:c>
      <x:c r="B1507" s="70" t="s">
        <x:v>42</x:v>
      </x:c>
      <x:c r="C1507" s="70" t="s">
        <x:v>77</x:v>
      </x:c>
      <x:c r="D1507" s="70" t="s">
        <x:v>440</x:v>
      </x:c>
      <x:c r="E1507" s="70" t="s">
        <x:v>1472</x:v>
      </x:c>
      <x:c r="F1507" s="70" t="s">
        <x:v>2869</x:v>
      </x:c>
      <x:c r="G1507" s="70" t="s">
        <x:v>1675</x:v>
      </x:c>
      <x:c r="H1507" s="70" t="s">
        <x:v>1215</x:v>
      </x:c>
      <x:c r="I1507" s="70" t="s">
        <x:v>1218</x:v>
      </x:c>
      <x:c r="J1507" s="70" t="n">
        <x:v>203</x:v>
      </x:c>
      <x:c r="K1507" s="70" t="s">
        <x:v>2815</x:v>
      </x:c>
      <x:c r="L1507" s="70"/>
      <x:c r="M1507" s="70" t="s">
        <x:v>40</x:v>
      </x:c>
      <x:c r="N1507" s="71" t="n">
        <x:v>-38972</x:v>
      </x:c>
      <x:c r="O1507" s="72" t="n">
        <x:f aca="0">N1507/1000</x:f>
        <x:v>-38.972</x:v>
      </x:c>
      <x:c r="P1507" s="73" t="n">
        <x:f aca="0">MLCF!H97</x:f>
        <x:v>-38.972</x:v>
      </x:c>
      <x:c r="Q1507" s="70" t="str">
        <x:f aca="0">IF(ABS(O1507-P1507)&lt;0.000001,"PASS","FAIL")</x:f>
        <x:v>PASS</x:v>
      </x:c>
      <x:c r="R1507" s="70" t="s">
        <x:v>34</x:v>
      </x:c>
      <x:c r="S1507" s="70"/>
    </x:row>
    <x:row r="1508" ht="15" hidden="0">
      <x:c r="A1508" s="70" t="s">
        <x:v>2871</x:v>
      </x:c>
      <x:c r="B1508" s="70" t="s">
        <x:v>42</x:v>
      </x:c>
      <x:c r="C1508" s="70" t="s">
        <x:v>73</x:v>
      </x:c>
      <x:c r="D1508" s="70" t="s">
        <x:v>442</x:v>
      </x:c>
      <x:c r="E1508" s="70" t="s">
        <x:v>1472</x:v>
      </x:c>
      <x:c r="F1508" s="70" t="s">
        <x:v>1534</x:v>
      </x:c>
      <x:c r="G1508" s="70" t="s">
        <x:v>1666</x:v>
      </x:c>
      <x:c r="H1508" s="70" t="s">
        <x:v>1204</x:v>
      </x:c>
      <x:c r="I1508" s="70" t="s">
        <x:v>1199</x:v>
      </x:c>
      <x:c r="J1508" s="70" t="n">
        <x:v>185</x:v>
      </x:c>
      <x:c r="K1508" s="70" t="s">
        <x:v>2126</x:v>
      </x:c>
      <x:c r="L1508" s="70"/>
      <x:c r="M1508" s="70" t="s">
        <x:v>40</x:v>
      </x:c>
      <x:c r="N1508" s="71" t="n">
        <x:v>-1035492</x:v>
      </x:c>
      <x:c r="O1508" s="72" t="n">
        <x:f aca="0">N1508/1000</x:f>
        <x:v>-1035.492</x:v>
      </x:c>
      <x:c r="P1508" s="73" t="n">
        <x:f aca="0">MLCF!D98</x:f>
        <x:v>-1035.492</x:v>
      </x:c>
      <x:c r="Q1508" s="70" t="str">
        <x:f aca="0">IF(ABS(O1508-P1508)&lt;0.000001,"PASS","FAIL")</x:f>
        <x:v>PASS</x:v>
      </x:c>
      <x:c r="R1508" s="70" t="s">
        <x:v>34</x:v>
      </x:c>
      <x:c r="S1508" s="70"/>
    </x:row>
    <x:row r="1509" ht="15" hidden="0">
      <x:c r="A1509" s="70" t="s">
        <x:v>2872</x:v>
      </x:c>
      <x:c r="B1509" s="70" t="s">
        <x:v>42</x:v>
      </x:c>
      <x:c r="C1509" s="70" t="s">
        <x:v>74</x:v>
      </x:c>
      <x:c r="D1509" s="70" t="s">
        <x:v>442</x:v>
      </x:c>
      <x:c r="E1509" s="70" t="s">
        <x:v>1472</x:v>
      </x:c>
      <x:c r="F1509" s="70" t="s">
        <x:v>1534</x:v>
      </x:c>
      <x:c r="G1509" s="70" t="s">
        <x:v>1669</x:v>
      </x:c>
      <x:c r="H1509" s="70" t="s">
        <x:v>1208</x:v>
      </x:c>
      <x:c r="I1509" s="70" t="s">
        <x:v>1199</x:v>
      </x:c>
      <x:c r="J1509" s="70" t="n">
        <x:v>99</x:v>
      </x:c>
      <x:c r="K1509" s="70" t="s">
        <x:v>2811</x:v>
      </x:c>
      <x:c r="L1509" s="70"/>
      <x:c r="M1509" s="70" t="s">
        <x:v>40</x:v>
      </x:c>
      <x:c r="N1509" s="71" t="n">
        <x:v>-3557172</x:v>
      </x:c>
      <x:c r="O1509" s="72" t="n">
        <x:f aca="0">N1509/1000</x:f>
        <x:v>-3557.172</x:v>
      </x:c>
      <x:c r="P1509" s="73" t="n">
        <x:f aca="0">MLCF!E98</x:f>
        <x:v>-3557.172</x:v>
      </x:c>
      <x:c r="Q1509" s="70" t="str">
        <x:f aca="0">IF(ABS(O1509-P1509)&lt;0.000001,"PASS","FAIL")</x:f>
        <x:v>PASS</x:v>
      </x:c>
      <x:c r="R1509" s="70" t="s">
        <x:v>34</x:v>
      </x:c>
      <x:c r="S1509" s="70"/>
    </x:row>
    <x:row r="1510" ht="15" hidden="0">
      <x:c r="A1510" s="70" t="s">
        <x:v>2873</x:v>
      </x:c>
      <x:c r="B1510" s="70" t="s">
        <x:v>42</x:v>
      </x:c>
      <x:c r="C1510" s="70" t="s">
        <x:v>75</x:v>
      </x:c>
      <x:c r="D1510" s="70" t="s">
        <x:v>442</x:v>
      </x:c>
      <x:c r="E1510" s="70" t="s">
        <x:v>1472</x:v>
      </x:c>
      <x:c r="F1510" s="70" t="s">
        <x:v>442</x:v>
      </x:c>
      <x:c r="G1510" s="70" t="s">
        <x:v>1672</x:v>
      </x:c>
      <x:c r="H1510" s="70" t="s">
        <x:v>1211</x:v>
      </x:c>
      <x:c r="I1510" s="70" t="s">
        <x:v>1199</x:v>
      </x:c>
      <x:c r="J1510" s="70" t="n">
        <x:v>191</x:v>
      </x:c>
      <x:c r="K1510" s="70" t="s">
        <x:v>2813</x:v>
      </x:c>
      <x:c r="L1510" s="70"/>
      <x:c r="M1510" s="70" t="s">
        <x:v>40</x:v>
      </x:c>
      <x:c r="N1510" s="71" t="n">
        <x:v>-4746806</x:v>
      </x:c>
      <x:c r="O1510" s="72" t="n">
        <x:f aca="0">N1510/1000</x:f>
        <x:v>-4746.806</x:v>
      </x:c>
      <x:c r="P1510" s="73" t="n">
        <x:f aca="0">MLCF!F98</x:f>
        <x:v>-4746.806</x:v>
      </x:c>
      <x:c r="Q1510" s="70" t="str">
        <x:f aca="0">IF(ABS(O1510-P1510)&lt;0.000001,"PASS","FAIL")</x:f>
        <x:v>PASS</x:v>
      </x:c>
      <x:c r="R1510" s="70" t="s">
        <x:v>34</x:v>
      </x:c>
      <x:c r="S1510" s="70" t="s">
        <x:v>1205</x:v>
      </x:c>
    </x:row>
    <x:row r="1511" ht="15" hidden="0">
      <x:c r="A1511" s="70" t="s">
        <x:v>2874</x:v>
      </x:c>
      <x:c r="B1511" s="70" t="s">
        <x:v>42</x:v>
      </x:c>
      <x:c r="C1511" s="70" t="s">
        <x:v>76</x:v>
      </x:c>
      <x:c r="D1511" s="70" t="s">
        <x:v>442</x:v>
      </x:c>
      <x:c r="E1511" s="70" t="s">
        <x:v>1472</x:v>
      </x:c>
      <x:c r="F1511" s="70" t="s">
        <x:v>442</x:v>
      </x:c>
      <x:c r="G1511" s="70" t="s">
        <x:v>1675</x:v>
      </x:c>
      <x:c r="H1511" s="70" t="s">
        <x:v>1215</x:v>
      </x:c>
      <x:c r="I1511" s="70" t="s">
        <x:v>1199</x:v>
      </x:c>
      <x:c r="J1511" s="70" t="n">
        <x:v>203</x:v>
      </x:c>
      <x:c r="K1511" s="70" t="s">
        <x:v>2815</x:v>
      </x:c>
      <x:c r="L1511" s="70"/>
      <x:c r="M1511" s="70" t="s">
        <x:v>40</x:v>
      </x:c>
      <x:c r="N1511" s="71" t="n">
        <x:v>-3613117</x:v>
      </x:c>
      <x:c r="O1511" s="72" t="n">
        <x:f aca="0">N1511/1000</x:f>
        <x:v>-3613.117</x:v>
      </x:c>
      <x:c r="P1511" s="73" t="n">
        <x:f aca="0">MLCF!G98</x:f>
        <x:v>-3613.117</x:v>
      </x:c>
      <x:c r="Q1511" s="70" t="str">
        <x:f aca="0">IF(ABS(O1511-P1511)&lt;0.000001,"PASS","FAIL")</x:f>
        <x:v>PASS</x:v>
      </x:c>
      <x:c r="R1511" s="70" t="s">
        <x:v>34</x:v>
      </x:c>
      <x:c r="S1511" s="70"/>
    </x:row>
    <x:row r="1512" ht="15" hidden="0">
      <x:c r="A1512" s="70" t="s">
        <x:v>2875</x:v>
      </x:c>
      <x:c r="B1512" s="70" t="s">
        <x:v>42</x:v>
      </x:c>
      <x:c r="C1512" s="70" t="s">
        <x:v>77</x:v>
      </x:c>
      <x:c r="D1512" s="70" t="s">
        <x:v>442</x:v>
      </x:c>
      <x:c r="E1512" s="70" t="s">
        <x:v>1472</x:v>
      </x:c>
      <x:c r="F1512" s="70" t="s">
        <x:v>442</x:v>
      </x:c>
      <x:c r="G1512" s="70" t="s">
        <x:v>1675</x:v>
      </x:c>
      <x:c r="H1512" s="70" t="s">
        <x:v>1215</x:v>
      </x:c>
      <x:c r="I1512" s="70" t="s">
        <x:v>1218</x:v>
      </x:c>
      <x:c r="J1512" s="70" t="n">
        <x:v>203</x:v>
      </x:c>
      <x:c r="K1512" s="70" t="s">
        <x:v>2815</x:v>
      </x:c>
      <x:c r="L1512" s="70"/>
      <x:c r="M1512" s="70" t="s">
        <x:v>40</x:v>
      </x:c>
      <x:c r="N1512" s="71" t="n">
        <x:v>-4588891</x:v>
      </x:c>
      <x:c r="O1512" s="72" t="n">
        <x:f aca="0">N1512/1000</x:f>
        <x:v>-4588.891</x:v>
      </x:c>
      <x:c r="P1512" s="73" t="n">
        <x:f aca="0">MLCF!H98</x:f>
        <x:v>-4588.891</x:v>
      </x:c>
      <x:c r="Q1512" s="70" t="str">
        <x:f aca="0">IF(ABS(O1512-P1512)&lt;0.000001,"PASS","FAIL")</x:f>
        <x:v>PASS</x:v>
      </x:c>
      <x:c r="R1512" s="70" t="s">
        <x:v>34</x:v>
      </x:c>
      <x:c r="S1512" s="70"/>
    </x:row>
    <x:row r="1513" ht="15" hidden="0">
      <x:c r="A1513" s="70" t="s">
        <x:v>2876</x:v>
      </x:c>
      <x:c r="B1513" s="70" t="s">
        <x:v>42</x:v>
      </x:c>
      <x:c r="C1513" s="70" t="s">
        <x:v>73</x:v>
      </x:c>
      <x:c r="D1513" s="70" t="s">
        <x:v>446</x:v>
      </x:c>
      <x:c r="E1513" s="70" t="s">
        <x:v>1472</x:v>
      </x:c>
      <x:c r="F1513" s="70" t="s">
        <x:v>418</x:v>
      </x:c>
      <x:c r="G1513" s="70" t="s">
        <x:v>1666</x:v>
      </x:c>
      <x:c r="H1513" s="70" t="s">
        <x:v>1204</x:v>
      </x:c>
      <x:c r="I1513" s="70" t="s">
        <x:v>1199</x:v>
      </x:c>
      <x:c r="J1513" s="70" t="n">
        <x:v>185</x:v>
      </x:c>
      <x:c r="K1513" s="70" t="s">
        <x:v>2126</x:v>
      </x:c>
      <x:c r="L1513" s="70"/>
      <x:c r="M1513" s="70" t="s">
        <x:v>40</x:v>
      </x:c>
      <x:c r="N1513" s="71" t="n">
        <x:v>7402882</x:v>
      </x:c>
      <x:c r="O1513" s="72" t="n">
        <x:f aca="0">N1513/1000</x:f>
        <x:v>7402.882</x:v>
      </x:c>
      <x:c r="P1513" s="73" t="n">
        <x:f aca="0">MLCF!D100</x:f>
        <x:v>7402.882</x:v>
      </x:c>
      <x:c r="Q1513" s="70" t="str">
        <x:f aca="0">IF(ABS(O1513-P1513)&lt;0.000001,"PASS","FAIL")</x:f>
        <x:v>PASS</x:v>
      </x:c>
      <x:c r="R1513" s="70" t="s">
        <x:v>34</x:v>
      </x:c>
      <x:c r="S1513" s="70"/>
    </x:row>
    <x:row r="1514" ht="15" hidden="0">
      <x:c r="A1514" s="70" t="s">
        <x:v>2877</x:v>
      </x:c>
      <x:c r="B1514" s="70" t="s">
        <x:v>42</x:v>
      </x:c>
      <x:c r="C1514" s="70" t="s">
        <x:v>74</x:v>
      </x:c>
      <x:c r="D1514" s="70" t="s">
        <x:v>446</x:v>
      </x:c>
      <x:c r="E1514" s="70" t="s">
        <x:v>1472</x:v>
      </x:c>
      <x:c r="F1514" s="70" t="s">
        <x:v>418</x:v>
      </x:c>
      <x:c r="G1514" s="70" t="s">
        <x:v>1669</x:v>
      </x:c>
      <x:c r="H1514" s="70" t="s">
        <x:v>1208</x:v>
      </x:c>
      <x:c r="I1514" s="70" t="s">
        <x:v>1199</x:v>
      </x:c>
      <x:c r="J1514" s="70" t="n">
        <x:v>99</x:v>
      </x:c>
      <x:c r="K1514" s="70" t="s">
        <x:v>2811</x:v>
      </x:c>
      <x:c r="L1514" s="70"/>
      <x:c r="M1514" s="70" t="s">
        <x:v>40</x:v>
      </x:c>
      <x:c r="N1514" s="71" t="n">
        <x:v>12275466</x:v>
      </x:c>
      <x:c r="O1514" s="72" t="n">
        <x:f aca="0">N1514/1000</x:f>
        <x:v>12275.466</x:v>
      </x:c>
      <x:c r="P1514" s="73" t="n">
        <x:f aca="0">MLCF!E100</x:f>
        <x:v>12275.466</x:v>
      </x:c>
      <x:c r="Q1514" s="70" t="str">
        <x:f aca="0">IF(ABS(O1514-P1514)&lt;0.000001,"PASS","FAIL")</x:f>
        <x:v>PASS</x:v>
      </x:c>
      <x:c r="R1514" s="70" t="s">
        <x:v>34</x:v>
      </x:c>
      <x:c r="S1514" s="70"/>
    </x:row>
    <x:row r="1515" ht="15" hidden="0">
      <x:c r="A1515" s="70" t="s">
        <x:v>2878</x:v>
      </x:c>
      <x:c r="B1515" s="70" t="s">
        <x:v>42</x:v>
      </x:c>
      <x:c r="C1515" s="70" t="s">
        <x:v>75</x:v>
      </x:c>
      <x:c r="D1515" s="70" t="s">
        <x:v>446</x:v>
      </x:c>
      <x:c r="E1515" s="70" t="s">
        <x:v>1472</x:v>
      </x:c>
      <x:c r="F1515" s="70" t="s">
        <x:v>418</x:v>
      </x:c>
      <x:c r="G1515" s="70" t="s">
        <x:v>1672</x:v>
      </x:c>
      <x:c r="H1515" s="70" t="s">
        <x:v>1211</x:v>
      </x:c>
      <x:c r="I1515" s="70" t="s">
        <x:v>1199</x:v>
      </x:c>
      <x:c r="J1515" s="70" t="n">
        <x:v>191</x:v>
      </x:c>
      <x:c r="K1515" s="70" t="s">
        <x:v>2813</x:v>
      </x:c>
      <x:c r="L1515" s="70"/>
      <x:c r="M1515" s="70" t="s">
        <x:v>40</x:v>
      </x:c>
      <x:c r="N1515" s="71" t="n">
        <x:v>18173353</x:v>
      </x:c>
      <x:c r="O1515" s="72" t="n">
        <x:f aca="0">N1515/1000</x:f>
        <x:v>18173.353</x:v>
      </x:c>
      <x:c r="P1515" s="73" t="n">
        <x:f aca="0">MLCF!F100</x:f>
        <x:v>18173.353</x:v>
      </x:c>
      <x:c r="Q1515" s="70" t="str">
        <x:f aca="0">IF(ABS(O1515-P1515)&lt;0.000001,"PASS","FAIL")</x:f>
        <x:v>PASS</x:v>
      </x:c>
      <x:c r="R1515" s="70" t="s">
        <x:v>34</x:v>
      </x:c>
      <x:c r="S1515" s="70"/>
    </x:row>
    <x:row r="1516" ht="15" hidden="0">
      <x:c r="A1516" s="70" t="s">
        <x:v>2879</x:v>
      </x:c>
      <x:c r="B1516" s="70" t="s">
        <x:v>42</x:v>
      </x:c>
      <x:c r="C1516" s="70" t="s">
        <x:v>76</x:v>
      </x:c>
      <x:c r="D1516" s="70" t="s">
        <x:v>446</x:v>
      </x:c>
      <x:c r="E1516" s="70" t="s">
        <x:v>1472</x:v>
      </x:c>
      <x:c r="F1516" s="70" t="s">
        <x:v>418</x:v>
      </x:c>
      <x:c r="G1516" s="70" t="s">
        <x:v>1675</x:v>
      </x:c>
      <x:c r="H1516" s="70" t="s">
        <x:v>1215</x:v>
      </x:c>
      <x:c r="I1516" s="70" t="s">
        <x:v>1199</x:v>
      </x:c>
      <x:c r="J1516" s="70" t="n">
        <x:v>203</x:v>
      </x:c>
      <x:c r="K1516" s="70" t="s">
        <x:v>2815</x:v>
      </x:c>
      <x:c r="L1516" s="70"/>
      <x:c r="M1516" s="70" t="s">
        <x:v>40</x:v>
      </x:c>
      <x:c r="N1516" s="71" t="n">
        <x:v>20964284</x:v>
      </x:c>
      <x:c r="O1516" s="72" t="n">
        <x:f aca="0">N1516/1000</x:f>
        <x:v>20964.284</x:v>
      </x:c>
      <x:c r="P1516" s="73" t="n">
        <x:f aca="0">MLCF!G100</x:f>
        <x:v>20964.284</x:v>
      </x:c>
      <x:c r="Q1516" s="70" t="str">
        <x:f aca="0">IF(ABS(O1516-P1516)&lt;0.000001,"PASS","FAIL")</x:f>
        <x:v>PASS</x:v>
      </x:c>
      <x:c r="R1516" s="70" t="s">
        <x:v>34</x:v>
      </x:c>
      <x:c r="S1516" s="70"/>
    </x:row>
    <x:row r="1517" ht="15" hidden="0">
      <x:c r="A1517" s="70" t="s">
        <x:v>2880</x:v>
      </x:c>
      <x:c r="B1517" s="70" t="s">
        <x:v>42</x:v>
      </x:c>
      <x:c r="C1517" s="70" t="s">
        <x:v>77</x:v>
      </x:c>
      <x:c r="D1517" s="70" t="s">
        <x:v>446</x:v>
      </x:c>
      <x:c r="E1517" s="70" t="s">
        <x:v>1472</x:v>
      </x:c>
      <x:c r="F1517" s="70" t="s">
        <x:v>418</x:v>
      </x:c>
      <x:c r="G1517" s="70" t="s">
        <x:v>1675</x:v>
      </x:c>
      <x:c r="H1517" s="70" t="s">
        <x:v>1215</x:v>
      </x:c>
      <x:c r="I1517" s="70" t="s">
        <x:v>1218</x:v>
      </x:c>
      <x:c r="J1517" s="70" t="n">
        <x:v>203</x:v>
      </x:c>
      <x:c r="K1517" s="70" t="s">
        <x:v>2815</x:v>
      </x:c>
      <x:c r="L1517" s="70"/>
      <x:c r="M1517" s="70" t="s">
        <x:v>40</x:v>
      </x:c>
      <x:c r="N1517" s="71" t="n">
        <x:v>23746816</x:v>
      </x:c>
      <x:c r="O1517" s="72" t="n">
        <x:f aca="0">N1517/1000</x:f>
        <x:v>23746.816</x:v>
      </x:c>
      <x:c r="P1517" s="73" t="n">
        <x:f aca="0">MLCF!H100</x:f>
        <x:v>23746.816</x:v>
      </x:c>
      <x:c r="Q1517" s="70" t="str">
        <x:f aca="0">IF(ABS(O1517-P1517)&lt;0.000001,"PASS","FAIL")</x:f>
        <x:v>PASS</x:v>
      </x:c>
      <x:c r="R1517" s="70" t="s">
        <x:v>34</x:v>
      </x:c>
      <x:c r="S1517" s="70"/>
    </x:row>
    <x:row r="1518" ht="15" hidden="0">
      <x:c r="A1518" s="70" t="s">
        <x:v>2881</x:v>
      </x:c>
      <x:c r="B1518" s="70" t="s">
        <x:v>42</x:v>
      </x:c>
      <x:c r="C1518" s="70" t="s">
        <x:v>73</x:v>
      </x:c>
      <x:c r="D1518" s="70" t="s">
        <x:v>448</x:v>
      </x:c>
      <x:c r="E1518" s="70" t="s">
        <x:v>1472</x:v>
      </x:c>
      <x:c r="F1518" s="70" t="s">
        <x:v>1546</x:v>
      </x:c>
      <x:c r="G1518" s="70" t="s">
        <x:v>1666</x:v>
      </x:c>
      <x:c r="H1518" s="70" t="s">
        <x:v>1204</x:v>
      </x:c>
      <x:c r="I1518" s="70" t="s">
        <x:v>1199</x:v>
      </x:c>
      <x:c r="J1518" s="70" t="n">
        <x:v>185</x:v>
      </x:c>
      <x:c r="K1518" s="70" t="s">
        <x:v>2126</x:v>
      </x:c>
      <x:c r="L1518" s="70"/>
      <x:c r="M1518" s="70" t="s">
        <x:v>40</x:v>
      </x:c>
      <x:c r="N1518" s="71" t="n">
        <x:v>7289601</x:v>
      </x:c>
      <x:c r="O1518" s="72" t="n">
        <x:f aca="0">N1518/1000</x:f>
        <x:v>7289.601</x:v>
      </x:c>
      <x:c r="P1518" s="73" t="n">
        <x:f aca="0">MLCF!D101</x:f>
        <x:v>7289.601</x:v>
      </x:c>
      <x:c r="Q1518" s="70" t="str">
        <x:f aca="0">IF(ABS(O1518-P1518)&lt;0.000001,"PASS","FAIL")</x:f>
        <x:v>PASS</x:v>
      </x:c>
      <x:c r="R1518" s="70" t="s">
        <x:v>34</x:v>
      </x:c>
      <x:c r="S1518" s="70"/>
    </x:row>
    <x:row r="1519" ht="15" hidden="0">
      <x:c r="A1519" s="70" t="s">
        <x:v>2882</x:v>
      </x:c>
      <x:c r="B1519" s="70" t="s">
        <x:v>42</x:v>
      </x:c>
      <x:c r="C1519" s="70" t="s">
        <x:v>74</x:v>
      </x:c>
      <x:c r="D1519" s="70" t="s">
        <x:v>448</x:v>
      </x:c>
      <x:c r="E1519" s="70" t="s">
        <x:v>1472</x:v>
      </x:c>
      <x:c r="F1519" s="70" t="s">
        <x:v>1546</x:v>
      </x:c>
      <x:c r="G1519" s="70" t="s">
        <x:v>1669</x:v>
      </x:c>
      <x:c r="H1519" s="70" t="s">
        <x:v>1208</x:v>
      </x:c>
      <x:c r="I1519" s="70" t="s">
        <x:v>1199</x:v>
      </x:c>
      <x:c r="J1519" s="70" t="n">
        <x:v>99</x:v>
      </x:c>
      <x:c r="K1519" s="70" t="s">
        <x:v>2811</x:v>
      </x:c>
      <x:c r="L1519" s="70"/>
      <x:c r="M1519" s="70" t="s">
        <x:v>40</x:v>
      </x:c>
      <x:c r="N1519" s="71" t="n">
        <x:v>7183512</x:v>
      </x:c>
      <x:c r="O1519" s="72" t="n">
        <x:f aca="0">N1519/1000</x:f>
        <x:v>7183.512</x:v>
      </x:c>
      <x:c r="P1519" s="73" t="n">
        <x:f aca="0">MLCF!E101</x:f>
        <x:v>7183.512</x:v>
      </x:c>
      <x:c r="Q1519" s="70" t="str">
        <x:f aca="0">IF(ABS(O1519-P1519)&lt;0.000001,"PASS","FAIL")</x:f>
        <x:v>PASS</x:v>
      </x:c>
      <x:c r="R1519" s="70" t="s">
        <x:v>34</x:v>
      </x:c>
      <x:c r="S1519" s="70"/>
    </x:row>
    <x:row r="1520" ht="15" hidden="0">
      <x:c r="A1520" s="70" t="s">
        <x:v>2883</x:v>
      </x:c>
      <x:c r="B1520" s="70" t="s">
        <x:v>42</x:v>
      </x:c>
      <x:c r="C1520" s="70" t="s">
        <x:v>75</x:v>
      </x:c>
      <x:c r="D1520" s="70" t="s">
        <x:v>448</x:v>
      </x:c>
      <x:c r="E1520" s="70" t="s">
        <x:v>1472</x:v>
      </x:c>
      <x:c r="F1520" s="70" t="s">
        <x:v>2884</x:v>
      </x:c>
      <x:c r="G1520" s="70" t="s">
        <x:v>1672</x:v>
      </x:c>
      <x:c r="H1520" s="70" t="s">
        <x:v>1211</x:v>
      </x:c>
      <x:c r="I1520" s="70" t="s">
        <x:v>1199</x:v>
      </x:c>
      <x:c r="J1520" s="70" t="n">
        <x:v>191</x:v>
      </x:c>
      <x:c r="K1520" s="70" t="s">
        <x:v>2813</x:v>
      </x:c>
      <x:c r="L1520" s="70"/>
      <x:c r="M1520" s="70" t="s">
        <x:v>40</x:v>
      </x:c>
      <x:c r="N1520" s="71" t="n">
        <x:v>9250667</x:v>
      </x:c>
      <x:c r="O1520" s="72" t="n">
        <x:f aca="0">N1520/1000</x:f>
        <x:v>9250.667</x:v>
      </x:c>
      <x:c r="P1520" s="73" t="n">
        <x:f aca="0">MLCF!F101</x:f>
        <x:v>9250.667</x:v>
      </x:c>
      <x:c r="Q1520" s="70" t="str">
        <x:f aca="0">IF(ABS(O1520-P1520)&lt;0.000001,"PASS","FAIL")</x:f>
        <x:v>PASS</x:v>
      </x:c>
      <x:c r="R1520" s="70" t="s">
        <x:v>34</x:v>
      </x:c>
      <x:c r="S1520" s="70"/>
    </x:row>
    <x:row r="1521" ht="15" hidden="0">
      <x:c r="A1521" s="70" t="s">
        <x:v>2885</x:v>
      </x:c>
      <x:c r="B1521" s="70" t="s">
        <x:v>42</x:v>
      </x:c>
      <x:c r="C1521" s="70" t="s">
        <x:v>76</x:v>
      </x:c>
      <x:c r="D1521" s="70" t="s">
        <x:v>448</x:v>
      </x:c>
      <x:c r="E1521" s="70" t="s">
        <x:v>1472</x:v>
      </x:c>
      <x:c r="F1521" s="70" t="s">
        <x:v>2884</x:v>
      </x:c>
      <x:c r="G1521" s="70" t="s">
        <x:v>1675</x:v>
      </x:c>
      <x:c r="H1521" s="70" t="s">
        <x:v>1215</x:v>
      </x:c>
      <x:c r="I1521" s="70" t="s">
        <x:v>1199</x:v>
      </x:c>
      <x:c r="J1521" s="70" t="n">
        <x:v>203</x:v>
      </x:c>
      <x:c r="K1521" s="70" t="s">
        <x:v>2815</x:v>
      </x:c>
      <x:c r="L1521" s="70"/>
      <x:c r="M1521" s="70" t="s">
        <x:v>40</x:v>
      </x:c>
      <x:c r="N1521" s="71" t="n">
        <x:v>8931448</x:v>
      </x:c>
      <x:c r="O1521" s="72" t="n">
        <x:f aca="0">N1521/1000</x:f>
        <x:v>8931.448</x:v>
      </x:c>
      <x:c r="P1521" s="73" t="n">
        <x:f aca="0">MLCF!G101</x:f>
        <x:v>8931.448</x:v>
      </x:c>
      <x:c r="Q1521" s="70" t="str">
        <x:f aca="0">IF(ABS(O1521-P1521)&lt;0.000001,"PASS","FAIL")</x:f>
        <x:v>PASS</x:v>
      </x:c>
      <x:c r="R1521" s="70" t="s">
        <x:v>34</x:v>
      </x:c>
      <x:c r="S1521" s="70"/>
    </x:row>
    <x:row r="1522" ht="15" hidden="0">
      <x:c r="A1522" s="70" t="s">
        <x:v>2886</x:v>
      </x:c>
      <x:c r="B1522" s="70" t="s">
        <x:v>42</x:v>
      </x:c>
      <x:c r="C1522" s="70" t="s">
        <x:v>77</x:v>
      </x:c>
      <x:c r="D1522" s="70" t="s">
        <x:v>448</x:v>
      </x:c>
      <x:c r="E1522" s="70" t="s">
        <x:v>1472</x:v>
      </x:c>
      <x:c r="F1522" s="70" t="s">
        <x:v>2884</x:v>
      </x:c>
      <x:c r="G1522" s="70" t="s">
        <x:v>1675</x:v>
      </x:c>
      <x:c r="H1522" s="70" t="s">
        <x:v>1215</x:v>
      </x:c>
      <x:c r="I1522" s="70" t="s">
        <x:v>1218</x:v>
      </x:c>
      <x:c r="J1522" s="70" t="n">
        <x:v>203</x:v>
      </x:c>
      <x:c r="K1522" s="70" t="s">
        <x:v>2815</x:v>
      </x:c>
      <x:c r="L1522" s="70"/>
      <x:c r="M1522" s="70" t="s">
        <x:v>40</x:v>
      </x:c>
      <x:c r="N1522" s="71" t="n">
        <x:v>21664237</x:v>
      </x:c>
      <x:c r="O1522" s="72" t="n">
        <x:f aca="0">N1522/1000</x:f>
        <x:v>21664.237</x:v>
      </x:c>
      <x:c r="P1522" s="73" t="n">
        <x:f aca="0">MLCF!H101</x:f>
        <x:v>21664.237</x:v>
      </x:c>
      <x:c r="Q1522" s="70" t="str">
        <x:f aca="0">IF(ABS(O1522-P1522)&lt;0.000001,"PASS","FAIL")</x:f>
        <x:v>PASS</x:v>
      </x:c>
      <x:c r="R1522" s="70" t="s">
        <x:v>34</x:v>
      </x:c>
      <x:c r="S1522" s="70"/>
    </x:row>
    <x:row r="1523" ht="15" hidden="0">
      <x:c r="A1523" s="70" t="s">
        <x:v>2887</x:v>
      </x:c>
      <x:c r="B1523" s="70" t="s">
        <x:v>42</x:v>
      </x:c>
      <x:c r="C1523" s="70" t="s">
        <x:v>73</x:v>
      </x:c>
      <x:c r="D1523" s="70" t="s">
        <x:v>450</x:v>
      </x:c>
      <x:c r="E1523" s="70" t="s">
        <x:v>1472</x:v>
      </x:c>
      <x:c r="F1523" s="70" t="s">
        <x:v>1553</x:v>
      </x:c>
      <x:c r="G1523" s="70" t="s">
        <x:v>1666</x:v>
      </x:c>
      <x:c r="H1523" s="70" t="s">
        <x:v>1204</x:v>
      </x:c>
      <x:c r="I1523" s="70" t="s">
        <x:v>1199</x:v>
      </x:c>
      <x:c r="J1523" s="70" t="n">
        <x:v>185</x:v>
      </x:c>
      <x:c r="K1523" s="70" t="s">
        <x:v>2126</x:v>
      </x:c>
      <x:c r="L1523" s="70"/>
      <x:c r="M1523" s="70" t="s">
        <x:v>40</x:v>
      </x:c>
      <x:c r="N1523" s="71" t="n">
        <x:v>6254109</x:v>
      </x:c>
      <x:c r="O1523" s="72" t="n">
        <x:f aca="0">N1523/1000</x:f>
        <x:v>6254.109</x:v>
      </x:c>
      <x:c r="P1523" s="73" t="n">
        <x:f aca="0">MLCF!D102</x:f>
        <x:v>6254.109</x:v>
      </x:c>
      <x:c r="Q1523" s="70" t="str">
        <x:f aca="0">IF(ABS(O1523-P1523)&lt;0.000001,"PASS","FAIL")</x:f>
        <x:v>PASS</x:v>
      </x:c>
      <x:c r="R1523" s="70" t="s">
        <x:v>34</x:v>
      </x:c>
      <x:c r="S1523" s="70"/>
    </x:row>
    <x:row r="1524" ht="15" hidden="0">
      <x:c r="A1524" s="70" t="s">
        <x:v>2888</x:v>
      </x:c>
      <x:c r="B1524" s="70" t="s">
        <x:v>42</x:v>
      </x:c>
      <x:c r="C1524" s="70" t="s">
        <x:v>74</x:v>
      </x:c>
      <x:c r="D1524" s="70" t="s">
        <x:v>450</x:v>
      </x:c>
      <x:c r="E1524" s="70" t="s">
        <x:v>1472</x:v>
      </x:c>
      <x:c r="F1524" s="70" t="s">
        <x:v>1553</x:v>
      </x:c>
      <x:c r="G1524" s="70" t="s">
        <x:v>1669</x:v>
      </x:c>
      <x:c r="H1524" s="70" t="s">
        <x:v>1208</x:v>
      </x:c>
      <x:c r="I1524" s="70" t="s">
        <x:v>1199</x:v>
      </x:c>
      <x:c r="J1524" s="70" t="n">
        <x:v>99</x:v>
      </x:c>
      <x:c r="K1524" s="70" t="s">
        <x:v>2811</x:v>
      </x:c>
      <x:c r="L1524" s="70"/>
      <x:c r="M1524" s="70" t="s">
        <x:v>40</x:v>
      </x:c>
      <x:c r="N1524" s="71" t="n">
        <x:v>3626340</x:v>
      </x:c>
      <x:c r="O1524" s="72" t="n">
        <x:f aca="0">N1524/1000</x:f>
        <x:v>3626.34</x:v>
      </x:c>
      <x:c r="P1524" s="73" t="n">
        <x:f aca="0">MLCF!E102</x:f>
        <x:v>3626.34</x:v>
      </x:c>
      <x:c r="Q1524" s="70" t="str">
        <x:f aca="0">IF(ABS(O1524-P1524)&lt;0.000001,"PASS","FAIL")</x:f>
        <x:v>PASS</x:v>
      </x:c>
      <x:c r="R1524" s="70" t="s">
        <x:v>34</x:v>
      </x:c>
      <x:c r="S1524" s="70"/>
    </x:row>
    <x:row r="1525" ht="15" hidden="0">
      <x:c r="A1525" s="70" t="s">
        <x:v>2889</x:v>
      </x:c>
      <x:c r="B1525" s="70" t="s">
        <x:v>42</x:v>
      </x:c>
      <x:c r="C1525" s="70" t="s">
        <x:v>75</x:v>
      </x:c>
      <x:c r="D1525" s="70" t="s">
        <x:v>450</x:v>
      </x:c>
      <x:c r="E1525" s="70" t="s">
        <x:v>1472</x:v>
      </x:c>
      <x:c r="F1525" s="70" t="s">
        <x:v>2443</x:v>
      </x:c>
      <x:c r="G1525" s="70" t="s">
        <x:v>1672</x:v>
      </x:c>
      <x:c r="H1525" s="70" t="s">
        <x:v>1211</x:v>
      </x:c>
      <x:c r="I1525" s="70" t="s">
        <x:v>1199</x:v>
      </x:c>
      <x:c r="J1525" s="70" t="n">
        <x:v>191</x:v>
      </x:c>
      <x:c r="K1525" s="70" t="s">
        <x:v>2813</x:v>
      </x:c>
      <x:c r="L1525" s="70"/>
      <x:c r="M1525" s="70" t="s">
        <x:v>40</x:v>
      </x:c>
      <x:c r="N1525" s="71" t="n">
        <x:v>4491669</x:v>
      </x:c>
      <x:c r="O1525" s="72" t="n">
        <x:f aca="0">N1525/1000</x:f>
        <x:v>4491.669</x:v>
      </x:c>
      <x:c r="P1525" s="73" t="n">
        <x:f aca="0">MLCF!F102</x:f>
        <x:v>4491.669</x:v>
      </x:c>
      <x:c r="Q1525" s="70" t="str">
        <x:f aca="0">IF(ABS(O1525-P1525)&lt;0.000001,"PASS","FAIL")</x:f>
        <x:v>PASS</x:v>
      </x:c>
      <x:c r="R1525" s="70" t="s">
        <x:v>34</x:v>
      </x:c>
      <x:c r="S1525" s="70"/>
    </x:row>
    <x:row r="1526" ht="15" hidden="0">
      <x:c r="A1526" s="70" t="s">
        <x:v>2890</x:v>
      </x:c>
      <x:c r="B1526" s="70" t="s">
        <x:v>42</x:v>
      </x:c>
      <x:c r="C1526" s="70" t="s">
        <x:v>76</x:v>
      </x:c>
      <x:c r="D1526" s="70" t="s">
        <x:v>450</x:v>
      </x:c>
      <x:c r="E1526" s="70" t="s">
        <x:v>1472</x:v>
      </x:c>
      <x:c r="F1526" s="70" t="s">
        <x:v>2443</x:v>
      </x:c>
      <x:c r="G1526" s="70" t="s">
        <x:v>1675</x:v>
      </x:c>
      <x:c r="H1526" s="70" t="s">
        <x:v>1215</x:v>
      </x:c>
      <x:c r="I1526" s="70" t="s">
        <x:v>1199</x:v>
      </x:c>
      <x:c r="J1526" s="70" t="n">
        <x:v>203</x:v>
      </x:c>
      <x:c r="K1526" s="70" t="s">
        <x:v>2815</x:v>
      </x:c>
      <x:c r="L1526" s="70"/>
      <x:c r="M1526" s="70" t="s">
        <x:v>40</x:v>
      </x:c>
      <x:c r="N1526" s="71" t="n">
        <x:v>5272527</x:v>
      </x:c>
      <x:c r="O1526" s="72" t="n">
        <x:f aca="0">N1526/1000</x:f>
        <x:v>5272.527</x:v>
      </x:c>
      <x:c r="P1526" s="73" t="n">
        <x:f aca="0">MLCF!G102</x:f>
        <x:v>5272.527</x:v>
      </x:c>
      <x:c r="Q1526" s="70" t="str">
        <x:f aca="0">IF(ABS(O1526-P1526)&lt;0.000001,"PASS","FAIL")</x:f>
        <x:v>PASS</x:v>
      </x:c>
      <x:c r="R1526" s="70" t="s">
        <x:v>34</x:v>
      </x:c>
      <x:c r="S1526" s="70"/>
    </x:row>
    <x:row r="1527" ht="15" hidden="0">
      <x:c r="A1527" s="70" t="s">
        <x:v>2891</x:v>
      </x:c>
      <x:c r="B1527" s="70" t="s">
        <x:v>42</x:v>
      </x:c>
      <x:c r="C1527" s="70" t="s">
        <x:v>77</x:v>
      </x:c>
      <x:c r="D1527" s="70" t="s">
        <x:v>450</x:v>
      </x:c>
      <x:c r="E1527" s="70" t="s">
        <x:v>1472</x:v>
      </x:c>
      <x:c r="F1527" s="70" t="s">
        <x:v>2443</x:v>
      </x:c>
      <x:c r="G1527" s="70" t="s">
        <x:v>1675</x:v>
      </x:c>
      <x:c r="H1527" s="70" t="s">
        <x:v>1215</x:v>
      </x:c>
      <x:c r="I1527" s="70" t="s">
        <x:v>1218</x:v>
      </x:c>
      <x:c r="J1527" s="70" t="n">
        <x:v>203</x:v>
      </x:c>
      <x:c r="K1527" s="70" t="s">
        <x:v>2815</x:v>
      </x:c>
      <x:c r="L1527" s="70"/>
      <x:c r="M1527" s="70" t="s">
        <x:v>40</x:v>
      </x:c>
      <x:c r="N1527" s="71" t="n">
        <x:v>17036374</x:v>
      </x:c>
      <x:c r="O1527" s="72" t="n">
        <x:f aca="0">N1527/1000</x:f>
        <x:v>17036.374</x:v>
      </x:c>
      <x:c r="P1527" s="73" t="n">
        <x:f aca="0">MLCF!H102</x:f>
        <x:v>17036.374</x:v>
      </x:c>
      <x:c r="Q1527" s="70" t="str">
        <x:f aca="0">IF(ABS(O1527-P1527)&lt;0.000001,"PASS","FAIL")</x:f>
        <x:v>PASS</x:v>
      </x:c>
      <x:c r="R1527" s="70" t="s">
        <x:v>34</x:v>
      </x:c>
      <x:c r="S1527" s="70"/>
    </x:row>
    <x:row r="1528" ht="15" hidden="0">
      <x:c r="A1528" s="70" t="s">
        <x:v>2892</x:v>
      </x:c>
      <x:c r="B1528" s="70" t="s">
        <x:v>42</x:v>
      </x:c>
      <x:c r="C1528" s="70" t="s">
        <x:v>73</x:v>
      </x:c>
      <x:c r="D1528" s="70" t="s">
        <x:v>454</x:v>
      </x:c>
      <x:c r="E1528" s="70" t="s">
        <x:v>1221</x:v>
      </x:c>
      <x:c r="F1528" s="70" t="s">
        <x:v>2893</x:v>
      </x:c>
      <x:c r="G1528" s="70" t="s">
        <x:v>1666</x:v>
      </x:c>
      <x:c r="H1528" s="70" t="s">
        <x:v>1204</x:v>
      </x:c>
      <x:c r="I1528" s="70" t="s">
        <x:v>1199</x:v>
      </x:c>
      <x:c r="J1528" s="70" t="n">
        <x:v>242</x:v>
      </x:c>
      <x:c r="K1528" s="70" t="s">
        <x:v>2894</x:v>
      </x:c>
      <x:c r="L1528" s="70"/>
      <x:c r="M1528" s="70" t="s">
        <x:v>40</x:v>
      </x:c>
      <x:c r="N1528" s="71" t="n">
        <x:v>46652</x:v>
      </x:c>
      <x:c r="O1528" s="72" t="n">
        <x:f aca="0">N1528/1000</x:f>
        <x:v>46.652</x:v>
      </x:c>
      <x:c r="P1528" s="73" t="n">
        <x:f aca="0">MLCF!D105</x:f>
        <x:v>46.652</x:v>
      </x:c>
      <x:c r="Q1528" s="70" t="str">
        <x:f aca="0">IF(ABS(O1528-P1528)&lt;0.000001,"PASS","FAIL")</x:f>
        <x:v>PASS</x:v>
      </x:c>
      <x:c r="R1528" s="70" t="s">
        <x:v>34</x:v>
      </x:c>
      <x:c r="S1528" s="70"/>
    </x:row>
    <x:row r="1529" ht="15" hidden="0">
      <x:c r="A1529" s="70" t="s">
        <x:v>2895</x:v>
      </x:c>
      <x:c r="B1529" s="70" t="s">
        <x:v>42</x:v>
      </x:c>
      <x:c r="C1529" s="70" t="s">
        <x:v>74</x:v>
      </x:c>
      <x:c r="D1529" s="70" t="s">
        <x:v>454</x:v>
      </x:c>
      <x:c r="E1529" s="70" t="s">
        <x:v>1221</x:v>
      </x:c>
      <x:c r="F1529" s="70" t="s">
        <x:v>2893</x:v>
      </x:c>
      <x:c r="G1529" s="70" t="s">
        <x:v>1666</x:v>
      </x:c>
      <x:c r="H1529" s="70" t="s">
        <x:v>1204</x:v>
      </x:c>
      <x:c r="I1529" s="70" t="s">
        <x:v>1218</x:v>
      </x:c>
      <x:c r="J1529" s="70" t="n">
        <x:v>242</x:v>
      </x:c>
      <x:c r="K1529" s="70" t="s">
        <x:v>2894</x:v>
      </x:c>
      <x:c r="L1529" s="70"/>
      <x:c r="M1529" s="70" t="s">
        <x:v>40</x:v>
      </x:c>
      <x:c r="N1529" s="71" t="n">
        <x:v>51001</x:v>
      </x:c>
      <x:c r="O1529" s="72" t="n">
        <x:f aca="0">N1529/1000</x:f>
        <x:v>51.001</x:v>
      </x:c>
      <x:c r="P1529" s="73" t="n">
        <x:f aca="0">MLCF!E105</x:f>
        <x:v>51.001</x:v>
      </x:c>
      <x:c r="Q1529" s="70" t="str">
        <x:f aca="0">IF(ABS(O1529-P1529)&lt;0.000001,"PASS","FAIL")</x:f>
        <x:v>PASS</x:v>
      </x:c>
      <x:c r="R1529" s="70" t="s">
        <x:v>34</x:v>
      </x:c>
      <x:c r="S1529" s="70"/>
    </x:row>
    <x:row r="1530" ht="15" hidden="0">
      <x:c r="A1530" s="70" t="s">
        <x:v>2896</x:v>
      </x:c>
      <x:c r="B1530" s="70" t="s">
        <x:v>42</x:v>
      </x:c>
      <x:c r="C1530" s="70" t="s">
        <x:v>75</x:v>
      </x:c>
      <x:c r="D1530" s="70" t="s">
        <x:v>454</x:v>
      </x:c>
      <x:c r="E1530" s="70" t="s">
        <x:v>1221</x:v>
      </x:c>
      <x:c r="F1530" s="70" t="s">
        <x:v>2893</x:v>
      </x:c>
      <x:c r="G1530" s="70" t="s">
        <x:v>1672</x:v>
      </x:c>
      <x:c r="H1530" s="70" t="s">
        <x:v>1211</x:v>
      </x:c>
      <x:c r="I1530" s="70" t="s">
        <x:v>1199</x:v>
      </x:c>
      <x:c r="J1530" s="70" t="n">
        <x:v>250</x:v>
      </x:c>
      <x:c r="K1530" s="70" t="s">
        <x:v>2897</x:v>
      </x:c>
      <x:c r="L1530" s="70"/>
      <x:c r="M1530" s="70" t="s">
        <x:v>40</x:v>
      </x:c>
      <x:c r="N1530" s="71" t="n">
        <x:v>67573</x:v>
      </x:c>
      <x:c r="O1530" s="72" t="n">
        <x:f aca="0">N1530/1000</x:f>
        <x:v>67.573</x:v>
      </x:c>
      <x:c r="P1530" s="73" t="n">
        <x:f aca="0">MLCF!F105</x:f>
        <x:v>67.573</x:v>
      </x:c>
      <x:c r="Q1530" s="70" t="str">
        <x:f aca="0">IF(ABS(O1530-P1530)&lt;0.000001,"PASS","FAIL")</x:f>
        <x:v>PASS</x:v>
      </x:c>
      <x:c r="R1530" s="70" t="s">
        <x:v>34</x:v>
      </x:c>
      <x:c r="S1530" s="70"/>
    </x:row>
    <x:row r="1531" ht="15" hidden="0">
      <x:c r="A1531" s="70" t="s">
        <x:v>2898</x:v>
      </x:c>
      <x:c r="B1531" s="70" t="s">
        <x:v>42</x:v>
      </x:c>
      <x:c r="C1531" s="70" t="s">
        <x:v>76</x:v>
      </x:c>
      <x:c r="D1531" s="70" t="s">
        <x:v>454</x:v>
      </x:c>
      <x:c r="E1531" s="70" t="s">
        <x:v>1221</x:v>
      </x:c>
      <x:c r="F1531" s="70" t="s">
        <x:v>2893</x:v>
      </x:c>
      <x:c r="G1531" s="70" t="s">
        <x:v>1675</x:v>
      </x:c>
      <x:c r="H1531" s="70" t="s">
        <x:v>1215</x:v>
      </x:c>
      <x:c r="I1531" s="70" t="s">
        <x:v>1199</x:v>
      </x:c>
      <x:c r="J1531" s="70" t="n">
        <x:v>265</x:v>
      </x:c>
      <x:c r="K1531" s="70" t="s">
        <x:v>2019</x:v>
      </x:c>
      <x:c r="L1531" s="70"/>
      <x:c r="M1531" s="70" t="s">
        <x:v>40</x:v>
      </x:c>
      <x:c r="N1531" s="71" t="n">
        <x:v>82866</x:v>
      </x:c>
      <x:c r="O1531" s="72" t="n">
        <x:f aca="0">N1531/1000</x:f>
        <x:v>82.866</x:v>
      </x:c>
      <x:c r="P1531" s="73" t="n">
        <x:f aca="0">MLCF!G105</x:f>
        <x:v>82.866</x:v>
      </x:c>
      <x:c r="Q1531" s="70" t="str">
        <x:f aca="0">IF(ABS(O1531-P1531)&lt;0.000001,"PASS","FAIL")</x:f>
        <x:v>PASS</x:v>
      </x:c>
      <x:c r="R1531" s="70" t="s">
        <x:v>34</x:v>
      </x:c>
      <x:c r="S1531" s="70"/>
    </x:row>
    <x:row r="1532" ht="15" hidden="0">
      <x:c r="A1532" s="70" t="s">
        <x:v>2899</x:v>
      </x:c>
      <x:c r="B1532" s="70" t="s">
        <x:v>42</x:v>
      </x:c>
      <x:c r="C1532" s="70" t="s">
        <x:v>77</x:v>
      </x:c>
      <x:c r="D1532" s="70" t="s">
        <x:v>454</x:v>
      </x:c>
      <x:c r="E1532" s="70" t="s">
        <x:v>1221</x:v>
      </x:c>
      <x:c r="F1532" s="70" t="s">
        <x:v>2893</x:v>
      </x:c>
      <x:c r="G1532" s="70" t="s">
        <x:v>1675</x:v>
      </x:c>
      <x:c r="H1532" s="70" t="s">
        <x:v>1215</x:v>
      </x:c>
      <x:c r="I1532" s="70" t="s">
        <x:v>1218</x:v>
      </x:c>
      <x:c r="J1532" s="70" t="n">
        <x:v>265</x:v>
      </x:c>
      <x:c r="K1532" s="70" t="s">
        <x:v>2019</x:v>
      </x:c>
      <x:c r="L1532" s="70"/>
      <x:c r="M1532" s="70" t="s">
        <x:v>40</x:v>
      </x:c>
      <x:c r="N1532" s="71" t="n">
        <x:v>140834</x:v>
      </x:c>
      <x:c r="O1532" s="72" t="n">
        <x:f aca="0">N1532/1000</x:f>
        <x:v>140.834</x:v>
      </x:c>
      <x:c r="P1532" s="73" t="n">
        <x:f aca="0">MLCF!H105</x:f>
        <x:v>140.834</x:v>
      </x:c>
      <x:c r="Q1532" s="70" t="str">
        <x:f aca="0">IF(ABS(O1532-P1532)&lt;0.000001,"PASS","FAIL")</x:f>
        <x:v>PASS</x:v>
      </x:c>
      <x:c r="R1532" s="70" t="s">
        <x:v>34</x:v>
      </x:c>
      <x:c r="S1532" s="70"/>
    </x:row>
    <x:row r="1533" ht="15" hidden="0">
      <x:c r="A1533" s="70" t="s">
        <x:v>2900</x:v>
      </x:c>
      <x:c r="B1533" s="70" t="s">
        <x:v>42</x:v>
      </x:c>
      <x:c r="C1533" s="70" t="s">
        <x:v>73</x:v>
      </x:c>
      <x:c r="D1533" s="70" t="s">
        <x:v>458</x:v>
      </x:c>
      <x:c r="E1533" s="70" t="s">
        <x:v>172</x:v>
      </x:c>
      <x:c r="F1533" s="70" t="s">
        <x:v>2901</x:v>
      </x:c>
      <x:c r="G1533" s="70" t="s">
        <x:v>1666</x:v>
      </x:c>
      <x:c r="H1533" s="70" t="s">
        <x:v>1204</x:v>
      </x:c>
      <x:c r="I1533" s="70" t="s">
        <x:v>1199</x:v>
      </x:c>
      <x:c r="J1533" s="70" t="n">
        <x:v>187</x:v>
      </x:c>
      <x:c r="K1533" s="70" t="s">
        <x:v>2128</x:v>
      </x:c>
      <x:c r="L1533" s="70"/>
      <x:c r="M1533" s="70" t="s">
        <x:v>40</x:v>
      </x:c>
      <x:c r="N1533" s="71" t="n">
        <x:v>3287702</x:v>
      </x:c>
      <x:c r="O1533" s="72" t="n">
        <x:f aca="0">N1533/1000</x:f>
        <x:v>3287.702</x:v>
      </x:c>
      <x:c r="P1533" s="73" t="n">
        <x:f aca="0">MLCF!D107</x:f>
        <x:v>3287.702</x:v>
      </x:c>
      <x:c r="Q1533" s="70" t="str">
        <x:f aca="0">IF(ABS(O1533-P1533)&lt;0.000001,"PASS","FAIL")</x:f>
        <x:v>PASS</x:v>
      </x:c>
      <x:c r="R1533" s="70" t="s">
        <x:v>34</x:v>
      </x:c>
      <x:c r="S1533" s="70"/>
    </x:row>
    <x:row r="1534" ht="15" hidden="0">
      <x:c r="A1534" s="70" t="s">
        <x:v>2902</x:v>
      </x:c>
      <x:c r="B1534" s="70" t="s">
        <x:v>42</x:v>
      </x:c>
      <x:c r="C1534" s="70" t="s">
        <x:v>74</x:v>
      </x:c>
      <x:c r="D1534" s="70" t="s">
        <x:v>458</x:v>
      </x:c>
      <x:c r="E1534" s="70" t="s">
        <x:v>172</x:v>
      </x:c>
      <x:c r="F1534" s="70" t="s">
        <x:v>2901</x:v>
      </x:c>
      <x:c r="G1534" s="70" t="s">
        <x:v>1666</x:v>
      </x:c>
      <x:c r="H1534" s="70" t="s">
        <x:v>1204</x:v>
      </x:c>
      <x:c r="I1534" s="70" t="s">
        <x:v>1218</x:v>
      </x:c>
      <x:c r="J1534" s="70" t="n">
        <x:v>187</x:v>
      </x:c>
      <x:c r="K1534" s="70" t="s">
        <x:v>2128</x:v>
      </x:c>
      <x:c r="L1534" s="70"/>
      <x:c r="M1534" s="70" t="s">
        <x:v>40</x:v>
      </x:c>
      <x:c r="N1534" s="71" t="n">
        <x:v>3233977</x:v>
      </x:c>
      <x:c r="O1534" s="72" t="n">
        <x:f aca="0">N1534/1000</x:f>
        <x:v>3233.977</x:v>
      </x:c>
      <x:c r="P1534" s="73" t="n">
        <x:f aca="0">MLCF!E107</x:f>
        <x:v>3233.977</x:v>
      </x:c>
      <x:c r="Q1534" s="70" t="str">
        <x:f aca="0">IF(ABS(O1534-P1534)&lt;0.000001,"PASS","FAIL")</x:f>
        <x:v>PASS</x:v>
      </x:c>
      <x:c r="R1534" s="70" t="s">
        <x:v>34</x:v>
      </x:c>
      <x:c r="S1534" s="70"/>
    </x:row>
    <x:row r="1535" ht="15" hidden="0">
      <x:c r="A1535" s="70" t="s">
        <x:v>2903</x:v>
      </x:c>
      <x:c r="B1535" s="70" t="s">
        <x:v>42</x:v>
      </x:c>
      <x:c r="C1535" s="70" t="s">
        <x:v>75</x:v>
      </x:c>
      <x:c r="D1535" s="70" t="s">
        <x:v>458</x:v>
      </x:c>
      <x:c r="E1535" s="70" t="s">
        <x:v>172</x:v>
      </x:c>
      <x:c r="F1535" s="70" t="s">
        <x:v>2904</x:v>
      </x:c>
      <x:c r="G1535" s="70" t="s">
        <x:v>1672</x:v>
      </x:c>
      <x:c r="H1535" s="70" t="s">
        <x:v>1211</x:v>
      </x:c>
      <x:c r="I1535" s="70" t="s">
        <x:v>1199</x:v>
      </x:c>
      <x:c r="J1535" s="70" t="n">
        <x:v>252</x:v>
      </x:c>
      <x:c r="K1535" s="70" t="s">
        <x:v>2905</x:v>
      </x:c>
      <x:c r="L1535" s="70"/>
      <x:c r="M1535" s="70" t="s">
        <x:v>40</x:v>
      </x:c>
      <x:c r="N1535" s="71" t="n">
        <x:v>3475349</x:v>
      </x:c>
      <x:c r="O1535" s="72" t="n">
        <x:f aca="0">N1535/1000</x:f>
        <x:v>3475.349</x:v>
      </x:c>
      <x:c r="P1535" s="73" t="n">
        <x:f aca="0">MLCF!F107</x:f>
        <x:v>3475.349</x:v>
      </x:c>
      <x:c r="Q1535" s="70" t="str">
        <x:f aca="0">IF(ABS(O1535-P1535)&lt;0.000001,"PASS","FAIL")</x:f>
        <x:v>PASS</x:v>
      </x:c>
      <x:c r="R1535" s="70" t="s">
        <x:v>34</x:v>
      </x:c>
      <x:c r="S1535" s="70"/>
    </x:row>
    <x:row r="1536" ht="15" hidden="0">
      <x:c r="A1536" s="70" t="s">
        <x:v>2906</x:v>
      </x:c>
      <x:c r="B1536" s="70" t="s">
        <x:v>42</x:v>
      </x:c>
      <x:c r="C1536" s="70" t="s">
        <x:v>76</x:v>
      </x:c>
      <x:c r="D1536" s="70" t="s">
        <x:v>458</x:v>
      </x:c>
      <x:c r="E1536" s="70" t="s">
        <x:v>172</x:v>
      </x:c>
      <x:c r="F1536" s="70" t="s">
        <x:v>2907</x:v>
      </x:c>
      <x:c r="G1536" s="70" t="s">
        <x:v>1675</x:v>
      </x:c>
      <x:c r="H1536" s="70" t="s">
        <x:v>1215</x:v>
      </x:c>
      <x:c r="I1536" s="70" t="s">
        <x:v>1199</x:v>
      </x:c>
      <x:c r="J1536" s="70" t="n">
        <x:v>268</x:v>
      </x:c>
      <x:c r="K1536" s="70" t="s">
        <x:v>2010</x:v>
      </x:c>
      <x:c r="L1536" s="70"/>
      <x:c r="M1536" s="70" t="s">
        <x:v>40</x:v>
      </x:c>
      <x:c r="N1536" s="71" t="n">
        <x:v>4520347</x:v>
      </x:c>
      <x:c r="O1536" s="72" t="n">
        <x:f aca="0">N1536/1000</x:f>
        <x:v>4520.347</x:v>
      </x:c>
      <x:c r="P1536" s="73" t="n">
        <x:f aca="0">MLCF!G107</x:f>
        <x:v>4520.347</x:v>
      </x:c>
      <x:c r="Q1536" s="70" t="str">
        <x:f aca="0">IF(ABS(O1536-P1536)&lt;0.000001,"PASS","FAIL")</x:f>
        <x:v>PASS</x:v>
      </x:c>
      <x:c r="R1536" s="70" t="s">
        <x:v>34</x:v>
      </x:c>
      <x:c r="S1536" s="70"/>
    </x:row>
    <x:row r="1537" ht="15" hidden="0">
      <x:c r="A1537" s="70" t="s">
        <x:v>2908</x:v>
      </x:c>
      <x:c r="B1537" s="70" t="s">
        <x:v>42</x:v>
      </x:c>
      <x:c r="C1537" s="70" t="s">
        <x:v>77</x:v>
      </x:c>
      <x:c r="D1537" s="70" t="s">
        <x:v>458</x:v>
      </x:c>
      <x:c r="E1537" s="70" t="s">
        <x:v>172</x:v>
      </x:c>
      <x:c r="F1537" s="70" t="s">
        <x:v>2907</x:v>
      </x:c>
      <x:c r="G1537" s="70" t="s">
        <x:v>1675</x:v>
      </x:c>
      <x:c r="H1537" s="70" t="s">
        <x:v>1215</x:v>
      </x:c>
      <x:c r="I1537" s="70" t="s">
        <x:v>1218</x:v>
      </x:c>
      <x:c r="J1537" s="70" t="n">
        <x:v>268</x:v>
      </x:c>
      <x:c r="K1537" s="70" t="s">
        <x:v>2010</x:v>
      </x:c>
      <x:c r="L1537" s="70"/>
      <x:c r="M1537" s="70" t="s">
        <x:v>40</x:v>
      </x:c>
      <x:c r="N1537" s="71" t="n">
        <x:v>4413300</x:v>
      </x:c>
      <x:c r="O1537" s="72" t="n">
        <x:f aca="0">N1537/1000</x:f>
        <x:v>4413.3</x:v>
      </x:c>
      <x:c r="P1537" s="73" t="n">
        <x:f aca="0">MLCF!H107</x:f>
        <x:v>4413.3</x:v>
      </x:c>
      <x:c r="Q1537" s="70" t="str">
        <x:f aca="0">IF(ABS(O1537-P1537)&lt;0.000001,"PASS","FAIL")</x:f>
        <x:v>PASS</x:v>
      </x:c>
      <x:c r="R1537" s="70" t="s">
        <x:v>34</x:v>
      </x:c>
      <x:c r="S1537" s="70"/>
    </x:row>
    <x:row r="1538" ht="15" hidden="0">
      <x:c r="A1538" s="70" t="s">
        <x:v>2909</x:v>
      </x:c>
      <x:c r="B1538" s="70" t="s">
        <x:v>42</x:v>
      </x:c>
      <x:c r="C1538" s="70" t="s">
        <x:v>73</x:v>
      </x:c>
      <x:c r="D1538" s="70" t="s">
        <x:v>473</x:v>
      </x:c>
      <x:c r="E1538" s="70" t="s">
        <x:v>172</x:v>
      </x:c>
      <x:c r="F1538" s="70" t="s">
        <x:v>2910</x:v>
      </x:c>
      <x:c r="G1538" s="70" t="s">
        <x:v>1666</x:v>
      </x:c>
      <x:c r="H1538" s="70" t="s">
        <x:v>1204</x:v>
      </x:c>
      <x:c r="I1538" s="70" t="s">
        <x:v>1199</x:v>
      </x:c>
      <x:c r="J1538" s="70" t="n">
        <x:v>187</x:v>
      </x:c>
      <x:c r="K1538" s="70" t="s">
        <x:v>2128</x:v>
      </x:c>
      <x:c r="L1538" s="70"/>
      <x:c r="M1538" s="70" t="s">
        <x:v>40</x:v>
      </x:c>
      <x:c r="N1538" s="71" t="n">
        <x:v>9013169</x:v>
      </x:c>
      <x:c r="O1538" s="72" t="n">
        <x:f aca="0">N1538/1000</x:f>
        <x:v>9013.169</x:v>
      </x:c>
      <x:c r="P1538" s="73" t="n">
        <x:f aca="0">MLCF!D116</x:f>
        <x:v>9013.169</x:v>
      </x:c>
      <x:c r="Q1538" s="70" t="str">
        <x:f aca="0">IF(ABS(O1538-P1538)&lt;0.000001,"PASS","FAIL")</x:f>
        <x:v>PASS</x:v>
      </x:c>
      <x:c r="R1538" s="70" t="s">
        <x:v>34</x:v>
      </x:c>
      <x:c r="S1538" s="70" t="s">
        <x:v>1205</x:v>
      </x:c>
    </x:row>
    <x:row r="1539" ht="15" hidden="0">
      <x:c r="A1539" s="70" t="s">
        <x:v>2911</x:v>
      </x:c>
      <x:c r="B1539" s="70" t="s">
        <x:v>42</x:v>
      </x:c>
      <x:c r="C1539" s="70" t="s">
        <x:v>74</x:v>
      </x:c>
      <x:c r="D1539" s="70" t="s">
        <x:v>473</x:v>
      </x:c>
      <x:c r="E1539" s="70" t="s">
        <x:v>172</x:v>
      </x:c>
      <x:c r="F1539" s="70" t="s">
        <x:v>2910</x:v>
      </x:c>
      <x:c r="G1539" s="70" t="s">
        <x:v>1669</x:v>
      </x:c>
      <x:c r="H1539" s="70" t="s">
        <x:v>1208</x:v>
      </x:c>
      <x:c r="I1539" s="70" t="s">
        <x:v>1199</x:v>
      </x:c>
      <x:c r="J1539" s="70" t="n">
        <x:v>196</x:v>
      </x:c>
      <x:c r="K1539" s="70" t="s">
        <x:v>1200</x:v>
      </x:c>
      <x:c r="L1539" s="70"/>
      <x:c r="M1539" s="70" t="s">
        <x:v>40</x:v>
      </x:c>
      <x:c r="N1539" s="71" t="n">
        <x:v>12905198</x:v>
      </x:c>
      <x:c r="O1539" s="72" t="n">
        <x:f aca="0">N1539/1000</x:f>
        <x:v>12905.198</x:v>
      </x:c>
      <x:c r="P1539" s="73" t="n">
        <x:f aca="0">MLCF!E116</x:f>
        <x:v>12905.198</x:v>
      </x:c>
      <x:c r="Q1539" s="70" t="str">
        <x:f aca="0">IF(ABS(O1539-P1539)&lt;0.000001,"PASS","FAIL")</x:f>
        <x:v>PASS</x:v>
      </x:c>
      <x:c r="R1539" s="70" t="s">
        <x:v>34</x:v>
      </x:c>
      <x:c r="S1539" s="70" t="s">
        <x:v>1205</x:v>
      </x:c>
    </x:row>
    <x:row r="1540" ht="15" hidden="0">
      <x:c r="A1540" s="70" t="s">
        <x:v>2912</x:v>
      </x:c>
      <x:c r="B1540" s="70" t="s">
        <x:v>42</x:v>
      </x:c>
      <x:c r="C1540" s="70" t="s">
        <x:v>75</x:v>
      </x:c>
      <x:c r="D1540" s="70" t="s">
        <x:v>473</x:v>
      </x:c>
      <x:c r="E1540" s="70" t="s">
        <x:v>172</x:v>
      </x:c>
      <x:c r="F1540" s="70" t="s">
        <x:v>1577</x:v>
      </x:c>
      <x:c r="G1540" s="70" t="s">
        <x:v>1672</x:v>
      </x:c>
      <x:c r="H1540" s="70" t="s">
        <x:v>1211</x:v>
      </x:c>
      <x:c r="I1540" s="70" t="s">
        <x:v>1199</x:v>
      </x:c>
      <x:c r="J1540" s="70" t="n">
        <x:v>193</x:v>
      </x:c>
      <x:c r="K1540" s="70" t="s">
        <x:v>2913</x:v>
      </x:c>
      <x:c r="L1540" s="70"/>
      <x:c r="M1540" s="70" t="s">
        <x:v>40</x:v>
      </x:c>
      <x:c r="N1540" s="71" t="n">
        <x:v>19906827</x:v>
      </x:c>
      <x:c r="O1540" s="72" t="n">
        <x:f aca="0">N1540/1000</x:f>
        <x:v>19906.827</x:v>
      </x:c>
      <x:c r="P1540" s="73" t="n">
        <x:f aca="0">MLCF!F116</x:f>
        <x:v>19906.827</x:v>
      </x:c>
      <x:c r="Q1540" s="70" t="str">
        <x:f aca="0">IF(ABS(O1540-P1540)&lt;0.000001,"PASS","FAIL")</x:f>
        <x:v>PASS</x:v>
      </x:c>
      <x:c r="R1540" s="70" t="s">
        <x:v>34</x:v>
      </x:c>
      <x:c r="S1540" s="70" t="s">
        <x:v>1205</x:v>
      </x:c>
    </x:row>
    <x:row r="1541" ht="15" hidden="0">
      <x:c r="A1541" s="70" t="s">
        <x:v>2914</x:v>
      </x:c>
      <x:c r="B1541" s="70" t="s">
        <x:v>42</x:v>
      </x:c>
      <x:c r="C1541" s="70" t="s">
        <x:v>76</x:v>
      </x:c>
      <x:c r="D1541" s="70" t="s">
        <x:v>473</x:v>
      </x:c>
      <x:c r="E1541" s="70" t="s">
        <x:v>172</x:v>
      </x:c>
      <x:c r="F1541" s="70" t="s">
        <x:v>1577</x:v>
      </x:c>
      <x:c r="G1541" s="70" t="s">
        <x:v>1675</x:v>
      </x:c>
      <x:c r="H1541" s="70" t="s">
        <x:v>1215</x:v>
      </x:c>
      <x:c r="I1541" s="70" t="s">
        <x:v>1199</x:v>
      </x:c>
      <x:c r="J1541" s="70" t="n">
        <x:v>205</x:v>
      </x:c>
      <x:c r="K1541" s="70" t="s">
        <x:v>2529</x:v>
      </x:c>
      <x:c r="L1541" s="70"/>
      <x:c r="M1541" s="70" t="s">
        <x:v>40</x:v>
      </x:c>
      <x:c r="N1541" s="71" t="n">
        <x:v>12810292</x:v>
      </x:c>
      <x:c r="O1541" s="72" t="n">
        <x:f aca="0">N1541/1000</x:f>
        <x:v>12810.292</x:v>
      </x:c>
      <x:c r="P1541" s="73" t="n">
        <x:f aca="0">MLCF!G116</x:f>
        <x:v>12810.292</x:v>
      </x:c>
      <x:c r="Q1541" s="70" t="str">
        <x:f aca="0">IF(ABS(O1541-P1541)&lt;0.000001,"PASS","FAIL")</x:f>
        <x:v>PASS</x:v>
      </x:c>
      <x:c r="R1541" s="70" t="s">
        <x:v>34</x:v>
      </x:c>
      <x:c r="S1541" s="70"/>
    </x:row>
    <x:row r="1542" ht="15" hidden="0">
      <x:c r="A1542" s="70" t="s">
        <x:v>2915</x:v>
      </x:c>
      <x:c r="B1542" s="70" t="s">
        <x:v>42</x:v>
      </x:c>
      <x:c r="C1542" s="70" t="s">
        <x:v>77</x:v>
      </x:c>
      <x:c r="D1542" s="70" t="s">
        <x:v>473</x:v>
      </x:c>
      <x:c r="E1542" s="70" t="s">
        <x:v>172</x:v>
      </x:c>
      <x:c r="F1542" s="70" t="s">
        <x:v>1577</x:v>
      </x:c>
      <x:c r="G1542" s="70" t="s">
        <x:v>1675</x:v>
      </x:c>
      <x:c r="H1542" s="70" t="s">
        <x:v>1215</x:v>
      </x:c>
      <x:c r="I1542" s="70" t="s">
        <x:v>1218</x:v>
      </x:c>
      <x:c r="J1542" s="70" t="n">
        <x:v>205</x:v>
      </x:c>
      <x:c r="K1542" s="70" t="s">
        <x:v>2529</x:v>
      </x:c>
      <x:c r="L1542" s="70"/>
      <x:c r="M1542" s="70" t="s">
        <x:v>40</x:v>
      </x:c>
      <x:c r="N1542" s="71" t="n">
        <x:v>23320309</x:v>
      </x:c>
      <x:c r="O1542" s="72" t="n">
        <x:f aca="0">N1542/1000</x:f>
        <x:v>23320.309</x:v>
      </x:c>
      <x:c r="P1542" s="73" t="n">
        <x:f aca="0">MLCF!H116</x:f>
        <x:v>23320.309</x:v>
      </x:c>
      <x:c r="Q1542" s="70" t="str">
        <x:f aca="0">IF(ABS(O1542-P1542)&lt;0.000001,"PASS","FAIL")</x:f>
        <x:v>PASS</x:v>
      </x:c>
      <x:c r="R1542" s="70" t="s">
        <x:v>34</x:v>
      </x:c>
      <x:c r="S1542" s="70"/>
    </x:row>
    <x:row r="1543" ht="15" hidden="0">
      <x:c r="A1543" s="70" t="s">
        <x:v>2916</x:v>
      </x:c>
      <x:c r="B1543" s="70" t="s">
        <x:v>42</x:v>
      </x:c>
      <x:c r="C1543" s="70" t="s">
        <x:v>73</x:v>
      </x:c>
      <x:c r="D1543" s="70" t="s">
        <x:v>475</x:v>
      </x:c>
      <x:c r="E1543" s="70" t="s">
        <x:v>172</x:v>
      </x:c>
      <x:c r="F1543" s="70" t="s">
        <x:v>1583</x:v>
      </x:c>
      <x:c r="G1543" s="70" t="s">
        <x:v>1666</x:v>
      </x:c>
      <x:c r="H1543" s="70" t="s">
        <x:v>1204</x:v>
      </x:c>
      <x:c r="I1543" s="70" t="s">
        <x:v>1199</x:v>
      </x:c>
      <x:c r="J1543" s="70" t="n">
        <x:v>187</x:v>
      </x:c>
      <x:c r="K1543" s="70" t="s">
        <x:v>2128</x:v>
      </x:c>
      <x:c r="L1543" s="70"/>
      <x:c r="M1543" s="70" t="s">
        <x:v>40</x:v>
      </x:c>
      <x:c r="N1543" s="71" t="n">
        <x:v>6551967</x:v>
      </x:c>
      <x:c r="O1543" s="72" t="n">
        <x:f aca="0">N1543/1000</x:f>
        <x:v>6551.967</x:v>
      </x:c>
      <x:c r="P1543" s="73" t="n">
        <x:f aca="0">MLCF!D117</x:f>
        <x:v>6551.967</x:v>
      </x:c>
      <x:c r="Q1543" s="70" t="str">
        <x:f aca="0">IF(ABS(O1543-P1543)&lt;0.000001,"PASS","FAIL")</x:f>
        <x:v>PASS</x:v>
      </x:c>
      <x:c r="R1543" s="70" t="s">
        <x:v>34</x:v>
      </x:c>
      <x:c r="S1543" s="70"/>
    </x:row>
    <x:row r="1544" ht="15" hidden="0">
      <x:c r="A1544" s="70" t="s">
        <x:v>2917</x:v>
      </x:c>
      <x:c r="B1544" s="70" t="s">
        <x:v>42</x:v>
      </x:c>
      <x:c r="C1544" s="70" t="s">
        <x:v>74</x:v>
      </x:c>
      <x:c r="D1544" s="70" t="s">
        <x:v>475</x:v>
      </x:c>
      <x:c r="E1544" s="70" t="s">
        <x:v>172</x:v>
      </x:c>
      <x:c r="F1544" s="70" t="s">
        <x:v>1583</x:v>
      </x:c>
      <x:c r="G1544" s="70" t="s">
        <x:v>1669</x:v>
      </x:c>
      <x:c r="H1544" s="70" t="s">
        <x:v>1208</x:v>
      </x:c>
      <x:c r="I1544" s="70" t="s">
        <x:v>1199</x:v>
      </x:c>
      <x:c r="J1544" s="70" t="n">
        <x:v>196</x:v>
      </x:c>
      <x:c r="K1544" s="70" t="s">
        <x:v>1200</x:v>
      </x:c>
      <x:c r="L1544" s="70"/>
      <x:c r="M1544" s="70" t="s">
        <x:v>40</x:v>
      </x:c>
      <x:c r="N1544" s="71" t="n">
        <x:v>8330107</x:v>
      </x:c>
      <x:c r="O1544" s="72" t="n">
        <x:f aca="0">N1544/1000</x:f>
        <x:v>8330.107</x:v>
      </x:c>
      <x:c r="P1544" s="73" t="n">
        <x:f aca="0">MLCF!E117</x:f>
        <x:v>8330.107</x:v>
      </x:c>
      <x:c r="Q1544" s="70" t="str">
        <x:f aca="0">IF(ABS(O1544-P1544)&lt;0.000001,"PASS","FAIL")</x:f>
        <x:v>PASS</x:v>
      </x:c>
      <x:c r="R1544" s="70" t="s">
        <x:v>34</x:v>
      </x:c>
      <x:c r="S1544" s="70" t="s">
        <x:v>1205</x:v>
      </x:c>
    </x:row>
    <x:row r="1545" ht="15" hidden="0">
      <x:c r="A1545" s="70" t="s">
        <x:v>2918</x:v>
      </x:c>
      <x:c r="B1545" s="70" t="s">
        <x:v>42</x:v>
      </x:c>
      <x:c r="C1545" s="70" t="s">
        <x:v>75</x:v>
      </x:c>
      <x:c r="D1545" s="70" t="s">
        <x:v>475</x:v>
      </x:c>
      <x:c r="E1545" s="70" t="s">
        <x:v>172</x:v>
      </x:c>
      <x:c r="F1545" s="70" t="s">
        <x:v>2482</x:v>
      </x:c>
      <x:c r="G1545" s="70" t="s">
        <x:v>1672</x:v>
      </x:c>
      <x:c r="H1545" s="70" t="s">
        <x:v>1211</x:v>
      </x:c>
      <x:c r="I1545" s="70" t="s">
        <x:v>1199</x:v>
      </x:c>
      <x:c r="J1545" s="70" t="n">
        <x:v>193</x:v>
      </x:c>
      <x:c r="K1545" s="70" t="s">
        <x:v>2913</x:v>
      </x:c>
      <x:c r="L1545" s="70"/>
      <x:c r="M1545" s="70" t="s">
        <x:v>40</x:v>
      </x:c>
      <x:c r="N1545" s="71" t="n">
        <x:v>20143665</x:v>
      </x:c>
      <x:c r="O1545" s="72" t="n">
        <x:f aca="0">N1545/1000</x:f>
        <x:v>20143.665</x:v>
      </x:c>
      <x:c r="P1545" s="73" t="n">
        <x:f aca="0">MLCF!F117</x:f>
        <x:v>20143.665</x:v>
      </x:c>
      <x:c r="Q1545" s="70" t="str">
        <x:f aca="0">IF(ABS(O1545-P1545)&lt;0.000001,"PASS","FAIL")</x:f>
        <x:v>PASS</x:v>
      </x:c>
      <x:c r="R1545" s="70" t="s">
        <x:v>34</x:v>
      </x:c>
      <x:c r="S1545" s="70"/>
    </x:row>
    <x:row r="1546" ht="15" hidden="0">
      <x:c r="A1546" s="70" t="s">
        <x:v>2919</x:v>
      </x:c>
      <x:c r="B1546" s="70" t="s">
        <x:v>42</x:v>
      </x:c>
      <x:c r="C1546" s="70" t="s">
        <x:v>76</x:v>
      </x:c>
      <x:c r="D1546" s="70" t="s">
        <x:v>475</x:v>
      </x:c>
      <x:c r="E1546" s="70" t="s">
        <x:v>172</x:v>
      </x:c>
      <x:c r="F1546" s="70" t="s">
        <x:v>2482</x:v>
      </x:c>
      <x:c r="G1546" s="70" t="s">
        <x:v>1675</x:v>
      </x:c>
      <x:c r="H1546" s="70" t="s">
        <x:v>1215</x:v>
      </x:c>
      <x:c r="I1546" s="70" t="s">
        <x:v>1199</x:v>
      </x:c>
      <x:c r="J1546" s="70" t="n">
        <x:v>205</x:v>
      </x:c>
      <x:c r="K1546" s="70" t="s">
        <x:v>2529</x:v>
      </x:c>
      <x:c r="L1546" s="70"/>
      <x:c r="M1546" s="70" t="s">
        <x:v>40</x:v>
      </x:c>
      <x:c r="N1546" s="71" t="n">
        <x:v>9496243</x:v>
      </x:c>
      <x:c r="O1546" s="72" t="n">
        <x:f aca="0">N1546/1000</x:f>
        <x:v>9496.243</x:v>
      </x:c>
      <x:c r="P1546" s="73" t="n">
        <x:f aca="0">MLCF!G117</x:f>
        <x:v>9496.243</x:v>
      </x:c>
      <x:c r="Q1546" s="70" t="str">
        <x:f aca="0">IF(ABS(O1546-P1546)&lt;0.000001,"PASS","FAIL")</x:f>
        <x:v>PASS</x:v>
      </x:c>
      <x:c r="R1546" s="70" t="s">
        <x:v>34</x:v>
      </x:c>
      <x:c r="S1546" s="70"/>
    </x:row>
    <x:row r="1547" ht="15" hidden="0">
      <x:c r="A1547" s="70" t="s">
        <x:v>2920</x:v>
      </x:c>
      <x:c r="B1547" s="70" t="s">
        <x:v>42</x:v>
      </x:c>
      <x:c r="C1547" s="70" t="s">
        <x:v>77</x:v>
      </x:c>
      <x:c r="D1547" s="70" t="s">
        <x:v>475</x:v>
      </x:c>
      <x:c r="E1547" s="70" t="s">
        <x:v>172</x:v>
      </x:c>
      <x:c r="F1547" s="70" t="s">
        <x:v>2482</x:v>
      </x:c>
      <x:c r="G1547" s="70" t="s">
        <x:v>1675</x:v>
      </x:c>
      <x:c r="H1547" s="70" t="s">
        <x:v>1215</x:v>
      </x:c>
      <x:c r="I1547" s="70" t="s">
        <x:v>1218</x:v>
      </x:c>
      <x:c r="J1547" s="70" t="n">
        <x:v>205</x:v>
      </x:c>
      <x:c r="K1547" s="70" t="s">
        <x:v>2529</x:v>
      </x:c>
      <x:c r="L1547" s="70"/>
      <x:c r="M1547" s="70" t="s">
        <x:v>40</x:v>
      </x:c>
      <x:c r="N1547" s="71" t="n">
        <x:v>19316637</x:v>
      </x:c>
      <x:c r="O1547" s="72" t="n">
        <x:f aca="0">N1547/1000</x:f>
        <x:v>19316.637</x:v>
      </x:c>
      <x:c r="P1547" s="73" t="n">
        <x:f aca="0">MLCF!H117</x:f>
        <x:v>19316.637</x:v>
      </x:c>
      <x:c r="Q1547" s="70" t="str">
        <x:f aca="0">IF(ABS(O1547-P1547)&lt;0.000001,"PASS","FAIL")</x:f>
        <x:v>PASS</x:v>
      </x:c>
      <x:c r="R1547" s="70" t="s">
        <x:v>34</x:v>
      </x:c>
      <x:c r="S1547" s="70"/>
    </x:row>
    <x:row r="1548" ht="15" hidden="0">
      <x:c r="A1548" s="70" t="s">
        <x:v>2921</x:v>
      </x:c>
      <x:c r="B1548" s="70" t="s">
        <x:v>42</x:v>
      </x:c>
      <x:c r="C1548" s="70" t="s">
        <x:v>73</x:v>
      </x:c>
      <x:c r="D1548" s="70" t="s">
        <x:v>477</x:v>
      </x:c>
      <x:c r="E1548" s="70" t="s">
        <x:v>172</x:v>
      </x:c>
      <x:c r="F1548" s="70" t="s">
        <x:v>1589</x:v>
      </x:c>
      <x:c r="G1548" s="70" t="s">
        <x:v>1666</x:v>
      </x:c>
      <x:c r="H1548" s="70" t="s">
        <x:v>1204</x:v>
      </x:c>
      <x:c r="I1548" s="70" t="s">
        <x:v>1199</x:v>
      </x:c>
      <x:c r="J1548" s="70" t="n">
        <x:v>187</x:v>
      </x:c>
      <x:c r="K1548" s="70" t="s">
        <x:v>2128</x:v>
      </x:c>
      <x:c r="L1548" s="70"/>
      <x:c r="M1548" s="70" t="s">
        <x:v>40</x:v>
      </x:c>
      <x:c r="N1548" s="71" t="n">
        <x:v>-1733621</x:v>
      </x:c>
      <x:c r="O1548" s="72" t="n">
        <x:f aca="0">N1548/1000</x:f>
        <x:v>-1733.621</x:v>
      </x:c>
      <x:c r="P1548" s="73" t="n">
        <x:f aca="0">MLCF!D118</x:f>
        <x:v>-1733.621</x:v>
      </x:c>
      <x:c r="Q1548" s="70" t="str">
        <x:f aca="0">IF(ABS(O1548-P1548)&lt;0.000001,"PASS","FAIL")</x:f>
        <x:v>PASS</x:v>
      </x:c>
      <x:c r="R1548" s="70" t="s">
        <x:v>34</x:v>
      </x:c>
      <x:c r="S1548" s="70"/>
    </x:row>
    <x:row r="1549" ht="15" hidden="0">
      <x:c r="A1549" s="70" t="s">
        <x:v>2922</x:v>
      </x:c>
      <x:c r="B1549" s="70" t="s">
        <x:v>42</x:v>
      </x:c>
      <x:c r="C1549" s="70" t="s">
        <x:v>74</x:v>
      </x:c>
      <x:c r="D1549" s="70" t="s">
        <x:v>477</x:v>
      </x:c>
      <x:c r="E1549" s="70" t="s">
        <x:v>172</x:v>
      </x:c>
      <x:c r="F1549" s="70" t="s">
        <x:v>1589</x:v>
      </x:c>
      <x:c r="G1549" s="70" t="s">
        <x:v>1669</x:v>
      </x:c>
      <x:c r="H1549" s="70" t="s">
        <x:v>1208</x:v>
      </x:c>
      <x:c r="I1549" s="70" t="s">
        <x:v>1199</x:v>
      </x:c>
      <x:c r="J1549" s="70" t="n">
        <x:v>196</x:v>
      </x:c>
      <x:c r="K1549" s="70" t="s">
        <x:v>1200</x:v>
      </x:c>
      <x:c r="L1549" s="70"/>
      <x:c r="M1549" s="70" t="s">
        <x:v>40</x:v>
      </x:c>
      <x:c r="N1549" s="71" t="n">
        <x:v>-1296781</x:v>
      </x:c>
      <x:c r="O1549" s="72" t="n">
        <x:f aca="0">N1549/1000</x:f>
        <x:v>-1296.781</x:v>
      </x:c>
      <x:c r="P1549" s="73" t="n">
        <x:f aca="0">MLCF!E118</x:f>
        <x:v>-1296.781</x:v>
      </x:c>
      <x:c r="Q1549" s="70" t="str">
        <x:f aca="0">IF(ABS(O1549-P1549)&lt;0.000001,"PASS","FAIL")</x:f>
        <x:v>PASS</x:v>
      </x:c>
      <x:c r="R1549" s="70" t="s">
        <x:v>34</x:v>
      </x:c>
      <x:c r="S1549" s="70"/>
    </x:row>
    <x:row r="1550" ht="15" hidden="0">
      <x:c r="A1550" s="70" t="s">
        <x:v>2923</x:v>
      </x:c>
      <x:c r="B1550" s="70" t="s">
        <x:v>42</x:v>
      </x:c>
      <x:c r="C1550" s="70" t="s">
        <x:v>75</x:v>
      </x:c>
      <x:c r="D1550" s="70" t="s">
        <x:v>477</x:v>
      </x:c>
      <x:c r="E1550" s="70" t="s">
        <x:v>172</x:v>
      </x:c>
      <x:c r="F1550" s="70" t="s">
        <x:v>1589</x:v>
      </x:c>
      <x:c r="G1550" s="70" t="s">
        <x:v>1672</x:v>
      </x:c>
      <x:c r="H1550" s="70" t="s">
        <x:v>1211</x:v>
      </x:c>
      <x:c r="I1550" s="70" t="s">
        <x:v>1199</x:v>
      </x:c>
      <x:c r="J1550" s="70" t="n">
        <x:v>193</x:v>
      </x:c>
      <x:c r="K1550" s="70" t="s">
        <x:v>2913</x:v>
      </x:c>
      <x:c r="L1550" s="70"/>
      <x:c r="M1550" s="70" t="s">
        <x:v>40</x:v>
      </x:c>
      <x:c r="N1550" s="71" t="n">
        <x:v>-2527786</x:v>
      </x:c>
      <x:c r="O1550" s="72" t="n">
        <x:f aca="0">N1550/1000</x:f>
        <x:v>-2527.786</x:v>
      </x:c>
      <x:c r="P1550" s="73" t="n">
        <x:f aca="0">MLCF!F118</x:f>
        <x:v>-2527.786</x:v>
      </x:c>
      <x:c r="Q1550" s="70" t="str">
        <x:f aca="0">IF(ABS(O1550-P1550)&lt;0.000001,"PASS","FAIL")</x:f>
        <x:v>PASS</x:v>
      </x:c>
      <x:c r="R1550" s="70" t="s">
        <x:v>34</x:v>
      </x:c>
      <x:c r="S1550" s="70"/>
    </x:row>
    <x:row r="1551" ht="15" hidden="0">
      <x:c r="A1551" s="70" t="s">
        <x:v>2924</x:v>
      </x:c>
      <x:c r="B1551" s="70" t="s">
        <x:v>42</x:v>
      </x:c>
      <x:c r="C1551" s="70" t="s">
        <x:v>76</x:v>
      </x:c>
      <x:c r="D1551" s="70" t="s">
        <x:v>477</x:v>
      </x:c>
      <x:c r="E1551" s="70" t="s">
        <x:v>172</x:v>
      </x:c>
      <x:c r="F1551" s="70" t="s">
        <x:v>1589</x:v>
      </x:c>
      <x:c r="G1551" s="70" t="s">
        <x:v>1675</x:v>
      </x:c>
      <x:c r="H1551" s="70" t="s">
        <x:v>1215</x:v>
      </x:c>
      <x:c r="I1551" s="70" t="s">
        <x:v>1199</x:v>
      </x:c>
      <x:c r="J1551" s="70" t="n">
        <x:v>205</x:v>
      </x:c>
      <x:c r="K1551" s="70" t="s">
        <x:v>2529</x:v>
      </x:c>
      <x:c r="L1551" s="70"/>
      <x:c r="M1551" s="70" t="s">
        <x:v>40</x:v>
      </x:c>
      <x:c r="N1551" s="71" t="n">
        <x:v>-4145538</x:v>
      </x:c>
      <x:c r="O1551" s="72" t="n">
        <x:f aca="0">N1551/1000</x:f>
        <x:v>-4145.538</x:v>
      </x:c>
      <x:c r="P1551" s="73" t="n">
        <x:f aca="0">MLCF!G118</x:f>
        <x:v>-4145.538</x:v>
      </x:c>
      <x:c r="Q1551" s="70" t="str">
        <x:f aca="0">IF(ABS(O1551-P1551)&lt;0.000001,"PASS","FAIL")</x:f>
        <x:v>PASS</x:v>
      </x:c>
      <x:c r="R1551" s="70" t="s">
        <x:v>34</x:v>
      </x:c>
      <x:c r="S1551" s="70"/>
    </x:row>
    <x:row r="1552" ht="15" hidden="0">
      <x:c r="A1552" s="70" t="s">
        <x:v>2925</x:v>
      </x:c>
      <x:c r="B1552" s="70" t="s">
        <x:v>42</x:v>
      </x:c>
      <x:c r="C1552" s="70" t="s">
        <x:v>77</x:v>
      </x:c>
      <x:c r="D1552" s="70" t="s">
        <x:v>477</x:v>
      </x:c>
      <x:c r="E1552" s="70" t="s">
        <x:v>172</x:v>
      </x:c>
      <x:c r="F1552" s="70" t="s">
        <x:v>1589</x:v>
      </x:c>
      <x:c r="G1552" s="70" t="s">
        <x:v>1675</x:v>
      </x:c>
      <x:c r="H1552" s="70" t="s">
        <x:v>1215</x:v>
      </x:c>
      <x:c r="I1552" s="70" t="s">
        <x:v>1218</x:v>
      </x:c>
      <x:c r="J1552" s="70" t="n">
        <x:v>205</x:v>
      </x:c>
      <x:c r="K1552" s="70" t="s">
        <x:v>2529</x:v>
      </x:c>
      <x:c r="L1552" s="70"/>
      <x:c r="M1552" s="70" t="s">
        <x:v>40</x:v>
      </x:c>
      <x:c r="N1552" s="71" t="n">
        <x:v>-4093012</x:v>
      </x:c>
      <x:c r="O1552" s="72" t="n">
        <x:f aca="0">N1552/1000</x:f>
        <x:v>-4093.012</x:v>
      </x:c>
      <x:c r="P1552" s="73" t="n">
        <x:f aca="0">MLCF!H118</x:f>
        <x:v>-4093.012</x:v>
      </x:c>
      <x:c r="Q1552" s="70" t="str">
        <x:f aca="0">IF(ABS(O1552-P1552)&lt;0.000001,"PASS","FAIL")</x:f>
        <x:v>PASS</x:v>
      </x:c>
      <x:c r="R1552" s="70" t="s">
        <x:v>34</x:v>
      </x:c>
      <x:c r="S1552" s="70"/>
    </x:row>
    <x:row r="1553" ht="15" hidden="0">
      <x:c r="A1553" s="70" t="s">
        <x:v>2926</x:v>
      </x:c>
      <x:c r="B1553" s="70" t="s">
        <x:v>42</x:v>
      </x:c>
      <x:c r="C1553" s="70" t="s">
        <x:v>73</x:v>
      </x:c>
      <x:c r="D1553" s="70" t="s">
        <x:v>479</x:v>
      </x:c>
      <x:c r="E1553" s="70" t="s">
        <x:v>172</x:v>
      </x:c>
      <x:c r="F1553" s="70" t="s">
        <x:v>1595</x:v>
      </x:c>
      <x:c r="G1553" s="70" t="s">
        <x:v>1666</x:v>
      </x:c>
      <x:c r="H1553" s="70" t="s">
        <x:v>1204</x:v>
      </x:c>
      <x:c r="I1553" s="70" t="s">
        <x:v>1199</x:v>
      </x:c>
      <x:c r="J1553" s="70" t="n">
        <x:v>187</x:v>
      </x:c>
      <x:c r="K1553" s="70" t="s">
        <x:v>2128</x:v>
      </x:c>
      <x:c r="L1553" s="70"/>
      <x:c r="M1553" s="70" t="s">
        <x:v>482</x:v>
      </x:c>
      <x:c r="N1553" s="70" t="s">
        <x:v>914</x:v>
      </x:c>
      <x:c r="O1553" s="70" t="str">
        <x:f aca="0">N1553</x:f>
        <x:v>Financing</x:v>
      </x:c>
      <x:c r="P1553" s="70" t="str">
        <x:f aca="0">MLCF!D119</x:f>
        <x:v>Financing</x:v>
      </x:c>
      <x:c r="Q1553" s="70" t="str">
        <x:f aca="0">IF(O1553=P1553,"PASS","FAIL")</x:f>
        <x:v>PASS</x:v>
      </x:c>
      <x:c r="R1553" s="70" t="s">
        <x:v>34</x:v>
      </x:c>
      <x:c r="S1553" s="70"/>
    </x:row>
    <x:row r="1554" ht="15" hidden="0">
      <x:c r="A1554" s="70" t="s">
        <x:v>2927</x:v>
      </x:c>
      <x:c r="B1554" s="70" t="s">
        <x:v>42</x:v>
      </x:c>
      <x:c r="C1554" s="70" t="s">
        <x:v>74</x:v>
      </x:c>
      <x:c r="D1554" s="70" t="s">
        <x:v>479</x:v>
      </x:c>
      <x:c r="E1554" s="70" t="s">
        <x:v>172</x:v>
      </x:c>
      <x:c r="F1554" s="70" t="s">
        <x:v>1595</x:v>
      </x:c>
      <x:c r="G1554" s="70" t="s">
        <x:v>1669</x:v>
      </x:c>
      <x:c r="H1554" s="70" t="s">
        <x:v>1208</x:v>
      </x:c>
      <x:c r="I1554" s="70" t="s">
        <x:v>1199</x:v>
      </x:c>
      <x:c r="J1554" s="70" t="n">
        <x:v>196</x:v>
      </x:c>
      <x:c r="K1554" s="70" t="s">
        <x:v>1200</x:v>
      </x:c>
      <x:c r="L1554" s="70"/>
      <x:c r="M1554" s="70" t="s">
        <x:v>482</x:v>
      </x:c>
      <x:c r="N1554" s="70" t="s">
        <x:v>914</x:v>
      </x:c>
      <x:c r="O1554" s="70" t="str">
        <x:f aca="0">N1554</x:f>
        <x:v>Financing</x:v>
      </x:c>
      <x:c r="P1554" s="70" t="str">
        <x:f aca="0">MLCF!E119</x:f>
        <x:v>Financing</x:v>
      </x:c>
      <x:c r="Q1554" s="70" t="str">
        <x:f aca="0">IF(O1554=P1554,"PASS","FAIL")</x:f>
        <x:v>PASS</x:v>
      </x:c>
      <x:c r="R1554" s="70" t="s">
        <x:v>34</x:v>
      </x:c>
      <x:c r="S1554" s="70"/>
    </x:row>
    <x:row r="1555" ht="15" hidden="0">
      <x:c r="A1555" s="70" t="s">
        <x:v>2928</x:v>
      </x:c>
      <x:c r="B1555" s="70" t="s">
        <x:v>42</x:v>
      </x:c>
      <x:c r="C1555" s="70" t="s">
        <x:v>75</x:v>
      </x:c>
      <x:c r="D1555" s="70" t="s">
        <x:v>479</x:v>
      </x:c>
      <x:c r="E1555" s="70" t="s">
        <x:v>172</x:v>
      </x:c>
      <x:c r="F1555" s="70" t="s">
        <x:v>1595</x:v>
      </x:c>
      <x:c r="G1555" s="70" t="s">
        <x:v>1672</x:v>
      </x:c>
      <x:c r="H1555" s="70" t="s">
        <x:v>1211</x:v>
      </x:c>
      <x:c r="I1555" s="70" t="s">
        <x:v>1199</x:v>
      </x:c>
      <x:c r="J1555" s="70" t="n">
        <x:v>193</x:v>
      </x:c>
      <x:c r="K1555" s="70" t="s">
        <x:v>2913</x:v>
      </x:c>
      <x:c r="L1555" s="70"/>
      <x:c r="M1555" s="70" t="s">
        <x:v>482</x:v>
      </x:c>
      <x:c r="N1555" s="70" t="s">
        <x:v>914</x:v>
      </x:c>
      <x:c r="O1555" s="70" t="str">
        <x:f aca="0">N1555</x:f>
        <x:v>Financing</x:v>
      </x:c>
      <x:c r="P1555" s="70" t="str">
        <x:f aca="0">MLCF!F119</x:f>
        <x:v>Financing</x:v>
      </x:c>
      <x:c r="Q1555" s="70" t="str">
        <x:f aca="0">IF(O1555=P1555,"PASS","FAIL")</x:f>
        <x:v>PASS</x:v>
      </x:c>
      <x:c r="R1555" s="70" t="s">
        <x:v>34</x:v>
      </x:c>
      <x:c r="S1555" s="70"/>
    </x:row>
    <x:row r="1556" ht="15" hidden="0">
      <x:c r="A1556" s="70" t="s">
        <x:v>2929</x:v>
      </x:c>
      <x:c r="B1556" s="70" t="s">
        <x:v>42</x:v>
      </x:c>
      <x:c r="C1556" s="70" t="s">
        <x:v>76</x:v>
      </x:c>
      <x:c r="D1556" s="70" t="s">
        <x:v>479</x:v>
      </x:c>
      <x:c r="E1556" s="70" t="s">
        <x:v>172</x:v>
      </x:c>
      <x:c r="F1556" s="70" t="s">
        <x:v>1595</x:v>
      </x:c>
      <x:c r="G1556" s="70" t="s">
        <x:v>1675</x:v>
      </x:c>
      <x:c r="H1556" s="70" t="s">
        <x:v>1215</x:v>
      </x:c>
      <x:c r="I1556" s="70" t="s">
        <x:v>1199</x:v>
      </x:c>
      <x:c r="J1556" s="70" t="n">
        <x:v>205</x:v>
      </x:c>
      <x:c r="K1556" s="70" t="s">
        <x:v>2529</x:v>
      </x:c>
      <x:c r="L1556" s="70"/>
      <x:c r="M1556" s="70" t="s">
        <x:v>482</x:v>
      </x:c>
      <x:c r="N1556" s="70" t="s">
        <x:v>914</x:v>
      </x:c>
      <x:c r="O1556" s="70" t="str">
        <x:f aca="0">N1556</x:f>
        <x:v>Financing</x:v>
      </x:c>
      <x:c r="P1556" s="70" t="str">
        <x:f aca="0">MLCF!G119</x:f>
        <x:v>Financing</x:v>
      </x:c>
      <x:c r="Q1556" s="70" t="str">
        <x:f aca="0">IF(O1556=P1556,"PASS","FAIL")</x:f>
        <x:v>PASS</x:v>
      </x:c>
      <x:c r="R1556" s="70" t="s">
        <x:v>34</x:v>
      </x:c>
      <x:c r="S1556" s="70"/>
    </x:row>
    <x:row r="1557" ht="15" hidden="0">
      <x:c r="A1557" s="70" t="s">
        <x:v>2930</x:v>
      </x:c>
      <x:c r="B1557" s="70" t="s">
        <x:v>42</x:v>
      </x:c>
      <x:c r="C1557" s="70" t="s">
        <x:v>77</x:v>
      </x:c>
      <x:c r="D1557" s="70" t="s">
        <x:v>479</x:v>
      </x:c>
      <x:c r="E1557" s="70" t="s">
        <x:v>172</x:v>
      </x:c>
      <x:c r="F1557" s="70" t="s">
        <x:v>1595</x:v>
      </x:c>
      <x:c r="G1557" s="70" t="s">
        <x:v>1675</x:v>
      </x:c>
      <x:c r="H1557" s="70" t="s">
        <x:v>1215</x:v>
      </x:c>
      <x:c r="I1557" s="70" t="s">
        <x:v>1218</x:v>
      </x:c>
      <x:c r="J1557" s="70" t="n">
        <x:v>205</x:v>
      </x:c>
      <x:c r="K1557" s="70" t="s">
        <x:v>2529</x:v>
      </x:c>
      <x:c r="L1557" s="70"/>
      <x:c r="M1557" s="70" t="s">
        <x:v>482</x:v>
      </x:c>
      <x:c r="N1557" s="70" t="s">
        <x:v>914</x:v>
      </x:c>
      <x:c r="O1557" s="70" t="str">
        <x:f aca="0">N1557</x:f>
        <x:v>Financing</x:v>
      </x:c>
      <x:c r="P1557" s="70" t="str">
        <x:f aca="0">MLCF!H119</x:f>
        <x:v>Financing</x:v>
      </x:c>
      <x:c r="Q1557" s="70" t="str">
        <x:f aca="0">IF(O1557=P1557,"PASS","FAIL")</x:f>
        <x:v>PASS</x:v>
      </x:c>
      <x:c r="R1557" s="70" t="s">
        <x:v>34</x:v>
      </x:c>
      <x:c r="S1557" s="70"/>
    </x:row>
    <x:row r="1558" ht="15" hidden="0">
      <x:c r="A1558" s="70" t="s">
        <x:v>2931</x:v>
      </x:c>
      <x:c r="B1558" s="70" t="s">
        <x:v>42</x:v>
      </x:c>
      <x:c r="C1558" s="70" t="s">
        <x:v>73</x:v>
      </x:c>
      <x:c r="D1558" s="70" t="s">
        <x:v>485</x:v>
      </x:c>
      <x:c r="E1558" s="70" t="s">
        <x:v>172</x:v>
      </x:c>
      <x:c r="F1558" s="70" t="s">
        <x:v>2932</x:v>
      </x:c>
      <x:c r="G1558" s="70" t="s">
        <x:v>1666</x:v>
      </x:c>
      <x:c r="H1558" s="70" t="s">
        <x:v>1204</x:v>
      </x:c>
      <x:c r="I1558" s="70" t="s">
        <x:v>1199</x:v>
      </x:c>
      <x:c r="J1558" s="70" t="n">
        <x:v>187</x:v>
      </x:c>
      <x:c r="K1558" s="70" t="s">
        <x:v>2128</x:v>
      </x:c>
      <x:c r="L1558" s="70"/>
      <x:c r="M1558" s="70" t="s">
        <x:v>40</x:v>
      </x:c>
      <x:c r="N1558" s="71" t="n">
        <x:v>-3285300</x:v>
      </x:c>
      <x:c r="O1558" s="72" t="n">
        <x:f aca="0">N1558/1000</x:f>
        <x:v>-3285.3</x:v>
      </x:c>
      <x:c r="P1558" s="73" t="n">
        <x:f aca="0">MLCF!D121</x:f>
        <x:v>-3285.3</x:v>
      </x:c>
      <x:c r="Q1558" s="70" t="str">
        <x:f aca="0">IF(ABS(O1558-P1558)&lt;0.000001,"PASS","FAIL")</x:f>
        <x:v>PASS</x:v>
      </x:c>
      <x:c r="R1558" s="70" t="s">
        <x:v>34</x:v>
      </x:c>
      <x:c r="S1558" s="70"/>
    </x:row>
    <x:row r="1559" ht="15" hidden="0">
      <x:c r="A1559" s="70" t="s">
        <x:v>2933</x:v>
      </x:c>
      <x:c r="B1559" s="70" t="s">
        <x:v>42</x:v>
      </x:c>
      <x:c r="C1559" s="70" t="s">
        <x:v>74</x:v>
      </x:c>
      <x:c r="D1559" s="70" t="s">
        <x:v>485</x:v>
      </x:c>
      <x:c r="E1559" s="70" t="s">
        <x:v>172</x:v>
      </x:c>
      <x:c r="F1559" s="70" t="s">
        <x:v>2932</x:v>
      </x:c>
      <x:c r="G1559" s="70" t="s">
        <x:v>1669</x:v>
      </x:c>
      <x:c r="H1559" s="70" t="s">
        <x:v>1208</x:v>
      </x:c>
      <x:c r="I1559" s="70" t="s">
        <x:v>1199</x:v>
      </x:c>
      <x:c r="J1559" s="70" t="n">
        <x:v>196</x:v>
      </x:c>
      <x:c r="K1559" s="70" t="s">
        <x:v>1200</x:v>
      </x:c>
      <x:c r="L1559" s="70"/>
      <x:c r="M1559" s="70" t="s">
        <x:v>40</x:v>
      </x:c>
      <x:c r="N1559" s="71" t="n">
        <x:v>-15790494</x:v>
      </x:c>
      <x:c r="O1559" s="72" t="n">
        <x:f aca="0">N1559/1000</x:f>
        <x:v>-15790.494</x:v>
      </x:c>
      <x:c r="P1559" s="73" t="n">
        <x:f aca="0">MLCF!E121</x:f>
        <x:v>-15790.494</x:v>
      </x:c>
      <x:c r="Q1559" s="70" t="str">
        <x:f aca="0">IF(ABS(O1559-P1559)&lt;0.000001,"PASS","FAIL")</x:f>
        <x:v>PASS</x:v>
      </x:c>
      <x:c r="R1559" s="70" t="s">
        <x:v>34</x:v>
      </x:c>
      <x:c r="S1559" s="70"/>
    </x:row>
    <x:row r="1560" ht="15" hidden="0">
      <x:c r="A1560" s="70" t="s">
        <x:v>2934</x:v>
      </x:c>
      <x:c r="B1560" s="70" t="s">
        <x:v>42</x:v>
      </x:c>
      <x:c r="C1560" s="70" t="s">
        <x:v>75</x:v>
      </x:c>
      <x:c r="D1560" s="70" t="s">
        <x:v>485</x:v>
      </x:c>
      <x:c r="E1560" s="70" t="s">
        <x:v>172</x:v>
      </x:c>
      <x:c r="F1560" s="70" t="s">
        <x:v>2496</x:v>
      </x:c>
      <x:c r="G1560" s="70" t="s">
        <x:v>1672</x:v>
      </x:c>
      <x:c r="H1560" s="70" t="s">
        <x:v>1211</x:v>
      </x:c>
      <x:c r="I1560" s="70" t="s">
        <x:v>1199</x:v>
      </x:c>
      <x:c r="J1560" s="70" t="n">
        <x:v>193</x:v>
      </x:c>
      <x:c r="K1560" s="70" t="s">
        <x:v>2913</x:v>
      </x:c>
      <x:c r="L1560" s="70"/>
      <x:c r="M1560" s="70" t="s">
        <x:v>40</x:v>
      </x:c>
      <x:c r="N1560" s="71" t="n">
        <x:v>-9071126</x:v>
      </x:c>
      <x:c r="O1560" s="72" t="n">
        <x:f aca="0">N1560/1000</x:f>
        <x:v>-9071.126</x:v>
      </x:c>
      <x:c r="P1560" s="73" t="n">
        <x:f aca="0">MLCF!F121</x:f>
        <x:v>-9071.126</x:v>
      </x:c>
      <x:c r="Q1560" s="70" t="str">
        <x:f aca="0">IF(ABS(O1560-P1560)&lt;0.000001,"PASS","FAIL")</x:f>
        <x:v>PASS</x:v>
      </x:c>
      <x:c r="R1560" s="70" t="s">
        <x:v>34</x:v>
      </x:c>
      <x:c r="S1560" s="70"/>
    </x:row>
    <x:row r="1561" ht="15" hidden="0">
      <x:c r="A1561" s="70" t="s">
        <x:v>2935</x:v>
      </x:c>
      <x:c r="B1561" s="70" t="s">
        <x:v>42</x:v>
      </x:c>
      <x:c r="C1561" s="70" t="s">
        <x:v>76</x:v>
      </x:c>
      <x:c r="D1561" s="70" t="s">
        <x:v>485</x:v>
      </x:c>
      <x:c r="E1561" s="70" t="s">
        <x:v>172</x:v>
      </x:c>
      <x:c r="F1561" s="70" t="s">
        <x:v>2496</x:v>
      </x:c>
      <x:c r="G1561" s="70" t="s">
        <x:v>1675</x:v>
      </x:c>
      <x:c r="H1561" s="70" t="s">
        <x:v>1215</x:v>
      </x:c>
      <x:c r="I1561" s="70" t="s">
        <x:v>1199</x:v>
      </x:c>
      <x:c r="J1561" s="70" t="n">
        <x:v>205</x:v>
      </x:c>
      <x:c r="K1561" s="70" t="s">
        <x:v>2529</x:v>
      </x:c>
      <x:c r="L1561" s="70"/>
      <x:c r="M1561" s="70" t="s">
        <x:v>40</x:v>
      </x:c>
      <x:c r="N1561" s="71" t="n">
        <x:v>-3099319</x:v>
      </x:c>
      <x:c r="O1561" s="72" t="n">
        <x:f aca="0">N1561/1000</x:f>
        <x:v>-3099.319</x:v>
      </x:c>
      <x:c r="P1561" s="73" t="n">
        <x:f aca="0">MLCF!G121</x:f>
        <x:v>-3099.319</x:v>
      </x:c>
      <x:c r="Q1561" s="70" t="str">
        <x:f aca="0">IF(ABS(O1561-P1561)&lt;0.000001,"PASS","FAIL")</x:f>
        <x:v>PASS</x:v>
      </x:c>
      <x:c r="R1561" s="70" t="s">
        <x:v>34</x:v>
      </x:c>
      <x:c r="S1561" s="70"/>
    </x:row>
    <x:row r="1562" ht="15" hidden="0">
      <x:c r="A1562" s="70" t="s">
        <x:v>2936</x:v>
      </x:c>
      <x:c r="B1562" s="70" t="s">
        <x:v>42</x:v>
      </x:c>
      <x:c r="C1562" s="70" t="s">
        <x:v>77</x:v>
      </x:c>
      <x:c r="D1562" s="70" t="s">
        <x:v>485</x:v>
      </x:c>
      <x:c r="E1562" s="70" t="s">
        <x:v>172</x:v>
      </x:c>
      <x:c r="F1562" s="70" t="s">
        <x:v>2496</x:v>
      </x:c>
      <x:c r="G1562" s="70" t="s">
        <x:v>1675</x:v>
      </x:c>
      <x:c r="H1562" s="70" t="s">
        <x:v>1215</x:v>
      </x:c>
      <x:c r="I1562" s="70" t="s">
        <x:v>1218</x:v>
      </x:c>
      <x:c r="J1562" s="70" t="n">
        <x:v>205</x:v>
      </x:c>
      <x:c r="K1562" s="70" t="s">
        <x:v>2529</x:v>
      </x:c>
      <x:c r="L1562" s="70"/>
      <x:c r="M1562" s="70" t="s">
        <x:v>40</x:v>
      </x:c>
      <x:c r="N1562" s="71" t="n">
        <x:v>-423781</x:v>
      </x:c>
      <x:c r="O1562" s="72" t="n">
        <x:f aca="0">N1562/1000</x:f>
        <x:v>-423.781</x:v>
      </x:c>
      <x:c r="P1562" s="73" t="n">
        <x:f aca="0">MLCF!H121</x:f>
        <x:v>-423.781</x:v>
      </x:c>
      <x:c r="Q1562" s="70" t="str">
        <x:f aca="0">IF(ABS(O1562-P1562)&lt;0.000001,"PASS","FAIL")</x:f>
        <x:v>PASS</x:v>
      </x:c>
      <x:c r="R1562" s="70" t="s">
        <x:v>34</x:v>
      </x:c>
      <x:c r="S1562" s="70"/>
    </x:row>
    <x:row r="1563" ht="15" hidden="0">
      <x:c r="A1563" s="70" t="s">
        <x:v>2937</x:v>
      </x:c>
      <x:c r="B1563" s="70" t="s">
        <x:v>42</x:v>
      </x:c>
      <x:c r="C1563" s="70" t="s">
        <x:v>73</x:v>
      </x:c>
      <x:c r="D1563" s="70" t="s">
        <x:v>487</x:v>
      </x:c>
      <x:c r="E1563" s="70" t="s">
        <x:v>172</x:v>
      </x:c>
      <x:c r="F1563" s="70" t="s">
        <x:v>2938</x:v>
      </x:c>
      <x:c r="G1563" s="70" t="s">
        <x:v>1666</x:v>
      </x:c>
      <x:c r="H1563" s="70" t="s">
        <x:v>1204</x:v>
      </x:c>
      <x:c r="I1563" s="70" t="s">
        <x:v>1199</x:v>
      </x:c>
      <x:c r="J1563" s="70" t="n">
        <x:v>187</x:v>
      </x:c>
      <x:c r="K1563" s="70" t="s">
        <x:v>2128</x:v>
      </x:c>
      <x:c r="L1563" s="70"/>
      <x:c r="M1563" s="70" t="s">
        <x:v>40</x:v>
      </x:c>
      <x:c r="N1563" s="71" t="n">
        <x:v>251007</x:v>
      </x:c>
      <x:c r="O1563" s="72" t="n">
        <x:f aca="0">N1563/1000</x:f>
        <x:v>251.007</x:v>
      </x:c>
      <x:c r="P1563" s="73" t="n">
        <x:f aca="0">MLCF!D122</x:f>
        <x:v>251.007</x:v>
      </x:c>
      <x:c r="Q1563" s="70" t="str">
        <x:f aca="0">IF(ABS(O1563-P1563)&lt;0.000001,"PASS","FAIL")</x:f>
        <x:v>PASS</x:v>
      </x:c>
      <x:c r="R1563" s="70" t="s">
        <x:v>34</x:v>
      </x:c>
      <x:c r="S1563" s="70"/>
    </x:row>
    <x:row r="1564" ht="15" hidden="0">
      <x:c r="A1564" s="70" t="s">
        <x:v>2939</x:v>
      </x:c>
      <x:c r="B1564" s="70" t="s">
        <x:v>42</x:v>
      </x:c>
      <x:c r="C1564" s="70" t="s">
        <x:v>74</x:v>
      </x:c>
      <x:c r="D1564" s="70" t="s">
        <x:v>487</x:v>
      </x:c>
      <x:c r="E1564" s="70" t="s">
        <x:v>172</x:v>
      </x:c>
      <x:c r="F1564" s="70" t="s">
        <x:v>1607</x:v>
      </x:c>
      <x:c r="G1564" s="70" t="s">
        <x:v>1669</x:v>
      </x:c>
      <x:c r="H1564" s="70" t="s">
        <x:v>1208</x:v>
      </x:c>
      <x:c r="I1564" s="70" t="s">
        <x:v>1199</x:v>
      </x:c>
      <x:c r="J1564" s="70" t="n">
        <x:v>196</x:v>
      </x:c>
      <x:c r="K1564" s="70" t="s">
        <x:v>1200</x:v>
      </x:c>
      <x:c r="L1564" s="70"/>
      <x:c r="M1564" s="70" t="s">
        <x:v>40</x:v>
      </x:c>
      <x:c r="N1564" s="71" t="n">
        <x:v>-15819320</x:v>
      </x:c>
      <x:c r="O1564" s="72" t="n">
        <x:f aca="0">N1564/1000</x:f>
        <x:v>-15819.32</x:v>
      </x:c>
      <x:c r="P1564" s="73" t="n">
        <x:f aca="0">MLCF!E122</x:f>
        <x:v>-15819.32</x:v>
      </x:c>
      <x:c r="Q1564" s="70" t="str">
        <x:f aca="0">IF(ABS(O1564-P1564)&lt;0.000001,"PASS","FAIL")</x:f>
        <x:v>PASS</x:v>
      </x:c>
      <x:c r="R1564" s="70" t="s">
        <x:v>34</x:v>
      </x:c>
      <x:c r="S1564" s="70"/>
    </x:row>
    <x:row r="1565" ht="15" hidden="0">
      <x:c r="A1565" s="70" t="s">
        <x:v>2940</x:v>
      </x:c>
      <x:c r="B1565" s="70" t="s">
        <x:v>42</x:v>
      </x:c>
      <x:c r="C1565" s="70" t="s">
        <x:v>75</x:v>
      </x:c>
      <x:c r="D1565" s="70" t="s">
        <x:v>487</x:v>
      </x:c>
      <x:c r="E1565" s="70" t="s">
        <x:v>172</x:v>
      </x:c>
      <x:c r="F1565" s="70" t="s">
        <x:v>2941</x:v>
      </x:c>
      <x:c r="G1565" s="70" t="s">
        <x:v>1672</x:v>
      </x:c>
      <x:c r="H1565" s="70" t="s">
        <x:v>1211</x:v>
      </x:c>
      <x:c r="I1565" s="70" t="s">
        <x:v>1199</x:v>
      </x:c>
      <x:c r="J1565" s="70" t="n">
        <x:v>193</x:v>
      </x:c>
      <x:c r="K1565" s="70" t="s">
        <x:v>2913</x:v>
      </x:c>
      <x:c r="L1565" s="70"/>
      <x:c r="M1565" s="70" t="s">
        <x:v>40</x:v>
      </x:c>
      <x:c r="N1565" s="71" t="n">
        <x:v>-12174483</x:v>
      </x:c>
      <x:c r="O1565" s="72" t="n">
        <x:f aca="0">N1565/1000</x:f>
        <x:v>-12174.483</x:v>
      </x:c>
      <x:c r="P1565" s="73" t="n">
        <x:f aca="0">MLCF!F122</x:f>
        <x:v>-12174.483</x:v>
      </x:c>
      <x:c r="Q1565" s="70" t="str">
        <x:f aca="0">IF(ABS(O1565-P1565)&lt;0.000001,"PASS","FAIL")</x:f>
        <x:v>PASS</x:v>
      </x:c>
      <x:c r="R1565" s="70" t="s">
        <x:v>34</x:v>
      </x:c>
      <x:c r="S1565" s="70"/>
    </x:row>
    <x:row r="1566" ht="15" hidden="0">
      <x:c r="A1566" s="70" t="s">
        <x:v>2942</x:v>
      </x:c>
      <x:c r="B1566" s="70" t="s">
        <x:v>42</x:v>
      </x:c>
      <x:c r="C1566" s="70" t="s">
        <x:v>76</x:v>
      </x:c>
      <x:c r="D1566" s="70" t="s">
        <x:v>487</x:v>
      </x:c>
      <x:c r="E1566" s="70" t="s">
        <x:v>172</x:v>
      </x:c>
      <x:c r="F1566" s="70" t="s">
        <x:v>2941</x:v>
      </x:c>
      <x:c r="G1566" s="70" t="s">
        <x:v>1675</x:v>
      </x:c>
      <x:c r="H1566" s="70" t="s">
        <x:v>1215</x:v>
      </x:c>
      <x:c r="I1566" s="70" t="s">
        <x:v>1199</x:v>
      </x:c>
      <x:c r="J1566" s="70" t="n">
        <x:v>205</x:v>
      </x:c>
      <x:c r="K1566" s="70" t="s">
        <x:v>2529</x:v>
      </x:c>
      <x:c r="L1566" s="70"/>
      <x:c r="M1566" s="70" t="s">
        <x:v>40</x:v>
      </x:c>
      <x:c r="N1566" s="71" t="n">
        <x:v>-3030885</x:v>
      </x:c>
      <x:c r="O1566" s="72" t="n">
        <x:f aca="0">N1566/1000</x:f>
        <x:v>-3030.885</x:v>
      </x:c>
      <x:c r="P1566" s="73" t="n">
        <x:f aca="0">MLCF!G122</x:f>
        <x:v>-3030.885</x:v>
      </x:c>
      <x:c r="Q1566" s="70" t="str">
        <x:f aca="0">IF(ABS(O1566-P1566)&lt;0.000001,"PASS","FAIL")</x:f>
        <x:v>PASS</x:v>
      </x:c>
      <x:c r="R1566" s="70" t="s">
        <x:v>34</x:v>
      </x:c>
      <x:c r="S1566" s="70"/>
    </x:row>
    <x:row r="1567" ht="15" hidden="0">
      <x:c r="A1567" s="70" t="s">
        <x:v>2943</x:v>
      </x:c>
      <x:c r="B1567" s="70" t="s">
        <x:v>42</x:v>
      </x:c>
      <x:c r="C1567" s="70" t="s">
        <x:v>77</x:v>
      </x:c>
      <x:c r="D1567" s="70" t="s">
        <x:v>487</x:v>
      </x:c>
      <x:c r="E1567" s="70" t="s">
        <x:v>172</x:v>
      </x:c>
      <x:c r="F1567" s="70" t="s">
        <x:v>2941</x:v>
      </x:c>
      <x:c r="G1567" s="70" t="s">
        <x:v>1675</x:v>
      </x:c>
      <x:c r="H1567" s="70" t="s">
        <x:v>1215</x:v>
      </x:c>
      <x:c r="I1567" s="70" t="s">
        <x:v>1218</x:v>
      </x:c>
      <x:c r="J1567" s="70" t="n">
        <x:v>205</x:v>
      </x:c>
      <x:c r="K1567" s="70" t="s">
        <x:v>2529</x:v>
      </x:c>
      <x:c r="L1567" s="70"/>
      <x:c r="M1567" s="70" t="s">
        <x:v>40</x:v>
      </x:c>
      <x:c r="N1567" s="71" t="n">
        <x:v>-9999040</x:v>
      </x:c>
      <x:c r="O1567" s="72" t="n">
        <x:f aca="0">N1567/1000</x:f>
        <x:v>-9999.04</x:v>
      </x:c>
      <x:c r="P1567" s="73" t="n">
        <x:f aca="0">MLCF!H122</x:f>
        <x:v>-9999.04</x:v>
      </x:c>
      <x:c r="Q1567" s="70" t="str">
        <x:f aca="0">IF(ABS(O1567-P1567)&lt;0.000001,"PASS","FAIL")</x:f>
        <x:v>PASS</x:v>
      </x:c>
      <x:c r="R1567" s="70" t="s">
        <x:v>34</x:v>
      </x:c>
      <x:c r="S1567" s="70"/>
    </x:row>
    <x:row r="1568" ht="15" hidden="0">
      <x:c r="A1568" s="70" t="s">
        <x:v>2944</x:v>
      </x:c>
      <x:c r="B1568" s="70" t="s">
        <x:v>42</x:v>
      </x:c>
      <x:c r="C1568" s="70" t="s">
        <x:v>73</x:v>
      </x:c>
      <x:c r="D1568" s="70" t="s">
        <x:v>489</x:v>
      </x:c>
      <x:c r="E1568" s="70" t="s">
        <x:v>172</x:v>
      </x:c>
      <x:c r="F1568" s="70" t="s">
        <x:v>2945</x:v>
      </x:c>
      <x:c r="G1568" s="70" t="s">
        <x:v>1666</x:v>
      </x:c>
      <x:c r="H1568" s="70" t="s">
        <x:v>1204</x:v>
      </x:c>
      <x:c r="I1568" s="70" t="s">
        <x:v>1199</x:v>
      </x:c>
      <x:c r="J1568" s="70" t="n">
        <x:v>187</x:v>
      </x:c>
      <x:c r="K1568" s="70" t="s">
        <x:v>2128</x:v>
      </x:c>
      <x:c r="L1568" s="70"/>
      <x:c r="M1568" s="70" t="s">
        <x:v>40</x:v>
      </x:c>
      <x:c r="N1568" s="71" t="n">
        <x:v>-6732688</x:v>
      </x:c>
      <x:c r="O1568" s="72" t="n">
        <x:f aca="0">N1568/1000</x:f>
        <x:v>-6732.688</x:v>
      </x:c>
      <x:c r="P1568" s="73" t="n">
        <x:f aca="0">MLCF!D123</x:f>
        <x:v>-6732.688</x:v>
      </x:c>
      <x:c r="Q1568" s="70" t="str">
        <x:f aca="0">IF(ABS(O1568-P1568)&lt;0.000001,"PASS","FAIL")</x:f>
        <x:v>PASS</x:v>
      </x:c>
      <x:c r="R1568" s="70" t="s">
        <x:v>34</x:v>
      </x:c>
      <x:c r="S1568" s="70"/>
    </x:row>
    <x:row r="1569" ht="15" hidden="0">
      <x:c r="A1569" s="70" t="s">
        <x:v>2946</x:v>
      </x:c>
      <x:c r="B1569" s="70" t="s">
        <x:v>42</x:v>
      </x:c>
      <x:c r="C1569" s="70" t="s">
        <x:v>74</x:v>
      </x:c>
      <x:c r="D1569" s="70" t="s">
        <x:v>489</x:v>
      </x:c>
      <x:c r="E1569" s="70" t="s">
        <x:v>172</x:v>
      </x:c>
      <x:c r="F1569" s="70" t="s">
        <x:v>2065</x:v>
      </x:c>
      <x:c r="G1569" s="70" t="s">
        <x:v>1669</x:v>
      </x:c>
      <x:c r="H1569" s="70" t="s">
        <x:v>1208</x:v>
      </x:c>
      <x:c r="I1569" s="70" t="s">
        <x:v>1199</x:v>
      </x:c>
      <x:c r="J1569" s="70" t="n">
        <x:v>196</x:v>
      </x:c>
      <x:c r="K1569" s="70" t="s">
        <x:v>1200</x:v>
      </x:c>
      <x:c r="L1569" s="70"/>
      <x:c r="M1569" s="70" t="s">
        <x:v>40</x:v>
      </x:c>
      <x:c r="N1569" s="71" t="n">
        <x:v>6601516</x:v>
      </x:c>
      <x:c r="O1569" s="72" t="n">
        <x:f aca="0">N1569/1000</x:f>
        <x:v>6601.516</x:v>
      </x:c>
      <x:c r="P1569" s="73" t="n">
        <x:f aca="0">MLCF!E123</x:f>
        <x:v>6601.516</x:v>
      </x:c>
      <x:c r="Q1569" s="70" t="str">
        <x:f aca="0">IF(ABS(O1569-P1569)&lt;0.000001,"PASS","FAIL")</x:f>
        <x:v>PASS</x:v>
      </x:c>
      <x:c r="R1569" s="70" t="s">
        <x:v>34</x:v>
      </x:c>
      <x:c r="S1569" s="70"/>
    </x:row>
    <x:row r="1570" ht="15" hidden="0">
      <x:c r="A1570" s="70" t="s">
        <x:v>2947</x:v>
      </x:c>
      <x:c r="B1570" s="70" t="s">
        <x:v>42</x:v>
      </x:c>
      <x:c r="C1570" s="70" t="s">
        <x:v>75</x:v>
      </x:c>
      <x:c r="D1570" s="70" t="s">
        <x:v>489</x:v>
      </x:c>
      <x:c r="E1570" s="70" t="s">
        <x:v>172</x:v>
      </x:c>
      <x:c r="F1570" s="70" t="s">
        <x:v>2513</x:v>
      </x:c>
      <x:c r="G1570" s="70" t="s">
        <x:v>1672</x:v>
      </x:c>
      <x:c r="H1570" s="70" t="s">
        <x:v>1211</x:v>
      </x:c>
      <x:c r="I1570" s="70" t="s">
        <x:v>1199</x:v>
      </x:c>
      <x:c r="J1570" s="70" t="n">
        <x:v>193</x:v>
      </x:c>
      <x:c r="K1570" s="70" t="s">
        <x:v>2913</x:v>
      </x:c>
      <x:c r="L1570" s="70"/>
      <x:c r="M1570" s="70" t="s">
        <x:v>40</x:v>
      </x:c>
      <x:c r="N1570" s="71" t="n">
        <x:v>-6632403</x:v>
      </x:c>
      <x:c r="O1570" s="72" t="n">
        <x:f aca="0">N1570/1000</x:f>
        <x:v>-6632.403</x:v>
      </x:c>
      <x:c r="P1570" s="73" t="n">
        <x:f aca="0">MLCF!F123</x:f>
        <x:v>-6632.403</x:v>
      </x:c>
      <x:c r="Q1570" s="70" t="str">
        <x:f aca="0">IF(ABS(O1570-P1570)&lt;0.000001,"PASS","FAIL")</x:f>
        <x:v>PASS</x:v>
      </x:c>
      <x:c r="R1570" s="70" t="s">
        <x:v>34</x:v>
      </x:c>
      <x:c r="S1570" s="70"/>
    </x:row>
    <x:row r="1571" ht="15" hidden="0">
      <x:c r="A1571" s="70" t="s">
        <x:v>2948</x:v>
      </x:c>
      <x:c r="B1571" s="70" t="s">
        <x:v>42</x:v>
      </x:c>
      <x:c r="C1571" s="70" t="s">
        <x:v>76</x:v>
      </x:c>
      <x:c r="D1571" s="70" t="s">
        <x:v>489</x:v>
      </x:c>
      <x:c r="E1571" s="70" t="s">
        <x:v>172</x:v>
      </x:c>
      <x:c r="F1571" s="70" t="s">
        <x:v>2513</x:v>
      </x:c>
      <x:c r="G1571" s="70" t="s">
        <x:v>1675</x:v>
      </x:c>
      <x:c r="H1571" s="70" t="s">
        <x:v>1215</x:v>
      </x:c>
      <x:c r="I1571" s="70" t="s">
        <x:v>1199</x:v>
      </x:c>
      <x:c r="J1571" s="70" t="n">
        <x:v>205</x:v>
      </x:c>
      <x:c r="K1571" s="70" t="s">
        <x:v>2529</x:v>
      </x:c>
      <x:c r="L1571" s="70"/>
      <x:c r="M1571" s="70" t="s">
        <x:v>40</x:v>
      </x:c>
      <x:c r="N1571" s="71" t="n">
        <x:v>-7482362</x:v>
      </x:c>
      <x:c r="O1571" s="72" t="n">
        <x:f aca="0">N1571/1000</x:f>
        <x:v>-7482.362</x:v>
      </x:c>
      <x:c r="P1571" s="73" t="n">
        <x:f aca="0">MLCF!G123</x:f>
        <x:v>-7482.362</x:v>
      </x:c>
      <x:c r="Q1571" s="70" t="str">
        <x:f aca="0">IF(ABS(O1571-P1571)&lt;0.000001,"PASS","FAIL")</x:f>
        <x:v>PASS</x:v>
      </x:c>
      <x:c r="R1571" s="70" t="s">
        <x:v>34</x:v>
      </x:c>
      <x:c r="S1571" s="70"/>
    </x:row>
    <x:row r="1572" ht="15" hidden="0">
      <x:c r="A1572" s="70" t="s">
        <x:v>2949</x:v>
      </x:c>
      <x:c r="B1572" s="70" t="s">
        <x:v>42</x:v>
      </x:c>
      <x:c r="C1572" s="70" t="s">
        <x:v>77</x:v>
      </x:c>
      <x:c r="D1572" s="70" t="s">
        <x:v>489</x:v>
      </x:c>
      <x:c r="E1572" s="70" t="s">
        <x:v>172</x:v>
      </x:c>
      <x:c r="F1572" s="70" t="s">
        <x:v>2513</x:v>
      </x:c>
      <x:c r="G1572" s="70" t="s">
        <x:v>1675</x:v>
      </x:c>
      <x:c r="H1572" s="70" t="s">
        <x:v>1215</x:v>
      </x:c>
      <x:c r="I1572" s="70" t="s">
        <x:v>1218</x:v>
      </x:c>
      <x:c r="J1572" s="70" t="n">
        <x:v>205</x:v>
      </x:c>
      <x:c r="K1572" s="70" t="s">
        <x:v>2529</x:v>
      </x:c>
      <x:c r="L1572" s="70"/>
      <x:c r="M1572" s="70" t="s">
        <x:v>40</x:v>
      </x:c>
      <x:c r="N1572" s="71" t="n">
        <x:v>-7569161</x:v>
      </x:c>
      <x:c r="O1572" s="72" t="n">
        <x:f aca="0">N1572/1000</x:f>
        <x:v>-7569.161</x:v>
      </x:c>
      <x:c r="P1572" s="73" t="n">
        <x:f aca="0">MLCF!H123</x:f>
        <x:v>-7569.161</x:v>
      </x:c>
      <x:c r="Q1572" s="70" t="str">
        <x:f aca="0">IF(ABS(O1572-P1572)&lt;0.000001,"PASS","FAIL")</x:f>
        <x:v>PASS</x:v>
      </x:c>
      <x:c r="R1572" s="70" t="s">
        <x:v>34</x:v>
      </x:c>
      <x:c r="S1572" s="70"/>
    </x:row>
    <x:row r="1573" ht="15" hidden="0">
      <x:c r="A1573" s="70" t="s">
        <x:v>2950</x:v>
      </x:c>
      <x:c r="B1573" s="70" t="s">
        <x:v>42</x:v>
      </x:c>
      <x:c r="C1573" s="70" t="s">
        <x:v>73</x:v>
      </x:c>
      <x:c r="D1573" s="70" t="s">
        <x:v>491</x:v>
      </x:c>
      <x:c r="E1573" s="70" t="s">
        <x:v>172</x:v>
      </x:c>
      <x:c r="F1573" s="70" t="s">
        <x:v>1619</x:v>
      </x:c>
      <x:c r="G1573" s="70" t="s">
        <x:v>1666</x:v>
      </x:c>
      <x:c r="H1573" s="70" t="s">
        <x:v>1204</x:v>
      </x:c>
      <x:c r="I1573" s="70" t="s">
        <x:v>1199</x:v>
      </x:c>
      <x:c r="J1573" s="70" t="n">
        <x:v>187</x:v>
      </x:c>
      <x:c r="K1573" s="70" t="s">
        <x:v>2128</x:v>
      </x:c>
      <x:c r="L1573" s="70"/>
      <x:c r="M1573" s="70" t="s">
        <x:v>40</x:v>
      </x:c>
      <x:c r="N1573" s="71" t="n">
        <x:v>-19919</x:v>
      </x:c>
      <x:c r="O1573" s="72" t="n">
        <x:f aca="0">N1573/1000</x:f>
        <x:v>-19.919</x:v>
      </x:c>
      <x:c r="P1573" s="73" t="n">
        <x:f aca="0">MLCF!D124</x:f>
        <x:v>-19.919</x:v>
      </x:c>
      <x:c r="Q1573" s="70" t="str">
        <x:f aca="0">IF(ABS(O1573-P1573)&lt;0.000001,"PASS","FAIL")</x:f>
        <x:v>PASS</x:v>
      </x:c>
      <x:c r="R1573" s="70" t="s">
        <x:v>34</x:v>
      </x:c>
      <x:c r="S1573" s="70"/>
    </x:row>
    <x:row r="1574" ht="15" hidden="0">
      <x:c r="A1574" s="70" t="s">
        <x:v>2951</x:v>
      </x:c>
      <x:c r="B1574" s="70" t="s">
        <x:v>42</x:v>
      </x:c>
      <x:c r="C1574" s="70" t="s">
        <x:v>74</x:v>
      </x:c>
      <x:c r="D1574" s="70" t="s">
        <x:v>491</x:v>
      </x:c>
      <x:c r="E1574" s="70" t="s">
        <x:v>172</x:v>
      </x:c>
      <x:c r="F1574" s="70" t="s">
        <x:v>1619</x:v>
      </x:c>
      <x:c r="G1574" s="70" t="s">
        <x:v>1669</x:v>
      </x:c>
      <x:c r="H1574" s="70" t="s">
        <x:v>1208</x:v>
      </x:c>
      <x:c r="I1574" s="70" t="s">
        <x:v>1199</x:v>
      </x:c>
      <x:c r="J1574" s="70" t="n">
        <x:v>196</x:v>
      </x:c>
      <x:c r="K1574" s="70" t="s">
        <x:v>1200</x:v>
      </x:c>
      <x:c r="L1574" s="70"/>
      <x:c r="M1574" s="70" t="s">
        <x:v>40</x:v>
      </x:c>
      <x:c r="N1574" s="71" t="n">
        <x:v>-565</x:v>
      </x:c>
      <x:c r="O1574" s="72" t="n">
        <x:f aca="0">N1574/1000</x:f>
        <x:v>-0.565</x:v>
      </x:c>
      <x:c r="P1574" s="73" t="n">
        <x:f aca="0">MLCF!E124</x:f>
        <x:v>-0.565</x:v>
      </x:c>
      <x:c r="Q1574" s="70" t="str">
        <x:f aca="0">IF(ABS(O1574-P1574)&lt;0.000001,"PASS","FAIL")</x:f>
        <x:v>PASS</x:v>
      </x:c>
      <x:c r="R1574" s="70" t="s">
        <x:v>34</x:v>
      </x:c>
      <x:c r="S1574" s="70"/>
    </x:row>
    <x:row r="1575" ht="15" hidden="0">
      <x:c r="A1575" s="70" t="s">
        <x:v>2952</x:v>
      </x:c>
      <x:c r="B1575" s="70" t="s">
        <x:v>42</x:v>
      </x:c>
      <x:c r="C1575" s="70" t="s">
        <x:v>75</x:v>
      </x:c>
      <x:c r="D1575" s="70" t="s">
        <x:v>491</x:v>
      </x:c>
      <x:c r="E1575" s="70" t="s">
        <x:v>172</x:v>
      </x:c>
      <x:c r="F1575" s="70" t="s">
        <x:v>1619</x:v>
      </x:c>
      <x:c r="G1575" s="70" t="s">
        <x:v>1672</x:v>
      </x:c>
      <x:c r="H1575" s="70" t="s">
        <x:v>1211</x:v>
      </x:c>
      <x:c r="I1575" s="70" t="s">
        <x:v>1199</x:v>
      </x:c>
      <x:c r="J1575" s="70" t="n">
        <x:v>193</x:v>
      </x:c>
      <x:c r="K1575" s="70" t="s">
        <x:v>2913</x:v>
      </x:c>
      <x:c r="L1575" s="70"/>
      <x:c r="M1575" s="70" t="s">
        <x:v>40</x:v>
      </x:c>
      <x:c r="N1575" s="71" t="n">
        <x:v>-191</x:v>
      </x:c>
      <x:c r="O1575" s="72" t="n">
        <x:f aca="0">N1575/1000</x:f>
        <x:v>-0.191</x:v>
      </x:c>
      <x:c r="P1575" s="73" t="n">
        <x:f aca="0">MLCF!F124</x:f>
        <x:v>-0.191</x:v>
      </x:c>
      <x:c r="Q1575" s="70" t="str">
        <x:f aca="0">IF(ABS(O1575-P1575)&lt;0.000001,"PASS","FAIL")</x:f>
        <x:v>PASS</x:v>
      </x:c>
      <x:c r="R1575" s="70" t="s">
        <x:v>34</x:v>
      </x:c>
      <x:c r="S1575" s="70"/>
    </x:row>
    <x:row r="1576" ht="15" hidden="0">
      <x:c r="A1576" s="70" t="s">
        <x:v>2953</x:v>
      </x:c>
      <x:c r="B1576" s="70" t="s">
        <x:v>42</x:v>
      </x:c>
      <x:c r="C1576" s="70" t="s">
        <x:v>76</x:v>
      </x:c>
      <x:c r="D1576" s="70" t="s">
        <x:v>491</x:v>
      </x:c>
      <x:c r="E1576" s="70" t="s">
        <x:v>172</x:v>
      </x:c>
      <x:c r="F1576" s="70" t="s">
        <x:v>1619</x:v>
      </x:c>
      <x:c r="G1576" s="70" t="s">
        <x:v>1675</x:v>
      </x:c>
      <x:c r="H1576" s="70" t="s">
        <x:v>1215</x:v>
      </x:c>
      <x:c r="I1576" s="70" t="s">
        <x:v>1199</x:v>
      </x:c>
      <x:c r="J1576" s="70" t="n">
        <x:v>205</x:v>
      </x:c>
      <x:c r="K1576" s="70" t="s">
        <x:v>2529</x:v>
      </x:c>
      <x:c r="L1576" s="70"/>
      <x:c r="M1576" s="70" t="s">
        <x:v>40</x:v>
      </x:c>
      <x:c r="N1576" s="71" t="n">
        <x:v>-122</x:v>
      </x:c>
      <x:c r="O1576" s="72" t="n">
        <x:f aca="0">N1576/1000</x:f>
        <x:v>-0.122</x:v>
      </x:c>
      <x:c r="P1576" s="73" t="n">
        <x:f aca="0">MLCF!G124</x:f>
        <x:v>-0.122</x:v>
      </x:c>
      <x:c r="Q1576" s="70" t="str">
        <x:f aca="0">IF(ABS(O1576-P1576)&lt;0.000001,"PASS","FAIL")</x:f>
        <x:v>PASS</x:v>
      </x:c>
      <x:c r="R1576" s="70" t="s">
        <x:v>34</x:v>
      </x:c>
      <x:c r="S1576" s="70"/>
    </x:row>
    <x:row r="1577" ht="15" hidden="0">
      <x:c r="A1577" s="70" t="s">
        <x:v>2954</x:v>
      </x:c>
      <x:c r="B1577" s="70" t="s">
        <x:v>42</x:v>
      </x:c>
      <x:c r="C1577" s="70" t="s">
        <x:v>77</x:v>
      </x:c>
      <x:c r="D1577" s="70" t="s">
        <x:v>491</x:v>
      </x:c>
      <x:c r="E1577" s="70" t="s">
        <x:v>172</x:v>
      </x:c>
      <x:c r="F1577" s="70" t="s">
        <x:v>1619</x:v>
      </x:c>
      <x:c r="G1577" s="70" t="s">
        <x:v>1675</x:v>
      </x:c>
      <x:c r="H1577" s="70" t="s">
        <x:v>1215</x:v>
      </x:c>
      <x:c r="I1577" s="70" t="s">
        <x:v>1218</x:v>
      </x:c>
      <x:c r="J1577" s="70" t="n">
        <x:v>205</x:v>
      </x:c>
      <x:c r="K1577" s="70" t="s">
        <x:v>2529</x:v>
      </x:c>
      <x:c r="L1577" s="70"/>
      <x:c r="M1577" s="70" t="s">
        <x:v>40</x:v>
      </x:c>
      <x:c r="N1577" s="71" t="n">
        <x:v>-379</x:v>
      </x:c>
      <x:c r="O1577" s="72" t="n">
        <x:f aca="0">N1577/1000</x:f>
        <x:v>-0.379</x:v>
      </x:c>
      <x:c r="P1577" s="73" t="n">
        <x:f aca="0">MLCF!H124</x:f>
        <x:v>-0.379</x:v>
      </x:c>
      <x:c r="Q1577" s="70" t="str">
        <x:f aca="0">IF(ABS(O1577-P1577)&lt;0.000001,"PASS","FAIL")</x:f>
        <x:v>PASS</x:v>
      </x:c>
      <x:c r="R1577" s="70" t="s">
        <x:v>34</x:v>
      </x:c>
      <x:c r="S1577" s="70"/>
    </x:row>
    <x:row r="1578" ht="15" hidden="0">
      <x:c r="A1578" s="70" t="s">
        <x:v>2955</x:v>
      </x:c>
      <x:c r="B1578" s="70" t="s">
        <x:v>42</x:v>
      </x:c>
      <x:c r="C1578" s="70" t="s">
        <x:v>73</x:v>
      </x:c>
      <x:c r="D1578" s="70" t="s">
        <x:v>494</x:v>
      </x:c>
      <x:c r="E1578" s="70" t="s">
        <x:v>1221</x:v>
      </x:c>
      <x:c r="F1578" s="70" t="s">
        <x:v>1625</x:v>
      </x:c>
      <x:c r="G1578" s="70" t="s">
        <x:v>1663</x:v>
      </x:c>
      <x:c r="H1578" s="70" t="s">
        <x:v>1198</x:v>
      </x:c>
      <x:c r="I1578" s="70" t="s">
        <x:v>1218</x:v>
      </x:c>
      <x:c r="J1578" s="70" t="n">
        <x:v>222</x:v>
      </x:c>
      <x:c r="K1578" s="70" t="s">
        <x:v>2956</x:v>
      </x:c>
      <x:c r="L1578" s="70"/>
      <x:c r="M1578" s="70" t="s">
        <x:v>158</x:v>
      </x:c>
      <x:c r="N1578" s="70" t="n">
        <x:v>10</x:v>
      </x:c>
      <x:c r="O1578" s="70" t="n">
        <x:f aca="0">N1578</x:f>
        <x:v>10</x:v>
      </x:c>
      <x:c r="P1578" s="74" t="n">
        <x:f aca="0">MLCF!D127</x:f>
        <x:v>10</x:v>
      </x:c>
      <x:c r="Q1578" s="70" t="str">
        <x:f aca="0">IF(ABS(O1578-P1578)&lt;0.000001,"PASS","FAIL")</x:f>
        <x:v>PASS</x:v>
      </x:c>
      <x:c r="R1578" s="70" t="s">
        <x:v>34</x:v>
      </x:c>
      <x:c r="S1578" s="70" t="str">
        <x:v>Verified FY-end share basis; see Share Basis and Corporate Actions for source excerpts and normalization. Original source metadata superseded where the basis changed.</x:v>
      </x:c>
    </x:row>
    <x:row r="1579" ht="15" hidden="0">
      <x:c r="A1579" s="70" t="s">
        <x:v>2957</x:v>
      </x:c>
      <x:c r="B1579" s="70" t="s">
        <x:v>42</x:v>
      </x:c>
      <x:c r="C1579" s="70" t="s">
        <x:v>74</x:v>
      </x:c>
      <x:c r="D1579" s="70" t="s">
        <x:v>494</x:v>
      </x:c>
      <x:c r="E1579" s="70" t="s">
        <x:v>1221</x:v>
      </x:c>
      <x:c r="F1579" s="70" t="s">
        <x:v>1625</x:v>
      </x:c>
      <x:c r="G1579" s="70" t="s">
        <x:v>1666</x:v>
      </x:c>
      <x:c r="H1579" s="70" t="s">
        <x:v>1204</x:v>
      </x:c>
      <x:c r="I1579" s="70" t="s">
        <x:v>1218</x:v>
      </x:c>
      <x:c r="J1579" s="70" t="n">
        <x:v>244</x:v>
      </x:c>
      <x:c r="K1579" s="70" t="s">
        <x:v>1682</x:v>
      </x:c>
      <x:c r="L1579" s="70"/>
      <x:c r="M1579" s="70" t="s">
        <x:v>158</x:v>
      </x:c>
      <x:c r="N1579" s="70" t="n">
        <x:v>10</x:v>
      </x:c>
      <x:c r="O1579" s="70" t="n">
        <x:f aca="0">N1579</x:f>
        <x:v>10</x:v>
      </x:c>
      <x:c r="P1579" s="74" t="n">
        <x:f aca="0">MLCF!E127</x:f>
        <x:v>10</x:v>
      </x:c>
      <x:c r="Q1579" s="70" t="str">
        <x:f aca="0">IF(ABS(O1579-P1579)&lt;0.000001,"PASS","FAIL")</x:f>
        <x:v>PASS</x:v>
      </x:c>
      <x:c r="R1579" s="70" t="s">
        <x:v>34</x:v>
      </x:c>
      <x:c r="S1579" s="70" t="str">
        <x:v>Verified FY-end share basis; see Share Basis and Corporate Actions for source excerpts and normalization. Original source metadata superseded where the basis changed.</x:v>
      </x:c>
    </x:row>
    <x:row r="1580" ht="15" hidden="0">
      <x:c r="A1580" s="70" t="s">
        <x:v>2958</x:v>
      </x:c>
      <x:c r="B1580" s="70" t="s">
        <x:v>42</x:v>
      </x:c>
      <x:c r="C1580" s="70" t="s">
        <x:v>75</x:v>
      </x:c>
      <x:c r="D1580" s="70" t="s">
        <x:v>494</x:v>
      </x:c>
      <x:c r="E1580" s="70" t="s">
        <x:v>1221</x:v>
      </x:c>
      <x:c r="F1580" s="70" t="s">
        <x:v>1625</x:v>
      </x:c>
      <x:c r="G1580" s="70" t="s">
        <x:v>1672</x:v>
      </x:c>
      <x:c r="H1580" s="70" t="s">
        <x:v>1211</x:v>
      </x:c>
      <x:c r="I1580" s="70" t="s">
        <x:v>1199</x:v>
      </x:c>
      <x:c r="J1580" s="70" t="n">
        <x:v>251</x:v>
      </x:c>
      <x:c r="K1580" s="70" t="s">
        <x:v>1686</x:v>
      </x:c>
      <x:c r="L1580" s="70"/>
      <x:c r="M1580" s="70" t="s">
        <x:v>158</x:v>
      </x:c>
      <x:c r="N1580" s="70" t="n">
        <x:v>10</x:v>
      </x:c>
      <x:c r="O1580" s="70" t="n">
        <x:f aca="0">N1580</x:f>
        <x:v>10</x:v>
      </x:c>
      <x:c r="P1580" s="74" t="n">
        <x:f aca="0">MLCF!F127</x:f>
        <x:v>10</x:v>
      </x:c>
      <x:c r="Q1580" s="70" t="str">
        <x:f aca="0">IF(ABS(O1580-P1580)&lt;0.000001,"PASS","FAIL")</x:f>
        <x:v>PASS</x:v>
      </x:c>
      <x:c r="R1580" s="70" t="s">
        <x:v>34</x:v>
      </x:c>
      <x:c r="S1580" s="70" t="str">
        <x:v>Verified FY-end share basis; see Share Basis and Corporate Actions for source excerpts and normalization. Original source metadata superseded where the basis changed.</x:v>
      </x:c>
    </x:row>
    <x:row r="1581" ht="15" hidden="0">
      <x:c r="A1581" s="70" t="s">
        <x:v>2959</x:v>
      </x:c>
      <x:c r="B1581" s="70" t="s">
        <x:v>42</x:v>
      </x:c>
      <x:c r="C1581" s="70" t="s">
        <x:v>76</x:v>
      </x:c>
      <x:c r="D1581" s="70" t="s">
        <x:v>494</x:v>
      </x:c>
      <x:c r="E1581" s="70" t="s">
        <x:v>1221</x:v>
      </x:c>
      <x:c r="F1581" s="70" t="s">
        <x:v>1625</x:v>
      </x:c>
      <x:c r="G1581" s="70" t="s">
        <x:v>1672</x:v>
      </x:c>
      <x:c r="H1581" s="70" t="s">
        <x:v>1211</x:v>
      </x:c>
      <x:c r="I1581" s="70" t="s">
        <x:v>1218</x:v>
      </x:c>
      <x:c r="J1581" s="70" t="n">
        <x:v>251</x:v>
      </x:c>
      <x:c r="K1581" s="70" t="s">
        <x:v>1686</x:v>
      </x:c>
      <x:c r="L1581" s="70"/>
      <x:c r="M1581" s="70" t="s">
        <x:v>158</x:v>
      </x:c>
      <x:c r="N1581" s="70" t="n">
        <x:v>10</x:v>
      </x:c>
      <x:c r="O1581" s="70" t="n">
        <x:f aca="0">N1581</x:f>
        <x:v>10</x:v>
      </x:c>
      <x:c r="P1581" s="74" t="n">
        <x:f aca="0">MLCF!G127</x:f>
        <x:v>10</x:v>
      </x:c>
      <x:c r="Q1581" s="70" t="str">
        <x:f aca="0">IF(ABS(O1581-P1581)&lt;0.000001,"PASS","FAIL")</x:f>
        <x:v>PASS</x:v>
      </x:c>
      <x:c r="R1581" s="70" t="s">
        <x:v>34</x:v>
      </x:c>
      <x:c r="S1581" s="70" t="str">
        <x:v>Verified FY-end share basis; see Share Basis and Corporate Actions for source excerpts and normalization. Original source metadata superseded where the basis changed.</x:v>
      </x:c>
    </x:row>
    <x:row r="1582" ht="15" hidden="0">
      <x:c r="A1582" s="70" t="s">
        <x:v>2960</x:v>
      </x:c>
      <x:c r="B1582" s="70" t="s">
        <x:v>42</x:v>
      </x:c>
      <x:c r="C1582" s="70" t="s">
        <x:v>77</x:v>
      </x:c>
      <x:c r="D1582" s="70" t="s">
        <x:v>494</x:v>
      </x:c>
      <x:c r="E1582" s="70" t="s">
        <x:v>1221</x:v>
      </x:c>
      <x:c r="F1582" s="70" t="s">
        <x:v>1625</x:v>
      </x:c>
      <x:c r="G1582" s="70" t="s">
        <x:v>1675</x:v>
      </x:c>
      <x:c r="H1582" s="70" t="s">
        <x:v>1215</x:v>
      </x:c>
      <x:c r="I1582" s="70" t="s">
        <x:v>1218</x:v>
      </x:c>
      <x:c r="J1582" s="70" t="n">
        <x:v>267</x:v>
      </x:c>
      <x:c r="K1582" s="70" t="s">
        <x:v>2961</x:v>
      </x:c>
      <x:c r="L1582" s="70"/>
      <x:c r="M1582" s="70" t="s">
        <x:v>158</x:v>
      </x:c>
      <x:c r="N1582" s="70" t="n">
        <x:v>10</x:v>
      </x:c>
      <x:c r="O1582" s="70" t="n">
        <x:f aca="0">N1582</x:f>
        <x:v>10</x:v>
      </x:c>
      <x:c r="P1582" s="74" t="n">
        <x:f aca="0">MLCF!H127</x:f>
        <x:v>10</x:v>
      </x:c>
      <x:c r="Q1582" s="70" t="str">
        <x:f aca="0">IF(ABS(O1582-P1582)&lt;0.000001,"PASS","FAIL")</x:f>
        <x:v>PASS</x:v>
      </x:c>
      <x:c r="R1582" s="70" t="s">
        <x:v>34</x:v>
      </x:c>
      <x:c r="S1582" s="70" t="str">
        <x:v>Verified FY-end share basis; see Share Basis and Corporate Actions for source excerpts and normalization. Original source metadata superseded where the basis changed.</x:v>
      </x:c>
    </x:row>
    <x:row r="1583" ht="15" hidden="0">
      <x:c r="A1583" s="70" t="s">
        <x:v>2962</x:v>
      </x:c>
      <x:c r="B1583" s="70" t="s">
        <x:v>42</x:v>
      </x:c>
      <x:c r="C1583" s="70" t="s">
        <x:v>73</x:v>
      </x:c>
      <x:c r="D1583" s="70" t="s">
        <x:v>499</x:v>
      </x:c>
      <x:c r="E1583" s="70" t="s">
        <x:v>1221</x:v>
      </x:c>
      <x:c r="F1583" s="70" t="s">
        <x:v>1632</x:v>
      </x:c>
      <x:c r="G1583" s="70" t="str">
        <x:v>2021.pdf</x:v>
      </x:c>
      <x:c r="H1583" s="70" t="s">
        <x:v>1198</x:v>
      </x:c>
      <x:c r="I1583" s="70" t="s">
        <x:v>1218</x:v>
      </x:c>
      <x:c r="J1583" s="70" t="n">
        <x:v>222</x:v>
      </x:c>
      <x:c r="K1583" s="70" t="s">
        <x:v>2956</x:v>
      </x:c>
      <x:c r="L1583" s="70"/>
      <x:c r="M1583" s="70" t="s">
        <x:v>498</x:v>
      </x:c>
      <x:c r="N1583" s="70" t="n">
        <x:v>1098.346</x:v>
      </x:c>
      <x:c r="O1583" s="70" t="n">
        <x:f aca="0">N1583</x:f>
        <x:v>1098.346</x:v>
      </x:c>
      <x:c r="P1583" s="72" t="n">
        <x:f aca="0">MLCF!D129</x:f>
        <x:v>1098.346</x:v>
      </x:c>
      <x:c r="Q1583" s="70" t="str">
        <x:f aca="0">IF(ABS(O1583-P1583)&lt;0.000001,"PASS","FAIL")</x:f>
        <x:v>PASS</x:v>
      </x:c>
      <x:c r="R1583" s="70" t="s">
        <x:v>34</x:v>
      </x:c>
      <x:c r="S1583" s="70" t="str">
        <x:v>Verified FY-end share basis; see Share Basis and Corporate Actions for source excerpts and normalization. Original source metadata superseded where the basis changed.</x:v>
      </x:c>
    </x:row>
    <x:row r="1584" ht="15" hidden="0">
      <x:c r="A1584" s="70" t="s">
        <x:v>2963</x:v>
      </x:c>
      <x:c r="B1584" s="70" t="s">
        <x:v>42</x:v>
      </x:c>
      <x:c r="C1584" s="70" t="s">
        <x:v>74</x:v>
      </x:c>
      <x:c r="D1584" s="70" t="s">
        <x:v>499</x:v>
      </x:c>
      <x:c r="E1584" s="70" t="s">
        <x:v>1221</x:v>
      </x:c>
      <x:c r="F1584" s="70" t="s">
        <x:v>1632</x:v>
      </x:c>
      <x:c r="G1584" s="70" t="str">
        <x:v>2022.pdf</x:v>
      </x:c>
      <x:c r="H1584" s="70" t="s">
        <x:v>1204</x:v>
      </x:c>
      <x:c r="I1584" s="70" t="s">
        <x:v>1218</x:v>
      </x:c>
      <x:c r="J1584" s="70" t="n">
        <x:v>244</x:v>
      </x:c>
      <x:c r="K1584" s="70" t="s">
        <x:v>1682</x:v>
      </x:c>
      <x:c r="L1584" s="70"/>
      <x:c r="M1584" s="70" t="s">
        <x:v>498</x:v>
      </x:c>
      <x:c r="N1584" s="70" t="n">
        <x:v>1097.524</x:v>
      </x:c>
      <x:c r="O1584" s="70" t="n">
        <x:f aca="0">N1584</x:f>
        <x:v>1097.524</x:v>
      </x:c>
      <x:c r="P1584" s="72" t="n">
        <x:f aca="0">MLCF!E129</x:f>
        <x:v>1097.524</x:v>
      </x:c>
      <x:c r="Q1584" s="70" t="str">
        <x:f aca="0">IF(ABS(O1584-P1584)&lt;0.000001,"PASS","FAIL")</x:f>
        <x:v>PASS</x:v>
      </x:c>
      <x:c r="R1584" s="70" t="s">
        <x:v>34</x:v>
      </x:c>
      <x:c r="S1584" s="70" t="str">
        <x:v>Verified FY-end share basis; see Share Basis and Corporate Actions for source excerpts and normalization. Original source metadata superseded where the basis changed.</x:v>
      </x:c>
    </x:row>
    <x:row r="1585" ht="15" hidden="0">
      <x:c r="A1585" s="70" t="s">
        <x:v>2964</x:v>
      </x:c>
      <x:c r="B1585" s="70" t="s">
        <x:v>42</x:v>
      </x:c>
      <x:c r="C1585" s="70" t="s">
        <x:v>75</x:v>
      </x:c>
      <x:c r="D1585" s="70" t="s">
        <x:v>499</x:v>
      </x:c>
      <x:c r="E1585" s="70" t="s">
        <x:v>1221</x:v>
      </x:c>
      <x:c r="F1585" s="70" t="s">
        <x:v>1632</x:v>
      </x:c>
      <x:c r="G1585" s="70" t="str">
        <x:v>2023.pdf</x:v>
      </x:c>
      <x:c r="H1585" s="70" t="s">
        <x:v>1211</x:v>
      </x:c>
      <x:c r="I1585" s="70" t="s">
        <x:v>1199</x:v>
      </x:c>
      <x:c r="J1585" s="70" t="n">
        <x:v>129</x:v>
      </x:c>
      <x:c r="K1585" s="70" t="s">
        <x:v>1686</x:v>
      </x:c>
      <x:c r="L1585" s="70"/>
      <x:c r="M1585" s="70" t="s">
        <x:v>498</x:v>
      </x:c>
      <x:c r="N1585" s="70" t="n">
        <x:v>1073.405</x:v>
      </x:c>
      <x:c r="O1585" s="70" t="n">
        <x:f aca="0">N1585</x:f>
        <x:v>1073.405</x:v>
      </x:c>
      <x:c r="P1585" s="72" t="n">
        <x:f aca="0">MLCF!F129</x:f>
        <x:v>1073.405</x:v>
      </x:c>
      <x:c r="Q1585" s="70" t="str">
        <x:f aca="0">IF(ABS(O1585-P1585)&lt;0.000001,"PASS","FAIL")</x:f>
        <x:v>PASS</x:v>
      </x:c>
      <x:c r="R1585" s="70" t="s">
        <x:v>34</x:v>
      </x:c>
      <x:c r="S1585" s="70" t="str">
        <x:v>Verified FY-end share basis; see Share Basis and Corporate Actions for source excerpts and normalization. Original source metadata superseded where the basis changed.</x:v>
      </x:c>
    </x:row>
    <x:row r="1586" ht="15" hidden="0">
      <x:c r="A1586" s="70" t="s">
        <x:v>2965</x:v>
      </x:c>
      <x:c r="B1586" s="70" t="s">
        <x:v>42</x:v>
      </x:c>
      <x:c r="C1586" s="70" t="s">
        <x:v>76</x:v>
      </x:c>
      <x:c r="D1586" s="70" t="s">
        <x:v>499</x:v>
      </x:c>
      <x:c r="E1586" s="70" t="s">
        <x:v>1221</x:v>
      </x:c>
      <x:c r="F1586" s="70" t="s">
        <x:v>1632</x:v>
      </x:c>
      <x:c r="G1586" s="70" t="str">
        <x:v>2024.pdf</x:v>
      </x:c>
      <x:c r="H1586" s="70" t="s">
        <x:v>1211</x:v>
      </x:c>
      <x:c r="I1586" s="70" t="s">
        <x:v>1218</x:v>
      </x:c>
      <x:c r="J1586" s="70" t="n">
        <x:v>251</x:v>
      </x:c>
      <x:c r="K1586" s="70" t="s">
        <x:v>1686</x:v>
      </x:c>
      <x:c r="L1586" s="70"/>
      <x:c r="M1586" s="70" t="s">
        <x:v>498</x:v>
      </x:c>
      <x:c r="N1586" s="70" t="n">
        <x:v>1058.911</x:v>
      </x:c>
      <x:c r="O1586" s="70" t="n">
        <x:f aca="0">N1586</x:f>
        <x:v>1058.911</x:v>
      </x:c>
      <x:c r="P1586" s="72" t="n">
        <x:f aca="0">MLCF!G129</x:f>
        <x:v>1058.911</x:v>
      </x:c>
      <x:c r="Q1586" s="70" t="str">
        <x:f aca="0">IF(ABS(O1586-P1586)&lt;0.000001,"PASS","FAIL")</x:f>
        <x:v>PASS</x:v>
      </x:c>
      <x:c r="R1586" s="70" t="s">
        <x:v>34</x:v>
      </x:c>
      <x:c r="S1586" s="70" t="str">
        <x:v>Verified FY-end share basis; see Share Basis and Corporate Actions for source excerpts and normalization. Original source metadata superseded where the basis changed.</x:v>
      </x:c>
    </x:row>
    <x:row r="1587" ht="15" hidden="0">
      <x:c r="A1587" s="70" t="s">
        <x:v>2966</x:v>
      </x:c>
      <x:c r="B1587" s="70" t="s">
        <x:v>42</x:v>
      </x:c>
      <x:c r="C1587" s="70" t="s">
        <x:v>77</x:v>
      </x:c>
      <x:c r="D1587" s="70" t="s">
        <x:v>499</x:v>
      </x:c>
      <x:c r="E1587" s="70" t="s">
        <x:v>1221</x:v>
      </x:c>
      <x:c r="F1587" s="70" t="s">
        <x:v>1632</x:v>
      </x:c>
      <x:c r="G1587" s="70" t="str">
        <x:v>2025.pdf</x:v>
      </x:c>
      <x:c r="H1587" s="70" t="s">
        <x:v>1215</x:v>
      </x:c>
      <x:c r="I1587" s="70" t="s">
        <x:v>1218</x:v>
      </x:c>
      <x:c r="J1587" s="70" t="n">
        <x:v>267</x:v>
      </x:c>
      <x:c r="K1587" s="70" t="s">
        <x:v>2961</x:v>
      </x:c>
      <x:c r="L1587" s="70"/>
      <x:c r="M1587" s="70" t="s">
        <x:v>498</x:v>
      </x:c>
      <x:c r="N1587" s="70" t="n">
        <x:v>1047.563</x:v>
      </x:c>
      <x:c r="O1587" s="70" t="n">
        <x:f aca="0">N1587</x:f>
        <x:v>1047.563</x:v>
      </x:c>
      <x:c r="P1587" s="72" t="n">
        <x:f aca="0">MLCF!H129</x:f>
        <x:v>1047.563</x:v>
      </x:c>
      <x:c r="Q1587" s="70" t="str">
        <x:f aca="0">IF(ABS(O1587-P1587)&lt;0.000001,"PASS","FAIL")</x:f>
        <x:v>PASS</x:v>
      </x:c>
      <x:c r="R1587" s="70" t="s">
        <x:v>34</x:v>
      </x:c>
      <x:c r="S1587" s="70" t="str">
        <x:v>Verified FY-end share basis; see Share Basis and Corporate Actions for source excerpts and normalization. Original source metadata superseded where the basis changed.</x:v>
      </x:c>
    </x:row>
    <x:row r="1588" ht="15" hidden="0">
      <x:c r="A1588" s="70" t="s">
        <x:v>2967</x:v>
      </x:c>
      <x:c r="B1588" s="70" t="s">
        <x:v>42</x:v>
      </x:c>
      <x:c r="C1588" s="70" t="s">
        <x:v>73</x:v>
      </x:c>
      <x:c r="D1588" s="70" t="str">
        <x:v>Actual FY-end closing price (Rs; unadjusted)</x:v>
      </x:c>
      <x:c r="E1588" s="70" t="s">
        <x:v>1221</x:v>
      </x:c>
      <x:c r="F1588" s="70" t="str">
        <x:v>Official PSX historical CLOSE column</x:v>
      </x:c>
      <x:c r="G1588" s="70" t="str">
        <x:v>PSX historical response; hash and raw row on Price Evidence</x:v>
      </x:c>
      <x:c r="H1588" s="70" t="str">
        <x:v>https://dps.psx.com.pk/historical</x:v>
      </x:c>
      <x:c r="I1588" s="70" t="str">
        <x:v>POST date=2021-06-30</x:v>
      </x:c>
      <x:c r="J1588" s="70"/>
      <x:c r="K1588" s="70"/>
      <x:c r="L1588" s="70"/>
      <x:c r="M1588" s="70" t="s">
        <x:v>158</x:v>
      </x:c>
      <x:c r="N1588" s="70" t="n">
        <x:v>46.98</x:v>
      </x:c>
      <x:c r="O1588" s="70" t="n">
        <x:f aca="0">N1588</x:f>
        <x:v>46.98</x:v>
      </x:c>
      <x:c r="P1588" s="74" t="n">
        <x:f aca="0">MLCF!D130</x:f>
        <x:v>46.98</x:v>
      </x:c>
      <x:c r="Q1588" s="70" t="str">
        <x:f aca="0">IF(ABS(O1588-P1588)&lt;0.000001,"PASS","FAIL")</x:f>
        <x:v>PASS</x:v>
      </x:c>
      <x:c r="R1588" s="70" t="s">
        <x:v>34</x:v>
      </x:c>
      <x:c r="S1588" s="70" t="str">
        <x:v>Unadjusted traded close. No split factor applied to PSX price. Original report figure and date evidence preserved on PSX Prices / Price Evidence.</x:v>
      </x:c>
    </x:row>
    <x:row r="1589" ht="15" hidden="0">
      <x:c r="A1589" s="70" t="s">
        <x:v>2968</x:v>
      </x:c>
      <x:c r="B1589" s="70" t="s">
        <x:v>42</x:v>
      </x:c>
      <x:c r="C1589" s="70" t="s">
        <x:v>74</x:v>
      </x:c>
      <x:c r="D1589" s="70" t="str">
        <x:v>Actual FY-end closing price (Rs; unadjusted)</x:v>
      </x:c>
      <x:c r="E1589" s="70" t="s">
        <x:v>1221</x:v>
      </x:c>
      <x:c r="F1589" s="70" t="str">
        <x:v>Official PSX historical CLOSE column</x:v>
      </x:c>
      <x:c r="G1589" s="70" t="str">
        <x:v>PSX historical response; hash and raw row on Price Evidence</x:v>
      </x:c>
      <x:c r="H1589" s="70" t="str">
        <x:v>https://dps.psx.com.pk/historical</x:v>
      </x:c>
      <x:c r="I1589" s="70" t="str">
        <x:v>POST date=2022-06-30</x:v>
      </x:c>
      <x:c r="J1589" s="70"/>
      <x:c r="K1589" s="70"/>
      <x:c r="L1589" s="70"/>
      <x:c r="M1589" s="70" t="s">
        <x:v>158</x:v>
      </x:c>
      <x:c r="N1589" s="70" t="n">
        <x:v>27.35</x:v>
      </x:c>
      <x:c r="O1589" s="70" t="n">
        <x:f aca="0">N1589</x:f>
        <x:v>27.35</x:v>
      </x:c>
      <x:c r="P1589" s="74" t="n">
        <x:f aca="0">MLCF!E130</x:f>
        <x:v>27.35</x:v>
      </x:c>
      <x:c r="Q1589" s="70" t="str">
        <x:f aca="0">IF(ABS(O1589-P1589)&lt;0.000001,"PASS","FAIL")</x:f>
        <x:v>PASS</x:v>
      </x:c>
      <x:c r="R1589" s="70" t="s">
        <x:v>34</x:v>
      </x:c>
      <x:c r="S1589" s="70" t="str">
        <x:v>Unadjusted traded close. No split factor applied to PSX price. Original report figure and date evidence preserved on PSX Prices / Price Evidence.</x:v>
      </x:c>
    </x:row>
    <x:row r="1590" ht="15" hidden="0">
      <x:c r="A1590" s="70" t="s">
        <x:v>2969</x:v>
      </x:c>
      <x:c r="B1590" s="70" t="s">
        <x:v>42</x:v>
      </x:c>
      <x:c r="C1590" s="70" t="s">
        <x:v>75</x:v>
      </x:c>
      <x:c r="D1590" s="70" t="str">
        <x:v>Actual FY-end closing price (Rs; unadjusted)</x:v>
      </x:c>
      <x:c r="E1590" s="70" t="s">
        <x:v>1221</x:v>
      </x:c>
      <x:c r="F1590" s="70" t="str">
        <x:v>Official PSX historical CLOSE column</x:v>
      </x:c>
      <x:c r="G1590" s="70" t="str">
        <x:v>PSX historical response; hash and raw row on Price Evidence</x:v>
      </x:c>
      <x:c r="H1590" s="70" t="str">
        <x:v>https://dps.psx.com.pk/historical</x:v>
      </x:c>
      <x:c r="I1590" s="70" t="str">
        <x:v>POST date=2023-06-27</x:v>
      </x:c>
      <x:c r="J1590" s="70"/>
      <x:c r="K1590" s="70"/>
      <x:c r="L1590" s="70"/>
      <x:c r="M1590" s="70" t="s">
        <x:v>158</x:v>
      </x:c>
      <x:c r="N1590" s="70" t="n">
        <x:v>28.33</x:v>
      </x:c>
      <x:c r="O1590" s="70" t="n">
        <x:f aca="0">N1590</x:f>
        <x:v>28.33</x:v>
      </x:c>
      <x:c r="P1590" s="74" t="n">
        <x:f aca="0">MLCF!F130</x:f>
        <x:v>28.33</x:v>
      </x:c>
      <x:c r="Q1590" s="70" t="str">
        <x:f aca="0">IF(ABS(O1590-P1590)&lt;0.000001,"PASS","FAIL")</x:f>
        <x:v>PASS</x:v>
      </x:c>
      <x:c r="R1590" s="70" t="s">
        <x:v>34</x:v>
      </x:c>
      <x:c r="S1590" s="70" t="str">
        <x:v>Unadjusted traded close. No split factor applied to PSX price. Original report figure and date evidence preserved on PSX Prices / Price Evidence.</x:v>
      </x:c>
    </x:row>
    <x:row r="1591" ht="15" hidden="0">
      <x:c r="A1591" s="70" t="s">
        <x:v>2970</x:v>
      </x:c>
      <x:c r="B1591" s="70" t="s">
        <x:v>42</x:v>
      </x:c>
      <x:c r="C1591" s="70" t="s">
        <x:v>76</x:v>
      </x:c>
      <x:c r="D1591" s="70" t="str">
        <x:v>Actual FY-end closing price (Rs; unadjusted)</x:v>
      </x:c>
      <x:c r="E1591" s="70" t="s">
        <x:v>1221</x:v>
      </x:c>
      <x:c r="F1591" s="70" t="str">
        <x:v>Official PSX historical CLOSE column</x:v>
      </x:c>
      <x:c r="G1591" s="70" t="str">
        <x:v>PSX historical response; hash and raw row on Price Evidence</x:v>
      </x:c>
      <x:c r="H1591" s="70" t="str">
        <x:v>https://dps.psx.com.pk/historical</x:v>
      </x:c>
      <x:c r="I1591" s="70" t="str">
        <x:v>POST date=2024-06-28</x:v>
      </x:c>
      <x:c r="J1591" s="70"/>
      <x:c r="K1591" s="70"/>
      <x:c r="L1591" s="70"/>
      <x:c r="M1591" s="70" t="s">
        <x:v>158</x:v>
      </x:c>
      <x:c r="N1591" s="70" t="n">
        <x:v>38</x:v>
      </x:c>
      <x:c r="O1591" s="70" t="n">
        <x:f aca="0">N1591</x:f>
        <x:v>38</x:v>
      </x:c>
      <x:c r="P1591" s="74" t="n">
        <x:f aca="0">MLCF!G130</x:f>
        <x:v>38</x:v>
      </x:c>
      <x:c r="Q1591" s="70" t="str">
        <x:f aca="0">IF(ABS(O1591-P1591)&lt;0.000001,"PASS","FAIL")</x:f>
        <x:v>PASS</x:v>
      </x:c>
      <x:c r="R1591" s="70" t="s">
        <x:v>34</x:v>
      </x:c>
      <x:c r="S1591" s="70" t="str">
        <x:v>Unadjusted traded close. No split factor applied to PSX price. Original report figure and date evidence preserved on PSX Prices / Price Evidence.</x:v>
      </x:c>
    </x:row>
    <x:row r="1592" ht="15" hidden="0">
      <x:c r="A1592" s="70" t="s">
        <x:v>2971</x:v>
      </x:c>
      <x:c r="B1592" s="70" t="s">
        <x:v>42</x:v>
      </x:c>
      <x:c r="C1592" s="70" t="s">
        <x:v>77</x:v>
      </x:c>
      <x:c r="D1592" s="70" t="str">
        <x:v>Actual FY-end closing price (Rs; unadjusted)</x:v>
      </x:c>
      <x:c r="E1592" s="70" t="s">
        <x:v>1221</x:v>
      </x:c>
      <x:c r="F1592" s="70" t="str">
        <x:v>Official PSX historical CLOSE column</x:v>
      </x:c>
      <x:c r="G1592" s="70" t="str">
        <x:v>PSX historical response; hash and raw row on Price Evidence</x:v>
      </x:c>
      <x:c r="H1592" s="70" t="str">
        <x:v>https://dps.psx.com.pk/historical</x:v>
      </x:c>
      <x:c r="I1592" s="70" t="str">
        <x:v>POST date=2025-06-30</x:v>
      </x:c>
      <x:c r="J1592" s="70"/>
      <x:c r="K1592" s="70"/>
      <x:c r="L1592" s="70"/>
      <x:c r="M1592" s="70" t="s">
        <x:v>158</x:v>
      </x:c>
      <x:c r="N1592" s="70" t="n">
        <x:v>84.28</x:v>
      </x:c>
      <x:c r="O1592" s="70" t="n">
        <x:f aca="0">N1592</x:f>
        <x:v>84.28</x:v>
      </x:c>
      <x:c r="P1592" s="74" t="n">
        <x:f aca="0">MLCF!H130</x:f>
        <x:v>84.28</x:v>
      </x:c>
      <x:c r="Q1592" s="70" t="str">
        <x:f aca="0">IF(ABS(O1592-P1592)&lt;0.000001,"PASS","FAIL")</x:f>
        <x:v>PASS</x:v>
      </x:c>
      <x:c r="R1592" s="70" t="s">
        <x:v>34</x:v>
      </x:c>
      <x:c r="S1592" s="70" t="str">
        <x:v>Unadjusted traded close. No split factor applied to PSX price. Original report figure and date evidence preserved on PSX Prices / Price Evidence.</x:v>
      </x:c>
    </x:row>
    <x:row r="1593" ht="15" hidden="0">
      <x:c r="A1593" s="70" t="s">
        <x:v>2972</x:v>
      </x:c>
      <x:c r="B1593" s="70" t="s">
        <x:v>42</x:v>
      </x:c>
      <x:c r="C1593" s="70" t="s">
        <x:v>73</x:v>
      </x:c>
      <x:c r="D1593" s="70" t="s">
        <x:v>502</x:v>
      </x:c>
      <x:c r="E1593" s="70" t="s">
        <x:v>1221</x:v>
      </x:c>
      <x:c r="F1593" s="70" t="s">
        <x:v>1643</x:v>
      </x:c>
      <x:c r="G1593" s="70" t="s">
        <x:v>1675</x:v>
      </x:c>
      <x:c r="H1593" s="70" t="s">
        <x:v>1215</x:v>
      </x:c>
      <x:c r="I1593" s="70" t="s">
        <x:v>1199</x:v>
      </x:c>
      <x:c r="J1593" s="70" t="n">
        <x:v>175</x:v>
      </x:c>
      <x:c r="K1593" s="70" t="s">
        <x:v>2973</x:v>
      </x:c>
      <x:c r="L1593" s="70"/>
      <x:c r="M1593" s="70" t="s">
        <x:v>158</x:v>
      </x:c>
      <x:c r="N1593" s="70" t="n">
        <x:v>0</x:v>
      </x:c>
      <x:c r="O1593" s="70" t="n">
        <x:f aca="0">N1593</x:f>
        <x:v>0</x:v>
      </x:c>
      <x:c r="P1593" s="74" t="n">
        <x:f aca="0">MLCF!D131</x:f>
        <x:v>0</x:v>
      </x:c>
      <x:c r="Q1593" s="70" t="str">
        <x:f aca="0">IF(ABS(O1593-P1593)&lt;0.000001,"PASS","FAIL")</x:f>
        <x:v>PASS</x:v>
      </x:c>
      <x:c r="R1593" s="70" t="s">
        <x:v>34</x:v>
      </x:c>
      <x:c r="S1593" s="70" t="str">
        <x:v>Verified FY-end share basis; see Share Basis and Corporate Actions for source excerpts and normalization. Original source metadata superseded where the basis changed.</x:v>
      </x:c>
    </x:row>
    <x:row r="1594" ht="15" hidden="0">
      <x:c r="A1594" s="70" t="s">
        <x:v>2974</x:v>
      </x:c>
      <x:c r="B1594" s="70" t="s">
        <x:v>42</x:v>
      </x:c>
      <x:c r="C1594" s="70" t="s">
        <x:v>74</x:v>
      </x:c>
      <x:c r="D1594" s="70" t="s">
        <x:v>502</x:v>
      </x:c>
      <x:c r="E1594" s="70" t="s">
        <x:v>1221</x:v>
      </x:c>
      <x:c r="F1594" s="70" t="s">
        <x:v>1643</x:v>
      </x:c>
      <x:c r="G1594" s="70" t="s">
        <x:v>1675</x:v>
      </x:c>
      <x:c r="H1594" s="70" t="s">
        <x:v>1215</x:v>
      </x:c>
      <x:c r="I1594" s="70" t="s">
        <x:v>1199</x:v>
      </x:c>
      <x:c r="J1594" s="70" t="n">
        <x:v>175</x:v>
      </x:c>
      <x:c r="K1594" s="70" t="s">
        <x:v>2973</x:v>
      </x:c>
      <x:c r="L1594" s="70"/>
      <x:c r="M1594" s="70" t="s">
        <x:v>158</x:v>
      </x:c>
      <x:c r="N1594" s="70" t="n">
        <x:v>0</x:v>
      </x:c>
      <x:c r="O1594" s="70" t="n">
        <x:f aca="0">N1594</x:f>
        <x:v>0</x:v>
      </x:c>
      <x:c r="P1594" s="74" t="n">
        <x:f aca="0">MLCF!E131</x:f>
        <x:v>0</x:v>
      </x:c>
      <x:c r="Q1594" s="70" t="str">
        <x:f aca="0">IF(ABS(O1594-P1594)&lt;0.000001,"PASS","FAIL")</x:f>
        <x:v>PASS</x:v>
      </x:c>
      <x:c r="R1594" s="70" t="s">
        <x:v>34</x:v>
      </x:c>
      <x:c r="S1594" s="70" t="str">
        <x:v>Verified FY-end share basis; see Share Basis and Corporate Actions for source excerpts and normalization. Original source metadata superseded where the basis changed.</x:v>
      </x:c>
    </x:row>
    <x:row r="1595" ht="15" hidden="0">
      <x:c r="A1595" s="70" t="s">
        <x:v>2975</x:v>
      </x:c>
      <x:c r="B1595" s="70" t="s">
        <x:v>42</x:v>
      </x:c>
      <x:c r="C1595" s="70" t="s">
        <x:v>75</x:v>
      </x:c>
      <x:c r="D1595" s="70" t="s">
        <x:v>502</x:v>
      </x:c>
      <x:c r="E1595" s="70" t="s">
        <x:v>1221</x:v>
      </x:c>
      <x:c r="F1595" s="70" t="s">
        <x:v>1643</x:v>
      </x:c>
      <x:c r="G1595" s="70" t="s">
        <x:v>1675</x:v>
      </x:c>
      <x:c r="H1595" s="70" t="s">
        <x:v>1215</x:v>
      </x:c>
      <x:c r="I1595" s="70" t="s">
        <x:v>1199</x:v>
      </x:c>
      <x:c r="J1595" s="70" t="n">
        <x:v>175</x:v>
      </x:c>
      <x:c r="K1595" s="70" t="s">
        <x:v>2973</x:v>
      </x:c>
      <x:c r="L1595" s="70"/>
      <x:c r="M1595" s="70" t="s">
        <x:v>158</x:v>
      </x:c>
      <x:c r="N1595" s="70" t="n">
        <x:v>0</x:v>
      </x:c>
      <x:c r="O1595" s="70" t="n">
        <x:f aca="0">N1595</x:f>
        <x:v>0</x:v>
      </x:c>
      <x:c r="P1595" s="74" t="n">
        <x:f aca="0">MLCF!F131</x:f>
        <x:v>0</x:v>
      </x:c>
      <x:c r="Q1595" s="70" t="str">
        <x:f aca="0">IF(ABS(O1595-P1595)&lt;0.000001,"PASS","FAIL")</x:f>
        <x:v>PASS</x:v>
      </x:c>
      <x:c r="R1595" s="70" t="s">
        <x:v>34</x:v>
      </x:c>
      <x:c r="S1595" s="70" t="str">
        <x:v>Verified FY-end share basis; see Share Basis and Corporate Actions for source excerpts and normalization. Original source metadata superseded where the basis changed.</x:v>
      </x:c>
    </x:row>
    <x:row r="1596" ht="15" hidden="0">
      <x:c r="A1596" s="70" t="s">
        <x:v>2976</x:v>
      </x:c>
      <x:c r="B1596" s="70" t="s">
        <x:v>42</x:v>
      </x:c>
      <x:c r="C1596" s="70" t="s">
        <x:v>76</x:v>
      </x:c>
      <x:c r="D1596" s="70" t="s">
        <x:v>502</x:v>
      </x:c>
      <x:c r="E1596" s="70" t="s">
        <x:v>1221</x:v>
      </x:c>
      <x:c r="F1596" s="70" t="s">
        <x:v>1643</x:v>
      </x:c>
      <x:c r="G1596" s="70" t="s">
        <x:v>1675</x:v>
      </x:c>
      <x:c r="H1596" s="70" t="s">
        <x:v>1215</x:v>
      </x:c>
      <x:c r="I1596" s="70" t="s">
        <x:v>1199</x:v>
      </x:c>
      <x:c r="J1596" s="70" t="n">
        <x:v>175</x:v>
      </x:c>
      <x:c r="K1596" s="70" t="s">
        <x:v>2973</x:v>
      </x:c>
      <x:c r="L1596" s="70"/>
      <x:c r="M1596" s="70" t="s">
        <x:v>158</x:v>
      </x:c>
      <x:c r="N1596" s="70" t="n">
        <x:v>0</x:v>
      </x:c>
      <x:c r="O1596" s="70" t="n">
        <x:f aca="0">N1596</x:f>
        <x:v>0</x:v>
      </x:c>
      <x:c r="P1596" s="74" t="n">
        <x:f aca="0">MLCF!G131</x:f>
        <x:v>0</x:v>
      </x:c>
      <x:c r="Q1596" s="70" t="str">
        <x:f aca="0">IF(ABS(O1596-P1596)&lt;0.000001,"PASS","FAIL")</x:f>
        <x:v>PASS</x:v>
      </x:c>
      <x:c r="R1596" s="70" t="s">
        <x:v>34</x:v>
      </x:c>
      <x:c r="S1596" s="70" t="str">
        <x:v>Verified FY-end share basis; see Share Basis and Corporate Actions for source excerpts and normalization. Original source metadata superseded where the basis changed.</x:v>
      </x:c>
    </x:row>
    <x:row r="1597" ht="15" hidden="0">
      <x:c r="A1597" s="70" t="s">
        <x:v>2977</x:v>
      </x:c>
      <x:c r="B1597" s="70" t="s">
        <x:v>42</x:v>
      </x:c>
      <x:c r="C1597" s="70" t="s">
        <x:v>77</x:v>
      </x:c>
      <x:c r="D1597" s="70" t="s">
        <x:v>502</x:v>
      </x:c>
      <x:c r="E1597" s="70" t="s">
        <x:v>1221</x:v>
      </x:c>
      <x:c r="F1597" s="70" t="s">
        <x:v>1643</x:v>
      </x:c>
      <x:c r="G1597" s="70" t="s">
        <x:v>1675</x:v>
      </x:c>
      <x:c r="H1597" s="70" t="s">
        <x:v>1215</x:v>
      </x:c>
      <x:c r="I1597" s="70" t="s">
        <x:v>1218</x:v>
      </x:c>
      <x:c r="J1597" s="70" t="n">
        <x:v>175</x:v>
      </x:c>
      <x:c r="K1597" s="70" t="s">
        <x:v>2973</x:v>
      </x:c>
      <x:c r="L1597" s="70"/>
      <x:c r="M1597" s="70" t="s">
        <x:v>158</x:v>
      </x:c>
      <x:c r="N1597" s="70" t="n">
        <x:v>0</x:v>
      </x:c>
      <x:c r="O1597" s="70" t="n">
        <x:f aca="0">N1597</x:f>
        <x:v>0</x:v>
      </x:c>
      <x:c r="P1597" s="74" t="n">
        <x:f aca="0">MLCF!H131</x:f>
        <x:v>0</x:v>
      </x:c>
      <x:c r="Q1597" s="70" t="str">
        <x:f aca="0">IF(ABS(O1597-P1597)&lt;0.000001,"PASS","FAIL")</x:f>
        <x:v>PASS</x:v>
      </x:c>
      <x:c r="R1597" s="70" t="s">
        <x:v>34</x:v>
      </x:c>
      <x:c r="S1597" s="70" t="str">
        <x:v>Verified FY-end share basis; see Share Basis and Corporate Actions for source excerpts and normalization. Original source metadata superseded where the basis changed.</x:v>
      </x:c>
    </x:row>
    <x:row r="1598" ht="15" hidden="0">
      <x:c r="A1598" s="70" t="s">
        <x:v>2978</x:v>
      </x:c>
      <x:c r="B1598" s="70" t="s">
        <x:v>42</x:v>
      </x:c>
      <x:c r="C1598" s="70" t="s">
        <x:v>73</x:v>
      </x:c>
      <x:c r="D1598" s="70" t="s">
        <x:v>1649</x:v>
      </x:c>
      <x:c r="E1598" s="70" t="s">
        <x:v>1472</x:v>
      </x:c>
      <x:c r="F1598" s="70" t="s">
        <x:v>1650</x:v>
      </x:c>
      <x:c r="G1598" s="70" t="str">
        <x:v>2021.pdf</x:v>
      </x:c>
      <x:c r="H1598" s="70" t="s">
        <x:v>1198</x:v>
      </x:c>
      <x:c r="I1598" s="70" t="s">
        <x:v>1218</x:v>
      </x:c>
      <x:c r="J1598" s="70" t="n">
        <x:v>222</x:v>
      </x:c>
      <x:c r="K1598" s="70" t="s">
        <x:v>2979</x:v>
      </x:c>
      <x:c r="L1598" s="70"/>
      <x:c r="M1598" s="70" t="s">
        <x:v>158</x:v>
      </x:c>
      <x:c r="N1598" s="70" t="n">
        <x:v>5.69</x:v>
      </x:c>
      <x:c r="O1598" s="70" t="n">
        <x:f aca="0">N1598</x:f>
        <x:v>5.69</x:v>
      </x:c>
      <x:c r="P1598" s="74" t="n">
        <x:f aca="0">MLCF!D132</x:f>
        <x:v>5.69</x:v>
      </x:c>
      <x:c r="Q1598" s="70" t="str">
        <x:f aca="0">IF(ABS(O1598-P1598)&lt;0.000001,"PASS","FAIL")</x:f>
        <x:v>PASS</x:v>
      </x:c>
      <x:c r="R1598" s="70" t="s">
        <x:v>34</x:v>
      </x:c>
      <x:c r="S1598" s="70" t="str">
        <x:v>Verified FY-end share basis; see Share Basis and Corporate Actions for source excerpts and normalization. Original source metadata superseded where the basis changed.</x:v>
      </x:c>
    </x:row>
    <x:row r="1599" ht="15" hidden="0">
      <x:c r="A1599" s="70" t="s">
        <x:v>2980</x:v>
      </x:c>
      <x:c r="B1599" s="70" t="s">
        <x:v>42</x:v>
      </x:c>
      <x:c r="C1599" s="70" t="s">
        <x:v>74</x:v>
      </x:c>
      <x:c r="D1599" s="70" t="s">
        <x:v>1649</x:v>
      </x:c>
      <x:c r="E1599" s="70" t="s">
        <x:v>1472</x:v>
      </x:c>
      <x:c r="F1599" s="70" t="s">
        <x:v>1650</x:v>
      </x:c>
      <x:c r="G1599" s="70" t="str">
        <x:v>2022.pdf</x:v>
      </x:c>
      <x:c r="H1599" s="70" t="s">
        <x:v>1204</x:v>
      </x:c>
      <x:c r="I1599" s="70" t="s">
        <x:v>1218</x:v>
      </x:c>
      <x:c r="J1599" s="70" t="n">
        <x:v>244</x:v>
      </x:c>
      <x:c r="K1599" s="70" t="s">
        <x:v>2126</x:v>
      </x:c>
      <x:c r="L1599" s="70"/>
      <x:c r="M1599" s="70" t="s">
        <x:v>158</x:v>
      </x:c>
      <x:c r="N1599" s="70" t="n">
        <x:v>3.3</x:v>
      </x:c>
      <x:c r="O1599" s="70" t="n">
        <x:f aca="0">N1599</x:f>
        <x:v>3.3</x:v>
      </x:c>
      <x:c r="P1599" s="74" t="n">
        <x:f aca="0">MLCF!E132</x:f>
        <x:v>3.3</x:v>
      </x:c>
      <x:c r="Q1599" s="70" t="str">
        <x:f aca="0">IF(ABS(O1599-P1599)&lt;0.000001,"PASS","FAIL")</x:f>
        <x:v>PASS</x:v>
      </x:c>
      <x:c r="R1599" s="70" t="s">
        <x:v>34</x:v>
      </x:c>
      <x:c r="S1599" s="70" t="str">
        <x:v>Verified FY-end share basis; see Share Basis and Corporate Actions for source excerpts and normalization. Original source metadata superseded where the basis changed.</x:v>
      </x:c>
    </x:row>
    <x:row r="1600" ht="15" hidden="0">
      <x:c r="A1600" s="70" t="s">
        <x:v>2981</x:v>
      </x:c>
      <x:c r="B1600" s="70" t="s">
        <x:v>42</x:v>
      </x:c>
      <x:c r="C1600" s="70" t="s">
        <x:v>75</x:v>
      </x:c>
      <x:c r="D1600" s="70" t="s">
        <x:v>1649</x:v>
      </x:c>
      <x:c r="E1600" s="70" t="s">
        <x:v>1472</x:v>
      </x:c>
      <x:c r="F1600" s="70" t="s">
        <x:v>1650</x:v>
      </x:c>
      <x:c r="G1600" s="70" t="str">
        <x:v>2023.pdf</x:v>
      </x:c>
      <x:c r="H1600" s="70" t="s">
        <x:v>1208</x:v>
      </x:c>
      <x:c r="I1600" s="70" t="s">
        <x:v>1218</x:v>
      </x:c>
      <x:c r="J1600" s="70" t="n">
        <x:v>129</x:v>
      </x:c>
      <x:c r="K1600" s="70" t="s">
        <x:v>2811</x:v>
      </x:c>
      <x:c r="L1600" s="70"/>
      <x:c r="M1600" s="70" t="s">
        <x:v>158</x:v>
      </x:c>
      <x:c r="N1600" s="70" t="n">
        <x:v>4.18</x:v>
      </x:c>
      <x:c r="O1600" s="70" t="n">
        <x:f aca="0">N1600</x:f>
        <x:v>4.18</x:v>
      </x:c>
      <x:c r="P1600" s="74" t="n">
        <x:f aca="0">MLCF!F132</x:f>
        <x:v>4.18</x:v>
      </x:c>
      <x:c r="Q1600" s="70" t="str">
        <x:f aca="0">IF(ABS(O1600-P1600)&lt;0.000001,"PASS","FAIL")</x:f>
        <x:v>PASS</x:v>
      </x:c>
      <x:c r="R1600" s="70" t="s">
        <x:v>34</x:v>
      </x:c>
      <x:c r="S1600" s="70" t="str">
        <x:v>Verified FY-end share basis; see Share Basis and Corporate Actions for source excerpts and normalization. Original source metadata superseded where the basis changed.</x:v>
      </x:c>
    </x:row>
    <x:row r="1601" ht="15" hidden="0">
      <x:c r="A1601" s="70" t="s">
        <x:v>2982</x:v>
      </x:c>
      <x:c r="B1601" s="70" t="s">
        <x:v>42</x:v>
      </x:c>
      <x:c r="C1601" s="70" t="s">
        <x:v>76</x:v>
      </x:c>
      <x:c r="D1601" s="70" t="s">
        <x:v>1649</x:v>
      </x:c>
      <x:c r="E1601" s="70" t="s">
        <x:v>1472</x:v>
      </x:c>
      <x:c r="F1601" s="70" t="s">
        <x:v>1650</x:v>
      </x:c>
      <x:c r="G1601" s="70" t="str">
        <x:v>2024.pdf</x:v>
      </x:c>
      <x:c r="H1601" s="70" t="s">
        <x:v>1211</x:v>
      </x:c>
      <x:c r="I1601" s="70" t="s">
        <x:v>1218</x:v>
      </x:c>
      <x:c r="J1601" s="70" t="n">
        <x:v>251</x:v>
      </x:c>
      <x:c r="K1601" s="70" t="s">
        <x:v>2813</x:v>
      </x:c>
      <x:c r="L1601" s="70"/>
      <x:c r="M1601" s="70" t="s">
        <x:v>158</x:v>
      </x:c>
      <x:c r="N1601" s="70" t="n">
        <x:v>4.98</x:v>
      </x:c>
      <x:c r="O1601" s="70" t="n">
        <x:f aca="0">N1601</x:f>
        <x:v>4.98</x:v>
      </x:c>
      <x:c r="P1601" s="74" t="n">
        <x:f aca="0">MLCF!G132</x:f>
        <x:v>4.98</x:v>
      </x:c>
      <x:c r="Q1601" s="70" t="str">
        <x:f aca="0">IF(ABS(O1601-P1601)&lt;0.000001,"PASS","FAIL")</x:f>
        <x:v>PASS</x:v>
      </x:c>
      <x:c r="R1601" s="70" t="s">
        <x:v>34</x:v>
      </x:c>
      <x:c r="S1601" s="70" t="str">
        <x:v>Verified FY-end share basis; see Share Basis and Corporate Actions for source excerpts and normalization. Original source metadata superseded where the basis changed.</x:v>
      </x:c>
    </x:row>
    <x:row r="1602" ht="15" hidden="0">
      <x:c r="A1602" s="70" t="s">
        <x:v>2983</x:v>
      </x:c>
      <x:c r="B1602" s="70" t="s">
        <x:v>42</x:v>
      </x:c>
      <x:c r="C1602" s="70" t="s">
        <x:v>77</x:v>
      </x:c>
      <x:c r="D1602" s="70" t="s">
        <x:v>1649</x:v>
      </x:c>
      <x:c r="E1602" s="70" t="s">
        <x:v>1472</x:v>
      </x:c>
      <x:c r="F1602" s="70" t="s">
        <x:v>1650</x:v>
      </x:c>
      <x:c r="G1602" s="70" t="str">
        <x:v>2025.pdf</x:v>
      </x:c>
      <x:c r="H1602" s="70" t="s">
        <x:v>1215</x:v>
      </x:c>
      <x:c r="I1602" s="70" t="s">
        <x:v>1218</x:v>
      </x:c>
      <x:c r="J1602" s="70" t="n">
        <x:v>267</x:v>
      </x:c>
      <x:c r="K1602" s="70" t="s">
        <x:v>2815</x:v>
      </x:c>
      <x:c r="L1602" s="70"/>
      <x:c r="M1602" s="70" t="s">
        <x:v>158</x:v>
      </x:c>
      <x:c r="N1602" s="70" t="n">
        <x:v>16.26</x:v>
      </x:c>
      <x:c r="O1602" s="70" t="n">
        <x:f aca="0">N1602</x:f>
        <x:v>16.26</x:v>
      </x:c>
      <x:c r="P1602" s="74" t="n">
        <x:f aca="0">MLCF!H132</x:f>
        <x:v>16.26</x:v>
      </x:c>
      <x:c r="Q1602" s="70" t="str">
        <x:f aca="0">IF(ABS(O1602-P1602)&lt;0.000001,"PASS","FAIL")</x:f>
        <x:v>PASS</x:v>
      </x:c>
      <x:c r="R1602" s="70" t="s">
        <x:v>34</x:v>
      </x:c>
      <x:c r="S1602" s="70" t="str">
        <x:v>Verified FY-end share basis; see Share Basis and Corporate Actions for source excerpts and normalization. Original source metadata superseded where the basis changed.</x:v>
      </x:c>
    </x:row>
    <x:row r="1603" ht="15" hidden="0">
      <x:c r="A1603" s="70" t="s">
        <x:v>2984</x:v>
      </x:c>
      <x:c r="B1603" s="70" t="s">
        <x:v>42</x:v>
      </x:c>
      <x:c r="C1603" s="70" t="s">
        <x:v>73</x:v>
      </x:c>
      <x:c r="D1603" s="70" t="s">
        <x:v>1656</x:v>
      </x:c>
      <x:c r="E1603" s="70" t="s">
        <x:v>1221</x:v>
      </x:c>
      <x:c r="F1603" s="70" t="s">
        <x:v>1657</x:v>
      </x:c>
      <x:c r="G1603" s="70" t="s">
        <x:v>1675</x:v>
      </x:c>
      <x:c r="H1603" s="70" t="s">
        <x:v>1215</x:v>
      </x:c>
      <x:c r="I1603" s="70" t="s">
        <x:v>1199</x:v>
      </x:c>
      <x:c r="J1603" s="70" t="n">
        <x:v>175</x:v>
      </x:c>
      <x:c r="K1603" s="70" t="s">
        <x:v>2973</x:v>
      </x:c>
      <x:c r="L1603" s="70"/>
      <x:c r="M1603" s="70" t="s">
        <x:v>508</x:v>
      </x:c>
      <x:c r="N1603" s="70" t="n">
        <x:v>1</x:v>
      </x:c>
      <x:c r="O1603" s="70" t="n">
        <x:f aca="0">N1603</x:f>
        <x:v>1</x:v>
      </x:c>
      <x:c r="P1603" s="74" t="n">
        <x:f aca="0">MLCF!D134</x:f>
        <x:v>1</x:v>
      </x:c>
      <x:c r="Q1603" s="70" t="str">
        <x:f aca="0">IF(ABS(O1603-P1603)&lt;0.000001,"PASS","FAIL")</x:f>
        <x:v>PASS</x:v>
      </x:c>
      <x:c r="R1603" s="70" t="s">
        <x:v>34</x:v>
      </x:c>
      <x:c r="S1603" s="70" t="str">
        <x:v>Verified FY-end share basis; see Share Basis and Corporate Actions for source excerpts and normalization. Original source metadata superseded where the basis changed.</x:v>
      </x:c>
    </x:row>
    <x:row r="1604" ht="15" hidden="0">
      <x:c r="A1604" s="70" t="s">
        <x:v>2985</x:v>
      </x:c>
      <x:c r="B1604" s="70" t="s">
        <x:v>42</x:v>
      </x:c>
      <x:c r="C1604" s="70" t="s">
        <x:v>74</x:v>
      </x:c>
      <x:c r="D1604" s="70" t="s">
        <x:v>1656</x:v>
      </x:c>
      <x:c r="E1604" s="70" t="s">
        <x:v>1221</x:v>
      </x:c>
      <x:c r="F1604" s="70" t="s">
        <x:v>1657</x:v>
      </x:c>
      <x:c r="G1604" s="70" t="s">
        <x:v>1675</x:v>
      </x:c>
      <x:c r="H1604" s="70" t="s">
        <x:v>1215</x:v>
      </x:c>
      <x:c r="I1604" s="70" t="s">
        <x:v>1199</x:v>
      </x:c>
      <x:c r="J1604" s="70" t="n">
        <x:v>175</x:v>
      </x:c>
      <x:c r="K1604" s="70" t="s">
        <x:v>2973</x:v>
      </x:c>
      <x:c r="L1604" s="70"/>
      <x:c r="M1604" s="70" t="s">
        <x:v>508</x:v>
      </x:c>
      <x:c r="N1604" s="70" t="n">
        <x:v>1</x:v>
      </x:c>
      <x:c r="O1604" s="70" t="n">
        <x:f aca="0">N1604</x:f>
        <x:v>1</x:v>
      </x:c>
      <x:c r="P1604" s="74" t="n">
        <x:f aca="0">MLCF!E134</x:f>
        <x:v>1</x:v>
      </x:c>
      <x:c r="Q1604" s="70" t="str">
        <x:f aca="0">IF(ABS(O1604-P1604)&lt;0.000001,"PASS","FAIL")</x:f>
        <x:v>PASS</x:v>
      </x:c>
      <x:c r="R1604" s="70" t="s">
        <x:v>34</x:v>
      </x:c>
      <x:c r="S1604" s="70" t="str">
        <x:v>Verified FY-end share basis; see Share Basis and Corporate Actions for source excerpts and normalization. Original source metadata superseded where the basis changed.</x:v>
      </x:c>
    </x:row>
    <x:row r="1605" ht="15" hidden="0">
      <x:c r="A1605" s="70" t="s">
        <x:v>2986</x:v>
      </x:c>
      <x:c r="B1605" s="70" t="s">
        <x:v>42</x:v>
      </x:c>
      <x:c r="C1605" s="70" t="s">
        <x:v>75</x:v>
      </x:c>
      <x:c r="D1605" s="70" t="s">
        <x:v>1656</x:v>
      </x:c>
      <x:c r="E1605" s="70" t="s">
        <x:v>1221</x:v>
      </x:c>
      <x:c r="F1605" s="70" t="s">
        <x:v>1657</x:v>
      </x:c>
      <x:c r="G1605" s="70" t="s">
        <x:v>1675</x:v>
      </x:c>
      <x:c r="H1605" s="70" t="s">
        <x:v>1215</x:v>
      </x:c>
      <x:c r="I1605" s="70" t="s">
        <x:v>1199</x:v>
      </x:c>
      <x:c r="J1605" s="70" t="n">
        <x:v>175</x:v>
      </x:c>
      <x:c r="K1605" s="70" t="s">
        <x:v>2973</x:v>
      </x:c>
      <x:c r="L1605" s="70"/>
      <x:c r="M1605" s="70" t="s">
        <x:v>508</x:v>
      </x:c>
      <x:c r="N1605" s="70" t="n">
        <x:v>1</x:v>
      </x:c>
      <x:c r="O1605" s="70" t="n">
        <x:f aca="0">N1605</x:f>
        <x:v>1</x:v>
      </x:c>
      <x:c r="P1605" s="74" t="n">
        <x:f aca="0">MLCF!F134</x:f>
        <x:v>1</x:v>
      </x:c>
      <x:c r="Q1605" s="70" t="str">
        <x:f aca="0">IF(ABS(O1605-P1605)&lt;0.000001,"PASS","FAIL")</x:f>
        <x:v>PASS</x:v>
      </x:c>
      <x:c r="R1605" s="70" t="s">
        <x:v>34</x:v>
      </x:c>
      <x:c r="S1605" s="70" t="str">
        <x:v>Verified FY-end share basis; see Share Basis and Corporate Actions for source excerpts and normalization. Original source metadata superseded where the basis changed.</x:v>
      </x:c>
    </x:row>
    <x:row r="1606" ht="15" hidden="0">
      <x:c r="A1606" s="70" t="s">
        <x:v>2987</x:v>
      </x:c>
      <x:c r="B1606" s="70" t="s">
        <x:v>42</x:v>
      </x:c>
      <x:c r="C1606" s="70" t="s">
        <x:v>76</x:v>
      </x:c>
      <x:c r="D1606" s="70" t="s">
        <x:v>1656</x:v>
      </x:c>
      <x:c r="E1606" s="70" t="s">
        <x:v>1221</x:v>
      </x:c>
      <x:c r="F1606" s="70" t="s">
        <x:v>1657</x:v>
      </x:c>
      <x:c r="G1606" s="70" t="s">
        <x:v>1675</x:v>
      </x:c>
      <x:c r="H1606" s="70" t="s">
        <x:v>1215</x:v>
      </x:c>
      <x:c r="I1606" s="70" t="s">
        <x:v>1199</x:v>
      </x:c>
      <x:c r="J1606" s="70" t="n">
        <x:v>175</x:v>
      </x:c>
      <x:c r="K1606" s="70" t="s">
        <x:v>2973</x:v>
      </x:c>
      <x:c r="L1606" s="70"/>
      <x:c r="M1606" s="70" t="s">
        <x:v>508</x:v>
      </x:c>
      <x:c r="N1606" s="70" t="n">
        <x:v>1</x:v>
      </x:c>
      <x:c r="O1606" s="70" t="n">
        <x:f aca="0">N1606</x:f>
        <x:v>1</x:v>
      </x:c>
      <x:c r="P1606" s="74" t="n">
        <x:f aca="0">MLCF!G134</x:f>
        <x:v>1</x:v>
      </x:c>
      <x:c r="Q1606" s="70" t="str">
        <x:f aca="0">IF(ABS(O1606-P1606)&lt;0.000001,"PASS","FAIL")</x:f>
        <x:v>PASS</x:v>
      </x:c>
      <x:c r="R1606" s="70" t="s">
        <x:v>34</x:v>
      </x:c>
      <x:c r="S1606" s="70" t="str">
        <x:v>Verified FY-end share basis; see Share Basis and Corporate Actions for source excerpts and normalization. Original source metadata superseded where the basis changed.</x:v>
      </x:c>
    </x:row>
    <x:row r="1607" ht="15" hidden="0">
      <x:c r="A1607" s="70" t="s">
        <x:v>2988</x:v>
      </x:c>
      <x:c r="B1607" s="70" t="s">
        <x:v>42</x:v>
      </x:c>
      <x:c r="C1607" s="70" t="s">
        <x:v>77</x:v>
      </x:c>
      <x:c r="D1607" s="70" t="s">
        <x:v>1656</x:v>
      </x:c>
      <x:c r="E1607" s="70" t="s">
        <x:v>1221</x:v>
      </x:c>
      <x:c r="F1607" s="70" t="s">
        <x:v>1657</x:v>
      </x:c>
      <x:c r="G1607" s="70" t="s">
        <x:v>1675</x:v>
      </x:c>
      <x:c r="H1607" s="70" t="s">
        <x:v>1215</x:v>
      </x:c>
      <x:c r="I1607" s="70" t="s">
        <x:v>1218</x:v>
      </x:c>
      <x:c r="J1607" s="70" t="n">
        <x:v>175</x:v>
      </x:c>
      <x:c r="K1607" s="70" t="s">
        <x:v>2973</x:v>
      </x:c>
      <x:c r="L1607" s="70"/>
      <x:c r="M1607" s="70" t="s">
        <x:v>508</x:v>
      </x:c>
      <x:c r="N1607" s="70" t="n">
        <x:v>1</x:v>
      </x:c>
      <x:c r="O1607" s="70" t="n">
        <x:f aca="0">N1607</x:f>
        <x:v>1</x:v>
      </x:c>
      <x:c r="P1607" s="74" t="n">
        <x:f aca="0">MLCF!H134</x:f>
        <x:v>1</x:v>
      </x:c>
      <x:c r="Q1607" s="70" t="str">
        <x:f aca="0">IF(ABS(O1607-P1607)&lt;0.000001,"PASS","FAIL")</x:f>
        <x:v>PASS</x:v>
      </x:c>
      <x:c r="R1607" s="70" t="s">
        <x:v>34</x:v>
      </x:c>
      <x:c r="S1607" s="70" t="str">
        <x:v>Verified FY-end share basis; see Share Basis and Corporate Actions for source excerpts and normalization. Original source metadata superseded where the basis changed.</x:v>
      </x:c>
    </x:row>
    <x:row r="1608" ht="15" hidden="0">
      <x:c r="A1608" s="70" t="s">
        <x:v>2989</x:v>
      </x:c>
      <x:c r="B1608" s="70" t="s">
        <x:v>46</x:v>
      </x:c>
      <x:c r="C1608" s="70" t="s">
        <x:v>1076</x:v>
      </x:c>
      <x:c r="D1608" s="70" t="s">
        <x:v>296</x:v>
      </x:c>
      <x:c r="E1608" s="70" t="s">
        <x:v>1129</x:v>
      </x:c>
      <x:c r="F1608" s="70" t="s">
        <x:v>1196</x:v>
      </x:c>
      <x:c r="G1608" s="70" t="s">
        <x:v>2990</x:v>
      </x:c>
      <x:c r="H1608" s="70" t="s">
        <x:v>1198</x:v>
      </x:c>
      <x:c r="I1608" s="70" t="s">
        <x:v>1199</x:v>
      </x:c>
      <x:c r="J1608" s="70" t="n">
        <x:v>165</x:v>
      </x:c>
      <x:c r="K1608" s="70" t="s">
        <x:v>1200</x:v>
      </x:c>
      <x:c r="L1608" s="70" t="s">
        <x:v>1212</x:v>
      </x:c>
      <x:c r="M1608" s="70" t="s">
        <x:v>40</x:v>
      </x:c>
      <x:c r="N1608" s="71" t="n">
        <x:v>22065172</x:v>
      </x:c>
      <x:c r="O1608" s="72" t="n">
        <x:f aca="0">N1608/1000</x:f>
        <x:v>22065.172</x:v>
      </x:c>
      <x:c r="P1608" s="73" t="n">
        <x:f aca="0">FCCL!C20</x:f>
        <x:v>22065.172</x:v>
      </x:c>
      <x:c r="Q1608" s="70" t="str">
        <x:f aca="0">IF(ABS(O1608-P1608)&lt;0.000001,"PASS","FAIL")</x:f>
        <x:v>PASS</x:v>
      </x:c>
      <x:c r="R1608" s="70" t="s">
        <x:v>28</x:v>
      </x:c>
      <x:c r="S1608" s="70"/>
    </x:row>
    <x:row r="1609" ht="15" hidden="0">
      <x:c r="A1609" s="70" t="s">
        <x:v>2991</x:v>
      </x:c>
      <x:c r="B1609" s="70" t="s">
        <x:v>46</x:v>
      </x:c>
      <x:c r="C1609" s="70" t="s">
        <x:v>73</x:v>
      </x:c>
      <x:c r="D1609" s="70" t="s">
        <x:v>296</x:v>
      </x:c>
      <x:c r="E1609" s="70" t="s">
        <x:v>1129</x:v>
      </x:c>
      <x:c r="F1609" s="70" t="s">
        <x:v>1196</x:v>
      </x:c>
      <x:c r="G1609" s="70" t="s">
        <x:v>2992</x:v>
      </x:c>
      <x:c r="H1609" s="70" t="s">
        <x:v>1204</x:v>
      </x:c>
      <x:c r="I1609" s="70" t="s">
        <x:v>1199</x:v>
      </x:c>
      <x:c r="J1609" s="70" t="n">
        <x:v>187</x:v>
      </x:c>
      <x:c r="K1609" s="70" t="s">
        <x:v>2307</x:v>
      </x:c>
      <x:c r="L1609" s="70" t="s">
        <x:v>1252</x:v>
      </x:c>
      <x:c r="M1609" s="70" t="s">
        <x:v>40</x:v>
      </x:c>
      <x:c r="N1609" s="71" t="n">
        <x:v>21422215</x:v>
      </x:c>
      <x:c r="O1609" s="72" t="n">
        <x:f aca="0">N1609/1000</x:f>
        <x:v>21422.215</x:v>
      </x:c>
      <x:c r="P1609" s="73" t="n">
        <x:f aca="0">FCCL!D20</x:f>
        <x:v>21422.215</x:v>
      </x:c>
      <x:c r="Q1609" s="70" t="str">
        <x:f aca="0">IF(ABS(O1609-P1609)&lt;0.000001,"PASS","FAIL")</x:f>
        <x:v>PASS</x:v>
      </x:c>
      <x:c r="R1609" s="70" t="s">
        <x:v>28</x:v>
      </x:c>
      <x:c r="S1609" s="70"/>
    </x:row>
    <x:row r="1610" ht="15" hidden="0">
      <x:c r="A1610" s="70" t="s">
        <x:v>2993</x:v>
      </x:c>
      <x:c r="B1610" s="70" t="s">
        <x:v>46</x:v>
      </x:c>
      <x:c r="C1610" s="70" t="s">
        <x:v>74</x:v>
      </x:c>
      <x:c r="D1610" s="70" t="s">
        <x:v>296</x:v>
      </x:c>
      <x:c r="E1610" s="70" t="s">
        <x:v>1129</x:v>
      </x:c>
      <x:c r="F1610" s="70" t="s">
        <x:v>1196</x:v>
      </x:c>
      <x:c r="G1610" s="70" t="s">
        <x:v>2994</x:v>
      </x:c>
      <x:c r="H1610" s="70" t="s">
        <x:v>1208</x:v>
      </x:c>
      <x:c r="I1610" s="70" t="s">
        <x:v>1199</x:v>
      </x:c>
      <x:c r="J1610" s="70" t="n">
        <x:v>209</x:v>
      </x:c>
      <x:c r="K1610" s="70" t="s">
        <x:v>2995</x:v>
      </x:c>
      <x:c r="L1610" s="70" t="s">
        <x:v>1239</x:v>
      </x:c>
      <x:c r="M1610" s="70" t="s">
        <x:v>40</x:v>
      </x:c>
      <x:c r="N1610" s="71" t="n">
        <x:v>74126315</x:v>
      </x:c>
      <x:c r="O1610" s="72" t="n">
        <x:f aca="0">N1610/1000</x:f>
        <x:v>74126.315</x:v>
      </x:c>
      <x:c r="P1610" s="73" t="n">
        <x:f aca="0">FCCL!E20</x:f>
        <x:v>74126.315</x:v>
      </x:c>
      <x:c r="Q1610" s="70" t="str">
        <x:f aca="0">IF(ABS(O1610-P1610)&lt;0.000001,"PASS","FAIL")</x:f>
        <x:v>PASS</x:v>
      </x:c>
      <x:c r="R1610" s="70" t="s">
        <x:v>28</x:v>
      </x:c>
      <x:c r="S1610" s="70"/>
    </x:row>
    <x:row r="1611" ht="15" hidden="0">
      <x:c r="A1611" s="70" t="s">
        <x:v>2996</x:v>
      </x:c>
      <x:c r="B1611" s="70" t="s">
        <x:v>46</x:v>
      </x:c>
      <x:c r="C1611" s="70" t="s">
        <x:v>75</x:v>
      </x:c>
      <x:c r="D1611" s="70" t="s">
        <x:v>296</x:v>
      </x:c>
      <x:c r="E1611" s="70" t="s">
        <x:v>1129</x:v>
      </x:c>
      <x:c r="F1611" s="70" t="s">
        <x:v>1196</x:v>
      </x:c>
      <x:c r="G1611" s="70" t="s">
        <x:v>2997</x:v>
      </x:c>
      <x:c r="H1611" s="70" t="s">
        <x:v>1211</x:v>
      </x:c>
      <x:c r="I1611" s="70" t="s">
        <x:v>1199</x:v>
      </x:c>
      <x:c r="J1611" s="70" t="n">
        <x:v>191</x:v>
      </x:c>
      <x:c r="K1611" s="70" t="s">
        <x:v>1200</x:v>
      </x:c>
      <x:c r="L1611" s="70" t="s">
        <x:v>1239</x:v>
      </x:c>
      <x:c r="M1611" s="70" t="s">
        <x:v>40</x:v>
      </x:c>
      <x:c r="N1611" s="71" t="n">
        <x:v>104425181</x:v>
      </x:c>
      <x:c r="O1611" s="72" t="n">
        <x:f aca="0">N1611/1000</x:f>
        <x:v>104425.181</x:v>
      </x:c>
      <x:c r="P1611" s="73" t="n">
        <x:f aca="0">FCCL!F20</x:f>
        <x:v>104425.181</x:v>
      </x:c>
      <x:c r="Q1611" s="70" t="str">
        <x:f aca="0">IF(ABS(O1611-P1611)&lt;0.000001,"PASS","FAIL")</x:f>
        <x:v>PASS</x:v>
      </x:c>
      <x:c r="R1611" s="70" t="s">
        <x:v>28</x:v>
      </x:c>
      <x:c r="S1611" s="70"/>
    </x:row>
    <x:row r="1612" ht="15" hidden="0">
      <x:c r="A1612" s="70" t="s">
        <x:v>2998</x:v>
      </x:c>
      <x:c r="B1612" s="70" t="s">
        <x:v>46</x:v>
      </x:c>
      <x:c r="C1612" s="70" t="s">
        <x:v>76</x:v>
      </x:c>
      <x:c r="D1612" s="70" t="s">
        <x:v>296</x:v>
      </x:c>
      <x:c r="E1612" s="70" t="s">
        <x:v>1129</x:v>
      </x:c>
      <x:c r="F1612" s="70" t="s">
        <x:v>1196</x:v>
      </x:c>
      <x:c r="G1612" s="70" t="s">
        <x:v>2999</x:v>
      </x:c>
      <x:c r="H1612" s="70" t="s">
        <x:v>1215</x:v>
      </x:c>
      <x:c r="I1612" s="70" t="s">
        <x:v>1199</x:v>
      </x:c>
      <x:c r="J1612" s="70" t="n">
        <x:v>245</x:v>
      </x:c>
      <x:c r="K1612" s="70" t="s">
        <x:v>1200</x:v>
      </x:c>
      <x:c r="L1612" s="70" t="s">
        <x:v>1252</x:v>
      </x:c>
      <x:c r="M1612" s="70" t="s">
        <x:v>40</x:v>
      </x:c>
      <x:c r="N1612" s="71" t="n">
        <x:v>110845663</x:v>
      </x:c>
      <x:c r="O1612" s="72" t="n">
        <x:f aca="0">N1612/1000</x:f>
        <x:v>110845.663</x:v>
      </x:c>
      <x:c r="P1612" s="73" t="n">
        <x:f aca="0">FCCL!G20</x:f>
        <x:v>110845.663</x:v>
      </x:c>
      <x:c r="Q1612" s="70" t="str">
        <x:f aca="0">IF(ABS(O1612-P1612)&lt;0.000001,"PASS","FAIL")</x:f>
        <x:v>PASS</x:v>
      </x:c>
      <x:c r="R1612" s="70" t="s">
        <x:v>28</x:v>
      </x:c>
      <x:c r="S1612" s="70"/>
    </x:row>
    <x:row r="1613" ht="15" hidden="0">
      <x:c r="A1613" s="70" t="s">
        <x:v>3000</x:v>
      </x:c>
      <x:c r="B1613" s="70" t="s">
        <x:v>46</x:v>
      </x:c>
      <x:c r="C1613" s="70" t="s">
        <x:v>77</x:v>
      </x:c>
      <x:c r="D1613" s="70" t="s">
        <x:v>296</x:v>
      </x:c>
      <x:c r="E1613" s="70" t="s">
        <x:v>1129</x:v>
      </x:c>
      <x:c r="F1613" s="70" t="s">
        <x:v>1196</x:v>
      </x:c>
      <x:c r="G1613" s="70" t="s">
        <x:v>2999</x:v>
      </x:c>
      <x:c r="H1613" s="70" t="s">
        <x:v>1215</x:v>
      </x:c>
      <x:c r="I1613" s="70" t="s">
        <x:v>1218</x:v>
      </x:c>
      <x:c r="J1613" s="70" t="n">
        <x:v>245</x:v>
      </x:c>
      <x:c r="K1613" s="70" t="s">
        <x:v>1200</x:v>
      </x:c>
      <x:c r="L1613" s="70" t="s">
        <x:v>1252</x:v>
      </x:c>
      <x:c r="M1613" s="70" t="s">
        <x:v>40</x:v>
      </x:c>
      <x:c r="N1613" s="71" t="n">
        <x:v>109579089</x:v>
      </x:c>
      <x:c r="O1613" s="72" t="n">
        <x:f aca="0">N1613/1000</x:f>
        <x:v>109579.089</x:v>
      </x:c>
      <x:c r="P1613" s="73" t="n">
        <x:f aca="0">FCCL!H20</x:f>
        <x:v>109579.089</x:v>
      </x:c>
      <x:c r="Q1613" s="70" t="str">
        <x:f aca="0">IF(ABS(O1613-P1613)&lt;0.000001,"PASS","FAIL")</x:f>
        <x:v>PASS</x:v>
      </x:c>
      <x:c r="R1613" s="70" t="s">
        <x:v>28</x:v>
      </x:c>
      <x:c r="S1613" s="70"/>
    </x:row>
    <x:row r="1614" ht="15" hidden="0">
      <x:c r="A1614" s="70" t="s">
        <x:v>3001</x:v>
      </x:c>
      <x:c r="B1614" s="70" t="s">
        <x:v>46</x:v>
      </x:c>
      <x:c r="C1614" s="70" t="s">
        <x:v>1076</x:v>
      </x:c>
      <x:c r="D1614" s="70" t="s">
        <x:v>1220</x:v>
      </x:c>
      <x:c r="E1614" s="70" t="s">
        <x:v>1221</x:v>
      </x:c>
      <x:c r="F1614" s="70" t="s">
        <x:v>3002</x:v>
      </x:c>
      <x:c r="G1614" s="70" t="s">
        <x:v>2990</x:v>
      </x:c>
      <x:c r="H1614" s="70" t="s">
        <x:v>1198</x:v>
      </x:c>
      <x:c r="I1614" s="70" t="s">
        <x:v>1199</x:v>
      </x:c>
      <x:c r="J1614" s="70" t="n">
        <x:v>193</x:v>
      </x:c>
      <x:c r="K1614" s="70" t="s">
        <x:v>3003</x:v>
      </x:c>
      <x:c r="L1614" s="70"/>
      <x:c r="M1614" s="70" t="s">
        <x:v>40</x:v>
      </x:c>
      <x:c r="N1614" s="71" t="n">
        <x:v>2808</x:v>
      </x:c>
      <x:c r="O1614" s="72" t="n">
        <x:f aca="0">N1614/1000</x:f>
        <x:v>2.808</x:v>
      </x:c>
      <x:c r="P1614" s="73" t="n">
        <x:f aca="0">FCCL!C21</x:f>
        <x:v>2.808</x:v>
      </x:c>
      <x:c r="Q1614" s="70" t="str">
        <x:f aca="0">IF(ABS(O1614-P1614)&lt;0.000001,"PASS","FAIL")</x:f>
        <x:v>PASS</x:v>
      </x:c>
      <x:c r="R1614" s="70" t="s">
        <x:v>28</x:v>
      </x:c>
      <x:c r="S1614" s="70"/>
    </x:row>
    <x:row r="1615" ht="15" hidden="0">
      <x:c r="A1615" s="70" t="s">
        <x:v>3004</x:v>
      </x:c>
      <x:c r="B1615" s="70" t="s">
        <x:v>46</x:v>
      </x:c>
      <x:c r="C1615" s="70" t="s">
        <x:v>73</x:v>
      </x:c>
      <x:c r="D1615" s="70" t="s">
        <x:v>1220</x:v>
      </x:c>
      <x:c r="E1615" s="70" t="s">
        <x:v>1221</x:v>
      </x:c>
      <x:c r="F1615" s="70" t="s">
        <x:v>3002</x:v>
      </x:c>
      <x:c r="G1615" s="70" t="s">
        <x:v>2994</x:v>
      </x:c>
      <x:c r="H1615" s="70" t="s">
        <x:v>1208</x:v>
      </x:c>
      <x:c r="I1615" s="70" t="s">
        <x:v>1199</x:v>
      </x:c>
      <x:c r="J1615" s="70" t="n">
        <x:v>239</x:v>
      </x:c>
      <x:c r="K1615" s="70" t="s">
        <x:v>1922</x:v>
      </x:c>
      <x:c r="L1615" s="70"/>
      <x:c r="M1615" s="70" t="s">
        <x:v>40</x:v>
      </x:c>
      <x:c r="N1615" s="71" t="n">
        <x:v>202087</x:v>
      </x:c>
      <x:c r="O1615" s="72" t="n">
        <x:f aca="0">N1615/1000</x:f>
        <x:v>202.087</x:v>
      </x:c>
      <x:c r="P1615" s="73" t="n">
        <x:f aca="0">FCCL!D21</x:f>
        <x:v>202.087</x:v>
      </x:c>
      <x:c r="Q1615" s="70" t="str">
        <x:f aca="0">IF(ABS(O1615-P1615)&lt;0.000001,"PASS","FAIL")</x:f>
        <x:v>PASS</x:v>
      </x:c>
      <x:c r="R1615" s="70" t="s">
        <x:v>28</x:v>
      </x:c>
      <x:c r="S1615" s="70"/>
    </x:row>
    <x:row r="1616" ht="15" hidden="0">
      <x:c r="A1616" s="70" t="s">
        <x:v>3005</x:v>
      </x:c>
      <x:c r="B1616" s="70" t="s">
        <x:v>46</x:v>
      </x:c>
      <x:c r="C1616" s="70" t="s">
        <x:v>74</x:v>
      </x:c>
      <x:c r="D1616" s="70" t="s">
        <x:v>1220</x:v>
      </x:c>
      <x:c r="E1616" s="70" t="s">
        <x:v>1221</x:v>
      </x:c>
      <x:c r="F1616" s="70" t="s">
        <x:v>3002</x:v>
      </x:c>
      <x:c r="G1616" s="70" t="s">
        <x:v>2994</x:v>
      </x:c>
      <x:c r="H1616" s="70" t="s">
        <x:v>1208</x:v>
      </x:c>
      <x:c r="I1616" s="70" t="s">
        <x:v>1199</x:v>
      </x:c>
      <x:c r="J1616" s="70" t="n">
        <x:v>241</x:v>
      </x:c>
      <x:c r="K1616" s="70" t="s">
        <x:v>2027</x:v>
      </x:c>
      <x:c r="L1616" s="70"/>
      <x:c r="M1616" s="70" t="s">
        <x:v>40</x:v>
      </x:c>
      <x:c r="N1616" s="71" t="n">
        <x:v>29802170</x:v>
      </x:c>
      <x:c r="O1616" s="72" t="n">
        <x:f aca="0">N1616/1000</x:f>
        <x:v>29802.17</x:v>
      </x:c>
      <x:c r="P1616" s="73" t="n">
        <x:f aca="0">FCCL!E21</x:f>
        <x:v>29802.17</x:v>
      </x:c>
      <x:c r="Q1616" s="70" t="str">
        <x:f aca="0">IF(ABS(O1616-P1616)&lt;0.000001,"PASS","FAIL")</x:f>
        <x:v>PASS</x:v>
      </x:c>
      <x:c r="R1616" s="70" t="s">
        <x:v>28</x:v>
      </x:c>
      <x:c r="S1616" s="70"/>
    </x:row>
    <x:row r="1617" ht="15" hidden="0">
      <x:c r="A1617" s="70" t="s">
        <x:v>3006</x:v>
      </x:c>
      <x:c r="B1617" s="70" t="s">
        <x:v>46</x:v>
      </x:c>
      <x:c r="C1617" s="70" t="s">
        <x:v>75</x:v>
      </x:c>
      <x:c r="D1617" s="70" t="s">
        <x:v>1220</x:v>
      </x:c>
      <x:c r="E1617" s="70" t="s">
        <x:v>1221</x:v>
      </x:c>
      <x:c r="F1617" s="70" t="s">
        <x:v>3002</x:v>
      </x:c>
      <x:c r="G1617" s="70" t="s">
        <x:v>2997</x:v>
      </x:c>
      <x:c r="H1617" s="70" t="s">
        <x:v>1211</x:v>
      </x:c>
      <x:c r="I1617" s="70" t="s">
        <x:v>1199</x:v>
      </x:c>
      <x:c r="J1617" s="70" t="n">
        <x:v>219</x:v>
      </x:c>
      <x:c r="K1617" s="70" t="s">
        <x:v>3007</x:v>
      </x:c>
      <x:c r="L1617" s="70"/>
      <x:c r="M1617" s="70" t="s">
        <x:v>40</x:v>
      </x:c>
      <x:c r="N1617" s="71" t="n">
        <x:v>34531172</x:v>
      </x:c>
      <x:c r="O1617" s="72" t="n">
        <x:f aca="0">N1617/1000</x:f>
        <x:v>34531.172</x:v>
      </x:c>
      <x:c r="P1617" s="73" t="n">
        <x:f aca="0">FCCL!F21</x:f>
        <x:v>34531.172</x:v>
      </x:c>
      <x:c r="Q1617" s="70" t="str">
        <x:f aca="0">IF(ABS(O1617-P1617)&lt;0.000001,"PASS","FAIL")</x:f>
        <x:v>PASS</x:v>
      </x:c>
      <x:c r="R1617" s="70" t="s">
        <x:v>28</x:v>
      </x:c>
      <x:c r="S1617" s="70"/>
    </x:row>
    <x:row r="1618" ht="15" hidden="0">
      <x:c r="A1618" s="70" t="s">
        <x:v>3008</x:v>
      </x:c>
      <x:c r="B1618" s="70" t="s">
        <x:v>46</x:v>
      </x:c>
      <x:c r="C1618" s="70" t="s">
        <x:v>76</x:v>
      </x:c>
      <x:c r="D1618" s="70" t="s">
        <x:v>1220</x:v>
      </x:c>
      <x:c r="E1618" s="70" t="s">
        <x:v>1221</x:v>
      </x:c>
      <x:c r="F1618" s="70" t="s">
        <x:v>3002</x:v>
      </x:c>
      <x:c r="G1618" s="70" t="s">
        <x:v>2999</x:v>
      </x:c>
      <x:c r="H1618" s="70" t="s">
        <x:v>1215</x:v>
      </x:c>
      <x:c r="I1618" s="70" t="s">
        <x:v>1199</x:v>
      </x:c>
      <x:c r="J1618" s="70" t="n">
        <x:v>273</x:v>
      </x:c>
      <x:c r="K1618" s="70" t="s">
        <x:v>2010</x:v>
      </x:c>
      <x:c r="L1618" s="70"/>
      <x:c r="M1618" s="70" t="s">
        <x:v>40</x:v>
      </x:c>
      <x:c r="N1618" s="71" t="n">
        <x:v>700153</x:v>
      </x:c>
      <x:c r="O1618" s="72" t="n">
        <x:f aca="0">N1618/1000</x:f>
        <x:v>700.153</x:v>
      </x:c>
      <x:c r="P1618" s="73" t="n">
        <x:f aca="0">FCCL!G21</x:f>
        <x:v>700.153</x:v>
      </x:c>
      <x:c r="Q1618" s="70" t="str">
        <x:f aca="0">IF(ABS(O1618-P1618)&lt;0.000001,"PASS","FAIL")</x:f>
        <x:v>PASS</x:v>
      </x:c>
      <x:c r="R1618" s="70" t="s">
        <x:v>28</x:v>
      </x:c>
      <x:c r="S1618" s="70"/>
    </x:row>
    <x:row r="1619" ht="15" hidden="0">
      <x:c r="A1619" s="70" t="s">
        <x:v>3009</x:v>
      </x:c>
      <x:c r="B1619" s="70" t="s">
        <x:v>46</x:v>
      </x:c>
      <x:c r="C1619" s="70" t="s">
        <x:v>77</x:v>
      </x:c>
      <x:c r="D1619" s="70" t="s">
        <x:v>1220</x:v>
      </x:c>
      <x:c r="E1619" s="70" t="s">
        <x:v>1221</x:v>
      </x:c>
      <x:c r="F1619" s="70" t="s">
        <x:v>3002</x:v>
      </x:c>
      <x:c r="G1619" s="70" t="s">
        <x:v>2999</x:v>
      </x:c>
      <x:c r="H1619" s="70" t="s">
        <x:v>1215</x:v>
      </x:c>
      <x:c r="I1619" s="70" t="s">
        <x:v>1218</x:v>
      </x:c>
      <x:c r="J1619" s="70" t="n">
        <x:v>274</x:v>
      </x:c>
      <x:c r="K1619" s="70" t="s">
        <x:v>3010</x:v>
      </x:c>
      <x:c r="L1619" s="70"/>
      <x:c r="M1619" s="70" t="s">
        <x:v>40</x:v>
      </x:c>
      <x:c r="N1619" s="71" t="n">
        <x:v>296574</x:v>
      </x:c>
      <x:c r="O1619" s="72" t="n">
        <x:f aca="0">N1619/1000</x:f>
        <x:v>296.574</x:v>
      </x:c>
      <x:c r="P1619" s="73" t="n">
        <x:f aca="0">FCCL!H21</x:f>
        <x:v>296.574</x:v>
      </x:c>
      <x:c r="Q1619" s="70" t="str">
        <x:f aca="0">IF(ABS(O1619-P1619)&lt;0.000001,"PASS","FAIL")</x:f>
        <x:v>PASS</x:v>
      </x:c>
      <x:c r="R1619" s="70" t="s">
        <x:v>28</x:v>
      </x:c>
      <x:c r="S1619" s="70"/>
    </x:row>
    <x:row r="1620" ht="15" hidden="0">
      <x:c r="A1620" s="70" t="s">
        <x:v>3011</x:v>
      </x:c>
      <x:c r="B1620" s="70" t="s">
        <x:v>46</x:v>
      </x:c>
      <x:c r="C1620" s="70" t="s">
        <x:v>1076</x:v>
      </x:c>
      <x:c r="D1620" s="70" t="s">
        <x:v>302</x:v>
      </x:c>
      <x:c r="E1620" s="70" t="s">
        <x:v>1129</x:v>
      </x:c>
      <x:c r="F1620" s="70" t="s">
        <x:v>3012</x:v>
      </x:c>
      <x:c r="G1620" s="70" t="s">
        <x:v>2990</x:v>
      </x:c>
      <x:c r="H1620" s="70" t="s">
        <x:v>1198</x:v>
      </x:c>
      <x:c r="I1620" s="70" t="s">
        <x:v>1199</x:v>
      </x:c>
      <x:c r="J1620" s="70" t="n">
        <x:v>165</x:v>
      </x:c>
      <x:c r="K1620" s="70" t="s">
        <x:v>1200</x:v>
      </x:c>
      <x:c r="L1620" s="70" t="s">
        <x:v>1201</x:v>
      </x:c>
      <x:c r="M1620" s="70" t="s">
        <x:v>40</x:v>
      </x:c>
      <x:c r="N1620" s="71" t="n">
        <x:v>60322</x:v>
      </x:c>
      <x:c r="O1620" s="72" t="n">
        <x:f aca="0">N1620/1000</x:f>
        <x:v>60.322</x:v>
      </x:c>
      <x:c r="P1620" s="73" t="n">
        <x:f aca="0">FCCL!C23</x:f>
        <x:v>60.322</x:v>
      </x:c>
      <x:c r="Q1620" s="70" t="str">
        <x:f aca="0">IF(ABS(O1620-P1620)&lt;0.000001,"PASS","FAIL")</x:f>
        <x:v>PASS</x:v>
      </x:c>
      <x:c r="R1620" s="70" t="s">
        <x:v>28</x:v>
      </x:c>
      <x:c r="S1620" s="70"/>
    </x:row>
    <x:row r="1621" ht="15" hidden="0">
      <x:c r="A1621" s="70" t="s">
        <x:v>3013</x:v>
      </x:c>
      <x:c r="B1621" s="70" t="s">
        <x:v>46</x:v>
      </x:c>
      <x:c r="C1621" s="70" t="s">
        <x:v>73</x:v>
      </x:c>
      <x:c r="D1621" s="70" t="s">
        <x:v>302</x:v>
      </x:c>
      <x:c r="E1621" s="70" t="s">
        <x:v>1129</x:v>
      </x:c>
      <x:c r="F1621" s="70" t="s">
        <x:v>3012</x:v>
      </x:c>
      <x:c r="G1621" s="70" t="s">
        <x:v>2992</x:v>
      </x:c>
      <x:c r="H1621" s="70" t="s">
        <x:v>1204</x:v>
      </x:c>
      <x:c r="I1621" s="70" t="s">
        <x:v>1199</x:v>
      </x:c>
      <x:c r="J1621" s="70" t="n">
        <x:v>187</x:v>
      </x:c>
      <x:c r="K1621" s="70" t="s">
        <x:v>2307</x:v>
      </x:c>
      <x:c r="L1621" s="70" t="s">
        <x:v>1246</x:v>
      </x:c>
      <x:c r="M1621" s="70" t="s">
        <x:v>40</x:v>
      </x:c>
      <x:c r="N1621" s="71" t="n">
        <x:v>89334</x:v>
      </x:c>
      <x:c r="O1621" s="72" t="n">
        <x:f aca="0">N1621/1000</x:f>
        <x:v>89.334</x:v>
      </x:c>
      <x:c r="P1621" s="73" t="n">
        <x:f aca="0">FCCL!D23</x:f>
        <x:v>89.334</x:v>
      </x:c>
      <x:c r="Q1621" s="70" t="str">
        <x:f aca="0">IF(ABS(O1621-P1621)&lt;0.000001,"PASS","FAIL")</x:f>
        <x:v>PASS</x:v>
      </x:c>
      <x:c r="R1621" s="70" t="s">
        <x:v>28</x:v>
      </x:c>
      <x:c r="S1621" s="70"/>
    </x:row>
    <x:row r="1622" ht="15" hidden="0">
      <x:c r="A1622" s="70" t="s">
        <x:v>3014</x:v>
      </x:c>
      <x:c r="B1622" s="70" t="s">
        <x:v>46</x:v>
      </x:c>
      <x:c r="C1622" s="70" t="s">
        <x:v>74</x:v>
      </x:c>
      <x:c r="D1622" s="70" t="s">
        <x:v>302</x:v>
      </x:c>
      <x:c r="E1622" s="70" t="s">
        <x:v>1129</x:v>
      </x:c>
      <x:c r="F1622" s="70" t="s">
        <x:v>3012</x:v>
      </x:c>
      <x:c r="G1622" s="70" t="s">
        <x:v>2994</x:v>
      </x:c>
      <x:c r="H1622" s="70" t="s">
        <x:v>1208</x:v>
      </x:c>
      <x:c r="I1622" s="70" t="s">
        <x:v>1199</x:v>
      </x:c>
      <x:c r="J1622" s="70" t="n">
        <x:v>209</x:v>
      </x:c>
      <x:c r="K1622" s="70" t="s">
        <x:v>2995</x:v>
      </x:c>
      <x:c r="L1622" s="70" t="s">
        <x:v>1252</x:v>
      </x:c>
      <x:c r="M1622" s="70" t="s">
        <x:v>40</x:v>
      </x:c>
      <x:c r="N1622" s="71" t="n">
        <x:v>132263</x:v>
      </x:c>
      <x:c r="O1622" s="72" t="n">
        <x:f aca="0">N1622/1000</x:f>
        <x:v>132.263</x:v>
      </x:c>
      <x:c r="P1622" s="73" t="n">
        <x:f aca="0">FCCL!E23</x:f>
        <x:v>132.263</x:v>
      </x:c>
      <x:c r="Q1622" s="70" t="str">
        <x:f aca="0">IF(ABS(O1622-P1622)&lt;0.000001,"PASS","FAIL")</x:f>
        <x:v>PASS</x:v>
      </x:c>
      <x:c r="R1622" s="70" t="s">
        <x:v>28</x:v>
      </x:c>
      <x:c r="S1622" s="70"/>
    </x:row>
    <x:row r="1623" ht="15" hidden="0">
      <x:c r="A1623" s="70" t="s">
        <x:v>3015</x:v>
      </x:c>
      <x:c r="B1623" s="70" t="s">
        <x:v>46</x:v>
      </x:c>
      <x:c r="C1623" s="70" t="s">
        <x:v>75</x:v>
      </x:c>
      <x:c r="D1623" s="70" t="s">
        <x:v>302</x:v>
      </x:c>
      <x:c r="E1623" s="70" t="s">
        <x:v>1129</x:v>
      </x:c>
      <x:c r="F1623" s="70" t="s">
        <x:v>3012</x:v>
      </x:c>
      <x:c r="G1623" s="70" t="s">
        <x:v>2997</x:v>
      </x:c>
      <x:c r="H1623" s="70" t="s">
        <x:v>1211</x:v>
      </x:c>
      <x:c r="I1623" s="70" t="s">
        <x:v>1199</x:v>
      </x:c>
      <x:c r="J1623" s="70" t="n">
        <x:v>191</x:v>
      </x:c>
      <x:c r="K1623" s="70" t="s">
        <x:v>1200</x:v>
      </x:c>
      <x:c r="L1623" s="70" t="s">
        <x:v>1252</x:v>
      </x:c>
      <x:c r="M1623" s="70" t="s">
        <x:v>40</x:v>
      </x:c>
      <x:c r="N1623" s="71" t="n">
        <x:v>181380</x:v>
      </x:c>
      <x:c r="O1623" s="72" t="n">
        <x:f aca="0">N1623/1000</x:f>
        <x:v>181.38</x:v>
      </x:c>
      <x:c r="P1623" s="73" t="n">
        <x:f aca="0">FCCL!F23</x:f>
        <x:v>181.38</x:v>
      </x:c>
      <x:c r="Q1623" s="70" t="str">
        <x:f aca="0">IF(ABS(O1623-P1623)&lt;0.000001,"PASS","FAIL")</x:f>
        <x:v>PASS</x:v>
      </x:c>
      <x:c r="R1623" s="70" t="s">
        <x:v>28</x:v>
      </x:c>
      <x:c r="S1623" s="70"/>
    </x:row>
    <x:row r="1624" ht="15" hidden="0">
      <x:c r="A1624" s="70" t="s">
        <x:v>3016</x:v>
      </x:c>
      <x:c r="B1624" s="70" t="s">
        <x:v>46</x:v>
      </x:c>
      <x:c r="C1624" s="70" t="s">
        <x:v>76</x:v>
      </x:c>
      <x:c r="D1624" s="70" t="s">
        <x:v>302</x:v>
      </x:c>
      <x:c r="E1624" s="70" t="s">
        <x:v>1129</x:v>
      </x:c>
      <x:c r="F1624" s="70" t="s">
        <x:v>3012</x:v>
      </x:c>
      <x:c r="G1624" s="70" t="s">
        <x:v>2999</x:v>
      </x:c>
      <x:c r="H1624" s="70" t="s">
        <x:v>1215</x:v>
      </x:c>
      <x:c r="I1624" s="70" t="s">
        <x:v>1199</x:v>
      </x:c>
      <x:c r="J1624" s="70" t="n">
        <x:v>245</x:v>
      </x:c>
      <x:c r="K1624" s="70" t="s">
        <x:v>1200</x:v>
      </x:c>
      <x:c r="L1624" s="70" t="s">
        <x:v>1246</x:v>
      </x:c>
      <x:c r="M1624" s="70" t="s">
        <x:v>40</x:v>
      </x:c>
      <x:c r="N1624" s="71" t="n">
        <x:v>131165</x:v>
      </x:c>
      <x:c r="O1624" s="72" t="n">
        <x:f aca="0">N1624/1000</x:f>
        <x:v>131.165</x:v>
      </x:c>
      <x:c r="P1624" s="73" t="n">
        <x:f aca="0">FCCL!G23</x:f>
        <x:v>131.165</x:v>
      </x:c>
      <x:c r="Q1624" s="70" t="str">
        <x:f aca="0">IF(ABS(O1624-P1624)&lt;0.000001,"PASS","FAIL")</x:f>
        <x:v>PASS</x:v>
      </x:c>
      <x:c r="R1624" s="70" t="s">
        <x:v>28</x:v>
      </x:c>
      <x:c r="S1624" s="70"/>
    </x:row>
    <x:row r="1625" ht="15" hidden="0">
      <x:c r="A1625" s="70" t="s">
        <x:v>3017</x:v>
      </x:c>
      <x:c r="B1625" s="70" t="s">
        <x:v>46</x:v>
      </x:c>
      <x:c r="C1625" s="70" t="s">
        <x:v>77</x:v>
      </x:c>
      <x:c r="D1625" s="70" t="s">
        <x:v>302</x:v>
      </x:c>
      <x:c r="E1625" s="70" t="s">
        <x:v>1129</x:v>
      </x:c>
      <x:c r="F1625" s="70" t="s">
        <x:v>3012</x:v>
      </x:c>
      <x:c r="G1625" s="70" t="s">
        <x:v>2999</x:v>
      </x:c>
      <x:c r="H1625" s="70" t="s">
        <x:v>1215</x:v>
      </x:c>
      <x:c r="I1625" s="70" t="s">
        <x:v>1218</x:v>
      </x:c>
      <x:c r="J1625" s="70" t="n">
        <x:v>245</x:v>
      </x:c>
      <x:c r="K1625" s="70" t="s">
        <x:v>1200</x:v>
      </x:c>
      <x:c r="L1625" s="70" t="s">
        <x:v>1246</x:v>
      </x:c>
      <x:c r="M1625" s="70" t="s">
        <x:v>40</x:v>
      </x:c>
      <x:c r="N1625" s="71" t="n">
        <x:v>126445</x:v>
      </x:c>
      <x:c r="O1625" s="72" t="n">
        <x:f aca="0">N1625/1000</x:f>
        <x:v>126.445</x:v>
      </x:c>
      <x:c r="P1625" s="73" t="n">
        <x:f aca="0">FCCL!H23</x:f>
        <x:v>126.445</x:v>
      </x:c>
      <x:c r="Q1625" s="70" t="str">
        <x:f aca="0">IF(ABS(O1625-P1625)&lt;0.000001,"PASS","FAIL")</x:f>
        <x:v>PASS</x:v>
      </x:c>
      <x:c r="R1625" s="70" t="s">
        <x:v>28</x:v>
      </x:c>
      <x:c r="S1625" s="70"/>
    </x:row>
    <x:row r="1626" ht="15" hidden="0">
      <x:c r="A1626" s="70" t="s">
        <x:v>3018</x:v>
      </x:c>
      <x:c r="B1626" s="70" t="s">
        <x:v>46</x:v>
      </x:c>
      <x:c r="C1626" s="70" t="s">
        <x:v>1076</x:v>
      </x:c>
      <x:c r="D1626" s="70" t="s">
        <x:v>304</x:v>
      </x:c>
      <x:c r="E1626" s="70" t="s">
        <x:v>1129</x:v>
      </x:c>
      <x:c r="F1626" s="70"/>
      <x:c r="G1626" s="70" t="s">
        <x:v>2990</x:v>
      </x:c>
      <x:c r="H1626" s="70" t="s">
        <x:v>1198</x:v>
      </x:c>
      <x:c r="I1626" s="70" t="s">
        <x:v>1199</x:v>
      </x:c>
      <x:c r="J1626" s="70" t="n">
        <x:v>164</x:v>
      </x:c>
      <x:c r="K1626" s="70" t="s">
        <x:v>2979</x:v>
      </x:c>
      <x:c r="L1626" s="70"/>
      <x:c r="M1626" s="70" t="s">
        <x:v>40</x:v>
      </x:c>
      <x:c r="N1626" s="71" t="n">
        <x:v>0</x:v>
      </x:c>
      <x:c r="O1626" s="72" t="n">
        <x:f aca="0">N1626/1000</x:f>
        <x:v>0</x:v>
      </x:c>
      <x:c r="P1626" s="73" t="n">
        <x:f aca="0">FCCL!C24</x:f>
        <x:v>0</x:v>
      </x:c>
      <x:c r="Q1626" s="70" t="str">
        <x:f aca="0">IF(ABS(O1626-P1626)&lt;0.000001,"PASS","FAIL")</x:f>
        <x:v>PASS</x:v>
      </x:c>
      <x:c r="R1626" s="70" t="s">
        <x:v>28</x:v>
      </x:c>
      <x:c r="S1626" s="70"/>
    </x:row>
    <x:row r="1627" ht="15" hidden="0">
      <x:c r="A1627" s="70" t="s">
        <x:v>3019</x:v>
      </x:c>
      <x:c r="B1627" s="70" t="s">
        <x:v>46</x:v>
      </x:c>
      <x:c r="C1627" s="70" t="s">
        <x:v>73</x:v>
      </x:c>
      <x:c r="D1627" s="70" t="s">
        <x:v>304</x:v>
      </x:c>
      <x:c r="E1627" s="70" t="s">
        <x:v>1129</x:v>
      </x:c>
      <x:c r="F1627" s="70" t="s">
        <x:v>1238</x:v>
      </x:c>
      <x:c r="G1627" s="70" t="s">
        <x:v>2992</x:v>
      </x:c>
      <x:c r="H1627" s="70" t="s">
        <x:v>1204</x:v>
      </x:c>
      <x:c r="I1627" s="70" t="s">
        <x:v>1199</x:v>
      </x:c>
      <x:c r="J1627" s="70" t="n">
        <x:v>187</x:v>
      </x:c>
      <x:c r="K1627" s="70" t="s">
        <x:v>2307</x:v>
      </x:c>
      <x:c r="L1627" s="70" t="s">
        <x:v>1248</x:v>
      </x:c>
      <x:c r="M1627" s="70" t="s">
        <x:v>40</x:v>
      </x:c>
      <x:c r="N1627" s="71" t="n">
        <x:v>0</x:v>
      </x:c>
      <x:c r="O1627" s="72" t="n">
        <x:f aca="0">N1627/1000</x:f>
        <x:v>0</x:v>
      </x:c>
      <x:c r="P1627" s="73" t="n">
        <x:f aca="0">FCCL!D24</x:f>
        <x:v>0</x:v>
      </x:c>
      <x:c r="Q1627" s="70" t="str">
        <x:f aca="0">IF(ABS(O1627-P1627)&lt;0.000001,"PASS","FAIL")</x:f>
        <x:v>PASS</x:v>
      </x:c>
      <x:c r="R1627" s="70" t="s">
        <x:v>28</x:v>
      </x:c>
      <x:c r="S1627" s="70"/>
    </x:row>
    <x:row r="1628" ht="15" hidden="0">
      <x:c r="A1628" s="70" t="s">
        <x:v>3020</x:v>
      </x:c>
      <x:c r="B1628" s="70" t="s">
        <x:v>46</x:v>
      </x:c>
      <x:c r="C1628" s="70" t="s">
        <x:v>74</x:v>
      </x:c>
      <x:c r="D1628" s="70" t="s">
        <x:v>304</x:v>
      </x:c>
      <x:c r="E1628" s="70" t="s">
        <x:v>1129</x:v>
      </x:c>
      <x:c r="F1628" s="70" t="s">
        <x:v>3021</x:v>
      </x:c>
      <x:c r="G1628" s="70" t="s">
        <x:v>2994</x:v>
      </x:c>
      <x:c r="H1628" s="70" t="s">
        <x:v>1208</x:v>
      </x:c>
      <x:c r="I1628" s="70" t="s">
        <x:v>1199</x:v>
      </x:c>
      <x:c r="J1628" s="70" t="n">
        <x:v>209</x:v>
      </x:c>
      <x:c r="K1628" s="70" t="s">
        <x:v>2995</x:v>
      </x:c>
      <x:c r="L1628" s="70" t="s">
        <x:v>1246</x:v>
      </x:c>
      <x:c r="M1628" s="70" t="s">
        <x:v>40</x:v>
      </x:c>
      <x:c r="N1628" s="71" t="n">
        <x:v>11029756</x:v>
      </x:c>
      <x:c r="O1628" s="72" t="n">
        <x:f aca="0">N1628/1000</x:f>
        <x:v>11029.756</x:v>
      </x:c>
      <x:c r="P1628" s="73" t="n">
        <x:f aca="0">FCCL!E24</x:f>
        <x:v>11029.756</x:v>
      </x:c>
      <x:c r="Q1628" s="70" t="str">
        <x:f aca="0">IF(ABS(O1628-P1628)&lt;0.000001,"PASS","FAIL")</x:f>
        <x:v>PASS</x:v>
      </x:c>
      <x:c r="R1628" s="70" t="s">
        <x:v>28</x:v>
      </x:c>
      <x:c r="S1628" s="70"/>
    </x:row>
    <x:row r="1629" ht="15" hidden="0">
      <x:c r="A1629" s="70" t="s">
        <x:v>3022</x:v>
      </x:c>
      <x:c r="B1629" s="70" t="s">
        <x:v>46</x:v>
      </x:c>
      <x:c r="C1629" s="70" t="s">
        <x:v>75</x:v>
      </x:c>
      <x:c r="D1629" s="70" t="s">
        <x:v>304</x:v>
      </x:c>
      <x:c r="E1629" s="70" t="s">
        <x:v>1129</x:v>
      </x:c>
      <x:c r="F1629" s="70" t="s">
        <x:v>3021</x:v>
      </x:c>
      <x:c r="G1629" s="70" t="s">
        <x:v>2997</x:v>
      </x:c>
      <x:c r="H1629" s="70" t="s">
        <x:v>1211</x:v>
      </x:c>
      <x:c r="I1629" s="70" t="s">
        <x:v>1199</x:v>
      </x:c>
      <x:c r="J1629" s="70" t="n">
        <x:v>191</x:v>
      </x:c>
      <x:c r="K1629" s="70" t="s">
        <x:v>1200</x:v>
      </x:c>
      <x:c r="L1629" s="70" t="s">
        <x:v>1246</x:v>
      </x:c>
      <x:c r="M1629" s="70" t="s">
        <x:v>40</x:v>
      </x:c>
      <x:c r="N1629" s="71" t="n">
        <x:v>10957737</x:v>
      </x:c>
      <x:c r="O1629" s="72" t="n">
        <x:f aca="0">N1629/1000</x:f>
        <x:v>10957.737</x:v>
      </x:c>
      <x:c r="P1629" s="73" t="n">
        <x:f aca="0">FCCL!F24</x:f>
        <x:v>10957.737</x:v>
      </x:c>
      <x:c r="Q1629" s="70" t="str">
        <x:f aca="0">IF(ABS(O1629-P1629)&lt;0.000001,"PASS","FAIL")</x:f>
        <x:v>PASS</x:v>
      </x:c>
      <x:c r="R1629" s="70" t="s">
        <x:v>28</x:v>
      </x:c>
      <x:c r="S1629" s="70"/>
    </x:row>
    <x:row r="1630" ht="15" hidden="0">
      <x:c r="A1630" s="70" t="s">
        <x:v>3023</x:v>
      </x:c>
      <x:c r="B1630" s="70" t="s">
        <x:v>46</x:v>
      </x:c>
      <x:c r="C1630" s="70" t="s">
        <x:v>76</x:v>
      </x:c>
      <x:c r="D1630" s="70" t="s">
        <x:v>304</x:v>
      </x:c>
      <x:c r="E1630" s="70" t="s">
        <x:v>1129</x:v>
      </x:c>
      <x:c r="F1630" s="70" t="s">
        <x:v>3021</x:v>
      </x:c>
      <x:c r="G1630" s="70" t="s">
        <x:v>2999</x:v>
      </x:c>
      <x:c r="H1630" s="70" t="s">
        <x:v>1215</x:v>
      </x:c>
      <x:c r="I1630" s="70" t="s">
        <x:v>1199</x:v>
      </x:c>
      <x:c r="J1630" s="70" t="n">
        <x:v>245</x:v>
      </x:c>
      <x:c r="K1630" s="70" t="s">
        <x:v>1200</x:v>
      </x:c>
      <x:c r="L1630" s="70" t="s">
        <x:v>1248</x:v>
      </x:c>
      <x:c r="M1630" s="70" t="s">
        <x:v>40</x:v>
      </x:c>
      <x:c r="N1630" s="71" t="n">
        <x:v>10745700</x:v>
      </x:c>
      <x:c r="O1630" s="72" t="n">
        <x:f aca="0">N1630/1000</x:f>
        <x:v>10745.7</x:v>
      </x:c>
      <x:c r="P1630" s="73" t="n">
        <x:f aca="0">FCCL!G24</x:f>
        <x:v>10745.7</x:v>
      </x:c>
      <x:c r="Q1630" s="70" t="str">
        <x:f aca="0">IF(ABS(O1630-P1630)&lt;0.000001,"PASS","FAIL")</x:f>
        <x:v>PASS</x:v>
      </x:c>
      <x:c r="R1630" s="70" t="s">
        <x:v>28</x:v>
      </x:c>
      <x:c r="S1630" s="70"/>
    </x:row>
    <x:row r="1631" ht="15" hidden="0">
      <x:c r="A1631" s="70" t="s">
        <x:v>3024</x:v>
      </x:c>
      <x:c r="B1631" s="70" t="s">
        <x:v>46</x:v>
      </x:c>
      <x:c r="C1631" s="70" t="s">
        <x:v>77</x:v>
      </x:c>
      <x:c r="D1631" s="70" t="s">
        <x:v>304</x:v>
      </x:c>
      <x:c r="E1631" s="70" t="s">
        <x:v>1129</x:v>
      </x:c>
      <x:c r="F1631" s="70" t="s">
        <x:v>3021</x:v>
      </x:c>
      <x:c r="G1631" s="70" t="s">
        <x:v>2999</x:v>
      </x:c>
      <x:c r="H1631" s="70" t="s">
        <x:v>1215</x:v>
      </x:c>
      <x:c r="I1631" s="70" t="s">
        <x:v>1218</x:v>
      </x:c>
      <x:c r="J1631" s="70" t="n">
        <x:v>245</x:v>
      </x:c>
      <x:c r="K1631" s="70" t="s">
        <x:v>1200</x:v>
      </x:c>
      <x:c r="L1631" s="70" t="s">
        <x:v>1248</x:v>
      </x:c>
      <x:c r="M1631" s="70" t="s">
        <x:v>40</x:v>
      </x:c>
      <x:c r="N1631" s="71" t="n">
        <x:v>10533667</x:v>
      </x:c>
      <x:c r="O1631" s="72" t="n">
        <x:f aca="0">N1631/1000</x:f>
        <x:v>10533.667</x:v>
      </x:c>
      <x:c r="P1631" s="73" t="n">
        <x:f aca="0">FCCL!H24</x:f>
        <x:v>10533.667</x:v>
      </x:c>
      <x:c r="Q1631" s="70" t="str">
        <x:f aca="0">IF(ABS(O1631-P1631)&lt;0.000001,"PASS","FAIL")</x:f>
        <x:v>PASS</x:v>
      </x:c>
      <x:c r="R1631" s="70" t="s">
        <x:v>28</x:v>
      </x:c>
      <x:c r="S1631" s="70"/>
    </x:row>
    <x:row r="1632" ht="15" hidden="0">
      <x:c r="A1632" s="70" t="s">
        <x:v>3025</x:v>
      </x:c>
      <x:c r="B1632" s="70" t="s">
        <x:v>46</x:v>
      </x:c>
      <x:c r="C1632" s="70" t="s">
        <x:v>1076</x:v>
      </x:c>
      <x:c r="D1632" s="70" t="s">
        <x:v>306</x:v>
      </x:c>
      <x:c r="E1632" s="70" t="s">
        <x:v>1129</x:v>
      </x:c>
      <x:c r="F1632" s="70"/>
      <x:c r="G1632" s="70" t="s">
        <x:v>2990</x:v>
      </x:c>
      <x:c r="H1632" s="70" t="s">
        <x:v>1198</x:v>
      </x:c>
      <x:c r="I1632" s="70" t="s">
        <x:v>1199</x:v>
      </x:c>
      <x:c r="J1632" s="70" t="n">
        <x:v>164</x:v>
      </x:c>
      <x:c r="K1632" s="70" t="s">
        <x:v>2979</x:v>
      </x:c>
      <x:c r="L1632" s="70"/>
      <x:c r="M1632" s="70" t="s">
        <x:v>40</x:v>
      </x:c>
      <x:c r="N1632" s="71" t="n">
        <x:v>0</x:v>
      </x:c>
      <x:c r="O1632" s="72" t="n">
        <x:f aca="0">N1632/1000</x:f>
        <x:v>0</x:v>
      </x:c>
      <x:c r="P1632" s="73" t="n">
        <x:f aca="0">FCCL!C25</x:f>
        <x:v>0</x:v>
      </x:c>
      <x:c r="Q1632" s="70" t="str">
        <x:f aca="0">IF(ABS(O1632-P1632)&lt;0.000001,"PASS","FAIL")</x:f>
        <x:v>PASS</x:v>
      </x:c>
      <x:c r="R1632" s="70" t="s">
        <x:v>28</x:v>
      </x:c>
      <x:c r="S1632" s="70"/>
    </x:row>
    <x:row r="1633" ht="15" hidden="0">
      <x:c r="A1633" s="70" t="s">
        <x:v>3026</x:v>
      </x:c>
      <x:c r="B1633" s="70" t="s">
        <x:v>46</x:v>
      </x:c>
      <x:c r="C1633" s="70" t="s">
        <x:v>73</x:v>
      </x:c>
      <x:c r="D1633" s="70" t="s">
        <x:v>306</x:v>
      </x:c>
      <x:c r="E1633" s="70" t="s">
        <x:v>1129</x:v>
      </x:c>
      <x:c r="F1633" s="70"/>
      <x:c r="G1633" s="70" t="s">
        <x:v>2992</x:v>
      </x:c>
      <x:c r="H1633" s="70" t="s">
        <x:v>1204</x:v>
      </x:c>
      <x:c r="I1633" s="70" t="s">
        <x:v>1199</x:v>
      </x:c>
      <x:c r="J1633" s="70" t="n">
        <x:v>186</x:v>
      </x:c>
      <x:c r="K1633" s="70" t="s">
        <x:v>2126</x:v>
      </x:c>
      <x:c r="L1633" s="70"/>
      <x:c r="M1633" s="70" t="s">
        <x:v>40</x:v>
      </x:c>
      <x:c r="N1633" s="71" t="n">
        <x:v>0</x:v>
      </x:c>
      <x:c r="O1633" s="72" t="n">
        <x:f aca="0">N1633/1000</x:f>
        <x:v>0</x:v>
      </x:c>
      <x:c r="P1633" s="73" t="n">
        <x:f aca="0">FCCL!D25</x:f>
        <x:v>0</x:v>
      </x:c>
      <x:c r="Q1633" s="70" t="str">
        <x:f aca="0">IF(ABS(O1633-P1633)&lt;0.000001,"PASS","FAIL")</x:f>
        <x:v>PASS</x:v>
      </x:c>
      <x:c r="R1633" s="70" t="s">
        <x:v>28</x:v>
      </x:c>
      <x:c r="S1633" s="70"/>
    </x:row>
    <x:row r="1634" ht="15" hidden="0">
      <x:c r="A1634" s="70" t="s">
        <x:v>3027</x:v>
      </x:c>
      <x:c r="B1634" s="70" t="s">
        <x:v>46</x:v>
      </x:c>
      <x:c r="C1634" s="70" t="s">
        <x:v>74</x:v>
      </x:c>
      <x:c r="D1634" s="70" t="s">
        <x:v>306</x:v>
      </x:c>
      <x:c r="E1634" s="70" t="s">
        <x:v>1129</x:v>
      </x:c>
      <x:c r="F1634" s="70"/>
      <x:c r="G1634" s="70" t="s">
        <x:v>2994</x:v>
      </x:c>
      <x:c r="H1634" s="70" t="s">
        <x:v>1208</x:v>
      </x:c>
      <x:c r="I1634" s="70" t="s">
        <x:v>1199</x:v>
      </x:c>
      <x:c r="J1634" s="70" t="n">
        <x:v>208</x:v>
      </x:c>
      <x:c r="K1634" s="70" t="s">
        <x:v>2467</x:v>
      </x:c>
      <x:c r="L1634" s="70"/>
      <x:c r="M1634" s="70" t="s">
        <x:v>40</x:v>
      </x:c>
      <x:c r="N1634" s="71" t="n">
        <x:v>0</x:v>
      </x:c>
      <x:c r="O1634" s="72" t="n">
        <x:f aca="0">N1634/1000</x:f>
        <x:v>0</x:v>
      </x:c>
      <x:c r="P1634" s="73" t="n">
        <x:f aca="0">FCCL!E25</x:f>
        <x:v>0</x:v>
      </x:c>
      <x:c r="Q1634" s="70" t="str">
        <x:f aca="0">IF(ABS(O1634-P1634)&lt;0.000001,"PASS","FAIL")</x:f>
        <x:v>PASS</x:v>
      </x:c>
      <x:c r="R1634" s="70" t="s">
        <x:v>28</x:v>
      </x:c>
      <x:c r="S1634" s="70"/>
    </x:row>
    <x:row r="1635" ht="15" hidden="0">
      <x:c r="A1635" s="70" t="s">
        <x:v>3028</x:v>
      </x:c>
      <x:c r="B1635" s="70" t="s">
        <x:v>46</x:v>
      </x:c>
      <x:c r="C1635" s="70" t="s">
        <x:v>75</x:v>
      </x:c>
      <x:c r="D1635" s="70" t="s">
        <x:v>306</x:v>
      </x:c>
      <x:c r="E1635" s="70" t="s">
        <x:v>1129</x:v>
      </x:c>
      <x:c r="F1635" s="70"/>
      <x:c r="G1635" s="70" t="s">
        <x:v>2997</x:v>
      </x:c>
      <x:c r="H1635" s="70" t="s">
        <x:v>1211</x:v>
      </x:c>
      <x:c r="I1635" s="70" t="s">
        <x:v>1199</x:v>
      </x:c>
      <x:c r="J1635" s="70" t="n">
        <x:v>190</x:v>
      </x:c>
      <x:c r="K1635" s="70" t="s">
        <x:v>2130</x:v>
      </x:c>
      <x:c r="L1635" s="70"/>
      <x:c r="M1635" s="70" t="s">
        <x:v>40</x:v>
      </x:c>
      <x:c r="N1635" s="71" t="n">
        <x:v>0</x:v>
      </x:c>
      <x:c r="O1635" s="72" t="n">
        <x:f aca="0">N1635/1000</x:f>
        <x:v>0</x:v>
      </x:c>
      <x:c r="P1635" s="73" t="n">
        <x:f aca="0">FCCL!F25</x:f>
        <x:v>0</x:v>
      </x:c>
      <x:c r="Q1635" s="70" t="str">
        <x:f aca="0">IF(ABS(O1635-P1635)&lt;0.000001,"PASS","FAIL")</x:f>
        <x:v>PASS</x:v>
      </x:c>
      <x:c r="R1635" s="70" t="s">
        <x:v>28</x:v>
      </x:c>
      <x:c r="S1635" s="70"/>
    </x:row>
    <x:row r="1636" ht="15" hidden="0">
      <x:c r="A1636" s="70" t="s">
        <x:v>3029</x:v>
      </x:c>
      <x:c r="B1636" s="70" t="s">
        <x:v>46</x:v>
      </x:c>
      <x:c r="C1636" s="70" t="s">
        <x:v>76</x:v>
      </x:c>
      <x:c r="D1636" s="70" t="s">
        <x:v>306</x:v>
      </x:c>
      <x:c r="E1636" s="70" t="s">
        <x:v>1129</x:v>
      </x:c>
      <x:c r="F1636" s="70"/>
      <x:c r="G1636" s="70" t="s">
        <x:v>2999</x:v>
      </x:c>
      <x:c r="H1636" s="70" t="s">
        <x:v>1215</x:v>
      </x:c>
      <x:c r="I1636" s="70" t="s">
        <x:v>1199</x:v>
      </x:c>
      <x:c r="J1636" s="70" t="n">
        <x:v>244</x:v>
      </x:c>
      <x:c r="K1636" s="70" t="s">
        <x:v>1200</x:v>
      </x:c>
      <x:c r="L1636" s="70"/>
      <x:c r="M1636" s="70" t="s">
        <x:v>40</x:v>
      </x:c>
      <x:c r="N1636" s="71" t="n">
        <x:v>0</x:v>
      </x:c>
      <x:c r="O1636" s="72" t="n">
        <x:f aca="0">N1636/1000</x:f>
        <x:v>0</x:v>
      </x:c>
      <x:c r="P1636" s="73" t="n">
        <x:f aca="0">FCCL!G25</x:f>
        <x:v>0</x:v>
      </x:c>
      <x:c r="Q1636" s="70" t="str">
        <x:f aca="0">IF(ABS(O1636-P1636)&lt;0.000001,"PASS","FAIL")</x:f>
        <x:v>PASS</x:v>
      </x:c>
      <x:c r="R1636" s="70" t="s">
        <x:v>28</x:v>
      </x:c>
      <x:c r="S1636" s="70"/>
    </x:row>
    <x:row r="1637" ht="15" hidden="0">
      <x:c r="A1637" s="70" t="s">
        <x:v>3030</x:v>
      </x:c>
      <x:c r="B1637" s="70" t="s">
        <x:v>46</x:v>
      </x:c>
      <x:c r="C1637" s="70" t="s">
        <x:v>77</x:v>
      </x:c>
      <x:c r="D1637" s="70" t="s">
        <x:v>306</x:v>
      </x:c>
      <x:c r="E1637" s="70" t="s">
        <x:v>1129</x:v>
      </x:c>
      <x:c r="F1637" s="70"/>
      <x:c r="G1637" s="70" t="s">
        <x:v>2999</x:v>
      </x:c>
      <x:c r="H1637" s="70" t="s">
        <x:v>1215</x:v>
      </x:c>
      <x:c r="I1637" s="70" t="s">
        <x:v>1218</x:v>
      </x:c>
      <x:c r="J1637" s="70" t="n">
        <x:v>244</x:v>
      </x:c>
      <x:c r="K1637" s="70" t="s">
        <x:v>1200</x:v>
      </x:c>
      <x:c r="L1637" s="70"/>
      <x:c r="M1637" s="70" t="s">
        <x:v>40</x:v>
      </x:c>
      <x:c r="N1637" s="71" t="n">
        <x:v>0</x:v>
      </x:c>
      <x:c r="O1637" s="72" t="n">
        <x:f aca="0">N1637/1000</x:f>
        <x:v>0</x:v>
      </x:c>
      <x:c r="P1637" s="73" t="n">
        <x:f aca="0">FCCL!H25</x:f>
        <x:v>0</x:v>
      </x:c>
      <x:c r="Q1637" s="70" t="str">
        <x:f aca="0">IF(ABS(O1637-P1637)&lt;0.000001,"PASS","FAIL")</x:f>
        <x:v>PASS</x:v>
      </x:c>
      <x:c r="R1637" s="70" t="s">
        <x:v>28</x:v>
      </x:c>
      <x:c r="S1637" s="70"/>
    </x:row>
    <x:row r="1638" ht="15" hidden="0">
      <x:c r="A1638" s="70" t="s">
        <x:v>3031</x:v>
      </x:c>
      <x:c r="B1638" s="70" t="s">
        <x:v>46</x:v>
      </x:c>
      <x:c r="C1638" s="70" t="s">
        <x:v>1076</x:v>
      </x:c>
      <x:c r="D1638" s="70" t="s">
        <x:v>308</x:v>
      </x:c>
      <x:c r="E1638" s="70" t="s">
        <x:v>1129</x:v>
      </x:c>
      <x:c r="F1638" s="70" t="s">
        <x:v>2597</x:v>
      </x:c>
      <x:c r="G1638" s="70" t="s">
        <x:v>2990</x:v>
      </x:c>
      <x:c r="H1638" s="70" t="s">
        <x:v>1198</x:v>
      </x:c>
      <x:c r="I1638" s="70" t="s">
        <x:v>1199</x:v>
      </x:c>
      <x:c r="J1638" s="70" t="n">
        <x:v>165</x:v>
      </x:c>
      <x:c r="K1638" s="70" t="s">
        <x:v>1200</x:v>
      </x:c>
      <x:c r="L1638" s="70" t="s">
        <x:v>1252</x:v>
      </x:c>
      <x:c r="M1638" s="70" t="s">
        <x:v>40</x:v>
      </x:c>
      <x:c r="N1638" s="71" t="n">
        <x:v>0</x:v>
      </x:c>
      <x:c r="O1638" s="72" t="n">
        <x:f aca="0">N1638/1000</x:f>
        <x:v>0</x:v>
      </x:c>
      <x:c r="P1638" s="73" t="n">
        <x:f aca="0">FCCL!C26</x:f>
        <x:v>0</x:v>
      </x:c>
      <x:c r="Q1638" s="70" t="str">
        <x:f aca="0">IF(ABS(O1638-P1638)&lt;0.000001,"PASS","FAIL")</x:f>
        <x:v>PASS</x:v>
      </x:c>
      <x:c r="R1638" s="70" t="s">
        <x:v>28</x:v>
      </x:c>
      <x:c r="S1638" s="70"/>
    </x:row>
    <x:row r="1639" ht="15" hidden="0">
      <x:c r="A1639" s="70" t="s">
        <x:v>3032</x:v>
      </x:c>
      <x:c r="B1639" s="70" t="s">
        <x:v>46</x:v>
      </x:c>
      <x:c r="C1639" s="70" t="s">
        <x:v>73</x:v>
      </x:c>
      <x:c r="D1639" s="70" t="s">
        <x:v>308</x:v>
      </x:c>
      <x:c r="E1639" s="70" t="s">
        <x:v>1129</x:v>
      </x:c>
      <x:c r="F1639" s="70" t="s">
        <x:v>3033</x:v>
      </x:c>
      <x:c r="G1639" s="70" t="s">
        <x:v>2992</x:v>
      </x:c>
      <x:c r="H1639" s="70" t="s">
        <x:v>1204</x:v>
      </x:c>
      <x:c r="I1639" s="70" t="s">
        <x:v>1199</x:v>
      </x:c>
      <x:c r="J1639" s="70" t="n">
        <x:v>187</x:v>
      </x:c>
      <x:c r="K1639" s="70" t="s">
        <x:v>2307</x:v>
      </x:c>
      <x:c r="L1639" s="70" t="s">
        <x:v>1277</x:v>
      </x:c>
      <x:c r="M1639" s="70" t="s">
        <x:v>40</x:v>
      </x:c>
      <x:c r="N1639" s="71" t="n">
        <x:v>15349</x:v>
      </x:c>
      <x:c r="O1639" s="72" t="n">
        <x:f aca="0">N1639/1000</x:f>
        <x:v>15.349</x:v>
      </x:c>
      <x:c r="P1639" s="73" t="n">
        <x:f aca="0">FCCL!D26</x:f>
        <x:v>15.349</x:v>
      </x:c>
      <x:c r="Q1639" s="70" t="str">
        <x:f aca="0">IF(ABS(O1639-P1639)&lt;0.000001,"PASS","FAIL")</x:f>
        <x:v>PASS</x:v>
      </x:c>
      <x:c r="R1639" s="70" t="s">
        <x:v>28</x:v>
      </x:c>
      <x:c r="S1639" s="70"/>
    </x:row>
    <x:row r="1640" ht="15" hidden="0">
      <x:c r="A1640" s="70" t="s">
        <x:v>3034</x:v>
      </x:c>
      <x:c r="B1640" s="70" t="s">
        <x:v>46</x:v>
      </x:c>
      <x:c r="C1640" s="70" t="s">
        <x:v>74</x:v>
      </x:c>
      <x:c r="D1640" s="70" t="s">
        <x:v>308</x:v>
      </x:c>
      <x:c r="E1640" s="70" t="s">
        <x:v>1129</x:v>
      </x:c>
      <x:c r="F1640" s="70" t="s">
        <x:v>3033</x:v>
      </x:c>
      <x:c r="G1640" s="70" t="s">
        <x:v>2994</x:v>
      </x:c>
      <x:c r="H1640" s="70" t="s">
        <x:v>1208</x:v>
      </x:c>
      <x:c r="I1640" s="70" t="s">
        <x:v>1199</x:v>
      </x:c>
      <x:c r="J1640" s="70" t="n">
        <x:v>209</x:v>
      </x:c>
      <x:c r="K1640" s="70" t="s">
        <x:v>2995</x:v>
      </x:c>
      <x:c r="L1640" s="70"/>
      <x:c r="M1640" s="70" t="s">
        <x:v>40</x:v>
      </x:c>
      <x:c r="N1640" s="71" t="n">
        <x:v>66657</x:v>
      </x:c>
      <x:c r="O1640" s="72" t="n">
        <x:f aca="0">N1640/1000</x:f>
        <x:v>66.657</x:v>
      </x:c>
      <x:c r="P1640" s="73" t="n">
        <x:f aca="0">FCCL!E26</x:f>
        <x:v>66.657</x:v>
      </x:c>
      <x:c r="Q1640" s="70" t="str">
        <x:f aca="0">IF(ABS(O1640-P1640)&lt;0.000001,"PASS","FAIL")</x:f>
        <x:v>PASS</x:v>
      </x:c>
      <x:c r="R1640" s="70" t="s">
        <x:v>28</x:v>
      </x:c>
      <x:c r="S1640" s="70"/>
    </x:row>
    <x:row r="1641" ht="15" hidden="0">
      <x:c r="A1641" s="70" t="s">
        <x:v>3035</x:v>
      </x:c>
      <x:c r="B1641" s="70" t="s">
        <x:v>46</x:v>
      </x:c>
      <x:c r="C1641" s="70" t="s">
        <x:v>75</x:v>
      </x:c>
      <x:c r="D1641" s="70" t="s">
        <x:v>308</x:v>
      </x:c>
      <x:c r="E1641" s="70" t="s">
        <x:v>1129</x:v>
      </x:c>
      <x:c r="F1641" s="70"/>
      <x:c r="G1641" s="70" t="s">
        <x:v>2997</x:v>
      </x:c>
      <x:c r="H1641" s="70" t="s">
        <x:v>1211</x:v>
      </x:c>
      <x:c r="I1641" s="70" t="s">
        <x:v>1199</x:v>
      </x:c>
      <x:c r="J1641" s="70" t="n">
        <x:v>190</x:v>
      </x:c>
      <x:c r="K1641" s="70" t="s">
        <x:v>2130</x:v>
      </x:c>
      <x:c r="L1641" s="70"/>
      <x:c r="M1641" s="70" t="s">
        <x:v>40</x:v>
      </x:c>
      <x:c r="N1641" s="71" t="n">
        <x:v>0</x:v>
      </x:c>
      <x:c r="O1641" s="72" t="n">
        <x:f aca="0">N1641/1000</x:f>
        <x:v>0</x:v>
      </x:c>
      <x:c r="P1641" s="73" t="n">
        <x:f aca="0">FCCL!F26</x:f>
        <x:v>0</x:v>
      </x:c>
      <x:c r="Q1641" s="70" t="str">
        <x:f aca="0">IF(ABS(O1641-P1641)&lt;0.000001,"PASS","FAIL")</x:f>
        <x:v>PASS</x:v>
      </x:c>
      <x:c r="R1641" s="70" t="s">
        <x:v>28</x:v>
      </x:c>
      <x:c r="S1641" s="70"/>
    </x:row>
    <x:row r="1642" ht="15" hidden="0">
      <x:c r="A1642" s="70" t="s">
        <x:v>3036</x:v>
      </x:c>
      <x:c r="B1642" s="70" t="s">
        <x:v>46</x:v>
      </x:c>
      <x:c r="C1642" s="70" t="s">
        <x:v>76</x:v>
      </x:c>
      <x:c r="D1642" s="70" t="s">
        <x:v>308</x:v>
      </x:c>
      <x:c r="E1642" s="70" t="s">
        <x:v>1129</x:v>
      </x:c>
      <x:c r="F1642" s="70"/>
      <x:c r="G1642" s="70" t="s">
        <x:v>2999</x:v>
      </x:c>
      <x:c r="H1642" s="70" t="s">
        <x:v>1215</x:v>
      </x:c>
      <x:c r="I1642" s="70" t="s">
        <x:v>1199</x:v>
      </x:c>
      <x:c r="J1642" s="70" t="n">
        <x:v>244</x:v>
      </x:c>
      <x:c r="K1642" s="70" t="s">
        <x:v>1200</x:v>
      </x:c>
      <x:c r="L1642" s="70"/>
      <x:c r="M1642" s="70" t="s">
        <x:v>40</x:v>
      </x:c>
      <x:c r="N1642" s="71" t="n">
        <x:v>0</x:v>
      </x:c>
      <x:c r="O1642" s="72" t="n">
        <x:f aca="0">N1642/1000</x:f>
        <x:v>0</x:v>
      </x:c>
      <x:c r="P1642" s="73" t="n">
        <x:f aca="0">FCCL!G26</x:f>
        <x:v>0</x:v>
      </x:c>
      <x:c r="Q1642" s="70" t="str">
        <x:f aca="0">IF(ABS(O1642-P1642)&lt;0.000001,"PASS","FAIL")</x:f>
        <x:v>PASS</x:v>
      </x:c>
      <x:c r="R1642" s="70" t="s">
        <x:v>28</x:v>
      </x:c>
      <x:c r="S1642" s="70"/>
    </x:row>
    <x:row r="1643" ht="15" hidden="0">
      <x:c r="A1643" s="70" t="s">
        <x:v>3037</x:v>
      </x:c>
      <x:c r="B1643" s="70" t="s">
        <x:v>46</x:v>
      </x:c>
      <x:c r="C1643" s="70" t="s">
        <x:v>77</x:v>
      </x:c>
      <x:c r="D1643" s="70" t="s">
        <x:v>308</x:v>
      </x:c>
      <x:c r="E1643" s="70" t="s">
        <x:v>1129</x:v>
      </x:c>
      <x:c r="F1643" s="70"/>
      <x:c r="G1643" s="70" t="s">
        <x:v>2999</x:v>
      </x:c>
      <x:c r="H1643" s="70" t="s">
        <x:v>1215</x:v>
      </x:c>
      <x:c r="I1643" s="70" t="s">
        <x:v>1218</x:v>
      </x:c>
      <x:c r="J1643" s="70" t="n">
        <x:v>244</x:v>
      </x:c>
      <x:c r="K1643" s="70" t="s">
        <x:v>1200</x:v>
      </x:c>
      <x:c r="L1643" s="70"/>
      <x:c r="M1643" s="70" t="s">
        <x:v>40</x:v>
      </x:c>
      <x:c r="N1643" s="71" t="n">
        <x:v>0</x:v>
      </x:c>
      <x:c r="O1643" s="72" t="n">
        <x:f aca="0">N1643/1000</x:f>
        <x:v>0</x:v>
      </x:c>
      <x:c r="P1643" s="73" t="n">
        <x:f aca="0">FCCL!H26</x:f>
        <x:v>0</x:v>
      </x:c>
      <x:c r="Q1643" s="70" t="str">
        <x:f aca="0">IF(ABS(O1643-P1643)&lt;0.000001,"PASS","FAIL")</x:f>
        <x:v>PASS</x:v>
      </x:c>
      <x:c r="R1643" s="70" t="s">
        <x:v>28</x:v>
      </x:c>
      <x:c r="S1643" s="70"/>
    </x:row>
    <x:row r="1644" ht="15" hidden="0">
      <x:c r="A1644" s="70" t="s">
        <x:v>3038</x:v>
      </x:c>
      <x:c r="B1644" s="70" t="s">
        <x:v>46</x:v>
      </x:c>
      <x:c r="C1644" s="70" t="s">
        <x:v>1076</x:v>
      </x:c>
      <x:c r="D1644" s="70" t="s">
        <x:v>310</x:v>
      </x:c>
      <x:c r="E1644" s="70" t="s">
        <x:v>1129</x:v>
      </x:c>
      <x:c r="F1644" s="70" t="s">
        <x:v>3039</x:v>
      </x:c>
      <x:c r="G1644" s="70" t="s">
        <x:v>2990</x:v>
      </x:c>
      <x:c r="H1644" s="70" t="s">
        <x:v>1198</x:v>
      </x:c>
      <x:c r="I1644" s="70" t="s">
        <x:v>1199</x:v>
      </x:c>
      <x:c r="J1644" s="70" t="n">
        <x:v>165</x:v>
      </x:c>
      <x:c r="K1644" s="70" t="s">
        <x:v>1200</x:v>
      </x:c>
      <x:c r="L1644" s="70"/>
      <x:c r="M1644" s="70" t="s">
        <x:v>40</x:v>
      </x:c>
      <x:c r="N1644" s="71" t="n">
        <x:v>99101</x:v>
      </x:c>
      <x:c r="O1644" s="72" t="n">
        <x:f aca="0">N1644/1000</x:f>
        <x:v>99.101</x:v>
      </x:c>
      <x:c r="P1644" s="73" t="n">
        <x:f aca="0">FCCL!C27</x:f>
        <x:v>99.101</x:v>
      </x:c>
      <x:c r="Q1644" s="70" t="str">
        <x:f aca="0">IF(ABS(O1644-P1644)&lt;0.000001,"PASS","FAIL")</x:f>
        <x:v>PASS</x:v>
      </x:c>
      <x:c r="R1644" s="70" t="s">
        <x:v>28</x:v>
      </x:c>
      <x:c r="S1644" s="70"/>
    </x:row>
    <x:row r="1645" ht="15" hidden="0">
      <x:c r="A1645" s="70" t="s">
        <x:v>3040</x:v>
      </x:c>
      <x:c r="B1645" s="70" t="s">
        <x:v>46</x:v>
      </x:c>
      <x:c r="C1645" s="70" t="s">
        <x:v>73</x:v>
      </x:c>
      <x:c r="D1645" s="70" t="s">
        <x:v>310</x:v>
      </x:c>
      <x:c r="E1645" s="70" t="s">
        <x:v>1129</x:v>
      </x:c>
      <x:c r="F1645" s="70" t="s">
        <x:v>1261</x:v>
      </x:c>
      <x:c r="G1645" s="70" t="s">
        <x:v>2992</x:v>
      </x:c>
      <x:c r="H1645" s="70" t="s">
        <x:v>1204</x:v>
      </x:c>
      <x:c r="I1645" s="70" t="s">
        <x:v>1199</x:v>
      </x:c>
      <x:c r="J1645" s="70" t="n">
        <x:v>187</x:v>
      </x:c>
      <x:c r="K1645" s="70" t="s">
        <x:v>2307</x:v>
      </x:c>
      <x:c r="L1645" s="70" t="s">
        <x:v>1270</x:v>
      </x:c>
      <x:c r="M1645" s="70" t="s">
        <x:v>40</x:v>
      </x:c>
      <x:c r="N1645" s="71" t="n">
        <x:v>86601</x:v>
      </x:c>
      <x:c r="O1645" s="72" t="n">
        <x:f aca="0">N1645/1000</x:f>
        <x:v>86.601</x:v>
      </x:c>
      <x:c r="P1645" s="73" t="n">
        <x:f aca="0">FCCL!D27</x:f>
        <x:v>86.601</x:v>
      </x:c>
      <x:c r="Q1645" s="70" t="str">
        <x:f aca="0">IF(ABS(O1645-P1645)&lt;0.000001,"PASS","FAIL")</x:f>
        <x:v>PASS</x:v>
      </x:c>
      <x:c r="R1645" s="70" t="s">
        <x:v>28</x:v>
      </x:c>
      <x:c r="S1645" s="70"/>
    </x:row>
    <x:row r="1646" ht="15" hidden="0">
      <x:c r="A1646" s="70" t="s">
        <x:v>3041</x:v>
      </x:c>
      <x:c r="B1646" s="70" t="s">
        <x:v>46</x:v>
      </x:c>
      <x:c r="C1646" s="70" t="s">
        <x:v>74</x:v>
      </x:c>
      <x:c r="D1646" s="70" t="s">
        <x:v>310</x:v>
      </x:c>
      <x:c r="E1646" s="70" t="s">
        <x:v>1129</x:v>
      </x:c>
      <x:c r="F1646" s="70" t="s">
        <x:v>1261</x:v>
      </x:c>
      <x:c r="G1646" s="70" t="s">
        <x:v>2994</x:v>
      </x:c>
      <x:c r="H1646" s="70" t="s">
        <x:v>1208</x:v>
      </x:c>
      <x:c r="I1646" s="70" t="s">
        <x:v>1199</x:v>
      </x:c>
      <x:c r="J1646" s="70" t="n">
        <x:v>209</x:v>
      </x:c>
      <x:c r="K1646" s="70" t="s">
        <x:v>2995</x:v>
      </x:c>
      <x:c r="L1646" s="70"/>
      <x:c r="M1646" s="70" t="s">
        <x:v>40</x:v>
      </x:c>
      <x:c r="N1646" s="71" t="n">
        <x:v>126274</x:v>
      </x:c>
      <x:c r="O1646" s="72" t="n">
        <x:f aca="0">N1646/1000</x:f>
        <x:v>126.274</x:v>
      </x:c>
      <x:c r="P1646" s="73" t="n">
        <x:f aca="0">FCCL!E27</x:f>
        <x:v>126.274</x:v>
      </x:c>
      <x:c r="Q1646" s="70" t="str">
        <x:f aca="0">IF(ABS(O1646-P1646)&lt;0.000001,"PASS","FAIL")</x:f>
        <x:v>PASS</x:v>
      </x:c>
      <x:c r="R1646" s="70" t="s">
        <x:v>28</x:v>
      </x:c>
      <x:c r="S1646" s="70"/>
    </x:row>
    <x:row r="1647" ht="15" hidden="0">
      <x:c r="A1647" s="70" t="s">
        <x:v>3042</x:v>
      </x:c>
      <x:c r="B1647" s="70" t="s">
        <x:v>46</x:v>
      </x:c>
      <x:c r="C1647" s="70" t="s">
        <x:v>75</x:v>
      </x:c>
      <x:c r="D1647" s="70" t="s">
        <x:v>310</x:v>
      </x:c>
      <x:c r="E1647" s="70" t="s">
        <x:v>1129</x:v>
      </x:c>
      <x:c r="F1647" s="70" t="s">
        <x:v>1261</x:v>
      </x:c>
      <x:c r="G1647" s="70" t="s">
        <x:v>2997</x:v>
      </x:c>
      <x:c r="H1647" s="70" t="s">
        <x:v>1211</x:v>
      </x:c>
      <x:c r="I1647" s="70" t="s">
        <x:v>1199</x:v>
      </x:c>
      <x:c r="J1647" s="70" t="n">
        <x:v>191</x:v>
      </x:c>
      <x:c r="K1647" s="70" t="s">
        <x:v>1200</x:v>
      </x:c>
      <x:c r="L1647" s="70"/>
      <x:c r="M1647" s="70" t="s">
        <x:v>40</x:v>
      </x:c>
      <x:c r="N1647" s="71" t="n">
        <x:v>129700</x:v>
      </x:c>
      <x:c r="O1647" s="72" t="n">
        <x:f aca="0">N1647/1000</x:f>
        <x:v>129.7</x:v>
      </x:c>
      <x:c r="P1647" s="73" t="n">
        <x:f aca="0">FCCL!F27</x:f>
        <x:v>129.7</x:v>
      </x:c>
      <x:c r="Q1647" s="70" t="str">
        <x:f aca="0">IF(ABS(O1647-P1647)&lt;0.000001,"PASS","FAIL")</x:f>
        <x:v>PASS</x:v>
      </x:c>
      <x:c r="R1647" s="70" t="s">
        <x:v>28</x:v>
      </x:c>
      <x:c r="S1647" s="70"/>
    </x:row>
    <x:row r="1648" ht="15" hidden="0">
      <x:c r="A1648" s="70" t="s">
        <x:v>3043</x:v>
      </x:c>
      <x:c r="B1648" s="70" t="s">
        <x:v>46</x:v>
      </x:c>
      <x:c r="C1648" s="70" t="s">
        <x:v>76</x:v>
      </x:c>
      <x:c r="D1648" s="70" t="s">
        <x:v>310</x:v>
      </x:c>
      <x:c r="E1648" s="70" t="s">
        <x:v>1129</x:v>
      </x:c>
      <x:c r="F1648" s="70" t="s">
        <x:v>1261</x:v>
      </x:c>
      <x:c r="G1648" s="70" t="s">
        <x:v>2999</x:v>
      </x:c>
      <x:c r="H1648" s="70" t="s">
        <x:v>1215</x:v>
      </x:c>
      <x:c r="I1648" s="70" t="s">
        <x:v>1199</x:v>
      </x:c>
      <x:c r="J1648" s="70" t="n">
        <x:v>245</x:v>
      </x:c>
      <x:c r="K1648" s="70" t="s">
        <x:v>1200</x:v>
      </x:c>
      <x:c r="L1648" s="70"/>
      <x:c r="M1648" s="70" t="s">
        <x:v>40</x:v>
      </x:c>
      <x:c r="N1648" s="71" t="n">
        <x:v>129700</x:v>
      </x:c>
      <x:c r="O1648" s="72" t="n">
        <x:f aca="0">N1648/1000</x:f>
        <x:v>129.7</x:v>
      </x:c>
      <x:c r="P1648" s="73" t="n">
        <x:f aca="0">FCCL!G27</x:f>
        <x:v>129.7</x:v>
      </x:c>
      <x:c r="Q1648" s="70" t="str">
        <x:f aca="0">IF(ABS(O1648-P1648)&lt;0.000001,"PASS","FAIL")</x:f>
        <x:v>PASS</x:v>
      </x:c>
      <x:c r="R1648" s="70" t="s">
        <x:v>28</x:v>
      </x:c>
      <x:c r="S1648" s="70"/>
    </x:row>
    <x:row r="1649" ht="15" hidden="0">
      <x:c r="A1649" s="70" t="s">
        <x:v>3044</x:v>
      </x:c>
      <x:c r="B1649" s="70" t="s">
        <x:v>46</x:v>
      </x:c>
      <x:c r="C1649" s="70" t="s">
        <x:v>77</x:v>
      </x:c>
      <x:c r="D1649" s="70" t="s">
        <x:v>310</x:v>
      </x:c>
      <x:c r="E1649" s="70" t="s">
        <x:v>1129</x:v>
      </x:c>
      <x:c r="F1649" s="70" t="s">
        <x:v>1261</x:v>
      </x:c>
      <x:c r="G1649" s="70" t="s">
        <x:v>2999</x:v>
      </x:c>
      <x:c r="H1649" s="70" t="s">
        <x:v>1215</x:v>
      </x:c>
      <x:c r="I1649" s="70" t="s">
        <x:v>1218</x:v>
      </x:c>
      <x:c r="J1649" s="70" t="n">
        <x:v>245</x:v>
      </x:c>
      <x:c r="K1649" s="70" t="s">
        <x:v>1200</x:v>
      </x:c>
      <x:c r="L1649" s="70"/>
      <x:c r="M1649" s="70" t="s">
        <x:v>40</x:v>
      </x:c>
      <x:c r="N1649" s="71" t="n">
        <x:v>133425</x:v>
      </x:c>
      <x:c r="O1649" s="72" t="n">
        <x:f aca="0">N1649/1000</x:f>
        <x:v>133.425</x:v>
      </x:c>
      <x:c r="P1649" s="73" t="n">
        <x:f aca="0">FCCL!H27</x:f>
        <x:v>133.425</x:v>
      </x:c>
      <x:c r="Q1649" s="70" t="str">
        <x:f aca="0">IF(ABS(O1649-P1649)&lt;0.000001,"PASS","FAIL")</x:f>
        <x:v>PASS</x:v>
      </x:c>
      <x:c r="R1649" s="70" t="s">
        <x:v>28</x:v>
      </x:c>
      <x:c r="S1649" s="70"/>
    </x:row>
    <x:row r="1650" ht="15" hidden="0">
      <x:c r="A1650" s="70" t="s">
        <x:v>3045</x:v>
      </x:c>
      <x:c r="B1650" s="70" t="s">
        <x:v>46</x:v>
      </x:c>
      <x:c r="C1650" s="70" t="s">
        <x:v>1076</x:v>
      </x:c>
      <x:c r="D1650" s="70" t="s">
        <x:v>315</x:v>
      </x:c>
      <x:c r="E1650" s="70" t="s">
        <x:v>1129</x:v>
      </x:c>
      <x:c r="F1650" s="70" t="s">
        <x:v>315</x:v>
      </x:c>
      <x:c r="G1650" s="70" t="s">
        <x:v>2990</x:v>
      </x:c>
      <x:c r="H1650" s="70" t="s">
        <x:v>1198</x:v>
      </x:c>
      <x:c r="I1650" s="70" t="s">
        <x:v>1199</x:v>
      </x:c>
      <x:c r="J1650" s="70" t="n">
        <x:v>165</x:v>
      </x:c>
      <x:c r="K1650" s="70" t="s">
        <x:v>1200</x:v>
      </x:c>
      <x:c r="L1650" s="70" t="s">
        <x:v>1246</x:v>
      </x:c>
      <x:c r="M1650" s="70" t="s">
        <x:v>40</x:v>
      </x:c>
      <x:c r="N1650" s="71" t="n">
        <x:v>3505809</x:v>
      </x:c>
      <x:c r="O1650" s="72" t="n">
        <x:f aca="0">N1650/1000</x:f>
        <x:v>3505.809</x:v>
      </x:c>
      <x:c r="P1650" s="73" t="n">
        <x:f aca="0">FCCL!C30</x:f>
        <x:v>3505.809</x:v>
      </x:c>
      <x:c r="Q1650" s="70" t="str">
        <x:f aca="0">IF(ABS(O1650-P1650)&lt;0.000001,"PASS","FAIL")</x:f>
        <x:v>PASS</x:v>
      </x:c>
      <x:c r="R1650" s="70" t="s">
        <x:v>28</x:v>
      </x:c>
      <x:c r="S1650" s="70"/>
    </x:row>
    <x:row r="1651" ht="15" hidden="0">
      <x:c r="A1651" s="70" t="s">
        <x:v>3046</x:v>
      </x:c>
      <x:c r="B1651" s="70" t="s">
        <x:v>46</x:v>
      </x:c>
      <x:c r="C1651" s="70" t="s">
        <x:v>73</x:v>
      </x:c>
      <x:c r="D1651" s="70" t="s">
        <x:v>315</x:v>
      </x:c>
      <x:c r="E1651" s="70" t="s">
        <x:v>1129</x:v>
      </x:c>
      <x:c r="F1651" s="70" t="s">
        <x:v>3047</x:v>
      </x:c>
      <x:c r="G1651" s="70" t="s">
        <x:v>2992</x:v>
      </x:c>
      <x:c r="H1651" s="70" t="s">
        <x:v>1204</x:v>
      </x:c>
      <x:c r="I1651" s="70" t="s">
        <x:v>1199</x:v>
      </x:c>
      <x:c r="J1651" s="70" t="n">
        <x:v>187</x:v>
      </x:c>
      <x:c r="K1651" s="70" t="s">
        <x:v>2307</x:v>
      </x:c>
      <x:c r="L1651" s="70" t="s">
        <x:v>1285</x:v>
      </x:c>
      <x:c r="M1651" s="70" t="s">
        <x:v>40</x:v>
      </x:c>
      <x:c r="N1651" s="71" t="n">
        <x:v>4250754</x:v>
      </x:c>
      <x:c r="O1651" s="72" t="n">
        <x:f aca="0">N1651/1000</x:f>
        <x:v>4250.754</x:v>
      </x:c>
      <x:c r="P1651" s="73" t="n">
        <x:f aca="0">FCCL!D30</x:f>
        <x:v>4250.754</x:v>
      </x:c>
      <x:c r="Q1651" s="70" t="str">
        <x:f aca="0">IF(ABS(O1651-P1651)&lt;0.000001,"PASS","FAIL")</x:f>
        <x:v>PASS</x:v>
      </x:c>
      <x:c r="R1651" s="70" t="s">
        <x:v>28</x:v>
      </x:c>
      <x:c r="S1651" s="70"/>
    </x:row>
    <x:row r="1652" ht="15" hidden="0">
      <x:c r="A1652" s="70" t="s">
        <x:v>3048</x:v>
      </x:c>
      <x:c r="B1652" s="70" t="s">
        <x:v>46</x:v>
      </x:c>
      <x:c r="C1652" s="70" t="s">
        <x:v>74</x:v>
      </x:c>
      <x:c r="D1652" s="70" t="s">
        <x:v>315</x:v>
      </x:c>
      <x:c r="E1652" s="70" t="s">
        <x:v>1129</x:v>
      </x:c>
      <x:c r="F1652" s="70" t="s">
        <x:v>315</x:v>
      </x:c>
      <x:c r="G1652" s="70" t="s">
        <x:v>2994</x:v>
      </x:c>
      <x:c r="H1652" s="70" t="s">
        <x:v>1208</x:v>
      </x:c>
      <x:c r="I1652" s="70" t="s">
        <x:v>1199</x:v>
      </x:c>
      <x:c r="J1652" s="70" t="n">
        <x:v>209</x:v>
      </x:c>
      <x:c r="K1652" s="70" t="s">
        <x:v>2995</x:v>
      </x:c>
      <x:c r="L1652" s="70" t="s">
        <x:v>1248</x:v>
      </x:c>
      <x:c r="M1652" s="70" t="s">
        <x:v>40</x:v>
      </x:c>
      <x:c r="N1652" s="71" t="n">
        <x:v>11939147</x:v>
      </x:c>
      <x:c r="O1652" s="72" t="n">
        <x:f aca="0">N1652/1000</x:f>
        <x:v>11939.147</x:v>
      </x:c>
      <x:c r="P1652" s="73" t="n">
        <x:f aca="0">FCCL!E30</x:f>
        <x:v>11939.147</x:v>
      </x:c>
      <x:c r="Q1652" s="70" t="str">
        <x:f aca="0">IF(ABS(O1652-P1652)&lt;0.000001,"PASS","FAIL")</x:f>
        <x:v>PASS</x:v>
      </x:c>
      <x:c r="R1652" s="70" t="s">
        <x:v>28</x:v>
      </x:c>
      <x:c r="S1652" s="70"/>
    </x:row>
    <x:row r="1653" ht="15" hidden="0">
      <x:c r="A1653" s="70" t="s">
        <x:v>3049</x:v>
      </x:c>
      <x:c r="B1653" s="70" t="s">
        <x:v>46</x:v>
      </x:c>
      <x:c r="C1653" s="70" t="s">
        <x:v>75</x:v>
      </x:c>
      <x:c r="D1653" s="70" t="s">
        <x:v>315</x:v>
      </x:c>
      <x:c r="E1653" s="70" t="s">
        <x:v>1129</x:v>
      </x:c>
      <x:c r="F1653" s="70" t="s">
        <x:v>315</x:v>
      </x:c>
      <x:c r="G1653" s="70" t="s">
        <x:v>2997</x:v>
      </x:c>
      <x:c r="H1653" s="70" t="s">
        <x:v>1211</x:v>
      </x:c>
      <x:c r="I1653" s="70" t="s">
        <x:v>1199</x:v>
      </x:c>
      <x:c r="J1653" s="70" t="n">
        <x:v>191</x:v>
      </x:c>
      <x:c r="K1653" s="70" t="s">
        <x:v>1200</x:v>
      </x:c>
      <x:c r="L1653" s="70" t="s">
        <x:v>1248</x:v>
      </x:c>
      <x:c r="M1653" s="70" t="s">
        <x:v>40</x:v>
      </x:c>
      <x:c r="N1653" s="71" t="n">
        <x:v>8011181</x:v>
      </x:c>
      <x:c r="O1653" s="72" t="n">
        <x:f aca="0">N1653/1000</x:f>
        <x:v>8011.181</x:v>
      </x:c>
      <x:c r="P1653" s="73" t="n">
        <x:f aca="0">FCCL!F30</x:f>
        <x:v>8011.181</x:v>
      </x:c>
      <x:c r="Q1653" s="70" t="str">
        <x:f aca="0">IF(ABS(O1653-P1653)&lt;0.000001,"PASS","FAIL")</x:f>
        <x:v>PASS</x:v>
      </x:c>
      <x:c r="R1653" s="70" t="s">
        <x:v>28</x:v>
      </x:c>
      <x:c r="S1653" s="70"/>
    </x:row>
    <x:row r="1654" ht="15" hidden="0">
      <x:c r="A1654" s="70" t="s">
        <x:v>3050</x:v>
      </x:c>
      <x:c r="B1654" s="70" t="s">
        <x:v>46</x:v>
      </x:c>
      <x:c r="C1654" s="70" t="s">
        <x:v>76</x:v>
      </x:c>
      <x:c r="D1654" s="70" t="s">
        <x:v>315</x:v>
      </x:c>
      <x:c r="E1654" s="70" t="s">
        <x:v>1129</x:v>
      </x:c>
      <x:c r="F1654" s="70" t="s">
        <x:v>315</x:v>
      </x:c>
      <x:c r="G1654" s="70" t="s">
        <x:v>2999</x:v>
      </x:c>
      <x:c r="H1654" s="70" t="s">
        <x:v>1215</x:v>
      </x:c>
      <x:c r="I1654" s="70" t="s">
        <x:v>1199</x:v>
      </x:c>
      <x:c r="J1654" s="70" t="n">
        <x:v>245</x:v>
      </x:c>
      <x:c r="K1654" s="70" t="s">
        <x:v>1200</x:v>
      </x:c>
      <x:c r="L1654" s="70" t="s">
        <x:v>1270</x:v>
      </x:c>
      <x:c r="M1654" s="70" t="s">
        <x:v>40</x:v>
      </x:c>
      <x:c r="N1654" s="71" t="n">
        <x:v>9099130</x:v>
      </x:c>
      <x:c r="O1654" s="72" t="n">
        <x:f aca="0">N1654/1000</x:f>
        <x:v>9099.13</x:v>
      </x:c>
      <x:c r="P1654" s="73" t="n">
        <x:f aca="0">FCCL!G30</x:f>
        <x:v>9099.13</x:v>
      </x:c>
      <x:c r="Q1654" s="70" t="str">
        <x:f aca="0">IF(ABS(O1654-P1654)&lt;0.000001,"PASS","FAIL")</x:f>
        <x:v>PASS</x:v>
      </x:c>
      <x:c r="R1654" s="70" t="s">
        <x:v>28</x:v>
      </x:c>
      <x:c r="S1654" s="70"/>
    </x:row>
    <x:row r="1655" ht="15" hidden="0">
      <x:c r="A1655" s="70" t="s">
        <x:v>3051</x:v>
      </x:c>
      <x:c r="B1655" s="70" t="s">
        <x:v>46</x:v>
      </x:c>
      <x:c r="C1655" s="70" t="s">
        <x:v>77</x:v>
      </x:c>
      <x:c r="D1655" s="70" t="s">
        <x:v>315</x:v>
      </x:c>
      <x:c r="E1655" s="70" t="s">
        <x:v>1129</x:v>
      </x:c>
      <x:c r="F1655" s="70" t="s">
        <x:v>315</x:v>
      </x:c>
      <x:c r="G1655" s="70" t="s">
        <x:v>2999</x:v>
      </x:c>
      <x:c r="H1655" s="70" t="s">
        <x:v>1215</x:v>
      </x:c>
      <x:c r="I1655" s="70" t="s">
        <x:v>1218</x:v>
      </x:c>
      <x:c r="J1655" s="70" t="n">
        <x:v>245</x:v>
      </x:c>
      <x:c r="K1655" s="70" t="s">
        <x:v>1200</x:v>
      </x:c>
      <x:c r="L1655" s="70" t="s">
        <x:v>1270</x:v>
      </x:c>
      <x:c r="M1655" s="70" t="s">
        <x:v>40</x:v>
      </x:c>
      <x:c r="N1655" s="71" t="n">
        <x:v>10377008</x:v>
      </x:c>
      <x:c r="O1655" s="72" t="n">
        <x:f aca="0">N1655/1000</x:f>
        <x:v>10377.008</x:v>
      </x:c>
      <x:c r="P1655" s="73" t="n">
        <x:f aca="0">FCCL!H30</x:f>
        <x:v>10377.008</x:v>
      </x:c>
      <x:c r="Q1655" s="70" t="str">
        <x:f aca="0">IF(ABS(O1655-P1655)&lt;0.000001,"PASS","FAIL")</x:f>
        <x:v>PASS</x:v>
      </x:c>
      <x:c r="R1655" s="70" t="s">
        <x:v>28</x:v>
      </x:c>
      <x:c r="S1655" s="70"/>
    </x:row>
    <x:row r="1656" ht="15" hidden="0">
      <x:c r="A1656" s="70" t="s">
        <x:v>3052</x:v>
      </x:c>
      <x:c r="B1656" s="70" t="s">
        <x:v>46</x:v>
      </x:c>
      <x:c r="C1656" s="70" t="s">
        <x:v>1076</x:v>
      </x:c>
      <x:c r="D1656" s="70" t="s">
        <x:v>317</x:v>
      </x:c>
      <x:c r="E1656" s="70" t="s">
        <x:v>1129</x:v>
      </x:c>
      <x:c r="F1656" s="70" t="s">
        <x:v>3053</x:v>
      </x:c>
      <x:c r="G1656" s="70" t="s">
        <x:v>2990</x:v>
      </x:c>
      <x:c r="H1656" s="70" t="s">
        <x:v>1198</x:v>
      </x:c>
      <x:c r="I1656" s="70" t="s">
        <x:v>1199</x:v>
      </x:c>
      <x:c r="J1656" s="70" t="n">
        <x:v>165</x:v>
      </x:c>
      <x:c r="K1656" s="70" t="s">
        <x:v>1200</x:v>
      </x:c>
      <x:c r="L1656" s="70" t="s">
        <x:v>1248</x:v>
      </x:c>
      <x:c r="M1656" s="70" t="s">
        <x:v>40</x:v>
      </x:c>
      <x:c r="N1656" s="71" t="n">
        <x:v>1187752</x:v>
      </x:c>
      <x:c r="O1656" s="72" t="n">
        <x:f aca="0">N1656/1000</x:f>
        <x:v>1187.752</x:v>
      </x:c>
      <x:c r="P1656" s="73" t="n">
        <x:f aca="0">FCCL!C31</x:f>
        <x:v>1187.752</x:v>
      </x:c>
      <x:c r="Q1656" s="70" t="str">
        <x:f aca="0">IF(ABS(O1656-P1656)&lt;0.000001,"PASS","FAIL")</x:f>
        <x:v>PASS</x:v>
      </x:c>
      <x:c r="R1656" s="70" t="s">
        <x:v>28</x:v>
      </x:c>
      <x:c r="S1656" s="70"/>
    </x:row>
    <x:row r="1657" ht="15" hidden="0">
      <x:c r="A1657" s="70" t="s">
        <x:v>3054</x:v>
      </x:c>
      <x:c r="B1657" s="70" t="s">
        <x:v>46</x:v>
      </x:c>
      <x:c r="C1657" s="70" t="s">
        <x:v>73</x:v>
      </x:c>
      <x:c r="D1657" s="70" t="s">
        <x:v>317</x:v>
      </x:c>
      <x:c r="E1657" s="70" t="s">
        <x:v>1129</x:v>
      </x:c>
      <x:c r="F1657" s="70" t="s">
        <x:v>3053</x:v>
      </x:c>
      <x:c r="G1657" s="70" t="s">
        <x:v>2992</x:v>
      </x:c>
      <x:c r="H1657" s="70" t="s">
        <x:v>1204</x:v>
      </x:c>
      <x:c r="I1657" s="70" t="s">
        <x:v>1199</x:v>
      </x:c>
      <x:c r="J1657" s="70" t="n">
        <x:v>187</x:v>
      </x:c>
      <x:c r="K1657" s="70" t="s">
        <x:v>2307</x:v>
      </x:c>
      <x:c r="L1657" s="70" t="s">
        <x:v>1293</x:v>
      </x:c>
      <x:c r="M1657" s="70" t="s">
        <x:v>40</x:v>
      </x:c>
      <x:c r="N1657" s="71" t="n">
        <x:v>1189198</x:v>
      </x:c>
      <x:c r="O1657" s="72" t="n">
        <x:f aca="0">N1657/1000</x:f>
        <x:v>1189.198</x:v>
      </x:c>
      <x:c r="P1657" s="73" t="n">
        <x:f aca="0">FCCL!D31</x:f>
        <x:v>1189.198</x:v>
      </x:c>
      <x:c r="Q1657" s="70" t="str">
        <x:f aca="0">IF(ABS(O1657-P1657)&lt;0.000001,"PASS","FAIL")</x:f>
        <x:v>PASS</x:v>
      </x:c>
      <x:c r="R1657" s="70" t="s">
        <x:v>28</x:v>
      </x:c>
      <x:c r="S1657" s="70"/>
    </x:row>
    <x:row r="1658" ht="15" hidden="0">
      <x:c r="A1658" s="70" t="s">
        <x:v>3055</x:v>
      </x:c>
      <x:c r="B1658" s="70" t="s">
        <x:v>46</x:v>
      </x:c>
      <x:c r="C1658" s="70" t="s">
        <x:v>74</x:v>
      </x:c>
      <x:c r="D1658" s="70" t="s">
        <x:v>317</x:v>
      </x:c>
      <x:c r="E1658" s="70" t="s">
        <x:v>1129</x:v>
      </x:c>
      <x:c r="F1658" s="70" t="s">
        <x:v>3053</x:v>
      </x:c>
      <x:c r="G1658" s="70" t="s">
        <x:v>2994</x:v>
      </x:c>
      <x:c r="H1658" s="70" t="s">
        <x:v>1208</x:v>
      </x:c>
      <x:c r="I1658" s="70" t="s">
        <x:v>1199</x:v>
      </x:c>
      <x:c r="J1658" s="70" t="n">
        <x:v>209</x:v>
      </x:c>
      <x:c r="K1658" s="70" t="s">
        <x:v>2995</x:v>
      </x:c>
      <x:c r="L1658" s="70" t="s">
        <x:v>1270</x:v>
      </x:c>
      <x:c r="M1658" s="70" t="s">
        <x:v>40</x:v>
      </x:c>
      <x:c r="N1658" s="71" t="n">
        <x:v>3697721</x:v>
      </x:c>
      <x:c r="O1658" s="72" t="n">
        <x:f aca="0">N1658/1000</x:f>
        <x:v>3697.721</x:v>
      </x:c>
      <x:c r="P1658" s="73" t="n">
        <x:f aca="0">FCCL!E31</x:f>
        <x:v>3697.721</x:v>
      </x:c>
      <x:c r="Q1658" s="70" t="str">
        <x:f aca="0">IF(ABS(O1658-P1658)&lt;0.000001,"PASS","FAIL")</x:f>
        <x:v>PASS</x:v>
      </x:c>
      <x:c r="R1658" s="70" t="s">
        <x:v>28</x:v>
      </x:c>
      <x:c r="S1658" s="70"/>
    </x:row>
    <x:row r="1659" ht="15" hidden="0">
      <x:c r="A1659" s="70" t="s">
        <x:v>3056</x:v>
      </x:c>
      <x:c r="B1659" s="70" t="s">
        <x:v>46</x:v>
      </x:c>
      <x:c r="C1659" s="70" t="s">
        <x:v>75</x:v>
      </x:c>
      <x:c r="D1659" s="70" t="s">
        <x:v>317</x:v>
      </x:c>
      <x:c r="E1659" s="70" t="s">
        <x:v>1129</x:v>
      </x:c>
      <x:c r="F1659" s="70" t="s">
        <x:v>3053</x:v>
      </x:c>
      <x:c r="G1659" s="70" t="s">
        <x:v>2997</x:v>
      </x:c>
      <x:c r="H1659" s="70" t="s">
        <x:v>1211</x:v>
      </x:c>
      <x:c r="I1659" s="70" t="s">
        <x:v>1199</x:v>
      </x:c>
      <x:c r="J1659" s="70" t="n">
        <x:v>191</x:v>
      </x:c>
      <x:c r="K1659" s="70" t="s">
        <x:v>1200</x:v>
      </x:c>
      <x:c r="L1659" s="70" t="s">
        <x:v>1270</x:v>
      </x:c>
      <x:c r="M1659" s="70" t="s">
        <x:v>40</x:v>
      </x:c>
      <x:c r="N1659" s="71" t="n">
        <x:v>7112327</x:v>
      </x:c>
      <x:c r="O1659" s="72" t="n">
        <x:f aca="0">N1659/1000</x:f>
        <x:v>7112.327</x:v>
      </x:c>
      <x:c r="P1659" s="73" t="n">
        <x:f aca="0">FCCL!F31</x:f>
        <x:v>7112.327</x:v>
      </x:c>
      <x:c r="Q1659" s="70" t="str">
        <x:f aca="0">IF(ABS(O1659-P1659)&lt;0.000001,"PASS","FAIL")</x:f>
        <x:v>PASS</x:v>
      </x:c>
      <x:c r="R1659" s="70" t="s">
        <x:v>28</x:v>
      </x:c>
      <x:c r="S1659" s="70"/>
    </x:row>
    <x:row r="1660" ht="15" hidden="0">
      <x:c r="A1660" s="70" t="s">
        <x:v>3057</x:v>
      </x:c>
      <x:c r="B1660" s="70" t="s">
        <x:v>46</x:v>
      </x:c>
      <x:c r="C1660" s="70" t="s">
        <x:v>76</x:v>
      </x:c>
      <x:c r="D1660" s="70" t="s">
        <x:v>317</x:v>
      </x:c>
      <x:c r="E1660" s="70" t="s">
        <x:v>1129</x:v>
      </x:c>
      <x:c r="F1660" s="70" t="s">
        <x:v>3053</x:v>
      </x:c>
      <x:c r="G1660" s="70" t="s">
        <x:v>2999</x:v>
      </x:c>
      <x:c r="H1660" s="70" t="s">
        <x:v>1215</x:v>
      </x:c>
      <x:c r="I1660" s="70" t="s">
        <x:v>1199</x:v>
      </x:c>
      <x:c r="J1660" s="70" t="n">
        <x:v>245</x:v>
      </x:c>
      <x:c r="K1660" s="70" t="s">
        <x:v>1200</x:v>
      </x:c>
      <x:c r="L1660" s="70" t="s">
        <x:v>1277</x:v>
      </x:c>
      <x:c r="M1660" s="70" t="s">
        <x:v>40</x:v>
      </x:c>
      <x:c r="N1660" s="71" t="n">
        <x:v>7495705</x:v>
      </x:c>
      <x:c r="O1660" s="72" t="n">
        <x:f aca="0">N1660/1000</x:f>
        <x:v>7495.705</x:v>
      </x:c>
      <x:c r="P1660" s="73" t="n">
        <x:f aca="0">FCCL!G31</x:f>
        <x:v>7495.705</x:v>
      </x:c>
      <x:c r="Q1660" s="70" t="str">
        <x:f aca="0">IF(ABS(O1660-P1660)&lt;0.000001,"PASS","FAIL")</x:f>
        <x:v>PASS</x:v>
      </x:c>
      <x:c r="R1660" s="70" t="s">
        <x:v>28</x:v>
      </x:c>
      <x:c r="S1660" s="70"/>
    </x:row>
    <x:row r="1661" ht="15" hidden="0">
      <x:c r="A1661" s="70" t="s">
        <x:v>3058</x:v>
      </x:c>
      <x:c r="B1661" s="70" t="s">
        <x:v>46</x:v>
      </x:c>
      <x:c r="C1661" s="70" t="s">
        <x:v>77</x:v>
      </x:c>
      <x:c r="D1661" s="70" t="s">
        <x:v>317</x:v>
      </x:c>
      <x:c r="E1661" s="70" t="s">
        <x:v>1129</x:v>
      </x:c>
      <x:c r="F1661" s="70" t="s">
        <x:v>3053</x:v>
      </x:c>
      <x:c r="G1661" s="70" t="s">
        <x:v>2999</x:v>
      </x:c>
      <x:c r="H1661" s="70" t="s">
        <x:v>1215</x:v>
      </x:c>
      <x:c r="I1661" s="70" t="s">
        <x:v>1218</x:v>
      </x:c>
      <x:c r="J1661" s="70" t="n">
        <x:v>245</x:v>
      </x:c>
      <x:c r="K1661" s="70" t="s">
        <x:v>1200</x:v>
      </x:c>
      <x:c r="L1661" s="70" t="s">
        <x:v>1277</x:v>
      </x:c>
      <x:c r="M1661" s="70" t="s">
        <x:v>40</x:v>
      </x:c>
      <x:c r="N1661" s="71" t="n">
        <x:v>9337617</x:v>
      </x:c>
      <x:c r="O1661" s="72" t="n">
        <x:f aca="0">N1661/1000</x:f>
        <x:v>9337.617</x:v>
      </x:c>
      <x:c r="P1661" s="73" t="n">
        <x:f aca="0">FCCL!H31</x:f>
        <x:v>9337.617</x:v>
      </x:c>
      <x:c r="Q1661" s="70" t="str">
        <x:f aca="0">IF(ABS(O1661-P1661)&lt;0.000001,"PASS","FAIL")</x:f>
        <x:v>PASS</x:v>
      </x:c>
      <x:c r="R1661" s="70" t="s">
        <x:v>28</x:v>
      </x:c>
      <x:c r="S1661" s="70"/>
    </x:row>
    <x:row r="1662" ht="15" hidden="0">
      <x:c r="A1662" s="70" t="s">
        <x:v>3059</x:v>
      </x:c>
      <x:c r="B1662" s="70" t="s">
        <x:v>46</x:v>
      </x:c>
      <x:c r="C1662" s="70" t="s">
        <x:v>1076</x:v>
      </x:c>
      <x:c r="D1662" s="70" t="s">
        <x:v>319</x:v>
      </x:c>
      <x:c r="E1662" s="70" t="s">
        <x:v>1129</x:v>
      </x:c>
      <x:c r="F1662" s="70" t="s">
        <x:v>319</x:v>
      </x:c>
      <x:c r="G1662" s="70" t="s">
        <x:v>2990</x:v>
      </x:c>
      <x:c r="H1662" s="70" t="s">
        <x:v>1198</x:v>
      </x:c>
      <x:c r="I1662" s="70" t="s">
        <x:v>1199</x:v>
      </x:c>
      <x:c r="J1662" s="70" t="n">
        <x:v>165</x:v>
      </x:c>
      <x:c r="K1662" s="70" t="s">
        <x:v>1200</x:v>
      </x:c>
      <x:c r="L1662" s="70" t="s">
        <x:v>1270</x:v>
      </x:c>
      <x:c r="M1662" s="70" t="s">
        <x:v>40</x:v>
      </x:c>
      <x:c r="N1662" s="71" t="n">
        <x:v>1050640</x:v>
      </x:c>
      <x:c r="O1662" s="72" t="n">
        <x:f aca="0">N1662/1000</x:f>
        <x:v>1050.64</x:v>
      </x:c>
      <x:c r="P1662" s="73" t="n">
        <x:f aca="0">FCCL!C32</x:f>
        <x:v>1050.64</x:v>
      </x:c>
      <x:c r="Q1662" s="70" t="str">
        <x:f aca="0">IF(ABS(O1662-P1662)&lt;0.000001,"PASS","FAIL")</x:f>
        <x:v>PASS</x:v>
      </x:c>
      <x:c r="R1662" s="70" t="s">
        <x:v>28</x:v>
      </x:c>
      <x:c r="S1662" s="70"/>
    </x:row>
    <x:row r="1663" ht="15" hidden="0">
      <x:c r="A1663" s="70" t="s">
        <x:v>3060</x:v>
      </x:c>
      <x:c r="B1663" s="70" t="s">
        <x:v>46</x:v>
      </x:c>
      <x:c r="C1663" s="70" t="s">
        <x:v>73</x:v>
      </x:c>
      <x:c r="D1663" s="70" t="s">
        <x:v>319</x:v>
      </x:c>
      <x:c r="E1663" s="70" t="s">
        <x:v>1129</x:v>
      </x:c>
      <x:c r="F1663" s="70" t="s">
        <x:v>3061</x:v>
      </x:c>
      <x:c r="G1663" s="70" t="s">
        <x:v>2992</x:v>
      </x:c>
      <x:c r="H1663" s="70" t="s">
        <x:v>1204</x:v>
      </x:c>
      <x:c r="I1663" s="70" t="s">
        <x:v>1199</x:v>
      </x:c>
      <x:c r="J1663" s="70" t="n">
        <x:v>187</x:v>
      </x:c>
      <x:c r="K1663" s="70" t="s">
        <x:v>2307</x:v>
      </x:c>
      <x:c r="L1663" s="70" t="s">
        <x:v>1299</x:v>
      </x:c>
      <x:c r="M1663" s="70" t="s">
        <x:v>40</x:v>
      </x:c>
      <x:c r="N1663" s="71" t="n">
        <x:v>1449600</x:v>
      </x:c>
      <x:c r="O1663" s="72" t="n">
        <x:f aca="0">N1663/1000</x:f>
        <x:v>1449.6</x:v>
      </x:c>
      <x:c r="P1663" s="73" t="n">
        <x:f aca="0">FCCL!D32</x:f>
        <x:v>1449.6</x:v>
      </x:c>
      <x:c r="Q1663" s="70" t="str">
        <x:f aca="0">IF(ABS(O1663-P1663)&lt;0.000001,"PASS","FAIL")</x:f>
        <x:v>PASS</x:v>
      </x:c>
      <x:c r="R1663" s="70" t="s">
        <x:v>28</x:v>
      </x:c>
      <x:c r="S1663" s="70"/>
    </x:row>
    <x:row r="1664" ht="15" hidden="0">
      <x:c r="A1664" s="70" t="s">
        <x:v>3062</x:v>
      </x:c>
      <x:c r="B1664" s="70" t="s">
        <x:v>46</x:v>
      </x:c>
      <x:c r="C1664" s="70" t="s">
        <x:v>74</x:v>
      </x:c>
      <x:c r="D1664" s="70" t="s">
        <x:v>319</x:v>
      </x:c>
      <x:c r="E1664" s="70" t="s">
        <x:v>1129</x:v>
      </x:c>
      <x:c r="F1664" s="70" t="s">
        <x:v>319</x:v>
      </x:c>
      <x:c r="G1664" s="70" t="s">
        <x:v>2994</x:v>
      </x:c>
      <x:c r="H1664" s="70" t="s">
        <x:v>1208</x:v>
      </x:c>
      <x:c r="I1664" s="70" t="s">
        <x:v>1199</x:v>
      </x:c>
      <x:c r="J1664" s="70" t="n">
        <x:v>209</x:v>
      </x:c>
      <x:c r="K1664" s="70" t="s">
        <x:v>2995</x:v>
      </x:c>
      <x:c r="L1664" s="70" t="s">
        <x:v>1277</x:v>
      </x:c>
      <x:c r="M1664" s="70" t="s">
        <x:v>40</x:v>
      </x:c>
      <x:c r="N1664" s="71" t="n">
        <x:v>2412758</x:v>
      </x:c>
      <x:c r="O1664" s="72" t="n">
        <x:f aca="0">N1664/1000</x:f>
        <x:v>2412.758</x:v>
      </x:c>
      <x:c r="P1664" s="73" t="n">
        <x:f aca="0">FCCL!E32</x:f>
        <x:v>2412.758</x:v>
      </x:c>
      <x:c r="Q1664" s="70" t="str">
        <x:f aca="0">IF(ABS(O1664-P1664)&lt;0.000001,"PASS","FAIL")</x:f>
        <x:v>PASS</x:v>
      </x:c>
      <x:c r="R1664" s="70" t="s">
        <x:v>28</x:v>
      </x:c>
      <x:c r="S1664" s="70"/>
    </x:row>
    <x:row r="1665" ht="15" hidden="0">
      <x:c r="A1665" s="70" t="s">
        <x:v>3063</x:v>
      </x:c>
      <x:c r="B1665" s="70" t="s">
        <x:v>46</x:v>
      </x:c>
      <x:c r="C1665" s="70" t="s">
        <x:v>75</x:v>
      </x:c>
      <x:c r="D1665" s="70" t="s">
        <x:v>319</x:v>
      </x:c>
      <x:c r="E1665" s="70" t="s">
        <x:v>1129</x:v>
      </x:c>
      <x:c r="F1665" s="70" t="s">
        <x:v>319</x:v>
      </x:c>
      <x:c r="G1665" s="70" t="s">
        <x:v>2997</x:v>
      </x:c>
      <x:c r="H1665" s="70" t="s">
        <x:v>1211</x:v>
      </x:c>
      <x:c r="I1665" s="70" t="s">
        <x:v>1199</x:v>
      </x:c>
      <x:c r="J1665" s="70" t="n">
        <x:v>191</x:v>
      </x:c>
      <x:c r="K1665" s="70" t="s">
        <x:v>1200</x:v>
      </x:c>
      <x:c r="L1665" s="70" t="s">
        <x:v>1277</x:v>
      </x:c>
      <x:c r="M1665" s="70" t="s">
        <x:v>40</x:v>
      </x:c>
      <x:c r="N1665" s="71" t="n">
        <x:v>3572445</x:v>
      </x:c>
      <x:c r="O1665" s="72" t="n">
        <x:f aca="0">N1665/1000</x:f>
        <x:v>3572.445</x:v>
      </x:c>
      <x:c r="P1665" s="73" t="n">
        <x:f aca="0">FCCL!F32</x:f>
        <x:v>3572.445</x:v>
      </x:c>
      <x:c r="Q1665" s="70" t="str">
        <x:f aca="0">IF(ABS(O1665-P1665)&lt;0.000001,"PASS","FAIL")</x:f>
        <x:v>PASS</x:v>
      </x:c>
      <x:c r="R1665" s="70" t="s">
        <x:v>28</x:v>
      </x:c>
      <x:c r="S1665" s="70"/>
    </x:row>
    <x:row r="1666" ht="15" hidden="0">
      <x:c r="A1666" s="70" t="s">
        <x:v>3064</x:v>
      </x:c>
      <x:c r="B1666" s="70" t="s">
        <x:v>46</x:v>
      </x:c>
      <x:c r="C1666" s="70" t="s">
        <x:v>76</x:v>
      </x:c>
      <x:c r="D1666" s="70" t="s">
        <x:v>319</x:v>
      </x:c>
      <x:c r="E1666" s="70" t="s">
        <x:v>1129</x:v>
      </x:c>
      <x:c r="F1666" s="70" t="s">
        <x:v>319</x:v>
      </x:c>
      <x:c r="G1666" s="70" t="s">
        <x:v>2999</x:v>
      </x:c>
      <x:c r="H1666" s="70" t="s">
        <x:v>1215</x:v>
      </x:c>
      <x:c r="I1666" s="70" t="s">
        <x:v>1199</x:v>
      </x:c>
      <x:c r="J1666" s="70" t="n">
        <x:v>245</x:v>
      </x:c>
      <x:c r="K1666" s="70" t="s">
        <x:v>1200</x:v>
      </x:c>
      <x:c r="L1666" s="70" t="s">
        <x:v>1285</x:v>
      </x:c>
      <x:c r="M1666" s="70" t="s">
        <x:v>40</x:v>
      </x:c>
      <x:c r="N1666" s="71" t="n">
        <x:v>5545241</x:v>
      </x:c>
      <x:c r="O1666" s="72" t="n">
        <x:f aca="0">N1666/1000</x:f>
        <x:v>5545.241</x:v>
      </x:c>
      <x:c r="P1666" s="73" t="n">
        <x:f aca="0">FCCL!G32</x:f>
        <x:v>5545.241</x:v>
      </x:c>
      <x:c r="Q1666" s="70" t="str">
        <x:f aca="0">IF(ABS(O1666-P1666)&lt;0.000001,"PASS","FAIL")</x:f>
        <x:v>PASS</x:v>
      </x:c>
      <x:c r="R1666" s="70" t="s">
        <x:v>28</x:v>
      </x:c>
      <x:c r="S1666" s="70"/>
    </x:row>
    <x:row r="1667" ht="15" hidden="0">
      <x:c r="A1667" s="70" t="s">
        <x:v>3065</x:v>
      </x:c>
      <x:c r="B1667" s="70" t="s">
        <x:v>46</x:v>
      </x:c>
      <x:c r="C1667" s="70" t="s">
        <x:v>77</x:v>
      </x:c>
      <x:c r="D1667" s="70" t="s">
        <x:v>319</x:v>
      </x:c>
      <x:c r="E1667" s="70" t="s">
        <x:v>1129</x:v>
      </x:c>
      <x:c r="F1667" s="70" t="s">
        <x:v>319</x:v>
      </x:c>
      <x:c r="G1667" s="70" t="s">
        <x:v>2999</x:v>
      </x:c>
      <x:c r="H1667" s="70" t="s">
        <x:v>1215</x:v>
      </x:c>
      <x:c r="I1667" s="70" t="s">
        <x:v>1218</x:v>
      </x:c>
      <x:c r="J1667" s="70" t="n">
        <x:v>245</x:v>
      </x:c>
      <x:c r="K1667" s="70" t="s">
        <x:v>1200</x:v>
      </x:c>
      <x:c r="L1667" s="70" t="s">
        <x:v>1285</x:v>
      </x:c>
      <x:c r="M1667" s="70" t="s">
        <x:v>40</x:v>
      </x:c>
      <x:c r="N1667" s="71" t="n">
        <x:v>6911322</x:v>
      </x:c>
      <x:c r="O1667" s="72" t="n">
        <x:f aca="0">N1667/1000</x:f>
        <x:v>6911.322</x:v>
      </x:c>
      <x:c r="P1667" s="73" t="n">
        <x:f aca="0">FCCL!H32</x:f>
        <x:v>6911.322</x:v>
      </x:c>
      <x:c r="Q1667" s="70" t="str">
        <x:f aca="0">IF(ABS(O1667-P1667)&lt;0.000001,"PASS","FAIL")</x:f>
        <x:v>PASS</x:v>
      </x:c>
      <x:c r="R1667" s="70" t="s">
        <x:v>28</x:v>
      </x:c>
      <x:c r="S1667" s="70"/>
    </x:row>
    <x:row r="1668" ht="15" hidden="0">
      <x:c r="A1668" s="70" t="s">
        <x:v>3066</x:v>
      </x:c>
      <x:c r="B1668" s="70" t="s">
        <x:v>46</x:v>
      </x:c>
      <x:c r="C1668" s="70" t="s">
        <x:v>1076</x:v>
      </x:c>
      <x:c r="D1668" s="70" t="s">
        <x:v>321</x:v>
      </x:c>
      <x:c r="E1668" s="70" t="s">
        <x:v>1129</x:v>
      </x:c>
      <x:c r="F1668" s="70" t="s">
        <x:v>1291</x:v>
      </x:c>
      <x:c r="G1668" s="70" t="s">
        <x:v>2990</x:v>
      </x:c>
      <x:c r="H1668" s="70" t="s">
        <x:v>1198</x:v>
      </x:c>
      <x:c r="I1668" s="70" t="s">
        <x:v>1199</x:v>
      </x:c>
      <x:c r="J1668" s="70" t="n">
        <x:v>165</x:v>
      </x:c>
      <x:c r="K1668" s="70" t="s">
        <x:v>1200</x:v>
      </x:c>
      <x:c r="L1668" s="70" t="s">
        <x:v>1299</x:v>
      </x:c>
      <x:c r="M1668" s="70" t="s">
        <x:v>40</x:v>
      </x:c>
      <x:c r="N1668" s="71" t="n">
        <x:v>0</x:v>
      </x:c>
      <x:c r="O1668" s="72" t="n">
        <x:f aca="0">N1668/1000</x:f>
        <x:v>0</x:v>
      </x:c>
      <x:c r="P1668" s="73" t="n">
        <x:f aca="0">FCCL!C33</x:f>
        <x:v>0</x:v>
      </x:c>
      <x:c r="Q1668" s="70" t="str">
        <x:f aca="0">IF(ABS(O1668-P1668)&lt;0.000001,"PASS","FAIL")</x:f>
        <x:v>PASS</x:v>
      </x:c>
      <x:c r="R1668" s="70" t="s">
        <x:v>28</x:v>
      </x:c>
      <x:c r="S1668" s="70"/>
    </x:row>
    <x:row r="1669" ht="15" hidden="0">
      <x:c r="A1669" s="70" t="s">
        <x:v>3067</x:v>
      </x:c>
      <x:c r="B1669" s="70" t="s">
        <x:v>46</x:v>
      </x:c>
      <x:c r="C1669" s="70" t="s">
        <x:v>73</x:v>
      </x:c>
      <x:c r="D1669" s="70" t="s">
        <x:v>321</x:v>
      </x:c>
      <x:c r="E1669" s="70" t="s">
        <x:v>1129</x:v>
      </x:c>
      <x:c r="F1669" s="70" t="s">
        <x:v>1291</x:v>
      </x:c>
      <x:c r="G1669" s="70" t="s">
        <x:v>2992</x:v>
      </x:c>
      <x:c r="H1669" s="70" t="s">
        <x:v>1204</x:v>
      </x:c>
      <x:c r="I1669" s="70" t="s">
        <x:v>1199</x:v>
      </x:c>
      <x:c r="J1669" s="70" t="n">
        <x:v>187</x:v>
      </x:c>
      <x:c r="K1669" s="70" t="s">
        <x:v>2307</x:v>
      </x:c>
      <x:c r="L1669" s="70" t="s">
        <x:v>2630</x:v>
      </x:c>
      <x:c r="M1669" s="70" t="s">
        <x:v>40</x:v>
      </x:c>
      <x:c r="N1669" s="71" t="n">
        <x:v>4397699</x:v>
      </x:c>
      <x:c r="O1669" s="72" t="n">
        <x:f aca="0">N1669/1000</x:f>
        <x:v>4397.699</x:v>
      </x:c>
      <x:c r="P1669" s="73" t="n">
        <x:f aca="0">FCCL!D33</x:f>
        <x:v>4397.699</x:v>
      </x:c>
      <x:c r="Q1669" s="70" t="str">
        <x:f aca="0">IF(ABS(O1669-P1669)&lt;0.000001,"PASS","FAIL")</x:f>
        <x:v>PASS</x:v>
      </x:c>
      <x:c r="R1669" s="70" t="s">
        <x:v>28</x:v>
      </x:c>
      <x:c r="S1669" s="70"/>
    </x:row>
    <x:row r="1670" ht="15" hidden="0">
      <x:c r="A1670" s="70" t="s">
        <x:v>3068</x:v>
      </x:c>
      <x:c r="B1670" s="70" t="s">
        <x:v>46</x:v>
      </x:c>
      <x:c r="C1670" s="70" t="s">
        <x:v>74</x:v>
      </x:c>
      <x:c r="D1670" s="70" t="s">
        <x:v>321</x:v>
      </x:c>
      <x:c r="E1670" s="70" t="s">
        <x:v>1129</x:v>
      </x:c>
      <x:c r="F1670" s="70" t="s">
        <x:v>1291</x:v>
      </x:c>
      <x:c r="G1670" s="70" t="s">
        <x:v>2994</x:v>
      </x:c>
      <x:c r="H1670" s="70" t="s">
        <x:v>1208</x:v>
      </x:c>
      <x:c r="I1670" s="70" t="s">
        <x:v>1199</x:v>
      </x:c>
      <x:c r="J1670" s="70" t="n">
        <x:v>209</x:v>
      </x:c>
      <x:c r="K1670" s="70" t="s">
        <x:v>2995</x:v>
      </x:c>
      <x:c r="L1670" s="70" t="s">
        <x:v>1844</x:v>
      </x:c>
      <x:c r="M1670" s="70" t="s">
        <x:v>40</x:v>
      </x:c>
      <x:c r="N1670" s="71" t="n">
        <x:v>3843010</x:v>
      </x:c>
      <x:c r="O1670" s="72" t="n">
        <x:f aca="0">N1670/1000</x:f>
        <x:v>3843.01</x:v>
      </x:c>
      <x:c r="P1670" s="73" t="n">
        <x:f aca="0">FCCL!E33</x:f>
        <x:v>3843.01</x:v>
      </x:c>
      <x:c r="Q1670" s="70" t="str">
        <x:f aca="0">IF(ABS(O1670-P1670)&lt;0.000001,"PASS","FAIL")</x:f>
        <x:v>PASS</x:v>
      </x:c>
      <x:c r="R1670" s="70" t="s">
        <x:v>28</x:v>
      </x:c>
      <x:c r="S1670" s="70"/>
    </x:row>
    <x:row r="1671" ht="15" hidden="0">
      <x:c r="A1671" s="70" t="s">
        <x:v>3069</x:v>
      </x:c>
      <x:c r="B1671" s="70" t="s">
        <x:v>46</x:v>
      </x:c>
      <x:c r="C1671" s="70" t="s">
        <x:v>75</x:v>
      </x:c>
      <x:c r="D1671" s="70" t="s">
        <x:v>321</x:v>
      </x:c>
      <x:c r="E1671" s="70" t="s">
        <x:v>1129</x:v>
      </x:c>
      <x:c r="F1671" s="70" t="s">
        <x:v>1291</x:v>
      </x:c>
      <x:c r="G1671" s="70" t="s">
        <x:v>2997</x:v>
      </x:c>
      <x:c r="H1671" s="70" t="s">
        <x:v>1211</x:v>
      </x:c>
      <x:c r="I1671" s="70" t="s">
        <x:v>1199</x:v>
      </x:c>
      <x:c r="J1671" s="70" t="n">
        <x:v>191</x:v>
      </x:c>
      <x:c r="K1671" s="70" t="s">
        <x:v>1200</x:v>
      </x:c>
      <x:c r="L1671" s="70" t="s">
        <x:v>1301</x:v>
      </x:c>
      <x:c r="M1671" s="70" t="s">
        <x:v>40</x:v>
      </x:c>
      <x:c r="N1671" s="71" t="n">
        <x:v>250000</x:v>
      </x:c>
      <x:c r="O1671" s="72" t="n">
        <x:f aca="0">N1671/1000</x:f>
        <x:v>250</x:v>
      </x:c>
      <x:c r="P1671" s="73" t="n">
        <x:f aca="0">FCCL!F33</x:f>
        <x:v>250</x:v>
      </x:c>
      <x:c r="Q1671" s="70" t="str">
        <x:f aca="0">IF(ABS(O1671-P1671)&lt;0.000001,"PASS","FAIL")</x:f>
        <x:v>PASS</x:v>
      </x:c>
      <x:c r="R1671" s="70" t="s">
        <x:v>28</x:v>
      </x:c>
      <x:c r="S1671" s="70"/>
    </x:row>
    <x:row r="1672" ht="15" hidden="0">
      <x:c r="A1672" s="70" t="s">
        <x:v>3070</x:v>
      </x:c>
      <x:c r="B1672" s="70" t="s">
        <x:v>46</x:v>
      </x:c>
      <x:c r="C1672" s="70" t="s">
        <x:v>76</x:v>
      </x:c>
      <x:c r="D1672" s="70" t="s">
        <x:v>321</x:v>
      </x:c>
      <x:c r="E1672" s="70" t="s">
        <x:v>1129</x:v>
      </x:c>
      <x:c r="F1672" s="70" t="s">
        <x:v>1291</x:v>
      </x:c>
      <x:c r="G1672" s="70" t="s">
        <x:v>2999</x:v>
      </x:c>
      <x:c r="H1672" s="70" t="s">
        <x:v>1215</x:v>
      </x:c>
      <x:c r="I1672" s="70" t="s">
        <x:v>1199</x:v>
      </x:c>
      <x:c r="J1672" s="70" t="n">
        <x:v>245</x:v>
      </x:c>
      <x:c r="K1672" s="70" t="s">
        <x:v>1200</x:v>
      </x:c>
      <x:c r="L1672" s="70" t="s">
        <x:v>1844</x:v>
      </x:c>
      <x:c r="M1672" s="70" t="s">
        <x:v>40</x:v>
      </x:c>
      <x:c r="N1672" s="71" t="n">
        <x:v>250000</x:v>
      </x:c>
      <x:c r="O1672" s="72" t="n">
        <x:f aca="0">N1672/1000</x:f>
        <x:v>250</x:v>
      </x:c>
      <x:c r="P1672" s="73" t="n">
        <x:f aca="0">FCCL!G33</x:f>
        <x:v>250</x:v>
      </x:c>
      <x:c r="Q1672" s="70" t="str">
        <x:f aca="0">IF(ABS(O1672-P1672)&lt;0.000001,"PASS","FAIL")</x:f>
        <x:v>PASS</x:v>
      </x:c>
      <x:c r="R1672" s="70" t="s">
        <x:v>28</x:v>
      </x:c>
      <x:c r="S1672" s="70"/>
    </x:row>
    <x:row r="1673" ht="15" hidden="0">
      <x:c r="A1673" s="70" t="s">
        <x:v>3071</x:v>
      </x:c>
      <x:c r="B1673" s="70" t="s">
        <x:v>46</x:v>
      </x:c>
      <x:c r="C1673" s="70" t="s">
        <x:v>77</x:v>
      </x:c>
      <x:c r="D1673" s="70" t="s">
        <x:v>321</x:v>
      </x:c>
      <x:c r="E1673" s="70" t="s">
        <x:v>1129</x:v>
      </x:c>
      <x:c r="F1673" s="70" t="s">
        <x:v>1291</x:v>
      </x:c>
      <x:c r="G1673" s="70" t="s">
        <x:v>2999</x:v>
      </x:c>
      <x:c r="H1673" s="70" t="s">
        <x:v>1215</x:v>
      </x:c>
      <x:c r="I1673" s="70" t="s">
        <x:v>1218</x:v>
      </x:c>
      <x:c r="J1673" s="70" t="n">
        <x:v>245</x:v>
      </x:c>
      <x:c r="K1673" s="70" t="s">
        <x:v>1200</x:v>
      </x:c>
      <x:c r="L1673" s="70" t="s">
        <x:v>1844</x:v>
      </x:c>
      <x:c r="M1673" s="70" t="s">
        <x:v>40</x:v>
      </x:c>
      <x:c r="N1673" s="71" t="n">
        <x:v>9210100</x:v>
      </x:c>
      <x:c r="O1673" s="72" t="n">
        <x:f aca="0">N1673/1000</x:f>
        <x:v>9210.1</x:v>
      </x:c>
      <x:c r="P1673" s="73" t="n">
        <x:f aca="0">FCCL!H33</x:f>
        <x:v>9210.1</x:v>
      </x:c>
      <x:c r="Q1673" s="70" t="str">
        <x:f aca="0">IF(ABS(O1673-P1673)&lt;0.000001,"PASS","FAIL")</x:f>
        <x:v>PASS</x:v>
      </x:c>
      <x:c r="R1673" s="70" t="s">
        <x:v>28</x:v>
      </x:c>
      <x:c r="S1673" s="70"/>
    </x:row>
    <x:row r="1674" ht="15" hidden="0">
      <x:c r="A1674" s="70" t="s">
        <x:v>3072</x:v>
      </x:c>
      <x:c r="B1674" s="70" t="s">
        <x:v>46</x:v>
      </x:c>
      <x:c r="C1674" s="70" t="s">
        <x:v>1076</x:v>
      </x:c>
      <x:c r="D1674" s="70" t="s">
        <x:v>323</x:v>
      </x:c>
      <x:c r="E1674" s="70" t="s">
        <x:v>1129</x:v>
      </x:c>
      <x:c r="F1674" s="70" t="s">
        <x:v>323</x:v>
      </x:c>
      <x:c r="G1674" s="70" t="s">
        <x:v>2990</x:v>
      </x:c>
      <x:c r="H1674" s="70" t="s">
        <x:v>1198</x:v>
      </x:c>
      <x:c r="I1674" s="70" t="s">
        <x:v>1199</x:v>
      </x:c>
      <x:c r="J1674" s="70" t="n">
        <x:v>165</x:v>
      </x:c>
      <x:c r="K1674" s="70" t="s">
        <x:v>1200</x:v>
      </x:c>
      <x:c r="L1674" s="70" t="s">
        <x:v>1301</x:v>
      </x:c>
      <x:c r="M1674" s="70" t="s">
        <x:v>40</x:v>
      </x:c>
      <x:c r="N1674" s="71" t="n">
        <x:v>561174</x:v>
      </x:c>
      <x:c r="O1674" s="72" t="n">
        <x:f aca="0">N1674/1000</x:f>
        <x:v>561.174</x:v>
      </x:c>
      <x:c r="P1674" s="73" t="n">
        <x:f aca="0">FCCL!C34</x:f>
        <x:v>561.174</x:v>
      </x:c>
      <x:c r="Q1674" s="70" t="str">
        <x:f aca="0">IF(ABS(O1674-P1674)&lt;0.000001,"PASS","FAIL")</x:f>
        <x:v>PASS</x:v>
      </x:c>
      <x:c r="R1674" s="70" t="s">
        <x:v>28</x:v>
      </x:c>
      <x:c r="S1674" s="70"/>
    </x:row>
    <x:row r="1675" ht="15" hidden="0">
      <x:c r="A1675" s="70" t="s">
        <x:v>3073</x:v>
      </x:c>
      <x:c r="B1675" s="70" t="s">
        <x:v>46</x:v>
      </x:c>
      <x:c r="C1675" s="70" t="s">
        <x:v>73</x:v>
      </x:c>
      <x:c r="D1675" s="70" t="s">
        <x:v>323</x:v>
      </x:c>
      <x:c r="E1675" s="70" t="s">
        <x:v>1129</x:v>
      </x:c>
      <x:c r="F1675" s="70" t="s">
        <x:v>323</x:v>
      </x:c>
      <x:c r="G1675" s="70" t="s">
        <x:v>2992</x:v>
      </x:c>
      <x:c r="H1675" s="70" t="s">
        <x:v>1204</x:v>
      </x:c>
      <x:c r="I1675" s="70" t="s">
        <x:v>1199</x:v>
      </x:c>
      <x:c r="J1675" s="70" t="n">
        <x:v>187</x:v>
      </x:c>
      <x:c r="K1675" s="70" t="s">
        <x:v>2307</x:v>
      </x:c>
      <x:c r="L1675" s="70" t="s">
        <x:v>1230</x:v>
      </x:c>
      <x:c r="M1675" s="70" t="s">
        <x:v>40</x:v>
      </x:c>
      <x:c r="N1675" s="71" t="n">
        <x:v>900778</x:v>
      </x:c>
      <x:c r="O1675" s="72" t="n">
        <x:f aca="0">N1675/1000</x:f>
        <x:v>900.778</x:v>
      </x:c>
      <x:c r="P1675" s="73" t="n">
        <x:f aca="0">FCCL!D34</x:f>
        <x:v>900.778</x:v>
      </x:c>
      <x:c r="Q1675" s="70" t="str">
        <x:f aca="0">IF(ABS(O1675-P1675)&lt;0.000001,"PASS","FAIL")</x:f>
        <x:v>PASS</x:v>
      </x:c>
      <x:c r="R1675" s="70" t="s">
        <x:v>28</x:v>
      </x:c>
      <x:c r="S1675" s="70"/>
    </x:row>
    <x:row r="1676" ht="15" hidden="0">
      <x:c r="A1676" s="70" t="s">
        <x:v>3074</x:v>
      </x:c>
      <x:c r="B1676" s="70" t="s">
        <x:v>46</x:v>
      </x:c>
      <x:c r="C1676" s="70" t="s">
        <x:v>74</x:v>
      </x:c>
      <x:c r="D1676" s="70" t="s">
        <x:v>323</x:v>
      </x:c>
      <x:c r="E1676" s="70" t="s">
        <x:v>1129</x:v>
      </x:c>
      <x:c r="F1676" s="70" t="s">
        <x:v>323</x:v>
      </x:c>
      <x:c r="G1676" s="70" t="s">
        <x:v>2994</x:v>
      </x:c>
      <x:c r="H1676" s="70" t="s">
        <x:v>1208</x:v>
      </x:c>
      <x:c r="I1676" s="70" t="s">
        <x:v>1199</x:v>
      </x:c>
      <x:c r="J1676" s="70" t="n">
        <x:v>209</x:v>
      </x:c>
      <x:c r="K1676" s="70" t="s">
        <x:v>2995</x:v>
      </x:c>
      <x:c r="L1676" s="70" t="s">
        <x:v>2197</x:v>
      </x:c>
      <x:c r="M1676" s="70" t="s">
        <x:v>40</x:v>
      </x:c>
      <x:c r="N1676" s="71" t="n">
        <x:v>2306633</x:v>
      </x:c>
      <x:c r="O1676" s="72" t="n">
        <x:f aca="0">N1676/1000</x:f>
        <x:v>2306.633</x:v>
      </x:c>
      <x:c r="P1676" s="73" t="n">
        <x:f aca="0">FCCL!E34</x:f>
        <x:v>2306.633</x:v>
      </x:c>
      <x:c r="Q1676" s="70" t="str">
        <x:f aca="0">IF(ABS(O1676-P1676)&lt;0.000001,"PASS","FAIL")</x:f>
        <x:v>PASS</x:v>
      </x:c>
      <x:c r="R1676" s="70" t="s">
        <x:v>28</x:v>
      </x:c>
      <x:c r="S1676" s="70"/>
    </x:row>
    <x:row r="1677" ht="15" hidden="0">
      <x:c r="A1677" s="70" t="s">
        <x:v>3075</x:v>
      </x:c>
      <x:c r="B1677" s="70" t="s">
        <x:v>46</x:v>
      </x:c>
      <x:c r="C1677" s="70" t="s">
        <x:v>75</x:v>
      </x:c>
      <x:c r="D1677" s="70" t="s">
        <x:v>323</x:v>
      </x:c>
      <x:c r="E1677" s="70" t="s">
        <x:v>1129</x:v>
      </x:c>
      <x:c r="F1677" s="70" t="s">
        <x:v>323</x:v>
      </x:c>
      <x:c r="G1677" s="70" t="s">
        <x:v>2997</x:v>
      </x:c>
      <x:c r="H1677" s="70" t="s">
        <x:v>1211</x:v>
      </x:c>
      <x:c r="I1677" s="70" t="s">
        <x:v>1199</x:v>
      </x:c>
      <x:c r="J1677" s="70" t="n">
        <x:v>191</x:v>
      </x:c>
      <x:c r="K1677" s="70" t="s">
        <x:v>1200</x:v>
      </x:c>
      <x:c r="L1677" s="70" t="s">
        <x:v>1844</x:v>
      </x:c>
      <x:c r="M1677" s="70" t="s">
        <x:v>40</x:v>
      </x:c>
      <x:c r="N1677" s="71" t="n">
        <x:v>970457</x:v>
      </x:c>
      <x:c r="O1677" s="72" t="n">
        <x:f aca="0">N1677/1000</x:f>
        <x:v>970.457</x:v>
      </x:c>
      <x:c r="P1677" s="73" t="n">
        <x:f aca="0">FCCL!F34</x:f>
        <x:v>970.457</x:v>
      </x:c>
      <x:c r="Q1677" s="70" t="str">
        <x:f aca="0">IF(ABS(O1677-P1677)&lt;0.000001,"PASS","FAIL")</x:f>
        <x:v>PASS</x:v>
      </x:c>
      <x:c r="R1677" s="70" t="s">
        <x:v>28</x:v>
      </x:c>
      <x:c r="S1677" s="70"/>
    </x:row>
    <x:row r="1678" ht="15" hidden="0">
      <x:c r="A1678" s="70" t="s">
        <x:v>3076</x:v>
      </x:c>
      <x:c r="B1678" s="70" t="s">
        <x:v>46</x:v>
      </x:c>
      <x:c r="C1678" s="70" t="s">
        <x:v>76</x:v>
      </x:c>
      <x:c r="D1678" s="70" t="s">
        <x:v>323</x:v>
      </x:c>
      <x:c r="E1678" s="70" t="s">
        <x:v>1129</x:v>
      </x:c>
      <x:c r="F1678" s="70" t="s">
        <x:v>323</x:v>
      </x:c>
      <x:c r="G1678" s="70" t="s">
        <x:v>2999</x:v>
      </x:c>
      <x:c r="H1678" s="70" t="s">
        <x:v>1215</x:v>
      </x:c>
      <x:c r="I1678" s="70" t="s">
        <x:v>1199</x:v>
      </x:c>
      <x:c r="J1678" s="70" t="n">
        <x:v>245</x:v>
      </x:c>
      <x:c r="K1678" s="70" t="s">
        <x:v>1200</x:v>
      </x:c>
      <x:c r="L1678" s="70" t="s">
        <x:v>2197</x:v>
      </x:c>
      <x:c r="M1678" s="70" t="s">
        <x:v>40</x:v>
      </x:c>
      <x:c r="N1678" s="71" t="n">
        <x:v>2932984</x:v>
      </x:c>
      <x:c r="O1678" s="72" t="n">
        <x:f aca="0">N1678/1000</x:f>
        <x:v>2932.984</x:v>
      </x:c>
      <x:c r="P1678" s="73" t="n">
        <x:f aca="0">FCCL!G34</x:f>
        <x:v>2932.984</x:v>
      </x:c>
      <x:c r="Q1678" s="70" t="str">
        <x:f aca="0">IF(ABS(O1678-P1678)&lt;0.000001,"PASS","FAIL")</x:f>
        <x:v>PASS</x:v>
      </x:c>
      <x:c r="R1678" s="70" t="s">
        <x:v>28</x:v>
      </x:c>
      <x:c r="S1678" s="70"/>
    </x:row>
    <x:row r="1679" ht="15" hidden="0">
      <x:c r="A1679" s="70" t="s">
        <x:v>3077</x:v>
      </x:c>
      <x:c r="B1679" s="70" t="s">
        <x:v>46</x:v>
      </x:c>
      <x:c r="C1679" s="70" t="s">
        <x:v>77</x:v>
      </x:c>
      <x:c r="D1679" s="70" t="s">
        <x:v>323</x:v>
      </x:c>
      <x:c r="E1679" s="70" t="s">
        <x:v>1129</x:v>
      </x:c>
      <x:c r="F1679" s="70" t="s">
        <x:v>323</x:v>
      </x:c>
      <x:c r="G1679" s="70" t="s">
        <x:v>2999</x:v>
      </x:c>
      <x:c r="H1679" s="70" t="s">
        <x:v>1215</x:v>
      </x:c>
      <x:c r="I1679" s="70" t="s">
        <x:v>1218</x:v>
      </x:c>
      <x:c r="J1679" s="70" t="n">
        <x:v>245</x:v>
      </x:c>
      <x:c r="K1679" s="70" t="s">
        <x:v>1200</x:v>
      </x:c>
      <x:c r="L1679" s="70" t="s">
        <x:v>2197</x:v>
      </x:c>
      <x:c r="M1679" s="70" t="s">
        <x:v>40</x:v>
      </x:c>
      <x:c r="N1679" s="71" t="n">
        <x:v>2665338</x:v>
      </x:c>
      <x:c r="O1679" s="72" t="n">
        <x:f aca="0">N1679/1000</x:f>
        <x:v>2665.338</x:v>
      </x:c>
      <x:c r="P1679" s="73" t="n">
        <x:f aca="0">FCCL!H34</x:f>
        <x:v>2665.338</x:v>
      </x:c>
      <x:c r="Q1679" s="70" t="str">
        <x:f aca="0">IF(ABS(O1679-P1679)&lt;0.000001,"PASS","FAIL")</x:f>
        <x:v>PASS</x:v>
      </x:c>
      <x:c r="R1679" s="70" t="s">
        <x:v>28</x:v>
      </x:c>
      <x:c r="S1679" s="70"/>
    </x:row>
    <x:row r="1680" ht="15" hidden="0">
      <x:c r="A1680" s="70" t="s">
        <x:v>3078</x:v>
      </x:c>
      <x:c r="B1680" s="70" t="s">
        <x:v>46</x:v>
      </x:c>
      <x:c r="C1680" s="70" t="s">
        <x:v>1076</x:v>
      </x:c>
      <x:c r="D1680" s="70" t="s">
        <x:v>325</x:v>
      </x:c>
      <x:c r="E1680" s="70" t="s">
        <x:v>1129</x:v>
      </x:c>
      <x:c r="F1680" s="70" t="s">
        <x:v>3079</x:v>
      </x:c>
      <x:c r="G1680" s="70" t="s">
        <x:v>2990</x:v>
      </x:c>
      <x:c r="H1680" s="70" t="s">
        <x:v>1198</x:v>
      </x:c>
      <x:c r="I1680" s="70" t="s">
        <x:v>1199</x:v>
      </x:c>
      <x:c r="J1680" s="70" t="n">
        <x:v>165</x:v>
      </x:c>
      <x:c r="K1680" s="70" t="s">
        <x:v>1200</x:v>
      </x:c>
      <x:c r="L1680" s="70"/>
      <x:c r="M1680" s="70" t="s">
        <x:v>40</x:v>
      </x:c>
      <x:c r="N1680" s="71" t="n">
        <x:v>677946</x:v>
      </x:c>
      <x:c r="O1680" s="72" t="n">
        <x:f aca="0">N1680/1000</x:f>
        <x:v>677.946</x:v>
      </x:c>
      <x:c r="P1680" s="73" t="n">
        <x:f aca="0">FCCL!C35</x:f>
        <x:v>677.946</x:v>
      </x:c>
      <x:c r="Q1680" s="70" t="str">
        <x:f aca="0">IF(ABS(O1680-P1680)&lt;0.000001,"PASS","FAIL")</x:f>
        <x:v>PASS</x:v>
      </x:c>
      <x:c r="R1680" s="70" t="s">
        <x:v>28</x:v>
      </x:c>
      <x:c r="S1680" s="70"/>
    </x:row>
    <x:row r="1681" ht="15" hidden="0">
      <x:c r="A1681" s="70" t="s">
        <x:v>3080</x:v>
      </x:c>
      <x:c r="B1681" s="70" t="s">
        <x:v>46</x:v>
      </x:c>
      <x:c r="C1681" s="70" t="s">
        <x:v>73</x:v>
      </x:c>
      <x:c r="D1681" s="70" t="s">
        <x:v>325</x:v>
      </x:c>
      <x:c r="E1681" s="70" t="s">
        <x:v>1129</x:v>
      </x:c>
      <x:c r="F1681" s="70" t="s">
        <x:v>3081</x:v>
      </x:c>
      <x:c r="G1681" s="70" t="s">
        <x:v>2992</x:v>
      </x:c>
      <x:c r="H1681" s="70" t="s">
        <x:v>1204</x:v>
      </x:c>
      <x:c r="I1681" s="70" t="s">
        <x:v>1199</x:v>
      </x:c>
      <x:c r="J1681" s="70" t="n">
        <x:v>187</x:v>
      </x:c>
      <x:c r="K1681" s="70" t="s">
        <x:v>2307</x:v>
      </x:c>
      <x:c r="L1681" s="70"/>
      <x:c r="M1681" s="70" t="s">
        <x:v>40</x:v>
      </x:c>
      <x:c r="N1681" s="71" t="n">
        <x:v>250703</x:v>
      </x:c>
      <x:c r="O1681" s="72" t="n">
        <x:f aca="0">N1681/1000</x:f>
        <x:v>250.703</x:v>
      </x:c>
      <x:c r="P1681" s="73" t="n">
        <x:f aca="0">FCCL!D35</x:f>
        <x:v>250.703</x:v>
      </x:c>
      <x:c r="Q1681" s="70" t="str">
        <x:f aca="0">IF(ABS(O1681-P1681)&lt;0.000001,"PASS","FAIL")</x:f>
        <x:v>PASS</x:v>
      </x:c>
      <x:c r="R1681" s="70" t="s">
        <x:v>28</x:v>
      </x:c>
      <x:c r="S1681" s="70"/>
    </x:row>
    <x:row r="1682" ht="15" hidden="0">
      <x:c r="A1682" s="70" t="s">
        <x:v>3082</x:v>
      </x:c>
      <x:c r="B1682" s="70" t="s">
        <x:v>46</x:v>
      </x:c>
      <x:c r="C1682" s="70" t="s">
        <x:v>74</x:v>
      </x:c>
      <x:c r="D1682" s="70" t="s">
        <x:v>325</x:v>
      </x:c>
      <x:c r="E1682" s="70" t="s">
        <x:v>1129</x:v>
      </x:c>
      <x:c r="F1682" s="70" t="s">
        <x:v>3081</x:v>
      </x:c>
      <x:c r="G1682" s="70" t="s">
        <x:v>2994</x:v>
      </x:c>
      <x:c r="H1682" s="70" t="s">
        <x:v>1208</x:v>
      </x:c>
      <x:c r="I1682" s="70" t="s">
        <x:v>1199</x:v>
      </x:c>
      <x:c r="J1682" s="70" t="n">
        <x:v>209</x:v>
      </x:c>
      <x:c r="K1682" s="70" t="s">
        <x:v>2995</x:v>
      </x:c>
      <x:c r="L1682" s="70"/>
      <x:c r="M1682" s="70" t="s">
        <x:v>40</x:v>
      </x:c>
      <x:c r="N1682" s="71" t="n">
        <x:v>4017543</x:v>
      </x:c>
      <x:c r="O1682" s="72" t="n">
        <x:f aca="0">N1682/1000</x:f>
        <x:v>4017.543</x:v>
      </x:c>
      <x:c r="P1682" s="73" t="n">
        <x:f aca="0">FCCL!E35</x:f>
        <x:v>4017.543</x:v>
      </x:c>
      <x:c r="Q1682" s="70" t="str">
        <x:f aca="0">IF(ABS(O1682-P1682)&lt;0.000001,"PASS","FAIL")</x:f>
        <x:v>PASS</x:v>
      </x:c>
      <x:c r="R1682" s="70" t="s">
        <x:v>28</x:v>
      </x:c>
      <x:c r="S1682" s="70"/>
    </x:row>
    <x:row r="1683" ht="15" hidden="0">
      <x:c r="A1683" s="70" t="s">
        <x:v>3083</x:v>
      </x:c>
      <x:c r="B1683" s="70" t="s">
        <x:v>46</x:v>
      </x:c>
      <x:c r="C1683" s="70" t="s">
        <x:v>75</x:v>
      </x:c>
      <x:c r="D1683" s="70" t="s">
        <x:v>325</x:v>
      </x:c>
      <x:c r="E1683" s="70" t="s">
        <x:v>1129</x:v>
      </x:c>
      <x:c r="F1683" s="70" t="s">
        <x:v>3081</x:v>
      </x:c>
      <x:c r="G1683" s="70" t="s">
        <x:v>2997</x:v>
      </x:c>
      <x:c r="H1683" s="70" t="s">
        <x:v>1211</x:v>
      </x:c>
      <x:c r="I1683" s="70" t="s">
        <x:v>1199</x:v>
      </x:c>
      <x:c r="J1683" s="70" t="n">
        <x:v>191</x:v>
      </x:c>
      <x:c r="K1683" s="70" t="s">
        <x:v>1200</x:v>
      </x:c>
      <x:c r="L1683" s="70"/>
      <x:c r="M1683" s="70" t="s">
        <x:v>40</x:v>
      </x:c>
      <x:c r="N1683" s="71" t="n">
        <x:v>3218089</x:v>
      </x:c>
      <x:c r="O1683" s="72" t="n">
        <x:f aca="0">N1683/1000</x:f>
        <x:v>3218.089</x:v>
      </x:c>
      <x:c r="P1683" s="73" t="n">
        <x:f aca="0">FCCL!F35</x:f>
        <x:v>3218.089</x:v>
      </x:c>
      <x:c r="Q1683" s="70" t="str">
        <x:f aca="0">IF(ABS(O1683-P1683)&lt;0.000001,"PASS","FAIL")</x:f>
        <x:v>PASS</x:v>
      </x:c>
      <x:c r="R1683" s="70" t="s">
        <x:v>28</x:v>
      </x:c>
      <x:c r="S1683" s="70"/>
    </x:row>
    <x:row r="1684" ht="15" hidden="0">
      <x:c r="A1684" s="70" t="s">
        <x:v>3084</x:v>
      </x:c>
      <x:c r="B1684" s="70" t="s">
        <x:v>46</x:v>
      </x:c>
      <x:c r="C1684" s="70" t="s">
        <x:v>76</x:v>
      </x:c>
      <x:c r="D1684" s="70" t="s">
        <x:v>325</x:v>
      </x:c>
      <x:c r="E1684" s="70" t="s">
        <x:v>1129</x:v>
      </x:c>
      <x:c r="F1684" s="70" t="s">
        <x:v>3085</x:v>
      </x:c>
      <x:c r="G1684" s="70" t="s">
        <x:v>2999</x:v>
      </x:c>
      <x:c r="H1684" s="70" t="s">
        <x:v>1215</x:v>
      </x:c>
      <x:c r="I1684" s="70" t="s">
        <x:v>1199</x:v>
      </x:c>
      <x:c r="J1684" s="70" t="n">
        <x:v>245</x:v>
      </x:c>
      <x:c r="K1684" s="70" t="s">
        <x:v>1200</x:v>
      </x:c>
      <x:c r="L1684" s="70"/>
      <x:c r="M1684" s="70" t="s">
        <x:v>40</x:v>
      </x:c>
      <x:c r="N1684" s="71" t="n">
        <x:v>461011</x:v>
      </x:c>
      <x:c r="O1684" s="72" t="n">
        <x:f aca="0">N1684/1000</x:f>
        <x:v>461.011</x:v>
      </x:c>
      <x:c r="P1684" s="73" t="n">
        <x:f aca="0">FCCL!G35</x:f>
        <x:v>461.011</x:v>
      </x:c>
      <x:c r="Q1684" s="70" t="str">
        <x:f aca="0">IF(ABS(O1684-P1684)&lt;0.000001,"PASS","FAIL")</x:f>
        <x:v>PASS</x:v>
      </x:c>
      <x:c r="R1684" s="70" t="s">
        <x:v>28</x:v>
      </x:c>
      <x:c r="S1684" s="70"/>
    </x:row>
    <x:row r="1685" ht="15" hidden="0">
      <x:c r="A1685" s="70" t="s">
        <x:v>3086</x:v>
      </x:c>
      <x:c r="B1685" s="70" t="s">
        <x:v>46</x:v>
      </x:c>
      <x:c r="C1685" s="70" t="s">
        <x:v>77</x:v>
      </x:c>
      <x:c r="D1685" s="70" t="s">
        <x:v>325</x:v>
      </x:c>
      <x:c r="E1685" s="70" t="s">
        <x:v>1129</x:v>
      </x:c>
      <x:c r="F1685" s="70" t="s">
        <x:v>3085</x:v>
      </x:c>
      <x:c r="G1685" s="70" t="s">
        <x:v>2999</x:v>
      </x:c>
      <x:c r="H1685" s="70" t="s">
        <x:v>1215</x:v>
      </x:c>
      <x:c r="I1685" s="70" t="s">
        <x:v>1218</x:v>
      </x:c>
      <x:c r="J1685" s="70" t="n">
        <x:v>245</x:v>
      </x:c>
      <x:c r="K1685" s="70" t="s">
        <x:v>1200</x:v>
      </x:c>
      <x:c r="L1685" s="70"/>
      <x:c r="M1685" s="70" t="s">
        <x:v>40</x:v>
      </x:c>
      <x:c r="N1685" s="71" t="n">
        <x:v>1971180</x:v>
      </x:c>
      <x:c r="O1685" s="72" t="n">
        <x:f aca="0">N1685/1000</x:f>
        <x:v>1971.18</x:v>
      </x:c>
      <x:c r="P1685" s="73" t="n">
        <x:f aca="0">FCCL!H35</x:f>
        <x:v>1971.18</x:v>
      </x:c>
      <x:c r="Q1685" s="70" t="str">
        <x:f aca="0">IF(ABS(O1685-P1685)&lt;0.000001,"PASS","FAIL")</x:f>
        <x:v>PASS</x:v>
      </x:c>
      <x:c r="R1685" s="70" t="s">
        <x:v>28</x:v>
      </x:c>
      <x:c r="S1685" s="70"/>
    </x:row>
    <x:row r="1686" ht="15" hidden="0">
      <x:c r="A1686" s="70" t="s">
        <x:v>3087</x:v>
      </x:c>
      <x:c r="B1686" s="70" t="s">
        <x:v>46</x:v>
      </x:c>
      <x:c r="C1686" s="70" t="s">
        <x:v>1076</x:v>
      </x:c>
      <x:c r="D1686" s="70" t="s">
        <x:v>332</x:v>
      </x:c>
      <x:c r="E1686" s="70" t="s">
        <x:v>1129</x:v>
      </x:c>
      <x:c r="F1686" s="70" t="s">
        <x:v>1766</x:v>
      </x:c>
      <x:c r="G1686" s="70" t="s">
        <x:v>2990</x:v>
      </x:c>
      <x:c r="H1686" s="70" t="s">
        <x:v>1198</x:v>
      </x:c>
      <x:c r="I1686" s="70" t="s">
        <x:v>1199</x:v>
      </x:c>
      <x:c r="J1686" s="70" t="n">
        <x:v>164</x:v>
      </x:c>
      <x:c r="K1686" s="70" t="s">
        <x:v>2979</x:v>
      </x:c>
      <x:c r="L1686" s="70" t="s">
        <x:v>1317</x:v>
      </x:c>
      <x:c r="M1686" s="70" t="s">
        <x:v>40</x:v>
      </x:c>
      <x:c r="N1686" s="71" t="n">
        <x:v>13798150</x:v>
      </x:c>
      <x:c r="O1686" s="72" t="n">
        <x:f aca="0">N1686/1000</x:f>
        <x:v>13798.15</x:v>
      </x:c>
      <x:c r="P1686" s="73" t="n">
        <x:f aca="0">FCCL!C39</x:f>
        <x:v>13798.15</x:v>
      </x:c>
      <x:c r="Q1686" s="70" t="str">
        <x:f aca="0">IF(ABS(O1686-P1686)&lt;0.000001,"PASS","FAIL")</x:f>
        <x:v>PASS</x:v>
      </x:c>
      <x:c r="R1686" s="70" t="s">
        <x:v>28</x:v>
      </x:c>
      <x:c r="S1686" s="70"/>
    </x:row>
    <x:row r="1687" ht="15" hidden="0">
      <x:c r="A1687" s="70" t="s">
        <x:v>3088</x:v>
      </x:c>
      <x:c r="B1687" s="70" t="s">
        <x:v>46</x:v>
      </x:c>
      <x:c r="C1687" s="70" t="s">
        <x:v>73</x:v>
      </x:c>
      <x:c r="D1687" s="70" t="s">
        <x:v>332</x:v>
      </x:c>
      <x:c r="E1687" s="70" t="s">
        <x:v>1129</x:v>
      </x:c>
      <x:c r="F1687" s="70" t="s">
        <x:v>1766</x:v>
      </x:c>
      <x:c r="G1687" s="70" t="s">
        <x:v>2992</x:v>
      </x:c>
      <x:c r="H1687" s="70" t="s">
        <x:v>1204</x:v>
      </x:c>
      <x:c r="I1687" s="70" t="s">
        <x:v>1199</x:v>
      </x:c>
      <x:c r="J1687" s="70" t="n">
        <x:v>186</x:v>
      </x:c>
      <x:c r="K1687" s="70" t="s">
        <x:v>2126</x:v>
      </x:c>
      <x:c r="L1687" s="70" t="s">
        <x:v>1317</x:v>
      </x:c>
      <x:c r="M1687" s="70" t="s">
        <x:v>40</x:v>
      </x:c>
      <x:c r="N1687" s="71" t="n">
        <x:v>13798150</x:v>
      </x:c>
      <x:c r="O1687" s="72" t="n">
        <x:f aca="0">N1687/1000</x:f>
        <x:v>13798.15</x:v>
      </x:c>
      <x:c r="P1687" s="73" t="n">
        <x:f aca="0">FCCL!D39</x:f>
        <x:v>13798.15</x:v>
      </x:c>
      <x:c r="Q1687" s="70" t="str">
        <x:f aca="0">IF(ABS(O1687-P1687)&lt;0.000001,"PASS","FAIL")</x:f>
        <x:v>PASS</x:v>
      </x:c>
      <x:c r="R1687" s="70" t="s">
        <x:v>28</x:v>
      </x:c>
      <x:c r="S1687" s="70"/>
    </x:row>
    <x:row r="1688" ht="15" hidden="0">
      <x:c r="A1688" s="70" t="s">
        <x:v>3089</x:v>
      </x:c>
      <x:c r="B1688" s="70" t="s">
        <x:v>46</x:v>
      </x:c>
      <x:c r="C1688" s="70" t="s">
        <x:v>74</x:v>
      </x:c>
      <x:c r="D1688" s="70" t="s">
        <x:v>332</x:v>
      </x:c>
      <x:c r="E1688" s="70" t="s">
        <x:v>1129</x:v>
      </x:c>
      <x:c r="F1688" s="70" t="s">
        <x:v>1766</x:v>
      </x:c>
      <x:c r="G1688" s="70" t="s">
        <x:v>2994</x:v>
      </x:c>
      <x:c r="H1688" s="70" t="s">
        <x:v>1208</x:v>
      </x:c>
      <x:c r="I1688" s="70" t="s">
        <x:v>1199</x:v>
      </x:c>
      <x:c r="J1688" s="70" t="n">
        <x:v>208</x:v>
      </x:c>
      <x:c r="K1688" s="70" t="s">
        <x:v>2467</x:v>
      </x:c>
      <x:c r="L1688" s="70" t="s">
        <x:v>1317</x:v>
      </x:c>
      <x:c r="M1688" s="70" t="s">
        <x:v>40</x:v>
      </x:c>
      <x:c r="N1688" s="71" t="n">
        <x:v>21803090</x:v>
      </x:c>
      <x:c r="O1688" s="72" t="n">
        <x:f aca="0">N1688/1000</x:f>
        <x:v>21803.09</x:v>
      </x:c>
      <x:c r="P1688" s="73" t="n">
        <x:f aca="0">FCCL!E39</x:f>
        <x:v>21803.09</x:v>
      </x:c>
      <x:c r="Q1688" s="70" t="str">
        <x:f aca="0">IF(ABS(O1688-P1688)&lt;0.000001,"PASS","FAIL")</x:f>
        <x:v>PASS</x:v>
      </x:c>
      <x:c r="R1688" s="70" t="s">
        <x:v>28</x:v>
      </x:c>
      <x:c r="S1688" s="70"/>
    </x:row>
    <x:row r="1689" ht="15" hidden="0">
      <x:c r="A1689" s="70" t="s">
        <x:v>3090</x:v>
      </x:c>
      <x:c r="B1689" s="70" t="s">
        <x:v>46</x:v>
      </x:c>
      <x:c r="C1689" s="70" t="s">
        <x:v>75</x:v>
      </x:c>
      <x:c r="D1689" s="70" t="s">
        <x:v>332</x:v>
      </x:c>
      <x:c r="E1689" s="70" t="s">
        <x:v>1129</x:v>
      </x:c>
      <x:c r="F1689" s="70" t="s">
        <x:v>1766</x:v>
      </x:c>
      <x:c r="G1689" s="70" t="s">
        <x:v>2997</x:v>
      </x:c>
      <x:c r="H1689" s="70" t="s">
        <x:v>1211</x:v>
      </x:c>
      <x:c r="I1689" s="70" t="s">
        <x:v>1199</x:v>
      </x:c>
      <x:c r="J1689" s="70" t="n">
        <x:v>190</x:v>
      </x:c>
      <x:c r="K1689" s="70" t="s">
        <x:v>2130</x:v>
      </x:c>
      <x:c r="L1689" s="70" t="s">
        <x:v>1317</x:v>
      </x:c>
      <x:c r="M1689" s="70" t="s">
        <x:v>40</x:v>
      </x:c>
      <x:c r="N1689" s="71" t="n">
        <x:v>24528476</x:v>
      </x:c>
      <x:c r="O1689" s="72" t="n">
        <x:f aca="0">N1689/1000</x:f>
        <x:v>24528.476</x:v>
      </x:c>
      <x:c r="P1689" s="73" t="n">
        <x:f aca="0">FCCL!F39</x:f>
        <x:v>24528.476</x:v>
      </x:c>
      <x:c r="Q1689" s="70" t="str">
        <x:f aca="0">IF(ABS(O1689-P1689)&lt;0.000001,"PASS","FAIL")</x:f>
        <x:v>PASS</x:v>
      </x:c>
      <x:c r="R1689" s="70" t="s">
        <x:v>28</x:v>
      </x:c>
      <x:c r="S1689" s="70"/>
    </x:row>
    <x:row r="1690" ht="15" hidden="0">
      <x:c r="A1690" s="70" t="s">
        <x:v>3091</x:v>
      </x:c>
      <x:c r="B1690" s="70" t="s">
        <x:v>46</x:v>
      </x:c>
      <x:c r="C1690" s="70" t="s">
        <x:v>76</x:v>
      </x:c>
      <x:c r="D1690" s="70" t="s">
        <x:v>332</x:v>
      </x:c>
      <x:c r="E1690" s="70" t="s">
        <x:v>1129</x:v>
      </x:c>
      <x:c r="F1690" s="70" t="s">
        <x:v>1766</x:v>
      </x:c>
      <x:c r="G1690" s="70" t="s">
        <x:v>2999</x:v>
      </x:c>
      <x:c r="H1690" s="70" t="s">
        <x:v>1215</x:v>
      </x:c>
      <x:c r="I1690" s="70" t="s">
        <x:v>1199</x:v>
      </x:c>
      <x:c r="J1690" s="70" t="n">
        <x:v>244</x:v>
      </x:c>
      <x:c r="K1690" s="70" t="s">
        <x:v>1200</x:v>
      </x:c>
      <x:c r="L1690" s="70" t="s">
        <x:v>1664</x:v>
      </x:c>
      <x:c r="M1690" s="70" t="s">
        <x:v>40</x:v>
      </x:c>
      <x:c r="N1690" s="71" t="n">
        <x:v>24528476</x:v>
      </x:c>
      <x:c r="O1690" s="72" t="n">
        <x:f aca="0">N1690/1000</x:f>
        <x:v>24528.476</x:v>
      </x:c>
      <x:c r="P1690" s="73" t="n">
        <x:f aca="0">FCCL!G39</x:f>
        <x:v>24528.476</x:v>
      </x:c>
      <x:c r="Q1690" s="70" t="str">
        <x:f aca="0">IF(ABS(O1690-P1690)&lt;0.000001,"PASS","FAIL")</x:f>
        <x:v>PASS</x:v>
      </x:c>
      <x:c r="R1690" s="70" t="s">
        <x:v>28</x:v>
      </x:c>
      <x:c r="S1690" s="70"/>
    </x:row>
    <x:row r="1691" ht="15" hidden="0">
      <x:c r="A1691" s="70" t="s">
        <x:v>3092</x:v>
      </x:c>
      <x:c r="B1691" s="70" t="s">
        <x:v>46</x:v>
      </x:c>
      <x:c r="C1691" s="70" t="s">
        <x:v>77</x:v>
      </x:c>
      <x:c r="D1691" s="70" t="s">
        <x:v>332</x:v>
      </x:c>
      <x:c r="E1691" s="70" t="s">
        <x:v>1129</x:v>
      </x:c>
      <x:c r="F1691" s="70" t="s">
        <x:v>1766</x:v>
      </x:c>
      <x:c r="G1691" s="70" t="s">
        <x:v>2999</x:v>
      </x:c>
      <x:c r="H1691" s="70" t="s">
        <x:v>1215</x:v>
      </x:c>
      <x:c r="I1691" s="70" t="s">
        <x:v>1218</x:v>
      </x:c>
      <x:c r="J1691" s="70" t="n">
        <x:v>244</x:v>
      </x:c>
      <x:c r="K1691" s="70" t="s">
        <x:v>1200</x:v>
      </x:c>
      <x:c r="L1691" s="70" t="s">
        <x:v>1664</x:v>
      </x:c>
      <x:c r="M1691" s="70" t="s">
        <x:v>40</x:v>
      </x:c>
      <x:c r="N1691" s="71" t="n">
        <x:v>24528476</x:v>
      </x:c>
      <x:c r="O1691" s="72" t="n">
        <x:f aca="0">N1691/1000</x:f>
        <x:v>24528.476</x:v>
      </x:c>
      <x:c r="P1691" s="73" t="n">
        <x:f aca="0">FCCL!H39</x:f>
        <x:v>24528.476</x:v>
      </x:c>
      <x:c r="Q1691" s="70" t="str">
        <x:f aca="0">IF(ABS(O1691-P1691)&lt;0.000001,"PASS","FAIL")</x:f>
        <x:v>PASS</x:v>
      </x:c>
      <x:c r="R1691" s="70" t="s">
        <x:v>28</x:v>
      </x:c>
      <x:c r="S1691" s="70"/>
    </x:row>
    <x:row r="1692" ht="15" hidden="0">
      <x:c r="A1692" s="70" t="s">
        <x:v>3093</x:v>
      </x:c>
      <x:c r="B1692" s="70" t="s">
        <x:v>46</x:v>
      </x:c>
      <x:c r="C1692" s="70" t="s">
        <x:v>1076</x:v>
      </x:c>
      <x:c r="D1692" s="70" t="s">
        <x:v>334</x:v>
      </x:c>
      <x:c r="E1692" s="70" t="s">
        <x:v>1129</x:v>
      </x:c>
      <x:c r="F1692" s="70" t="s">
        <x:v>3094</x:v>
      </x:c>
      <x:c r="G1692" s="70" t="s">
        <x:v>2990</x:v>
      </x:c>
      <x:c r="H1692" s="70" t="s">
        <x:v>1198</x:v>
      </x:c>
      <x:c r="I1692" s="70" t="s">
        <x:v>1199</x:v>
      </x:c>
      <x:c r="J1692" s="70" t="n">
        <x:v>164</x:v>
      </x:c>
      <x:c r="K1692" s="70" t="s">
        <x:v>2979</x:v>
      </x:c>
      <x:c r="L1692" s="70"/>
      <x:c r="M1692" s="70" t="s">
        <x:v>40</x:v>
      </x:c>
      <x:c r="N1692" s="71" t="n">
        <x:v>6006170</x:v>
      </x:c>
      <x:c r="O1692" s="72" t="n">
        <x:f aca="0">N1692/1000</x:f>
        <x:v>6006.17</x:v>
      </x:c>
      <x:c r="P1692" s="73" t="n">
        <x:f aca="0">FCCL!C40</x:f>
        <x:v>6006.17</x:v>
      </x:c>
      <x:c r="Q1692" s="70" t="str">
        <x:f aca="0">IF(ABS(O1692-P1692)&lt;0.000001,"PASS","FAIL")</x:f>
        <x:v>PASS</x:v>
      </x:c>
      <x:c r="R1692" s="70" t="s">
        <x:v>28</x:v>
      </x:c>
      <x:c r="S1692" s="70"/>
    </x:row>
    <x:row r="1693" ht="15" hidden="0">
      <x:c r="A1693" s="70" t="s">
        <x:v>3095</x:v>
      </x:c>
      <x:c r="B1693" s="70" t="s">
        <x:v>46</x:v>
      </x:c>
      <x:c r="C1693" s="70" t="s">
        <x:v>73</x:v>
      </x:c>
      <x:c r="D1693" s="70" t="s">
        <x:v>334</x:v>
      </x:c>
      <x:c r="E1693" s="70" t="s">
        <x:v>1129</x:v>
      </x:c>
      <x:c r="F1693" s="70" t="s">
        <x:v>3096</x:v>
      </x:c>
      <x:c r="G1693" s="70" t="s">
        <x:v>2992</x:v>
      </x:c>
      <x:c r="H1693" s="70" t="s">
        <x:v>1204</x:v>
      </x:c>
      <x:c r="I1693" s="70" t="s">
        <x:v>1199</x:v>
      </x:c>
      <x:c r="J1693" s="70" t="n">
        <x:v>186</x:v>
      </x:c>
      <x:c r="K1693" s="70" t="s">
        <x:v>2126</x:v>
      </x:c>
      <x:c r="L1693" s="70" t="s">
        <x:v>1664</x:v>
      </x:c>
      <x:c r="M1693" s="70" t="s">
        <x:v>40</x:v>
      </x:c>
      <x:c r="N1693" s="71" t="n">
        <x:v>9477521</x:v>
      </x:c>
      <x:c r="O1693" s="72" t="n">
        <x:f aca="0">N1693/1000</x:f>
        <x:v>9477.521</x:v>
      </x:c>
      <x:c r="P1693" s="73" t="n">
        <x:f aca="0">FCCL!D40</x:f>
        <x:v>9477.521</x:v>
      </x:c>
      <x:c r="Q1693" s="70" t="str">
        <x:f aca="0">IF(ABS(O1693-P1693)&lt;0.000001,"PASS","FAIL")</x:f>
        <x:v>PASS</x:v>
      </x:c>
      <x:c r="R1693" s="70" t="s">
        <x:v>28</x:v>
      </x:c>
      <x:c r="S1693" s="70"/>
    </x:row>
    <x:row r="1694" ht="15" hidden="0">
      <x:c r="A1694" s="70" t="s">
        <x:v>3097</x:v>
      </x:c>
      <x:c r="B1694" s="70" t="s">
        <x:v>46</x:v>
      </x:c>
      <x:c r="C1694" s="70" t="s">
        <x:v>74</x:v>
      </x:c>
      <x:c r="D1694" s="70" t="s">
        <x:v>334</x:v>
      </x:c>
      <x:c r="E1694" s="70" t="s">
        <x:v>1129</x:v>
      </x:c>
      <x:c r="F1694" s="70" t="s">
        <x:v>3098</x:v>
      </x:c>
      <x:c r="G1694" s="70" t="s">
        <x:v>2994</x:v>
      </x:c>
      <x:c r="H1694" s="70" t="s">
        <x:v>1208</x:v>
      </x:c>
      <x:c r="I1694" s="70" t="s">
        <x:v>1199</x:v>
      </x:c>
      <x:c r="J1694" s="70" t="n">
        <x:v>208</x:v>
      </x:c>
      <x:c r="K1694" s="70" t="s">
        <x:v>2467</x:v>
      </x:c>
      <x:c r="L1694" s="70"/>
      <x:c r="M1694" s="70" t="s">
        <x:v>40</x:v>
      </x:c>
      <x:c r="N1694" s="71" t="n">
        <x:v>35932966</x:v>
      </x:c>
      <x:c r="O1694" s="72" t="n">
        <x:f aca="0">N1694/1000</x:f>
        <x:v>35932.966</x:v>
      </x:c>
      <x:c r="P1694" s="73" t="n">
        <x:f aca="0">FCCL!E40</x:f>
        <x:v>35932.966</x:v>
      </x:c>
      <x:c r="Q1694" s="70" t="str">
        <x:f aca="0">IF(ABS(O1694-P1694)&lt;0.000001,"PASS","FAIL")</x:f>
        <x:v>PASS</x:v>
      </x:c>
      <x:c r="R1694" s="70" t="s">
        <x:v>28</x:v>
      </x:c>
      <x:c r="S1694" s="70"/>
    </x:row>
    <x:row r="1695" ht="15" hidden="0">
      <x:c r="A1695" s="70" t="s">
        <x:v>3099</x:v>
      </x:c>
      <x:c r="B1695" s="70" t="s">
        <x:v>46</x:v>
      </x:c>
      <x:c r="C1695" s="70" t="s">
        <x:v>75</x:v>
      </x:c>
      <x:c r="D1695" s="70" t="s">
        <x:v>334</x:v>
      </x:c>
      <x:c r="E1695" s="70" t="s">
        <x:v>1129</x:v>
      </x:c>
      <x:c r="F1695" s="70" t="s">
        <x:v>3100</x:v>
      </x:c>
      <x:c r="G1695" s="70" t="s">
        <x:v>2997</x:v>
      </x:c>
      <x:c r="H1695" s="70" t="s">
        <x:v>1211</x:v>
      </x:c>
      <x:c r="I1695" s="70" t="s">
        <x:v>1199</x:v>
      </x:c>
      <x:c r="J1695" s="70" t="n">
        <x:v>190</x:v>
      </x:c>
      <x:c r="K1695" s="70" t="s">
        <x:v>2130</x:v>
      </x:c>
      <x:c r="L1695" s="70"/>
      <x:c r="M1695" s="70" t="s">
        <x:v>40</x:v>
      </x:c>
      <x:c r="N1695" s="71" t="n">
        <x:v>40647261</x:v>
      </x:c>
      <x:c r="O1695" s="72" t="n">
        <x:f aca="0">N1695/1000</x:f>
        <x:v>40647.261</x:v>
      </x:c>
      <x:c r="P1695" s="73" t="n">
        <x:f aca="0">FCCL!F40</x:f>
        <x:v>40647.261</x:v>
      </x:c>
      <x:c r="Q1695" s="70" t="str">
        <x:f aca="0">IF(ABS(O1695-P1695)&lt;0.000001,"PASS","FAIL")</x:f>
        <x:v>PASS</x:v>
      </x:c>
      <x:c r="R1695" s="70" t="s">
        <x:v>28</x:v>
      </x:c>
      <x:c r="S1695" s="70"/>
    </x:row>
    <x:row r="1696" ht="15" hidden="0">
      <x:c r="A1696" s="70" t="s">
        <x:v>3101</x:v>
      </x:c>
      <x:c r="B1696" s="70" t="s">
        <x:v>46</x:v>
      </x:c>
      <x:c r="C1696" s="70" t="s">
        <x:v>76</x:v>
      </x:c>
      <x:c r="D1696" s="70" t="s">
        <x:v>334</x:v>
      </x:c>
      <x:c r="E1696" s="70" t="s">
        <x:v>1129</x:v>
      </x:c>
      <x:c r="F1696" s="70" t="s">
        <x:v>3100</x:v>
      </x:c>
      <x:c r="G1696" s="70" t="s">
        <x:v>2999</x:v>
      </x:c>
      <x:c r="H1696" s="70" t="s">
        <x:v>1215</x:v>
      </x:c>
      <x:c r="I1696" s="70" t="s">
        <x:v>1199</x:v>
      </x:c>
      <x:c r="J1696" s="70" t="n">
        <x:v>244</x:v>
      </x:c>
      <x:c r="K1696" s="70" t="s">
        <x:v>1200</x:v>
      </x:c>
      <x:c r="L1696" s="70"/>
      <x:c r="M1696" s="70" t="s">
        <x:v>40</x:v>
      </x:c>
      <x:c r="N1696" s="71" t="n">
        <x:v>48870377</x:v>
      </x:c>
      <x:c r="O1696" s="72" t="n">
        <x:f aca="0">N1696/1000</x:f>
        <x:v>48870.377</x:v>
      </x:c>
      <x:c r="P1696" s="73" t="n">
        <x:f aca="0">FCCL!G40</x:f>
        <x:v>48870.377</x:v>
      </x:c>
      <x:c r="Q1696" s="70" t="str">
        <x:f aca="0">IF(ABS(O1696-P1696)&lt;0.000001,"PASS","FAIL")</x:f>
        <x:v>PASS</x:v>
      </x:c>
      <x:c r="R1696" s="70" t="s">
        <x:v>28</x:v>
      </x:c>
      <x:c r="S1696" s="70"/>
    </x:row>
    <x:row r="1697" ht="15" hidden="0">
      <x:c r="A1697" s="70" t="s">
        <x:v>3102</x:v>
      </x:c>
      <x:c r="B1697" s="70" t="s">
        <x:v>46</x:v>
      </x:c>
      <x:c r="C1697" s="70" t="s">
        <x:v>77</x:v>
      </x:c>
      <x:c r="D1697" s="70" t="s">
        <x:v>334</x:v>
      </x:c>
      <x:c r="E1697" s="70" t="s">
        <x:v>1129</x:v>
      </x:c>
      <x:c r="F1697" s="70" t="s">
        <x:v>3100</x:v>
      </x:c>
      <x:c r="G1697" s="70" t="s">
        <x:v>2999</x:v>
      </x:c>
      <x:c r="H1697" s="70" t="s">
        <x:v>1215</x:v>
      </x:c>
      <x:c r="I1697" s="70" t="s">
        <x:v>1218</x:v>
      </x:c>
      <x:c r="J1697" s="70" t="n">
        <x:v>244</x:v>
      </x:c>
      <x:c r="K1697" s="70" t="s">
        <x:v>1200</x:v>
      </x:c>
      <x:c r="L1697" s="70"/>
      <x:c r="M1697" s="70" t="s">
        <x:v>40</x:v>
      </x:c>
      <x:c r="N1697" s="71" t="n">
        <x:v>59743732</x:v>
      </x:c>
      <x:c r="O1697" s="72" t="n">
        <x:f aca="0">N1697/1000</x:f>
        <x:v>59743.732</x:v>
      </x:c>
      <x:c r="P1697" s="73" t="n">
        <x:f aca="0">FCCL!H40</x:f>
        <x:v>59743.732</x:v>
      </x:c>
      <x:c r="Q1697" s="70" t="str">
        <x:f aca="0">IF(ABS(O1697-P1697)&lt;0.000001,"PASS","FAIL")</x:f>
        <x:v>PASS</x:v>
      </x:c>
      <x:c r="R1697" s="70" t="s">
        <x:v>28</x:v>
      </x:c>
      <x:c r="S1697" s="70"/>
    </x:row>
    <x:row r="1698" ht="15" hidden="0">
      <x:c r="A1698" s="70" t="s">
        <x:v>3103</x:v>
      </x:c>
      <x:c r="B1698" s="70" t="s">
        <x:v>46</x:v>
      </x:c>
      <x:c r="C1698" s="70" t="s">
        <x:v>1076</x:v>
      </x:c>
      <x:c r="D1698" s="70" t="s">
        <x:v>339</x:v>
      </x:c>
      <x:c r="E1698" s="70" t="s">
        <x:v>1129</x:v>
      </x:c>
      <x:c r="F1698" s="70" t="s">
        <x:v>3104</x:v>
      </x:c>
      <x:c r="G1698" s="70" t="s">
        <x:v>2990</x:v>
      </x:c>
      <x:c r="H1698" s="70" t="s">
        <x:v>1198</x:v>
      </x:c>
      <x:c r="I1698" s="70" t="s">
        <x:v>1199</x:v>
      </x:c>
      <x:c r="J1698" s="70" t="n">
        <x:v>164</x:v>
      </x:c>
      <x:c r="K1698" s="70" t="s">
        <x:v>2979</x:v>
      </x:c>
      <x:c r="L1698" s="70" t="s">
        <x:v>1664</x:v>
      </x:c>
      <x:c r="M1698" s="70" t="s">
        <x:v>40</x:v>
      </x:c>
      <x:c r="N1698" s="71" t="n">
        <x:v>447327</x:v>
      </x:c>
      <x:c r="O1698" s="72" t="n">
        <x:f aca="0">N1698/1000</x:f>
        <x:v>447.327</x:v>
      </x:c>
      <x:c r="P1698" s="73" t="n">
        <x:f aca="0">FCCL!C43</x:f>
        <x:v>447.327</x:v>
      </x:c>
      <x:c r="Q1698" s="70" t="str">
        <x:f aca="0">IF(ABS(O1698-P1698)&lt;0.000001,"PASS","FAIL")</x:f>
        <x:v>PASS</x:v>
      </x:c>
      <x:c r="R1698" s="70" t="s">
        <x:v>28</x:v>
      </x:c>
      <x:c r="S1698" s="70"/>
    </x:row>
    <x:row r="1699" ht="15" hidden="0">
      <x:c r="A1699" s="70" t="s">
        <x:v>3105</x:v>
      </x:c>
      <x:c r="B1699" s="70" t="s">
        <x:v>46</x:v>
      </x:c>
      <x:c r="C1699" s="70" t="s">
        <x:v>73</x:v>
      </x:c>
      <x:c r="D1699" s="70" t="s">
        <x:v>339</x:v>
      </x:c>
      <x:c r="E1699" s="70" t="s">
        <x:v>1129</x:v>
      </x:c>
      <x:c r="F1699" s="70" t="s">
        <x:v>3104</x:v>
      </x:c>
      <x:c r="G1699" s="70" t="s">
        <x:v>2992</x:v>
      </x:c>
      <x:c r="H1699" s="70" t="s">
        <x:v>1204</x:v>
      </x:c>
      <x:c r="I1699" s="70" t="s">
        <x:v>1199</x:v>
      </x:c>
      <x:c r="J1699" s="70" t="n">
        <x:v>186</x:v>
      </x:c>
      <x:c r="K1699" s="70" t="s">
        <x:v>2126</x:v>
      </x:c>
      <x:c r="L1699" s="70" t="s">
        <x:v>1332</x:v>
      </x:c>
      <x:c r="M1699" s="70" t="s">
        <x:v>40</x:v>
      </x:c>
      <x:c r="N1699" s="71" t="n">
        <x:v>491502</x:v>
      </x:c>
      <x:c r="O1699" s="72" t="n">
        <x:f aca="0">N1699/1000</x:f>
        <x:v>491.502</x:v>
      </x:c>
      <x:c r="P1699" s="73" t="n">
        <x:f aca="0">FCCL!D43</x:f>
        <x:v>491.502</x:v>
      </x:c>
      <x:c r="Q1699" s="70" t="str">
        <x:f aca="0">IF(ABS(O1699-P1699)&lt;0.000001,"PASS","FAIL")</x:f>
        <x:v>PASS</x:v>
      </x:c>
      <x:c r="R1699" s="70" t="s">
        <x:v>28</x:v>
      </x:c>
      <x:c r="S1699" s="70"/>
    </x:row>
    <x:row r="1700" ht="15" hidden="0">
      <x:c r="A1700" s="70" t="s">
        <x:v>3106</x:v>
      </x:c>
      <x:c r="B1700" s="70" t="s">
        <x:v>46</x:v>
      </x:c>
      <x:c r="C1700" s="70" t="s">
        <x:v>74</x:v>
      </x:c>
      <x:c r="D1700" s="70" t="s">
        <x:v>339</x:v>
      </x:c>
      <x:c r="E1700" s="70" t="s">
        <x:v>1129</x:v>
      </x:c>
      <x:c r="F1700" s="70" t="s">
        <x:v>3104</x:v>
      </x:c>
      <x:c r="G1700" s="70" t="s">
        <x:v>2994</x:v>
      </x:c>
      <x:c r="H1700" s="70" t="s">
        <x:v>1208</x:v>
      </x:c>
      <x:c r="I1700" s="70" t="s">
        <x:v>1199</x:v>
      </x:c>
      <x:c r="J1700" s="70" t="n">
        <x:v>208</x:v>
      </x:c>
      <x:c r="K1700" s="70" t="s">
        <x:v>2467</x:v>
      </x:c>
      <x:c r="L1700" s="70" t="s">
        <x:v>1664</x:v>
      </x:c>
      <x:c r="M1700" s="70" t="s">
        <x:v>40</x:v>
      </x:c>
      <x:c r="N1700" s="71" t="n">
        <x:v>19555997</x:v>
      </x:c>
      <x:c r="O1700" s="72" t="n">
        <x:f aca="0">N1700/1000</x:f>
        <x:v>19555.997</x:v>
      </x:c>
      <x:c r="P1700" s="73" t="n">
        <x:f aca="0">FCCL!E43</x:f>
        <x:v>19555.997</x:v>
      </x:c>
      <x:c r="Q1700" s="70" t="str">
        <x:f aca="0">IF(ABS(O1700-P1700)&lt;0.000001,"PASS","FAIL")</x:f>
        <x:v>PASS</x:v>
      </x:c>
      <x:c r="R1700" s="70" t="s">
        <x:v>28</x:v>
      </x:c>
      <x:c r="S1700" s="70"/>
    </x:row>
    <x:row r="1701" ht="15" hidden="0">
      <x:c r="A1701" s="70" t="s">
        <x:v>3107</x:v>
      </x:c>
      <x:c r="B1701" s="70" t="s">
        <x:v>46</x:v>
      </x:c>
      <x:c r="C1701" s="70" t="s">
        <x:v>75</x:v>
      </x:c>
      <x:c r="D1701" s="70" t="s">
        <x:v>339</x:v>
      </x:c>
      <x:c r="E1701" s="70" t="s">
        <x:v>1129</x:v>
      </x:c>
      <x:c r="F1701" s="70" t="s">
        <x:v>3104</x:v>
      </x:c>
      <x:c r="G1701" s="70" t="s">
        <x:v>2997</x:v>
      </x:c>
      <x:c r="H1701" s="70" t="s">
        <x:v>1211</x:v>
      </x:c>
      <x:c r="I1701" s="70" t="s">
        <x:v>1199</x:v>
      </x:c>
      <x:c r="J1701" s="70" t="n">
        <x:v>190</x:v>
      </x:c>
      <x:c r="K1701" s="70" t="s">
        <x:v>2130</x:v>
      </x:c>
      <x:c r="L1701" s="70" t="s">
        <x:v>1664</x:v>
      </x:c>
      <x:c r="M1701" s="70" t="s">
        <x:v>40</x:v>
      </x:c>
      <x:c r="N1701" s="71" t="n">
        <x:v>31777087</x:v>
      </x:c>
      <x:c r="O1701" s="72" t="n">
        <x:f aca="0">N1701/1000</x:f>
        <x:v>31777.087</x:v>
      </x:c>
      <x:c r="P1701" s="73" t="n">
        <x:f aca="0">FCCL!F43</x:f>
        <x:v>31777.087</x:v>
      </x:c>
      <x:c r="Q1701" s="70" t="str">
        <x:f aca="0">IF(ABS(O1701-P1701)&lt;0.000001,"PASS","FAIL")</x:f>
        <x:v>PASS</x:v>
      </x:c>
      <x:c r="R1701" s="70" t="s">
        <x:v>28</x:v>
      </x:c>
      <x:c r="S1701" s="70"/>
    </x:row>
    <x:row r="1702" ht="15" hidden="0">
      <x:c r="A1702" s="70" t="s">
        <x:v>3108</x:v>
      </x:c>
      <x:c r="B1702" s="70" t="s">
        <x:v>46</x:v>
      </x:c>
      <x:c r="C1702" s="70" t="s">
        <x:v>76</x:v>
      </x:c>
      <x:c r="D1702" s="70" t="s">
        <x:v>339</x:v>
      </x:c>
      <x:c r="E1702" s="70" t="s">
        <x:v>1129</x:v>
      </x:c>
      <x:c r="F1702" s="70" t="s">
        <x:v>3104</x:v>
      </x:c>
      <x:c r="G1702" s="70" t="s">
        <x:v>2999</x:v>
      </x:c>
      <x:c r="H1702" s="70" t="s">
        <x:v>1215</x:v>
      </x:c>
      <x:c r="I1702" s="70" t="s">
        <x:v>1199</x:v>
      </x:c>
      <x:c r="J1702" s="70" t="n">
        <x:v>244</x:v>
      </x:c>
      <x:c r="K1702" s="70" t="s">
        <x:v>1200</x:v>
      </x:c>
      <x:c r="L1702" s="70" t="s">
        <x:v>1332</x:v>
      </x:c>
      <x:c r="M1702" s="70" t="s">
        <x:v>40</x:v>
      </x:c>
      <x:c r="N1702" s="71" t="n">
        <x:v>29908287</x:v>
      </x:c>
      <x:c r="O1702" s="72" t="n">
        <x:f aca="0">N1702/1000</x:f>
        <x:v>29908.287</x:v>
      </x:c>
      <x:c r="P1702" s="73" t="n">
        <x:f aca="0">FCCL!G43</x:f>
        <x:v>29908.287</x:v>
      </x:c>
      <x:c r="Q1702" s="70" t="str">
        <x:f aca="0">IF(ABS(O1702-P1702)&lt;0.000001,"PASS","FAIL")</x:f>
        <x:v>PASS</x:v>
      </x:c>
      <x:c r="R1702" s="70" t="s">
        <x:v>28</x:v>
      </x:c>
      <x:c r="S1702" s="70"/>
    </x:row>
    <x:row r="1703" ht="15" hidden="0">
      <x:c r="A1703" s="70" t="s">
        <x:v>3109</x:v>
      </x:c>
      <x:c r="B1703" s="70" t="s">
        <x:v>46</x:v>
      </x:c>
      <x:c r="C1703" s="70" t="s">
        <x:v>77</x:v>
      </x:c>
      <x:c r="D1703" s="70" t="s">
        <x:v>339</x:v>
      </x:c>
      <x:c r="E1703" s="70" t="s">
        <x:v>1129</x:v>
      </x:c>
      <x:c r="F1703" s="70" t="s">
        <x:v>3104</x:v>
      </x:c>
      <x:c r="G1703" s="70" t="s">
        <x:v>2999</x:v>
      </x:c>
      <x:c r="H1703" s="70" t="s">
        <x:v>1215</x:v>
      </x:c>
      <x:c r="I1703" s="70" t="s">
        <x:v>1218</x:v>
      </x:c>
      <x:c r="J1703" s="70" t="n">
        <x:v>244</x:v>
      </x:c>
      <x:c r="K1703" s="70" t="s">
        <x:v>1200</x:v>
      </x:c>
      <x:c r="L1703" s="70" t="s">
        <x:v>1332</x:v>
      </x:c>
      <x:c r="M1703" s="70" t="s">
        <x:v>40</x:v>
      </x:c>
      <x:c r="N1703" s="71" t="n">
        <x:v>24208633</x:v>
      </x:c>
      <x:c r="O1703" s="72" t="n">
        <x:f aca="0">N1703/1000</x:f>
        <x:v>24208.633</x:v>
      </x:c>
      <x:c r="P1703" s="73" t="n">
        <x:f aca="0">FCCL!H43</x:f>
        <x:v>24208.633</x:v>
      </x:c>
      <x:c r="Q1703" s="70" t="str">
        <x:f aca="0">IF(ABS(O1703-P1703)&lt;0.000001,"PASS","FAIL")</x:f>
        <x:v>PASS</x:v>
      </x:c>
      <x:c r="R1703" s="70" t="s">
        <x:v>28</x:v>
      </x:c>
      <x:c r="S1703" s="70"/>
    </x:row>
    <x:row r="1704" ht="15" hidden="0">
      <x:c r="A1704" s="70" t="s">
        <x:v>3110</x:v>
      </x:c>
      <x:c r="B1704" s="70" t="s">
        <x:v>46</x:v>
      </x:c>
      <x:c r="C1704" s="70" t="s">
        <x:v>1076</x:v>
      </x:c>
      <x:c r="D1704" s="70" t="s">
        <x:v>341</x:v>
      </x:c>
      <x:c r="E1704" s="70" t="s">
        <x:v>1129</x:v>
      </x:c>
      <x:c r="F1704" s="70" t="s">
        <x:v>3111</x:v>
      </x:c>
      <x:c r="G1704" s="70" t="s">
        <x:v>2990</x:v>
      </x:c>
      <x:c r="H1704" s="70" t="s">
        <x:v>1198</x:v>
      </x:c>
      <x:c r="I1704" s="70" t="s">
        <x:v>1199</x:v>
      </x:c>
      <x:c r="J1704" s="70" t="n">
        <x:v>164</x:v>
      </x:c>
      <x:c r="K1704" s="70" t="s">
        <x:v>2979</x:v>
      </x:c>
      <x:c r="L1704" s="70" t="s">
        <x:v>1707</x:v>
      </x:c>
      <x:c r="M1704" s="70" t="s">
        <x:v>40</x:v>
      </x:c>
      <x:c r="N1704" s="71" t="n">
        <x:v>57656</x:v>
      </x:c>
      <x:c r="O1704" s="72" t="n">
        <x:f aca="0">N1704/1000</x:f>
        <x:v>57.656</x:v>
      </x:c>
      <x:c r="P1704" s="73" t="n">
        <x:f aca="0">FCCL!C44</x:f>
        <x:v>57.656</x:v>
      </x:c>
      <x:c r="Q1704" s="70" t="str">
        <x:f aca="0">IF(ABS(O1704-P1704)&lt;0.000001,"PASS","FAIL")</x:f>
        <x:v>PASS</x:v>
      </x:c>
      <x:c r="R1704" s="70" t="s">
        <x:v>28</x:v>
      </x:c>
      <x:c r="S1704" s="70"/>
    </x:row>
    <x:row r="1705" ht="15" hidden="0">
      <x:c r="A1705" s="70" t="s">
        <x:v>3112</x:v>
      </x:c>
      <x:c r="B1705" s="70" t="s">
        <x:v>46</x:v>
      </x:c>
      <x:c r="C1705" s="70" t="s">
        <x:v>73</x:v>
      </x:c>
      <x:c r="D1705" s="70" t="s">
        <x:v>341</x:v>
      </x:c>
      <x:c r="E1705" s="70" t="s">
        <x:v>1129</x:v>
      </x:c>
      <x:c r="F1705" s="70" t="s">
        <x:v>2683</x:v>
      </x:c>
      <x:c r="G1705" s="70" t="s">
        <x:v>2992</x:v>
      </x:c>
      <x:c r="H1705" s="70" t="s">
        <x:v>1204</x:v>
      </x:c>
      <x:c r="I1705" s="70" t="s">
        <x:v>1199</x:v>
      </x:c>
      <x:c r="J1705" s="70" t="n">
        <x:v>186</x:v>
      </x:c>
      <x:c r="K1705" s="70" t="s">
        <x:v>2126</x:v>
      </x:c>
      <x:c r="L1705" s="70" t="s">
        <x:v>1720</x:v>
      </x:c>
      <x:c r="M1705" s="70" t="s">
        <x:v>40</x:v>
      </x:c>
      <x:c r="N1705" s="71" t="n">
        <x:v>73593</x:v>
      </x:c>
      <x:c r="O1705" s="72" t="n">
        <x:f aca="0">N1705/1000</x:f>
        <x:v>73.593</x:v>
      </x:c>
      <x:c r="P1705" s="73" t="n">
        <x:f aca="0">FCCL!D44</x:f>
        <x:v>73.593</x:v>
      </x:c>
      <x:c r="Q1705" s="70" t="str">
        <x:f aca="0">IF(ABS(O1705-P1705)&lt;0.000001,"PASS","FAIL")</x:f>
        <x:v>PASS</x:v>
      </x:c>
      <x:c r="R1705" s="70" t="s">
        <x:v>28</x:v>
      </x:c>
      <x:c r="S1705" s="70"/>
    </x:row>
    <x:row r="1706" ht="15" hidden="0">
      <x:c r="A1706" s="70" t="s">
        <x:v>3113</x:v>
      </x:c>
      <x:c r="B1706" s="70" t="s">
        <x:v>46</x:v>
      </x:c>
      <x:c r="C1706" s="70" t="s">
        <x:v>74</x:v>
      </x:c>
      <x:c r="D1706" s="70" t="s">
        <x:v>341</x:v>
      </x:c>
      <x:c r="E1706" s="70" t="s">
        <x:v>1129</x:v>
      </x:c>
      <x:c r="F1706" s="70" t="s">
        <x:v>2683</x:v>
      </x:c>
      <x:c r="G1706" s="70" t="s">
        <x:v>2994</x:v>
      </x:c>
      <x:c r="H1706" s="70" t="s">
        <x:v>1208</x:v>
      </x:c>
      <x:c r="I1706" s="70" t="s">
        <x:v>1199</x:v>
      </x:c>
      <x:c r="J1706" s="70" t="n">
        <x:v>208</x:v>
      </x:c>
      <x:c r="K1706" s="70" t="s">
        <x:v>2467</x:v>
      </x:c>
      <x:c r="L1706" s="70" t="s">
        <x:v>1707</x:v>
      </x:c>
      <x:c r="M1706" s="70" t="s">
        <x:v>40</x:v>
      </x:c>
      <x:c r="N1706" s="71" t="n">
        <x:v>89965</x:v>
      </x:c>
      <x:c r="O1706" s="72" t="n">
        <x:f aca="0">N1706/1000</x:f>
        <x:v>89.965</x:v>
      </x:c>
      <x:c r="P1706" s="73" t="n">
        <x:f aca="0">FCCL!E44</x:f>
        <x:v>89.965</x:v>
      </x:c>
      <x:c r="Q1706" s="70" t="str">
        <x:f aca="0">IF(ABS(O1706-P1706)&lt;0.000001,"PASS","FAIL")</x:f>
        <x:v>PASS</x:v>
      </x:c>
      <x:c r="R1706" s="70" t="s">
        <x:v>28</x:v>
      </x:c>
      <x:c r="S1706" s="70"/>
    </x:row>
    <x:row r="1707" ht="15" hidden="0">
      <x:c r="A1707" s="70" t="s">
        <x:v>3114</x:v>
      </x:c>
      <x:c r="B1707" s="70" t="s">
        <x:v>46</x:v>
      </x:c>
      <x:c r="C1707" s="70" t="s">
        <x:v>75</x:v>
      </x:c>
      <x:c r="D1707" s="70" t="s">
        <x:v>341</x:v>
      </x:c>
      <x:c r="E1707" s="70" t="s">
        <x:v>1129</x:v>
      </x:c>
      <x:c r="F1707" s="70" t="s">
        <x:v>2683</x:v>
      </x:c>
      <x:c r="G1707" s="70" t="s">
        <x:v>2997</x:v>
      </x:c>
      <x:c r="H1707" s="70" t="s">
        <x:v>1211</x:v>
      </x:c>
      <x:c r="I1707" s="70" t="s">
        <x:v>1199</x:v>
      </x:c>
      <x:c r="J1707" s="70" t="n">
        <x:v>190</x:v>
      </x:c>
      <x:c r="K1707" s="70" t="s">
        <x:v>2130</x:v>
      </x:c>
      <x:c r="L1707" s="70" t="s">
        <x:v>1707</x:v>
      </x:c>
      <x:c r="M1707" s="70" t="s">
        <x:v>40</x:v>
      </x:c>
      <x:c r="N1707" s="71" t="n">
        <x:v>118972</x:v>
      </x:c>
      <x:c r="O1707" s="72" t="n">
        <x:f aca="0">N1707/1000</x:f>
        <x:v>118.972</x:v>
      </x:c>
      <x:c r="P1707" s="73" t="n">
        <x:f aca="0">FCCL!F44</x:f>
        <x:v>118.972</x:v>
      </x:c>
      <x:c r="Q1707" s="70" t="str">
        <x:f aca="0">IF(ABS(O1707-P1707)&lt;0.000001,"PASS","FAIL")</x:f>
        <x:v>PASS</x:v>
      </x:c>
      <x:c r="R1707" s="70" t="s">
        <x:v>28</x:v>
      </x:c>
      <x:c r="S1707" s="70"/>
    </x:row>
    <x:row r="1708" ht="15" hidden="0">
      <x:c r="A1708" s="70" t="s">
        <x:v>3115</x:v>
      </x:c>
      <x:c r="B1708" s="70" t="s">
        <x:v>46</x:v>
      </x:c>
      <x:c r="C1708" s="70" t="s">
        <x:v>76</x:v>
      </x:c>
      <x:c r="D1708" s="70" t="s">
        <x:v>341</x:v>
      </x:c>
      <x:c r="E1708" s="70" t="s">
        <x:v>1129</x:v>
      </x:c>
      <x:c r="F1708" s="70" t="s">
        <x:v>2683</x:v>
      </x:c>
      <x:c r="G1708" s="70" t="s">
        <x:v>2999</x:v>
      </x:c>
      <x:c r="H1708" s="70" t="s">
        <x:v>1215</x:v>
      </x:c>
      <x:c r="I1708" s="70" t="s">
        <x:v>1199</x:v>
      </x:c>
      <x:c r="J1708" s="70" t="n">
        <x:v>244</x:v>
      </x:c>
      <x:c r="K1708" s="70" t="s">
        <x:v>1200</x:v>
      </x:c>
      <x:c r="L1708" s="70" t="s">
        <x:v>1720</x:v>
      </x:c>
      <x:c r="M1708" s="70" t="s">
        <x:v>40</x:v>
      </x:c>
      <x:c r="N1708" s="71" t="n">
        <x:v>117454</x:v>
      </x:c>
      <x:c r="O1708" s="72" t="n">
        <x:f aca="0">N1708/1000</x:f>
        <x:v>117.454</x:v>
      </x:c>
      <x:c r="P1708" s="73" t="n">
        <x:f aca="0">FCCL!G44</x:f>
        <x:v>117.454</x:v>
      </x:c>
      <x:c r="Q1708" s="70" t="str">
        <x:f aca="0">IF(ABS(O1708-P1708)&lt;0.000001,"PASS","FAIL")</x:f>
        <x:v>PASS</x:v>
      </x:c>
      <x:c r="R1708" s="70" t="s">
        <x:v>28</x:v>
      </x:c>
      <x:c r="S1708" s="70"/>
    </x:row>
    <x:row r="1709" ht="15" hidden="0">
      <x:c r="A1709" s="70" t="s">
        <x:v>3116</x:v>
      </x:c>
      <x:c r="B1709" s="70" t="s">
        <x:v>46</x:v>
      </x:c>
      <x:c r="C1709" s="70" t="s">
        <x:v>77</x:v>
      </x:c>
      <x:c r="D1709" s="70" t="s">
        <x:v>341</x:v>
      </x:c>
      <x:c r="E1709" s="70" t="s">
        <x:v>1129</x:v>
      </x:c>
      <x:c r="F1709" s="70" t="s">
        <x:v>2683</x:v>
      </x:c>
      <x:c r="G1709" s="70" t="s">
        <x:v>2999</x:v>
      </x:c>
      <x:c r="H1709" s="70" t="s">
        <x:v>1215</x:v>
      </x:c>
      <x:c r="I1709" s="70" t="s">
        <x:v>1218</x:v>
      </x:c>
      <x:c r="J1709" s="70" t="n">
        <x:v>244</x:v>
      </x:c>
      <x:c r="K1709" s="70" t="s">
        <x:v>1200</x:v>
      </x:c>
      <x:c r="L1709" s="70" t="s">
        <x:v>1720</x:v>
      </x:c>
      <x:c r="M1709" s="70" t="s">
        <x:v>40</x:v>
      </x:c>
      <x:c r="N1709" s="71" t="n">
        <x:v>101211</x:v>
      </x:c>
      <x:c r="O1709" s="72" t="n">
        <x:f aca="0">N1709/1000</x:f>
        <x:v>101.211</x:v>
      </x:c>
      <x:c r="P1709" s="73" t="n">
        <x:f aca="0">FCCL!H44</x:f>
        <x:v>101.211</x:v>
      </x:c>
      <x:c r="Q1709" s="70" t="str">
        <x:f aca="0">IF(ABS(O1709-P1709)&lt;0.000001,"PASS","FAIL")</x:f>
        <x:v>PASS</x:v>
      </x:c>
      <x:c r="R1709" s="70" t="s">
        <x:v>28</x:v>
      </x:c>
      <x:c r="S1709" s="70"/>
    </x:row>
    <x:row r="1710" ht="15" hidden="0">
      <x:c r="A1710" s="70" t="s">
        <x:v>3117</x:v>
      </x:c>
      <x:c r="B1710" s="70" t="s">
        <x:v>46</x:v>
      </x:c>
      <x:c r="C1710" s="70" t="s">
        <x:v>1076</x:v>
      </x:c>
      <x:c r="D1710" s="70" t="s">
        <x:v>343</x:v>
      </x:c>
      <x:c r="E1710" s="70" t="s">
        <x:v>1129</x:v>
      </x:c>
      <x:c r="F1710" s="70" t="s">
        <x:v>2239</x:v>
      </x:c>
      <x:c r="G1710" s="70" t="s">
        <x:v>2990</x:v>
      </x:c>
      <x:c r="H1710" s="70" t="s">
        <x:v>1198</x:v>
      </x:c>
      <x:c r="I1710" s="70" t="s">
        <x:v>1199</x:v>
      </x:c>
      <x:c r="J1710" s="70" t="n">
        <x:v>164</x:v>
      </x:c>
      <x:c r="K1710" s="70" t="s">
        <x:v>2979</x:v>
      </x:c>
      <x:c r="L1710" s="70"/>
      <x:c r="M1710" s="70" t="s">
        <x:v>40</x:v>
      </x:c>
      <x:c r="N1710" s="71" t="n">
        <x:v>0</x:v>
      </x:c>
      <x:c r="O1710" s="72" t="n">
        <x:f aca="0">N1710/1000</x:f>
        <x:v>0</x:v>
      </x:c>
      <x:c r="P1710" s="73" t="n">
        <x:f aca="0">FCCL!C45</x:f>
        <x:v>0</x:v>
      </x:c>
      <x:c r="Q1710" s="70" t="str">
        <x:f aca="0">IF(ABS(O1710-P1710)&lt;0.000001,"PASS","FAIL")</x:f>
        <x:v>PASS</x:v>
      </x:c>
      <x:c r="R1710" s="70" t="s">
        <x:v>28</x:v>
      </x:c>
      <x:c r="S1710" s="70"/>
    </x:row>
    <x:row r="1711" ht="15" hidden="0">
      <x:c r="A1711" s="70" t="s">
        <x:v>3118</x:v>
      </x:c>
      <x:c r="B1711" s="70" t="s">
        <x:v>46</x:v>
      </x:c>
      <x:c r="C1711" s="70" t="s">
        <x:v>73</x:v>
      </x:c>
      <x:c r="D1711" s="70" t="s">
        <x:v>343</x:v>
      </x:c>
      <x:c r="E1711" s="70" t="s">
        <x:v>1129</x:v>
      </x:c>
      <x:c r="F1711" s="70" t="s">
        <x:v>2239</x:v>
      </x:c>
      <x:c r="G1711" s="70" t="s">
        <x:v>2992</x:v>
      </x:c>
      <x:c r="H1711" s="70" t="s">
        <x:v>1204</x:v>
      </x:c>
      <x:c r="I1711" s="70" t="s">
        <x:v>1199</x:v>
      </x:c>
      <x:c r="J1711" s="70" t="n">
        <x:v>186</x:v>
      </x:c>
      <x:c r="K1711" s="70" t="s">
        <x:v>2126</x:v>
      </x:c>
      <x:c r="L1711" s="70" t="s">
        <x:v>1368</x:v>
      </x:c>
      <x:c r="M1711" s="70" t="s">
        <x:v>40</x:v>
      </x:c>
      <x:c r="N1711" s="71" t="n">
        <x:v>6607</x:v>
      </x:c>
      <x:c r="O1711" s="72" t="n">
        <x:f aca="0">N1711/1000</x:f>
        <x:v>6.607</x:v>
      </x:c>
      <x:c r="P1711" s="73" t="n">
        <x:f aca="0">FCCL!D45</x:f>
        <x:v>6.607</x:v>
      </x:c>
      <x:c r="Q1711" s="70" t="str">
        <x:f aca="0">IF(ABS(O1711-P1711)&lt;0.000001,"PASS","FAIL")</x:f>
        <x:v>PASS</x:v>
      </x:c>
      <x:c r="R1711" s="70" t="s">
        <x:v>28</x:v>
      </x:c>
      <x:c r="S1711" s="70" t="s">
        <x:v>1205</x:v>
      </x:c>
    </x:row>
    <x:row r="1712" ht="15" hidden="0">
      <x:c r="A1712" s="70" t="s">
        <x:v>3119</x:v>
      </x:c>
      <x:c r="B1712" s="70" t="s">
        <x:v>46</x:v>
      </x:c>
      <x:c r="C1712" s="70" t="s">
        <x:v>74</x:v>
      </x:c>
      <x:c r="D1712" s="70" t="s">
        <x:v>343</x:v>
      </x:c>
      <x:c r="E1712" s="70" t="s">
        <x:v>1129</x:v>
      </x:c>
      <x:c r="F1712" s="70" t="s">
        <x:v>2239</x:v>
      </x:c>
      <x:c r="G1712" s="70" t="s">
        <x:v>2994</x:v>
      </x:c>
      <x:c r="H1712" s="70" t="s">
        <x:v>1208</x:v>
      </x:c>
      <x:c r="I1712" s="70" t="s">
        <x:v>1199</x:v>
      </x:c>
      <x:c r="J1712" s="70" t="n">
        <x:v>208</x:v>
      </x:c>
      <x:c r="K1712" s="70" t="s">
        <x:v>2467</x:v>
      </x:c>
      <x:c r="L1712" s="70" t="s">
        <x:v>1720</x:v>
      </x:c>
      <x:c r="M1712" s="70" t="s">
        <x:v>40</x:v>
      </x:c>
      <x:c r="N1712" s="71" t="n">
        <x:v>1982301</x:v>
      </x:c>
      <x:c r="O1712" s="72" t="n">
        <x:f aca="0">N1712/1000</x:f>
        <x:v>1982.301</x:v>
      </x:c>
      <x:c r="P1712" s="73" t="n">
        <x:f aca="0">FCCL!E45</x:f>
        <x:v>1982.301</x:v>
      </x:c>
      <x:c r="Q1712" s="70" t="str">
        <x:f aca="0">IF(ABS(O1712-P1712)&lt;0.000001,"PASS","FAIL")</x:f>
        <x:v>PASS</x:v>
      </x:c>
      <x:c r="R1712" s="70" t="s">
        <x:v>28</x:v>
      </x:c>
      <x:c r="S1712" s="70"/>
    </x:row>
    <x:row r="1713" ht="15" hidden="0">
      <x:c r="A1713" s="70" t="s">
        <x:v>3120</x:v>
      </x:c>
      <x:c r="B1713" s="70" t="s">
        <x:v>46</x:v>
      </x:c>
      <x:c r="C1713" s="70" t="s">
        <x:v>75</x:v>
      </x:c>
      <x:c r="D1713" s="70" t="s">
        <x:v>343</x:v>
      </x:c>
      <x:c r="E1713" s="70" t="s">
        <x:v>1129</x:v>
      </x:c>
      <x:c r="F1713" s="70" t="s">
        <x:v>2239</x:v>
      </x:c>
      <x:c r="G1713" s="70" t="s">
        <x:v>2997</x:v>
      </x:c>
      <x:c r="H1713" s="70" t="s">
        <x:v>1211</x:v>
      </x:c>
      <x:c r="I1713" s="70" t="s">
        <x:v>1199</x:v>
      </x:c>
      <x:c r="J1713" s="70" t="n">
        <x:v>190</x:v>
      </x:c>
      <x:c r="K1713" s="70" t="s">
        <x:v>2130</x:v>
      </x:c>
      <x:c r="L1713" s="70" t="s">
        <x:v>1720</x:v>
      </x:c>
      <x:c r="M1713" s="70" t="s">
        <x:v>40</x:v>
      </x:c>
      <x:c r="N1713" s="71" t="n">
        <x:v>2745849</x:v>
      </x:c>
      <x:c r="O1713" s="72" t="n">
        <x:f aca="0">N1713/1000</x:f>
        <x:v>2745.849</x:v>
      </x:c>
      <x:c r="P1713" s="73" t="n">
        <x:f aca="0">FCCL!F45</x:f>
        <x:v>2745.849</x:v>
      </x:c>
      <x:c r="Q1713" s="70" t="str">
        <x:f aca="0">IF(ABS(O1713-P1713)&lt;0.000001,"PASS","FAIL")</x:f>
        <x:v>PASS</x:v>
      </x:c>
      <x:c r="R1713" s="70" t="s">
        <x:v>28</x:v>
      </x:c>
      <x:c r="S1713" s="70"/>
    </x:row>
    <x:row r="1714" ht="15" hidden="0">
      <x:c r="A1714" s="70" t="s">
        <x:v>3121</x:v>
      </x:c>
      <x:c r="B1714" s="70" t="s">
        <x:v>46</x:v>
      </x:c>
      <x:c r="C1714" s="70" t="s">
        <x:v>76</x:v>
      </x:c>
      <x:c r="D1714" s="70" t="s">
        <x:v>343</x:v>
      </x:c>
      <x:c r="E1714" s="70" t="s">
        <x:v>1129</x:v>
      </x:c>
      <x:c r="F1714" s="70" t="s">
        <x:v>2239</x:v>
      </x:c>
      <x:c r="G1714" s="70" t="s">
        <x:v>2999</x:v>
      </x:c>
      <x:c r="H1714" s="70" t="s">
        <x:v>1215</x:v>
      </x:c>
      <x:c r="I1714" s="70" t="s">
        <x:v>1199</x:v>
      </x:c>
      <x:c r="J1714" s="70" t="n">
        <x:v>244</x:v>
      </x:c>
      <x:c r="K1714" s="70" t="s">
        <x:v>1200</x:v>
      </x:c>
      <x:c r="L1714" s="70" t="s">
        <x:v>1368</x:v>
      </x:c>
      <x:c r="M1714" s="70" t="s">
        <x:v>40</x:v>
      </x:c>
      <x:c r="N1714" s="71" t="n">
        <x:v>2164959</x:v>
      </x:c>
      <x:c r="O1714" s="72" t="n">
        <x:f aca="0">N1714/1000</x:f>
        <x:v>2164.959</x:v>
      </x:c>
      <x:c r="P1714" s="73" t="n">
        <x:f aca="0">FCCL!G45</x:f>
        <x:v>2164.959</x:v>
      </x:c>
      <x:c r="Q1714" s="70" t="str">
        <x:f aca="0">IF(ABS(O1714-P1714)&lt;0.000001,"PASS","FAIL")</x:f>
        <x:v>PASS</x:v>
      </x:c>
      <x:c r="R1714" s="70" t="s">
        <x:v>28</x:v>
      </x:c>
      <x:c r="S1714" s="70"/>
    </x:row>
    <x:row r="1715" ht="15" hidden="0">
      <x:c r="A1715" s="70" t="s">
        <x:v>3122</x:v>
      </x:c>
      <x:c r="B1715" s="70" t="s">
        <x:v>46</x:v>
      </x:c>
      <x:c r="C1715" s="70" t="s">
        <x:v>77</x:v>
      </x:c>
      <x:c r="D1715" s="70" t="s">
        <x:v>343</x:v>
      </x:c>
      <x:c r="E1715" s="70" t="s">
        <x:v>1129</x:v>
      </x:c>
      <x:c r="F1715" s="70" t="s">
        <x:v>2239</x:v>
      </x:c>
      <x:c r="G1715" s="70" t="s">
        <x:v>2999</x:v>
      </x:c>
      <x:c r="H1715" s="70" t="s">
        <x:v>1215</x:v>
      </x:c>
      <x:c r="I1715" s="70" t="s">
        <x:v>1218</x:v>
      </x:c>
      <x:c r="J1715" s="70" t="n">
        <x:v>244</x:v>
      </x:c>
      <x:c r="K1715" s="70" t="s">
        <x:v>1200</x:v>
      </x:c>
      <x:c r="L1715" s="70" t="s">
        <x:v>1368</x:v>
      </x:c>
      <x:c r="M1715" s="70" t="s">
        <x:v>40</x:v>
      </x:c>
      <x:c r="N1715" s="71" t="n">
        <x:v>1647630</x:v>
      </x:c>
      <x:c r="O1715" s="72" t="n">
        <x:f aca="0">N1715/1000</x:f>
        <x:v>1647.63</x:v>
      </x:c>
      <x:c r="P1715" s="73" t="n">
        <x:f aca="0">FCCL!H45</x:f>
        <x:v>1647.63</x:v>
      </x:c>
      <x:c r="Q1715" s="70" t="str">
        <x:f aca="0">IF(ABS(O1715-P1715)&lt;0.000001,"PASS","FAIL")</x:f>
        <x:v>PASS</x:v>
      </x:c>
      <x:c r="R1715" s="70" t="s">
        <x:v>28</x:v>
      </x:c>
      <x:c r="S1715" s="70"/>
    </x:row>
    <x:row r="1716" ht="15" hidden="0">
      <x:c r="A1716" s="70" t="s">
        <x:v>3123</x:v>
      </x:c>
      <x:c r="B1716" s="70" t="s">
        <x:v>46</x:v>
      </x:c>
      <x:c r="C1716" s="70" t="s">
        <x:v>1076</x:v>
      </x:c>
      <x:c r="D1716" s="70" t="s">
        <x:v>345</x:v>
      </x:c>
      <x:c r="E1716" s="70" t="s">
        <x:v>1129</x:v>
      </x:c>
      <x:c r="F1716" s="70" t="s">
        <x:v>3124</x:v>
      </x:c>
      <x:c r="G1716" s="70" t="s">
        <x:v>2990</x:v>
      </x:c>
      <x:c r="H1716" s="70" t="s">
        <x:v>1198</x:v>
      </x:c>
      <x:c r="I1716" s="70" t="s">
        <x:v>1199</x:v>
      </x:c>
      <x:c r="J1716" s="70" t="n">
        <x:v>164</x:v>
      </x:c>
      <x:c r="K1716" s="70" t="s">
        <x:v>2979</x:v>
      </x:c>
      <x:c r="L1716" s="70" t="s">
        <x:v>1720</x:v>
      </x:c>
      <x:c r="M1716" s="70" t="s">
        <x:v>40</x:v>
      </x:c>
      <x:c r="N1716" s="71" t="n">
        <x:v>3643608</x:v>
      </x:c>
      <x:c r="O1716" s="72" t="n">
        <x:f aca="0">N1716/1000</x:f>
        <x:v>3643.608</x:v>
      </x:c>
      <x:c r="P1716" s="73" t="n">
        <x:f aca="0">FCCL!C46</x:f>
        <x:v>3643.608</x:v>
      </x:c>
      <x:c r="Q1716" s="70" t="str">
        <x:f aca="0">IF(ABS(O1716-P1716)&lt;0.000001,"PASS","FAIL")</x:f>
        <x:v>PASS</x:v>
      </x:c>
      <x:c r="R1716" s="70" t="s">
        <x:v>28</x:v>
      </x:c>
      <x:c r="S1716" s="70"/>
    </x:row>
    <x:row r="1717" ht="15" hidden="0">
      <x:c r="A1717" s="70" t="s">
        <x:v>3125</x:v>
      </x:c>
      <x:c r="B1717" s="70" t="s">
        <x:v>46</x:v>
      </x:c>
      <x:c r="C1717" s="70" t="s">
        <x:v>73</x:v>
      </x:c>
      <x:c r="D1717" s="70" t="s">
        <x:v>345</x:v>
      </x:c>
      <x:c r="E1717" s="70" t="s">
        <x:v>1129</x:v>
      </x:c>
      <x:c r="F1717" s="70" t="s">
        <x:v>3124</x:v>
      </x:c>
      <x:c r="G1717" s="70" t="s">
        <x:v>2992</x:v>
      </x:c>
      <x:c r="H1717" s="70" t="s">
        <x:v>1204</x:v>
      </x:c>
      <x:c r="I1717" s="70" t="s">
        <x:v>1199</x:v>
      </x:c>
      <x:c r="J1717" s="70" t="n">
        <x:v>186</x:v>
      </x:c>
      <x:c r="K1717" s="70" t="s">
        <x:v>2126</x:v>
      </x:c>
      <x:c r="L1717" s="70" t="s">
        <x:v>1385</x:v>
      </x:c>
      <x:c r="M1717" s="70" t="s">
        <x:v>40</x:v>
      </x:c>
      <x:c r="N1717" s="71" t="n">
        <x:v>3960489</x:v>
      </x:c>
      <x:c r="O1717" s="72" t="n">
        <x:f aca="0">N1717/1000</x:f>
        <x:v>3960.489</x:v>
      </x:c>
      <x:c r="P1717" s="73" t="n">
        <x:f aca="0">FCCL!D46</x:f>
        <x:v>3960.489</x:v>
      </x:c>
      <x:c r="Q1717" s="70" t="str">
        <x:f aca="0">IF(ABS(O1717-P1717)&lt;0.000001,"PASS","FAIL")</x:f>
        <x:v>PASS</x:v>
      </x:c>
      <x:c r="R1717" s="70" t="s">
        <x:v>28</x:v>
      </x:c>
      <x:c r="S1717" s="70"/>
    </x:row>
    <x:row r="1718" ht="15" hidden="0">
      <x:c r="A1718" s="70" t="s">
        <x:v>3126</x:v>
      </x:c>
      <x:c r="B1718" s="70" t="s">
        <x:v>46</x:v>
      </x:c>
      <x:c r="C1718" s="70" t="s">
        <x:v>74</x:v>
      </x:c>
      <x:c r="D1718" s="70" t="s">
        <x:v>345</x:v>
      </x:c>
      <x:c r="E1718" s="70" t="s">
        <x:v>1129</x:v>
      </x:c>
      <x:c r="F1718" s="70" t="s">
        <x:v>3124</x:v>
      </x:c>
      <x:c r="G1718" s="70" t="s">
        <x:v>2994</x:v>
      </x:c>
      <x:c r="H1718" s="70" t="s">
        <x:v>1208</x:v>
      </x:c>
      <x:c r="I1718" s="70" t="s">
        <x:v>1199</x:v>
      </x:c>
      <x:c r="J1718" s="70" t="n">
        <x:v>208</x:v>
      </x:c>
      <x:c r="K1718" s="70" t="s">
        <x:v>2467</x:v>
      </x:c>
      <x:c r="L1718" s="70" t="s">
        <x:v>1368</x:v>
      </x:c>
      <x:c r="M1718" s="70" t="s">
        <x:v>40</x:v>
      </x:c>
      <x:c r="N1718" s="71" t="n">
        <x:v>7433214</x:v>
      </x:c>
      <x:c r="O1718" s="72" t="n">
        <x:f aca="0">N1718/1000</x:f>
        <x:v>7433.214</x:v>
      </x:c>
      <x:c r="P1718" s="73" t="n">
        <x:f aca="0">FCCL!E46</x:f>
        <x:v>7433.214</x:v>
      </x:c>
      <x:c r="Q1718" s="70" t="str">
        <x:f aca="0">IF(ABS(O1718-P1718)&lt;0.000001,"PASS","FAIL")</x:f>
        <x:v>PASS</x:v>
      </x:c>
      <x:c r="R1718" s="70" t="s">
        <x:v>28</x:v>
      </x:c>
      <x:c r="S1718" s="70"/>
    </x:row>
    <x:row r="1719" ht="15" hidden="0">
      <x:c r="A1719" s="70" t="s">
        <x:v>3127</x:v>
      </x:c>
      <x:c r="B1719" s="70" t="s">
        <x:v>46</x:v>
      </x:c>
      <x:c r="C1719" s="70" t="s">
        <x:v>75</x:v>
      </x:c>
      <x:c r="D1719" s="70" t="s">
        <x:v>345</x:v>
      </x:c>
      <x:c r="E1719" s="70" t="s">
        <x:v>1129</x:v>
      </x:c>
      <x:c r="F1719" s="70" t="s">
        <x:v>3124</x:v>
      </x:c>
      <x:c r="G1719" s="70" t="s">
        <x:v>2997</x:v>
      </x:c>
      <x:c r="H1719" s="70" t="s">
        <x:v>1211</x:v>
      </x:c>
      <x:c r="I1719" s="70" t="s">
        <x:v>1199</x:v>
      </x:c>
      <x:c r="J1719" s="70" t="n">
        <x:v>190</x:v>
      </x:c>
      <x:c r="K1719" s="70" t="s">
        <x:v>2130</x:v>
      </x:c>
      <x:c r="L1719" s="70" t="s">
        <x:v>1368</x:v>
      </x:c>
      <x:c r="M1719" s="70" t="s">
        <x:v>40</x:v>
      </x:c>
      <x:c r="N1719" s="71" t="n">
        <x:v>10312402</x:v>
      </x:c>
      <x:c r="O1719" s="72" t="n">
        <x:f aca="0">N1719/1000</x:f>
        <x:v>10312.402</x:v>
      </x:c>
      <x:c r="P1719" s="73" t="n">
        <x:f aca="0">FCCL!F46</x:f>
        <x:v>10312.402</x:v>
      </x:c>
      <x:c r="Q1719" s="70" t="str">
        <x:f aca="0">IF(ABS(O1719-P1719)&lt;0.000001,"PASS","FAIL")</x:f>
        <x:v>PASS</x:v>
      </x:c>
      <x:c r="R1719" s="70" t="s">
        <x:v>28</x:v>
      </x:c>
      <x:c r="S1719" s="70"/>
    </x:row>
    <x:row r="1720" ht="15" hidden="0">
      <x:c r="A1720" s="70" t="s">
        <x:v>3128</x:v>
      </x:c>
      <x:c r="B1720" s="70" t="s">
        <x:v>46</x:v>
      </x:c>
      <x:c r="C1720" s="70" t="s">
        <x:v>76</x:v>
      </x:c>
      <x:c r="D1720" s="70" t="s">
        <x:v>345</x:v>
      </x:c>
      <x:c r="E1720" s="70" t="s">
        <x:v>1129</x:v>
      </x:c>
      <x:c r="F1720" s="70" t="s">
        <x:v>3124</x:v>
      </x:c>
      <x:c r="G1720" s="70" t="s">
        <x:v>2999</x:v>
      </x:c>
      <x:c r="H1720" s="70" t="s">
        <x:v>1215</x:v>
      </x:c>
      <x:c r="I1720" s="70" t="s">
        <x:v>1199</x:v>
      </x:c>
      <x:c r="J1720" s="70" t="n">
        <x:v>244</x:v>
      </x:c>
      <x:c r="K1720" s="70" t="s">
        <x:v>1200</x:v>
      </x:c>
      <x:c r="L1720" s="70" t="s">
        <x:v>1385</x:v>
      </x:c>
      <x:c r="M1720" s="70" t="s">
        <x:v>40</x:v>
      </x:c>
      <x:c r="N1720" s="71" t="n">
        <x:v>14931049</x:v>
      </x:c>
      <x:c r="O1720" s="72" t="n">
        <x:f aca="0">N1720/1000</x:f>
        <x:v>14931.049</x:v>
      </x:c>
      <x:c r="P1720" s="73" t="n">
        <x:f aca="0">FCCL!G46</x:f>
        <x:v>14931.049</x:v>
      </x:c>
      <x:c r="Q1720" s="70" t="str">
        <x:f aca="0">IF(ABS(O1720-P1720)&lt;0.000001,"PASS","FAIL")</x:f>
        <x:v>PASS</x:v>
      </x:c>
      <x:c r="R1720" s="70" t="s">
        <x:v>28</x:v>
      </x:c>
      <x:c r="S1720" s="70"/>
    </x:row>
    <x:row r="1721" ht="15" hidden="0">
      <x:c r="A1721" s="70" t="s">
        <x:v>3129</x:v>
      </x:c>
      <x:c r="B1721" s="70" t="s">
        <x:v>46</x:v>
      </x:c>
      <x:c r="C1721" s="70" t="s">
        <x:v>77</x:v>
      </x:c>
      <x:c r="D1721" s="70" t="s">
        <x:v>345</x:v>
      </x:c>
      <x:c r="E1721" s="70" t="s">
        <x:v>1129</x:v>
      </x:c>
      <x:c r="F1721" s="70" t="s">
        <x:v>3124</x:v>
      </x:c>
      <x:c r="G1721" s="70" t="s">
        <x:v>2999</x:v>
      </x:c>
      <x:c r="H1721" s="70" t="s">
        <x:v>1215</x:v>
      </x:c>
      <x:c r="I1721" s="70" t="s">
        <x:v>1218</x:v>
      </x:c>
      <x:c r="J1721" s="70" t="n">
        <x:v>244</x:v>
      </x:c>
      <x:c r="K1721" s="70" t="s">
        <x:v>1200</x:v>
      </x:c>
      <x:c r="L1721" s="70" t="s">
        <x:v>1385</x:v>
      </x:c>
      <x:c r="M1721" s="70" t="s">
        <x:v>40</x:v>
      </x:c>
      <x:c r="N1721" s="71" t="n">
        <x:v>19694422</x:v>
      </x:c>
      <x:c r="O1721" s="72" t="n">
        <x:f aca="0">N1721/1000</x:f>
        <x:v>19694.422</x:v>
      </x:c>
      <x:c r="P1721" s="73" t="n">
        <x:f aca="0">FCCL!H46</x:f>
        <x:v>19694.422</x:v>
      </x:c>
      <x:c r="Q1721" s="70" t="str">
        <x:f aca="0">IF(ABS(O1721-P1721)&lt;0.000001,"PASS","FAIL")</x:f>
        <x:v>PASS</x:v>
      </x:c>
      <x:c r="R1721" s="70" t="s">
        <x:v>28</x:v>
      </x:c>
      <x:c r="S1721" s="70"/>
    </x:row>
    <x:row r="1722" ht="15" hidden="0">
      <x:c r="A1722" s="70" t="s">
        <x:v>3130</x:v>
      </x:c>
      <x:c r="B1722" s="70" t="s">
        <x:v>46</x:v>
      </x:c>
      <x:c r="C1722" s="70" t="s">
        <x:v>1076</x:v>
      </x:c>
      <x:c r="D1722" s="70" t="s">
        <x:v>347</x:v>
      </x:c>
      <x:c r="E1722" s="70" t="s">
        <x:v>1129</x:v>
      </x:c>
      <x:c r="F1722" s="70" t="s">
        <x:v>3131</x:v>
      </x:c>
      <x:c r="G1722" s="70" t="s">
        <x:v>2990</x:v>
      </x:c>
      <x:c r="H1722" s="70" t="s">
        <x:v>1198</x:v>
      </x:c>
      <x:c r="I1722" s="70" t="s">
        <x:v>1199</x:v>
      </x:c>
      <x:c r="J1722" s="70" t="n">
        <x:v>164</x:v>
      </x:c>
      <x:c r="K1722" s="70" t="s">
        <x:v>2979</x:v>
      </x:c>
      <x:c r="L1722" s="70" t="s">
        <x:v>1332</x:v>
      </x:c>
      <x:c r="M1722" s="70" t="s">
        <x:v>40</x:v>
      </x:c>
      <x:c r="N1722" s="71" t="n">
        <x:v>72547</x:v>
      </x:c>
      <x:c r="O1722" s="72" t="n">
        <x:f aca="0">N1722/1000</x:f>
        <x:v>72.547</x:v>
      </x:c>
      <x:c r="P1722" s="73" t="n">
        <x:f aca="0">FCCL!C47</x:f>
        <x:v>72.547</x:v>
      </x:c>
      <x:c r="Q1722" s="70" t="str">
        <x:f aca="0">IF(ABS(O1722-P1722)&lt;0.000001,"PASS","FAIL")</x:f>
        <x:v>PASS</x:v>
      </x:c>
      <x:c r="R1722" s="70" t="s">
        <x:v>28</x:v>
      </x:c>
      <x:c r="S1722" s="70"/>
    </x:row>
    <x:row r="1723" ht="15" hidden="0">
      <x:c r="A1723" s="70" t="s">
        <x:v>3132</x:v>
      </x:c>
      <x:c r="B1723" s="70" t="s">
        <x:v>46</x:v>
      </x:c>
      <x:c r="C1723" s="70" t="s">
        <x:v>73</x:v>
      </x:c>
      <x:c r="D1723" s="70" t="s">
        <x:v>347</x:v>
      </x:c>
      <x:c r="E1723" s="70" t="s">
        <x:v>1129</x:v>
      </x:c>
      <x:c r="F1723" s="70" t="s">
        <x:v>3131</x:v>
      </x:c>
      <x:c r="G1723" s="70" t="s">
        <x:v>2992</x:v>
      </x:c>
      <x:c r="H1723" s="70" t="s">
        <x:v>1204</x:v>
      </x:c>
      <x:c r="I1723" s="70" t="s">
        <x:v>1199</x:v>
      </x:c>
      <x:c r="J1723" s="70" t="n">
        <x:v>186</x:v>
      </x:c>
      <x:c r="K1723" s="70" t="s">
        <x:v>2126</x:v>
      </x:c>
      <x:c r="L1723" s="70" t="s">
        <x:v>1707</x:v>
      </x:c>
      <x:c r="M1723" s="70" t="s">
        <x:v>40</x:v>
      </x:c>
      <x:c r="N1723" s="71" t="n">
        <x:v>82380</x:v>
      </x:c>
      <x:c r="O1723" s="72" t="n">
        <x:f aca="0">N1723/1000</x:f>
        <x:v>82.38</x:v>
      </x:c>
      <x:c r="P1723" s="73" t="n">
        <x:f aca="0">FCCL!D47</x:f>
        <x:v>82.38</x:v>
      </x:c>
      <x:c r="Q1723" s="70" t="str">
        <x:f aca="0">IF(ABS(O1723-P1723)&lt;0.000001,"PASS","FAIL")</x:f>
        <x:v>PASS</x:v>
      </x:c>
      <x:c r="R1723" s="70" t="s">
        <x:v>28</x:v>
      </x:c>
      <x:c r="S1723" s="70"/>
    </x:row>
    <x:row r="1724" ht="15" hidden="0">
      <x:c r="A1724" s="70" t="s">
        <x:v>3133</x:v>
      </x:c>
      <x:c r="B1724" s="70" t="s">
        <x:v>46</x:v>
      </x:c>
      <x:c r="C1724" s="70" t="s">
        <x:v>74</x:v>
      </x:c>
      <x:c r="D1724" s="70" t="s">
        <x:v>347</x:v>
      </x:c>
      <x:c r="E1724" s="70" t="s">
        <x:v>1129</x:v>
      </x:c>
      <x:c r="F1724" s="70" t="s">
        <x:v>3131</x:v>
      </x:c>
      <x:c r="G1724" s="70" t="s">
        <x:v>2994</x:v>
      </x:c>
      <x:c r="H1724" s="70" t="s">
        <x:v>1208</x:v>
      </x:c>
      <x:c r="I1724" s="70" t="s">
        <x:v>1199</x:v>
      </x:c>
      <x:c r="J1724" s="70" t="n">
        <x:v>208</x:v>
      </x:c>
      <x:c r="K1724" s="70" t="s">
        <x:v>2467</x:v>
      </x:c>
      <x:c r="L1724" s="70" t="s">
        <x:v>1332</x:v>
      </x:c>
      <x:c r="M1724" s="70" t="s">
        <x:v>40</x:v>
      </x:c>
      <x:c r="N1724" s="71" t="n">
        <x:v>179291</x:v>
      </x:c>
      <x:c r="O1724" s="72" t="n">
        <x:f aca="0">N1724/1000</x:f>
        <x:v>179.291</x:v>
      </x:c>
      <x:c r="P1724" s="73" t="n">
        <x:f aca="0">FCCL!E47</x:f>
        <x:v>179.291</x:v>
      </x:c>
      <x:c r="Q1724" s="70" t="str">
        <x:f aca="0">IF(ABS(O1724-P1724)&lt;0.000001,"PASS","FAIL")</x:f>
        <x:v>PASS</x:v>
      </x:c>
      <x:c r="R1724" s="70" t="s">
        <x:v>28</x:v>
      </x:c>
      <x:c r="S1724" s="70"/>
    </x:row>
    <x:row r="1725" ht="15" hidden="0">
      <x:c r="A1725" s="70" t="s">
        <x:v>3134</x:v>
      </x:c>
      <x:c r="B1725" s="70" t="s">
        <x:v>46</x:v>
      </x:c>
      <x:c r="C1725" s="70" t="s">
        <x:v>75</x:v>
      </x:c>
      <x:c r="D1725" s="70" t="s">
        <x:v>347</x:v>
      </x:c>
      <x:c r="E1725" s="70" t="s">
        <x:v>1129</x:v>
      </x:c>
      <x:c r="F1725" s="70" t="s">
        <x:v>3131</x:v>
      </x:c>
      <x:c r="G1725" s="70" t="s">
        <x:v>2997</x:v>
      </x:c>
      <x:c r="H1725" s="70" t="s">
        <x:v>1211</x:v>
      </x:c>
      <x:c r="I1725" s="70" t="s">
        <x:v>1199</x:v>
      </x:c>
      <x:c r="J1725" s="70" t="n">
        <x:v>190</x:v>
      </x:c>
      <x:c r="K1725" s="70" t="s">
        <x:v>2130</x:v>
      </x:c>
      <x:c r="L1725" s="70" t="s">
        <x:v>1332</x:v>
      </x:c>
      <x:c r="M1725" s="70" t="s">
        <x:v>40</x:v>
      </x:c>
      <x:c r="N1725" s="71" t="n">
        <x:v>211595</x:v>
      </x:c>
      <x:c r="O1725" s="72" t="n">
        <x:f aca="0">N1725/1000</x:f>
        <x:v>211.595</x:v>
      </x:c>
      <x:c r="P1725" s="73" t="n">
        <x:f aca="0">FCCL!F47</x:f>
        <x:v>211.595</x:v>
      </x:c>
      <x:c r="Q1725" s="70" t="str">
        <x:f aca="0">IF(ABS(O1725-P1725)&lt;0.000001,"PASS","FAIL")</x:f>
        <x:v>PASS</x:v>
      </x:c>
      <x:c r="R1725" s="70" t="s">
        <x:v>28</x:v>
      </x:c>
      <x:c r="S1725" s="70"/>
    </x:row>
    <x:row r="1726" ht="15" hidden="0">
      <x:c r="A1726" s="70" t="s">
        <x:v>3135</x:v>
      </x:c>
      <x:c r="B1726" s="70" t="s">
        <x:v>46</x:v>
      </x:c>
      <x:c r="C1726" s="70" t="s">
        <x:v>76</x:v>
      </x:c>
      <x:c r="D1726" s="70" t="s">
        <x:v>347</x:v>
      </x:c>
      <x:c r="E1726" s="70" t="s">
        <x:v>1129</x:v>
      </x:c>
      <x:c r="F1726" s="70" t="s">
        <x:v>3131</x:v>
      </x:c>
      <x:c r="G1726" s="70" t="s">
        <x:v>2999</x:v>
      </x:c>
      <x:c r="H1726" s="70" t="s">
        <x:v>1215</x:v>
      </x:c>
      <x:c r="I1726" s="70" t="s">
        <x:v>1199</x:v>
      </x:c>
      <x:c r="J1726" s="70" t="n">
        <x:v>244</x:v>
      </x:c>
      <x:c r="K1726" s="70" t="s">
        <x:v>1200</x:v>
      </x:c>
      <x:c r="L1726" s="70" t="s">
        <x:v>1707</x:v>
      </x:c>
      <x:c r="M1726" s="70" t="s">
        <x:v>40</x:v>
      </x:c>
      <x:c r="N1726" s="71" t="n">
        <x:v>250230</x:v>
      </x:c>
      <x:c r="O1726" s="72" t="n">
        <x:f aca="0">N1726/1000</x:f>
        <x:v>250.23</x:v>
      </x:c>
      <x:c r="P1726" s="73" t="n">
        <x:f aca="0">FCCL!G47</x:f>
        <x:v>250.23</x:v>
      </x:c>
      <x:c r="Q1726" s="70" t="str">
        <x:f aca="0">IF(ABS(O1726-P1726)&lt;0.000001,"PASS","FAIL")</x:f>
        <x:v>PASS</x:v>
      </x:c>
      <x:c r="R1726" s="70" t="s">
        <x:v>28</x:v>
      </x:c>
      <x:c r="S1726" s="70"/>
    </x:row>
    <x:row r="1727" ht="15" hidden="0">
      <x:c r="A1727" s="70" t="s">
        <x:v>3136</x:v>
      </x:c>
      <x:c r="B1727" s="70" t="s">
        <x:v>46</x:v>
      </x:c>
      <x:c r="C1727" s="70" t="s">
        <x:v>77</x:v>
      </x:c>
      <x:c r="D1727" s="70" t="s">
        <x:v>347</x:v>
      </x:c>
      <x:c r="E1727" s="70" t="s">
        <x:v>1129</x:v>
      </x:c>
      <x:c r="F1727" s="70" t="s">
        <x:v>3131</x:v>
      </x:c>
      <x:c r="G1727" s="70" t="s">
        <x:v>2999</x:v>
      </x:c>
      <x:c r="H1727" s="70" t="s">
        <x:v>1215</x:v>
      </x:c>
      <x:c r="I1727" s="70" t="s">
        <x:v>1218</x:v>
      </x:c>
      <x:c r="J1727" s="70" t="n">
        <x:v>244</x:v>
      </x:c>
      <x:c r="K1727" s="70" t="s">
        <x:v>1200</x:v>
      </x:c>
      <x:c r="L1727" s="70" t="s">
        <x:v>1707</x:v>
      </x:c>
      <x:c r="M1727" s="70" t="s">
        <x:v>40</x:v>
      </x:c>
      <x:c r="N1727" s="71" t="n">
        <x:v>283590</x:v>
      </x:c>
      <x:c r="O1727" s="72" t="n">
        <x:f aca="0">N1727/1000</x:f>
        <x:v>283.59</x:v>
      </x:c>
      <x:c r="P1727" s="73" t="n">
        <x:f aca="0">FCCL!H47</x:f>
        <x:v>283.59</x:v>
      </x:c>
      <x:c r="Q1727" s="70" t="str">
        <x:f aca="0">IF(ABS(O1727-P1727)&lt;0.000001,"PASS","FAIL")</x:f>
        <x:v>PASS</x:v>
      </x:c>
      <x:c r="R1727" s="70" t="s">
        <x:v>28</x:v>
      </x:c>
      <x:c r="S1727" s="70"/>
    </x:row>
    <x:row r="1728" ht="15" hidden="0">
      <x:c r="A1728" s="70" t="s">
        <x:v>3137</x:v>
      </x:c>
      <x:c r="B1728" s="70" t="s">
        <x:v>46</x:v>
      </x:c>
      <x:c r="C1728" s="70" t="s">
        <x:v>1076</x:v>
      </x:c>
      <x:c r="D1728" s="70" t="s">
        <x:v>352</x:v>
      </x:c>
      <x:c r="E1728" s="70" t="s">
        <x:v>1129</x:v>
      </x:c>
      <x:c r="F1728" s="70" t="s">
        <x:v>352</x:v>
      </x:c>
      <x:c r="G1728" s="70" t="s">
        <x:v>2990</x:v>
      </x:c>
      <x:c r="H1728" s="70" t="s">
        <x:v>1198</x:v>
      </x:c>
      <x:c r="I1728" s="70" t="s">
        <x:v>1199</x:v>
      </x:c>
      <x:c r="J1728" s="70" t="n">
        <x:v>164</x:v>
      </x:c>
      <x:c r="K1728" s="70" t="s">
        <x:v>2979</x:v>
      </x:c>
      <x:c r="L1728" s="70" t="s">
        <x:v>1368</x:v>
      </x:c>
      <x:c r="M1728" s="70" t="s">
        <x:v>40</x:v>
      </x:c>
      <x:c r="N1728" s="71" t="n">
        <x:v>1163246</x:v>
      </x:c>
      <x:c r="O1728" s="72" t="n">
        <x:f aca="0">N1728/1000</x:f>
        <x:v>1163.246</x:v>
      </x:c>
      <x:c r="P1728" s="73" t="n">
        <x:f aca="0">FCCL!C50</x:f>
        <x:v>1163.246</x:v>
      </x:c>
      <x:c r="Q1728" s="70" t="str">
        <x:f aca="0">IF(ABS(O1728-P1728)&lt;0.000001,"PASS","FAIL")</x:f>
        <x:v>PASS</x:v>
      </x:c>
      <x:c r="R1728" s="70" t="s">
        <x:v>28</x:v>
      </x:c>
      <x:c r="S1728" s="70"/>
    </x:row>
    <x:row r="1729" ht="15" hidden="0">
      <x:c r="A1729" s="70" t="s">
        <x:v>3138</x:v>
      </x:c>
      <x:c r="B1729" s="70" t="s">
        <x:v>46</x:v>
      </x:c>
      <x:c r="C1729" s="70" t="s">
        <x:v>73</x:v>
      </x:c>
      <x:c r="D1729" s="70" t="s">
        <x:v>352</x:v>
      </x:c>
      <x:c r="E1729" s="70" t="s">
        <x:v>1129</x:v>
      </x:c>
      <x:c r="F1729" s="70" t="s">
        <x:v>352</x:v>
      </x:c>
      <x:c r="G1729" s="70" t="s">
        <x:v>2992</x:v>
      </x:c>
      <x:c r="H1729" s="70" t="s">
        <x:v>1204</x:v>
      </x:c>
      <x:c r="I1729" s="70" t="s">
        <x:v>1199</x:v>
      </x:c>
      <x:c r="J1729" s="70" t="n">
        <x:v>186</x:v>
      </x:c>
      <x:c r="K1729" s="70" t="s">
        <x:v>2126</x:v>
      </x:c>
      <x:c r="L1729" s="70" t="s">
        <x:v>1397</x:v>
      </x:c>
      <x:c r="M1729" s="70" t="s">
        <x:v>40</x:v>
      </x:c>
      <x:c r="N1729" s="71" t="n">
        <x:v>1822642</x:v>
      </x:c>
      <x:c r="O1729" s="72" t="n">
        <x:f aca="0">N1729/1000</x:f>
        <x:v>1822.642</x:v>
      </x:c>
      <x:c r="P1729" s="73" t="n">
        <x:f aca="0">FCCL!D50</x:f>
        <x:v>1822.642</x:v>
      </x:c>
      <x:c r="Q1729" s="70" t="str">
        <x:f aca="0">IF(ABS(O1729-P1729)&lt;0.000001,"PASS","FAIL")</x:f>
        <x:v>PASS</x:v>
      </x:c>
      <x:c r="R1729" s="70" t="s">
        <x:v>28</x:v>
      </x:c>
      <x:c r="S1729" s="70"/>
    </x:row>
    <x:row r="1730" ht="15" hidden="0">
      <x:c r="A1730" s="70" t="s">
        <x:v>3139</x:v>
      </x:c>
      <x:c r="B1730" s="70" t="s">
        <x:v>46</x:v>
      </x:c>
      <x:c r="C1730" s="70" t="s">
        <x:v>74</x:v>
      </x:c>
      <x:c r="D1730" s="70" t="s">
        <x:v>352</x:v>
      </x:c>
      <x:c r="E1730" s="70" t="s">
        <x:v>1129</x:v>
      </x:c>
      <x:c r="F1730" s="70" t="s">
        <x:v>352</x:v>
      </x:c>
      <x:c r="G1730" s="70" t="s">
        <x:v>2994</x:v>
      </x:c>
      <x:c r="H1730" s="70" t="s">
        <x:v>1208</x:v>
      </x:c>
      <x:c r="I1730" s="70" t="s">
        <x:v>1199</x:v>
      </x:c>
      <x:c r="J1730" s="70" t="n">
        <x:v>208</x:v>
      </x:c>
      <x:c r="K1730" s="70" t="s">
        <x:v>2467</x:v>
      </x:c>
      <x:c r="L1730" s="70" t="s">
        <x:v>1406</x:v>
      </x:c>
      <x:c r="M1730" s="70" t="s">
        <x:v>40</x:v>
      </x:c>
      <x:c r="N1730" s="71" t="n">
        <x:v>6917149</x:v>
      </x:c>
      <x:c r="O1730" s="72" t="n">
        <x:f aca="0">N1730/1000</x:f>
        <x:v>6917.149</x:v>
      </x:c>
      <x:c r="P1730" s="73" t="n">
        <x:f aca="0">FCCL!E50</x:f>
        <x:v>6917.149</x:v>
      </x:c>
      <x:c r="Q1730" s="70" t="str">
        <x:f aca="0">IF(ABS(O1730-P1730)&lt;0.000001,"PASS","FAIL")</x:f>
        <x:v>PASS</x:v>
      </x:c>
      <x:c r="R1730" s="70" t="s">
        <x:v>28</x:v>
      </x:c>
      <x:c r="S1730" s="70"/>
    </x:row>
    <x:row r="1731" ht="15" hidden="0">
      <x:c r="A1731" s="70" t="s">
        <x:v>3140</x:v>
      </x:c>
      <x:c r="B1731" s="70" t="s">
        <x:v>46</x:v>
      </x:c>
      <x:c r="C1731" s="70" t="s">
        <x:v>75</x:v>
      </x:c>
      <x:c r="D1731" s="70" t="s">
        <x:v>352</x:v>
      </x:c>
      <x:c r="E1731" s="70" t="s">
        <x:v>1129</x:v>
      </x:c>
      <x:c r="F1731" s="70" t="s">
        <x:v>352</x:v>
      </x:c>
      <x:c r="G1731" s="70" t="s">
        <x:v>2997</x:v>
      </x:c>
      <x:c r="H1731" s="70" t="s">
        <x:v>1211</x:v>
      </x:c>
      <x:c r="I1731" s="70" t="s">
        <x:v>1199</x:v>
      </x:c>
      <x:c r="J1731" s="70" t="n">
        <x:v>190</x:v>
      </x:c>
      <x:c r="K1731" s="70" t="s">
        <x:v>2130</x:v>
      </x:c>
      <x:c r="L1731" s="70" t="s">
        <x:v>1406</x:v>
      </x:c>
      <x:c r="M1731" s="70" t="s">
        <x:v>40</x:v>
      </x:c>
      <x:c r="N1731" s="71" t="n">
        <x:v>6516462</x:v>
      </x:c>
      <x:c r="O1731" s="72" t="n">
        <x:f aca="0">N1731/1000</x:f>
        <x:v>6516.462</x:v>
      </x:c>
      <x:c r="P1731" s="73" t="n">
        <x:f aca="0">FCCL!F50</x:f>
        <x:v>6516.462</x:v>
      </x:c>
      <x:c r="Q1731" s="70" t="str">
        <x:f aca="0">IF(ABS(O1731-P1731)&lt;0.000001,"PASS","FAIL")</x:f>
        <x:v>PASS</x:v>
      </x:c>
      <x:c r="R1731" s="70" t="s">
        <x:v>28</x:v>
      </x:c>
      <x:c r="S1731" s="70"/>
    </x:row>
    <x:row r="1732" ht="15" hidden="0">
      <x:c r="A1732" s="70" t="s">
        <x:v>3141</x:v>
      </x:c>
      <x:c r="B1732" s="70" t="s">
        <x:v>46</x:v>
      </x:c>
      <x:c r="C1732" s="70" t="s">
        <x:v>76</x:v>
      </x:c>
      <x:c r="D1732" s="70" t="s">
        <x:v>352</x:v>
      </x:c>
      <x:c r="E1732" s="70" t="s">
        <x:v>1129</x:v>
      </x:c>
      <x:c r="F1732" s="70" t="s">
        <x:v>352</x:v>
      </x:c>
      <x:c r="G1732" s="70" t="s">
        <x:v>2999</x:v>
      </x:c>
      <x:c r="H1732" s="70" t="s">
        <x:v>1215</x:v>
      </x:c>
      <x:c r="I1732" s="70" t="s">
        <x:v>1199</x:v>
      </x:c>
      <x:c r="J1732" s="70" t="n">
        <x:v>244</x:v>
      </x:c>
      <x:c r="K1732" s="70" t="s">
        <x:v>1200</x:v>
      </x:c>
      <x:c r="L1732" s="70" t="s">
        <x:v>1397</x:v>
      </x:c>
      <x:c r="M1732" s="70" t="s">
        <x:v>40</x:v>
      </x:c>
      <x:c r="N1732" s="71" t="n">
        <x:v>6108790</x:v>
      </x:c>
      <x:c r="O1732" s="72" t="n">
        <x:f aca="0">N1732/1000</x:f>
        <x:v>6108.79</x:v>
      </x:c>
      <x:c r="P1732" s="73" t="n">
        <x:f aca="0">FCCL!G50</x:f>
        <x:v>6108.79</x:v>
      </x:c>
      <x:c r="Q1732" s="70" t="str">
        <x:f aca="0">IF(ABS(O1732-P1732)&lt;0.000001,"PASS","FAIL")</x:f>
        <x:v>PASS</x:v>
      </x:c>
      <x:c r="R1732" s="70" t="s">
        <x:v>28</x:v>
      </x:c>
      <x:c r="S1732" s="70" t="s">
        <x:v>1205</x:v>
      </x:c>
    </x:row>
    <x:row r="1733" ht="15" hidden="0">
      <x:c r="A1733" s="70" t="s">
        <x:v>3142</x:v>
      </x:c>
      <x:c r="B1733" s="70" t="s">
        <x:v>46</x:v>
      </x:c>
      <x:c r="C1733" s="70" t="s">
        <x:v>77</x:v>
      </x:c>
      <x:c r="D1733" s="70" t="s">
        <x:v>352</x:v>
      </x:c>
      <x:c r="E1733" s="70" t="s">
        <x:v>1129</x:v>
      </x:c>
      <x:c r="F1733" s="70" t="s">
        <x:v>352</x:v>
      </x:c>
      <x:c r="G1733" s="70" t="s">
        <x:v>2999</x:v>
      </x:c>
      <x:c r="H1733" s="70" t="s">
        <x:v>1215</x:v>
      </x:c>
      <x:c r="I1733" s="70" t="s">
        <x:v>1218</x:v>
      </x:c>
      <x:c r="J1733" s="70" t="n">
        <x:v>244</x:v>
      </x:c>
      <x:c r="K1733" s="70" t="s">
        <x:v>1200</x:v>
      </x:c>
      <x:c r="L1733" s="70" t="s">
        <x:v>1397</x:v>
      </x:c>
      <x:c r="M1733" s="70" t="s">
        <x:v>40</x:v>
      </x:c>
      <x:c r="N1733" s="71" t="n">
        <x:v>3934508</x:v>
      </x:c>
      <x:c r="O1733" s="72" t="n">
        <x:f aca="0">N1733/1000</x:f>
        <x:v>3934.508</x:v>
      </x:c>
      <x:c r="P1733" s="73" t="n">
        <x:f aca="0">FCCL!H50</x:f>
        <x:v>3934.508</x:v>
      </x:c>
      <x:c r="Q1733" s="70" t="str">
        <x:f aca="0">IF(ABS(O1733-P1733)&lt;0.000001,"PASS","FAIL")</x:f>
        <x:v>PASS</x:v>
      </x:c>
      <x:c r="R1733" s="70" t="s">
        <x:v>28</x:v>
      </x:c>
      <x:c r="S1733" s="70"/>
    </x:row>
    <x:row r="1734" ht="15" hidden="0">
      <x:c r="A1734" s="70" t="s">
        <x:v>3143</x:v>
      </x:c>
      <x:c r="B1734" s="70" t="s">
        <x:v>46</x:v>
      </x:c>
      <x:c r="C1734" s="70" t="s">
        <x:v>1076</x:v>
      </x:c>
      <x:c r="D1734" s="70" t="s">
        <x:v>1375</x:v>
      </x:c>
      <x:c r="E1734" s="70" t="s">
        <x:v>1221</x:v>
      </x:c>
      <x:c r="F1734" s="70" t="s">
        <x:v>1821</x:v>
      </x:c>
      <x:c r="G1734" s="70" t="s">
        <x:v>2990</x:v>
      </x:c>
      <x:c r="H1734" s="70" t="s">
        <x:v>1198</x:v>
      </x:c>
      <x:c r="I1734" s="70" t="s">
        <x:v>1199</x:v>
      </x:c>
      <x:c r="J1734" s="70" t="n">
        <x:v>189</x:v>
      </x:c>
      <x:c r="K1734" s="70" t="s">
        <x:v>3144</x:v>
      </x:c>
      <x:c r="L1734" s="70"/>
      <x:c r="M1734" s="70" t="s">
        <x:v>40</x:v>
      </x:c>
      <x:c r="N1734" s="71" t="n">
        <x:v>354586</x:v>
      </x:c>
      <x:c r="O1734" s="72" t="n">
        <x:f aca="0">N1734/1000</x:f>
        <x:v>354.586</x:v>
      </x:c>
      <x:c r="P1734" s="73" t="n">
        <x:f aca="0">FCCL!C51</x:f>
        <x:v>354.586</x:v>
      </x:c>
      <x:c r="Q1734" s="70" t="str">
        <x:f aca="0">IF(ABS(O1734-P1734)&lt;0.000001,"PASS","FAIL")</x:f>
        <x:v>PASS</x:v>
      </x:c>
      <x:c r="R1734" s="70" t="s">
        <x:v>28</x:v>
      </x:c>
      <x:c r="S1734" s="70"/>
    </x:row>
    <x:row r="1735" ht="15" hidden="0">
      <x:c r="A1735" s="70" t="s">
        <x:v>3145</x:v>
      </x:c>
      <x:c r="B1735" s="70" t="s">
        <x:v>46</x:v>
      </x:c>
      <x:c r="C1735" s="70" t="s">
        <x:v>73</x:v>
      </x:c>
      <x:c r="D1735" s="70" t="s">
        <x:v>1375</x:v>
      </x:c>
      <x:c r="E1735" s="70" t="s">
        <x:v>1221</x:v>
      </x:c>
      <x:c r="F1735" s="70" t="s">
        <x:v>1821</x:v>
      </x:c>
      <x:c r="G1735" s="70" t="s">
        <x:v>2992</x:v>
      </x:c>
      <x:c r="H1735" s="70" t="s">
        <x:v>1204</x:v>
      </x:c>
      <x:c r="I1735" s="70" t="s">
        <x:v>1199</x:v>
      </x:c>
      <x:c r="J1735" s="70" t="n">
        <x:v>215</x:v>
      </x:c>
      <x:c r="K1735" s="70" t="s">
        <x:v>3146</x:v>
      </x:c>
      <x:c r="L1735" s="70"/>
      <x:c r="M1735" s="70" t="s">
        <x:v>40</x:v>
      </x:c>
      <x:c r="N1735" s="71" t="n">
        <x:v>863038</x:v>
      </x:c>
      <x:c r="O1735" s="72" t="n">
        <x:f aca="0">N1735/1000</x:f>
        <x:v>863.038</x:v>
      </x:c>
      <x:c r="P1735" s="73" t="n">
        <x:f aca="0">FCCL!D51</x:f>
        <x:v>863.038</x:v>
      </x:c>
      <x:c r="Q1735" s="70" t="str">
        <x:f aca="0">IF(ABS(O1735-P1735)&lt;0.000001,"PASS","FAIL")</x:f>
        <x:v>PASS</x:v>
      </x:c>
      <x:c r="R1735" s="70" t="s">
        <x:v>28</x:v>
      </x:c>
      <x:c r="S1735" s="70"/>
    </x:row>
    <x:row r="1736" ht="15" hidden="0">
      <x:c r="A1736" s="70" t="s">
        <x:v>3147</x:v>
      </x:c>
      <x:c r="B1736" s="70" t="s">
        <x:v>46</x:v>
      </x:c>
      <x:c r="C1736" s="70" t="s">
        <x:v>74</x:v>
      </x:c>
      <x:c r="D1736" s="70" t="s">
        <x:v>1375</x:v>
      </x:c>
      <x:c r="E1736" s="70" t="s">
        <x:v>1221</x:v>
      </x:c>
      <x:c r="F1736" s="70" t="s">
        <x:v>1821</x:v>
      </x:c>
      <x:c r="G1736" s="70" t="s">
        <x:v>2994</x:v>
      </x:c>
      <x:c r="H1736" s="70" t="s">
        <x:v>1208</x:v>
      </x:c>
      <x:c r="I1736" s="70" t="s">
        <x:v>1199</x:v>
      </x:c>
      <x:c r="J1736" s="70" t="n">
        <x:v>234</x:v>
      </x:c>
      <x:c r="K1736" s="70" t="s">
        <x:v>1670</x:v>
      </x:c>
      <x:c r="L1736" s="70"/>
      <x:c r="M1736" s="70" t="s">
        <x:v>40</x:v>
      </x:c>
      <x:c r="N1736" s="71" t="n">
        <x:v>2683210</x:v>
      </x:c>
      <x:c r="O1736" s="72" t="n">
        <x:f aca="0">N1736/1000</x:f>
        <x:v>2683.21</x:v>
      </x:c>
      <x:c r="P1736" s="73" t="n">
        <x:f aca="0">FCCL!E51</x:f>
        <x:v>2683.21</x:v>
      </x:c>
      <x:c r="Q1736" s="70" t="str">
        <x:f aca="0">IF(ABS(O1736-P1736)&lt;0.000001,"PASS","FAIL")</x:f>
        <x:v>PASS</x:v>
      </x:c>
      <x:c r="R1736" s="70" t="s">
        <x:v>28</x:v>
      </x:c>
      <x:c r="S1736" s="70"/>
    </x:row>
    <x:row r="1737" ht="15" hidden="0">
      <x:c r="A1737" s="70" t="s">
        <x:v>3148</x:v>
      </x:c>
      <x:c r="B1737" s="70" t="s">
        <x:v>46</x:v>
      </x:c>
      <x:c r="C1737" s="70" t="s">
        <x:v>75</x:v>
      </x:c>
      <x:c r="D1737" s="70" t="s">
        <x:v>1375</x:v>
      </x:c>
      <x:c r="E1737" s="70" t="s">
        <x:v>1221</x:v>
      </x:c>
      <x:c r="F1737" s="70" t="s">
        <x:v>1821</x:v>
      </x:c>
      <x:c r="G1737" s="70" t="s">
        <x:v>2997</x:v>
      </x:c>
      <x:c r="H1737" s="70" t="s">
        <x:v>1211</x:v>
      </x:c>
      <x:c r="I1737" s="70" t="s">
        <x:v>1199</x:v>
      </x:c>
      <x:c r="J1737" s="70" t="n">
        <x:v>214</x:v>
      </x:c>
      <x:c r="K1737" s="70" t="s">
        <x:v>3149</x:v>
      </x:c>
      <x:c r="L1737" s="70"/>
      <x:c r="M1737" s="70" t="s">
        <x:v>40</x:v>
      </x:c>
      <x:c r="N1737" s="71" t="n">
        <x:v>2623342</x:v>
      </x:c>
      <x:c r="O1737" s="72" t="n">
        <x:f aca="0">N1737/1000</x:f>
        <x:v>2623.342</x:v>
      </x:c>
      <x:c r="P1737" s="73" t="n">
        <x:f aca="0">FCCL!F51</x:f>
        <x:v>2623.342</x:v>
      </x:c>
      <x:c r="Q1737" s="70" t="str">
        <x:f aca="0">IF(ABS(O1737-P1737)&lt;0.000001,"PASS","FAIL")</x:f>
        <x:v>PASS</x:v>
      </x:c>
      <x:c r="R1737" s="70" t="s">
        <x:v>28</x:v>
      </x:c>
      <x:c r="S1737" s="70"/>
    </x:row>
    <x:row r="1738" ht="15" hidden="0">
      <x:c r="A1738" s="70" t="s">
        <x:v>3150</x:v>
      </x:c>
      <x:c r="B1738" s="70" t="s">
        <x:v>46</x:v>
      </x:c>
      <x:c r="C1738" s="70" t="s">
        <x:v>76</x:v>
      </x:c>
      <x:c r="D1738" s="70" t="s">
        <x:v>1375</x:v>
      </x:c>
      <x:c r="E1738" s="70" t="s">
        <x:v>1221</x:v>
      </x:c>
      <x:c r="F1738" s="70" t="s">
        <x:v>1821</x:v>
      </x:c>
      <x:c r="G1738" s="70" t="s">
        <x:v>2999</x:v>
      </x:c>
      <x:c r="H1738" s="70" t="s">
        <x:v>1215</x:v>
      </x:c>
      <x:c r="I1738" s="70" t="s">
        <x:v>1199</x:v>
      </x:c>
      <x:c r="J1738" s="70" t="n">
        <x:v>268</x:v>
      </x:c>
      <x:c r="K1738" s="70" t="s">
        <x:v>1200</x:v>
      </x:c>
      <x:c r="L1738" s="70"/>
      <x:c r="M1738" s="70" t="s">
        <x:v>40</x:v>
      </x:c>
      <x:c r="N1738" s="71" t="n">
        <x:v>2726664</x:v>
      </x:c>
      <x:c r="O1738" s="72" t="n">
        <x:f aca="0">N1738/1000</x:f>
        <x:v>2726.664</x:v>
      </x:c>
      <x:c r="P1738" s="73" t="n">
        <x:f aca="0">FCCL!G51</x:f>
        <x:v>2726.664</x:v>
      </x:c>
      <x:c r="Q1738" s="70" t="str">
        <x:f aca="0">IF(ABS(O1738-P1738)&lt;0.000001,"PASS","FAIL")</x:f>
        <x:v>PASS</x:v>
      </x:c>
      <x:c r="R1738" s="70" t="s">
        <x:v>28</x:v>
      </x:c>
      <x:c r="S1738" s="70"/>
    </x:row>
    <x:row r="1739" ht="15" hidden="0">
      <x:c r="A1739" s="70" t="s">
        <x:v>3151</x:v>
      </x:c>
      <x:c r="B1739" s="70" t="s">
        <x:v>46</x:v>
      </x:c>
      <x:c r="C1739" s="70" t="s">
        <x:v>77</x:v>
      </x:c>
      <x:c r="D1739" s="70" t="s">
        <x:v>1375</x:v>
      </x:c>
      <x:c r="E1739" s="70" t="s">
        <x:v>1221</x:v>
      </x:c>
      <x:c r="F1739" s="70" t="s">
        <x:v>1821</x:v>
      </x:c>
      <x:c r="G1739" s="70" t="s">
        <x:v>2999</x:v>
      </x:c>
      <x:c r="H1739" s="70" t="s">
        <x:v>1215</x:v>
      </x:c>
      <x:c r="I1739" s="70" t="s">
        <x:v>1218</x:v>
      </x:c>
      <x:c r="J1739" s="70" t="n">
        <x:v>268</x:v>
      </x:c>
      <x:c r="K1739" s="70" t="s">
        <x:v>1200</x:v>
      </x:c>
      <x:c r="L1739" s="70"/>
      <x:c r="M1739" s="70" t="s">
        <x:v>40</x:v>
      </x:c>
      <x:c r="N1739" s="71" t="n">
        <x:v>2034141</x:v>
      </x:c>
      <x:c r="O1739" s="72" t="n">
        <x:f aca="0">N1739/1000</x:f>
        <x:v>2034.141</x:v>
      </x:c>
      <x:c r="P1739" s="73" t="n">
        <x:f aca="0">FCCL!H51</x:f>
        <x:v>2034.141</x:v>
      </x:c>
      <x:c r="Q1739" s="70" t="str">
        <x:f aca="0">IF(ABS(O1739-P1739)&lt;0.000001,"PASS","FAIL")</x:f>
        <x:v>PASS</x:v>
      </x:c>
      <x:c r="R1739" s="70" t="s">
        <x:v>28</x:v>
      </x:c>
      <x:c r="S1739" s="70"/>
    </x:row>
    <x:row r="1740" ht="15" hidden="0">
      <x:c r="A1740" s="70" t="s">
        <x:v>3152</x:v>
      </x:c>
      <x:c r="B1740" s="70" t="s">
        <x:v>46</x:v>
      </x:c>
      <x:c r="C1740" s="70" t="s">
        <x:v>1076</x:v>
      </x:c>
      <x:c r="D1740" s="70" t="s">
        <x:v>356</x:v>
      </x:c>
      <x:c r="E1740" s="70" t="s">
        <x:v>1129</x:v>
      </x:c>
      <x:c r="F1740" s="70" t="s">
        <x:v>3153</x:v>
      </x:c>
      <x:c r="G1740" s="70" t="s">
        <x:v>2990</x:v>
      </x:c>
      <x:c r="H1740" s="70" t="s">
        <x:v>1198</x:v>
      </x:c>
      <x:c r="I1740" s="70" t="s">
        <x:v>1199</x:v>
      </x:c>
      <x:c r="J1740" s="70" t="n">
        <x:v>164</x:v>
      </x:c>
      <x:c r="K1740" s="70" t="s">
        <x:v>2979</x:v>
      </x:c>
      <x:c r="L1740" s="70" t="s">
        <x:v>1406</x:v>
      </x:c>
      <x:c r="M1740" s="70" t="s">
        <x:v>40</x:v>
      </x:c>
      <x:c r="N1740" s="71" t="n">
        <x:v>367952</x:v>
      </x:c>
      <x:c r="O1740" s="72" t="n">
        <x:f aca="0">N1740/1000</x:f>
        <x:v>367.952</x:v>
      </x:c>
      <x:c r="P1740" s="73" t="n">
        <x:f aca="0">FCCL!C52</x:f>
        <x:v>367.952</x:v>
      </x:c>
      <x:c r="Q1740" s="70" t="str">
        <x:f aca="0">IF(ABS(O1740-P1740)&lt;0.000001,"PASS","FAIL")</x:f>
        <x:v>PASS</x:v>
      </x:c>
      <x:c r="R1740" s="70" t="s">
        <x:v>28</x:v>
      </x:c>
      <x:c r="S1740" s="70"/>
    </x:row>
    <x:row r="1741" ht="15" hidden="0">
      <x:c r="A1741" s="70" t="s">
        <x:v>3154</x:v>
      </x:c>
      <x:c r="B1741" s="70" t="s">
        <x:v>46</x:v>
      </x:c>
      <x:c r="C1741" s="70" t="s">
        <x:v>73</x:v>
      </x:c>
      <x:c r="D1741" s="70" t="s">
        <x:v>356</x:v>
      </x:c>
      <x:c r="E1741" s="70" t="s">
        <x:v>1129</x:v>
      </x:c>
      <x:c r="F1741" s="70" t="s">
        <x:v>3153</x:v>
      </x:c>
      <x:c r="G1741" s="70" t="s">
        <x:v>2992</x:v>
      </x:c>
      <x:c r="H1741" s="70" t="s">
        <x:v>1204</x:v>
      </x:c>
      <x:c r="I1741" s="70" t="s">
        <x:v>1199</x:v>
      </x:c>
      <x:c r="J1741" s="70" t="n">
        <x:v>186</x:v>
      </x:c>
      <x:c r="K1741" s="70" t="s">
        <x:v>2126</x:v>
      </x:c>
      <x:c r="L1741" s="70" t="s">
        <x:v>1212</x:v>
      </x:c>
      <x:c r="M1741" s="70" t="s">
        <x:v>40</x:v>
      </x:c>
      <x:c r="N1741" s="71" t="n">
        <x:v>435097</x:v>
      </x:c>
      <x:c r="O1741" s="72" t="n">
        <x:f aca="0">N1741/1000</x:f>
        <x:v>435.097</x:v>
      </x:c>
      <x:c r="P1741" s="73" t="n">
        <x:f aca="0">FCCL!D52</x:f>
        <x:v>435.097</x:v>
      </x:c>
      <x:c r="Q1741" s="70" t="str">
        <x:f aca="0">IF(ABS(O1741-P1741)&lt;0.000001,"PASS","FAIL")</x:f>
        <x:v>PASS</x:v>
      </x:c>
      <x:c r="R1741" s="70" t="s">
        <x:v>28</x:v>
      </x:c>
      <x:c r="S1741" s="70"/>
    </x:row>
    <x:row r="1742" ht="15" hidden="0">
      <x:c r="A1742" s="70" t="s">
        <x:v>3155</x:v>
      </x:c>
      <x:c r="B1742" s="70" t="s">
        <x:v>46</x:v>
      </x:c>
      <x:c r="C1742" s="70" t="s">
        <x:v>74</x:v>
      </x:c>
      <x:c r="D1742" s="70" t="s">
        <x:v>356</x:v>
      </x:c>
      <x:c r="E1742" s="70" t="s">
        <x:v>1129</x:v>
      </x:c>
      <x:c r="F1742" s="70" t="s">
        <x:v>3153</x:v>
      </x:c>
      <x:c r="G1742" s="70" t="s">
        <x:v>2994</x:v>
      </x:c>
      <x:c r="H1742" s="70" t="s">
        <x:v>1208</x:v>
      </x:c>
      <x:c r="I1742" s="70" t="s">
        <x:v>1199</x:v>
      </x:c>
      <x:c r="J1742" s="70" t="n">
        <x:v>208</x:v>
      </x:c>
      <x:c r="K1742" s="70" t="s">
        <x:v>2467</x:v>
      </x:c>
      <x:c r="L1742" s="70" t="s">
        <x:v>1216</x:v>
      </x:c>
      <x:c r="M1742" s="70" t="s">
        <x:v>40</x:v>
      </x:c>
      <x:c r="N1742" s="71" t="n">
        <x:v>862309</x:v>
      </x:c>
      <x:c r="O1742" s="72" t="n">
        <x:f aca="0">N1742/1000</x:f>
        <x:v>862.309</x:v>
      </x:c>
      <x:c r="P1742" s="73" t="n">
        <x:f aca="0">FCCL!E52</x:f>
        <x:v>862.309</x:v>
      </x:c>
      <x:c r="Q1742" s="70" t="str">
        <x:f aca="0">IF(ABS(O1742-P1742)&lt;0.000001,"PASS","FAIL")</x:f>
        <x:v>PASS</x:v>
      </x:c>
      <x:c r="R1742" s="70" t="s">
        <x:v>28</x:v>
      </x:c>
      <x:c r="S1742" s="70"/>
    </x:row>
    <x:row r="1743" ht="15" hidden="0">
      <x:c r="A1743" s="70" t="s">
        <x:v>3156</x:v>
      </x:c>
      <x:c r="B1743" s="70" t="s">
        <x:v>46</x:v>
      </x:c>
      <x:c r="C1743" s="70" t="s">
        <x:v>75</x:v>
      </x:c>
      <x:c r="D1743" s="70" t="s">
        <x:v>356</x:v>
      </x:c>
      <x:c r="E1743" s="70" t="s">
        <x:v>1129</x:v>
      </x:c>
      <x:c r="F1743" s="70" t="s">
        <x:v>3153</x:v>
      </x:c>
      <x:c r="G1743" s="70" t="s">
        <x:v>2997</x:v>
      </x:c>
      <x:c r="H1743" s="70" t="s">
        <x:v>1211</x:v>
      </x:c>
      <x:c r="I1743" s="70" t="s">
        <x:v>1199</x:v>
      </x:c>
      <x:c r="J1743" s="70" t="n">
        <x:v>190</x:v>
      </x:c>
      <x:c r="K1743" s="70" t="s">
        <x:v>2130</x:v>
      </x:c>
      <x:c r="L1743" s="70" t="s">
        <x:v>1216</x:v>
      </x:c>
      <x:c r="M1743" s="70" t="s">
        <x:v>40</x:v>
      </x:c>
      <x:c r="N1743" s="71" t="n">
        <x:v>584809</x:v>
      </x:c>
      <x:c r="O1743" s="72" t="n">
        <x:f aca="0">N1743/1000</x:f>
        <x:v>584.809</x:v>
      </x:c>
      <x:c r="P1743" s="73" t="n">
        <x:f aca="0">FCCL!F52</x:f>
        <x:v>584.809</x:v>
      </x:c>
      <x:c r="Q1743" s="70" t="str">
        <x:f aca="0">IF(ABS(O1743-P1743)&lt;0.000001,"PASS","FAIL")</x:f>
        <x:v>PASS</x:v>
      </x:c>
      <x:c r="R1743" s="70" t="s">
        <x:v>28</x:v>
      </x:c>
      <x:c r="S1743" s="70"/>
    </x:row>
    <x:row r="1744" ht="15" hidden="0">
      <x:c r="A1744" s="70" t="s">
        <x:v>3157</x:v>
      </x:c>
      <x:c r="B1744" s="70" t="s">
        <x:v>46</x:v>
      </x:c>
      <x:c r="C1744" s="70" t="s">
        <x:v>76</x:v>
      </x:c>
      <x:c r="D1744" s="70" t="s">
        <x:v>356</x:v>
      </x:c>
      <x:c r="E1744" s="70" t="s">
        <x:v>1129</x:v>
      </x:c>
      <x:c r="F1744" s="70" t="s">
        <x:v>3153</x:v>
      </x:c>
      <x:c r="G1744" s="70" t="s">
        <x:v>2999</x:v>
      </x:c>
      <x:c r="H1744" s="70" t="s">
        <x:v>1215</x:v>
      </x:c>
      <x:c r="I1744" s="70" t="s">
        <x:v>1199</x:v>
      </x:c>
      <x:c r="J1744" s="70" t="n">
        <x:v>244</x:v>
      </x:c>
      <x:c r="K1744" s="70" t="s">
        <x:v>1200</x:v>
      </x:c>
      <x:c r="L1744" s="70"/>
      <x:c r="M1744" s="70" t="s">
        <x:v>40</x:v>
      </x:c>
      <x:c r="N1744" s="71" t="n">
        <x:v>432704</x:v>
      </x:c>
      <x:c r="O1744" s="72" t="n">
        <x:f aca="0">N1744/1000</x:f>
        <x:v>432.704</x:v>
      </x:c>
      <x:c r="P1744" s="73" t="n">
        <x:f aca="0">FCCL!G52</x:f>
        <x:v>432.704</x:v>
      </x:c>
      <x:c r="Q1744" s="70" t="str">
        <x:f aca="0">IF(ABS(O1744-P1744)&lt;0.000001,"PASS","FAIL")</x:f>
        <x:v>PASS</x:v>
      </x:c>
      <x:c r="R1744" s="70" t="s">
        <x:v>28</x:v>
      </x:c>
      <x:c r="S1744" s="70"/>
    </x:row>
    <x:row r="1745" ht="15" hidden="0">
      <x:c r="A1745" s="70" t="s">
        <x:v>3158</x:v>
      </x:c>
      <x:c r="B1745" s="70" t="s">
        <x:v>46</x:v>
      </x:c>
      <x:c r="C1745" s="70" t="s">
        <x:v>77</x:v>
      </x:c>
      <x:c r="D1745" s="70" t="s">
        <x:v>356</x:v>
      </x:c>
      <x:c r="E1745" s="70" t="s">
        <x:v>1129</x:v>
      </x:c>
      <x:c r="F1745" s="70" t="s">
        <x:v>3153</x:v>
      </x:c>
      <x:c r="G1745" s="70" t="s">
        <x:v>2999</x:v>
      </x:c>
      <x:c r="H1745" s="70" t="s">
        <x:v>1215</x:v>
      </x:c>
      <x:c r="I1745" s="70" t="s">
        <x:v>1218</x:v>
      </x:c>
      <x:c r="J1745" s="70" t="n">
        <x:v>244</x:v>
      </x:c>
      <x:c r="K1745" s="70" t="s">
        <x:v>1200</x:v>
      </x:c>
      <x:c r="L1745" s="70"/>
      <x:c r="M1745" s="70" t="s">
        <x:v>40</x:v>
      </x:c>
      <x:c r="N1745" s="71" t="n">
        <x:v>588076</x:v>
      </x:c>
      <x:c r="O1745" s="72" t="n">
        <x:f aca="0">N1745/1000</x:f>
        <x:v>588.076</x:v>
      </x:c>
      <x:c r="P1745" s="73" t="n">
        <x:f aca="0">FCCL!H52</x:f>
        <x:v>588.076</x:v>
      </x:c>
      <x:c r="Q1745" s="70" t="str">
        <x:f aca="0">IF(ABS(O1745-P1745)&lt;0.000001,"PASS","FAIL")</x:f>
        <x:v>PASS</x:v>
      </x:c>
      <x:c r="R1745" s="70" t="s">
        <x:v>28</x:v>
      </x:c>
      <x:c r="S1745" s="70"/>
    </x:row>
    <x:row r="1746" ht="15" hidden="0">
      <x:c r="A1746" s="70" t="s">
        <x:v>3159</x:v>
      </x:c>
      <x:c r="B1746" s="70" t="s">
        <x:v>46</x:v>
      </x:c>
      <x:c r="C1746" s="70" t="s">
        <x:v>1076</x:v>
      </x:c>
      <x:c r="D1746" s="70" t="s">
        <x:v>358</x:v>
      </x:c>
      <x:c r="E1746" s="70" t="s">
        <x:v>1129</x:v>
      </x:c>
      <x:c r="F1746" s="70"/>
      <x:c r="G1746" s="70" t="s">
        <x:v>2990</x:v>
      </x:c>
      <x:c r="H1746" s="70" t="s">
        <x:v>1198</x:v>
      </x:c>
      <x:c r="I1746" s="70" t="s">
        <x:v>1199</x:v>
      </x:c>
      <x:c r="J1746" s="70" t="n">
        <x:v>164</x:v>
      </x:c>
      <x:c r="K1746" s="70" t="s">
        <x:v>2979</x:v>
      </x:c>
      <x:c r="L1746" s="70"/>
      <x:c r="M1746" s="70" t="s">
        <x:v>40</x:v>
      </x:c>
      <x:c r="N1746" s="71" t="n">
        <x:v>0</x:v>
      </x:c>
      <x:c r="O1746" s="72" t="n">
        <x:f aca="0">N1746/1000</x:f>
        <x:v>0</x:v>
      </x:c>
      <x:c r="P1746" s="73" t="n">
        <x:f aca="0">FCCL!C53</x:f>
        <x:v>0</x:v>
      </x:c>
      <x:c r="Q1746" s="70" t="str">
        <x:f aca="0">IF(ABS(O1746-P1746)&lt;0.000001,"PASS","FAIL")</x:f>
        <x:v>PASS</x:v>
      </x:c>
      <x:c r="R1746" s="70" t="s">
        <x:v>28</x:v>
      </x:c>
      <x:c r="S1746" s="70"/>
    </x:row>
    <x:row r="1747" ht="15" hidden="0">
      <x:c r="A1747" s="70" t="s">
        <x:v>3160</x:v>
      </x:c>
      <x:c r="B1747" s="70" t="s">
        <x:v>46</x:v>
      </x:c>
      <x:c r="C1747" s="70" t="s">
        <x:v>73</x:v>
      </x:c>
      <x:c r="D1747" s="70" t="s">
        <x:v>358</x:v>
      </x:c>
      <x:c r="E1747" s="70" t="s">
        <x:v>1129</x:v>
      </x:c>
      <x:c r="F1747" s="70"/>
      <x:c r="G1747" s="70" t="s">
        <x:v>2992</x:v>
      </x:c>
      <x:c r="H1747" s="70" t="s">
        <x:v>1204</x:v>
      </x:c>
      <x:c r="I1747" s="70" t="s">
        <x:v>1199</x:v>
      </x:c>
      <x:c r="J1747" s="70" t="n">
        <x:v>186</x:v>
      </x:c>
      <x:c r="K1747" s="70" t="s">
        <x:v>2126</x:v>
      </x:c>
      <x:c r="L1747" s="70"/>
      <x:c r="M1747" s="70" t="s">
        <x:v>40</x:v>
      </x:c>
      <x:c r="N1747" s="71" t="n">
        <x:v>0</x:v>
      </x:c>
      <x:c r="O1747" s="72" t="n">
        <x:f aca="0">N1747/1000</x:f>
        <x:v>0</x:v>
      </x:c>
      <x:c r="P1747" s="73" t="n">
        <x:f aca="0">FCCL!D53</x:f>
        <x:v>0</x:v>
      </x:c>
      <x:c r="Q1747" s="70" t="str">
        <x:f aca="0">IF(ABS(O1747-P1747)&lt;0.000001,"PASS","FAIL")</x:f>
        <x:v>PASS</x:v>
      </x:c>
      <x:c r="R1747" s="70" t="s">
        <x:v>28</x:v>
      </x:c>
      <x:c r="S1747" s="70"/>
    </x:row>
    <x:row r="1748" ht="15" hidden="0">
      <x:c r="A1748" s="70" t="s">
        <x:v>3161</x:v>
      </x:c>
      <x:c r="B1748" s="70" t="s">
        <x:v>46</x:v>
      </x:c>
      <x:c r="C1748" s="70" t="s">
        <x:v>74</x:v>
      </x:c>
      <x:c r="D1748" s="70" t="s">
        <x:v>358</x:v>
      </x:c>
      <x:c r="E1748" s="70" t="s">
        <x:v>1129</x:v>
      </x:c>
      <x:c r="F1748" s="70"/>
      <x:c r="G1748" s="70" t="s">
        <x:v>2994</x:v>
      </x:c>
      <x:c r="H1748" s="70" t="s">
        <x:v>1208</x:v>
      </x:c>
      <x:c r="I1748" s="70" t="s">
        <x:v>1199</x:v>
      </x:c>
      <x:c r="J1748" s="70" t="n">
        <x:v>208</x:v>
      </x:c>
      <x:c r="K1748" s="70" t="s">
        <x:v>2467</x:v>
      </x:c>
      <x:c r="L1748" s="70"/>
      <x:c r="M1748" s="70" t="s">
        <x:v>40</x:v>
      </x:c>
      <x:c r="N1748" s="71" t="n">
        <x:v>0</x:v>
      </x:c>
      <x:c r="O1748" s="72" t="n">
        <x:f aca="0">N1748/1000</x:f>
        <x:v>0</x:v>
      </x:c>
      <x:c r="P1748" s="73" t="n">
        <x:f aca="0">FCCL!E53</x:f>
        <x:v>0</x:v>
      </x:c>
      <x:c r="Q1748" s="70" t="str">
        <x:f aca="0">IF(ABS(O1748-P1748)&lt;0.000001,"PASS","FAIL")</x:f>
        <x:v>PASS</x:v>
      </x:c>
      <x:c r="R1748" s="70" t="s">
        <x:v>28</x:v>
      </x:c>
      <x:c r="S1748" s="70"/>
    </x:row>
    <x:row r="1749" ht="15" hidden="0">
      <x:c r="A1749" s="70" t="s">
        <x:v>3162</x:v>
      </x:c>
      <x:c r="B1749" s="70" t="s">
        <x:v>46</x:v>
      </x:c>
      <x:c r="C1749" s="70" t="s">
        <x:v>75</x:v>
      </x:c>
      <x:c r="D1749" s="70" t="s">
        <x:v>358</x:v>
      </x:c>
      <x:c r="E1749" s="70" t="s">
        <x:v>1129</x:v>
      </x:c>
      <x:c r="F1749" s="70"/>
      <x:c r="G1749" s="70" t="s">
        <x:v>2997</x:v>
      </x:c>
      <x:c r="H1749" s="70" t="s">
        <x:v>1211</x:v>
      </x:c>
      <x:c r="I1749" s="70" t="s">
        <x:v>1199</x:v>
      </x:c>
      <x:c r="J1749" s="70" t="n">
        <x:v>190</x:v>
      </x:c>
      <x:c r="K1749" s="70" t="s">
        <x:v>2130</x:v>
      </x:c>
      <x:c r="L1749" s="70"/>
      <x:c r="M1749" s="70" t="s">
        <x:v>40</x:v>
      </x:c>
      <x:c r="N1749" s="71" t="n">
        <x:v>0</x:v>
      </x:c>
      <x:c r="O1749" s="72" t="n">
        <x:f aca="0">N1749/1000</x:f>
        <x:v>0</x:v>
      </x:c>
      <x:c r="P1749" s="73" t="n">
        <x:f aca="0">FCCL!F53</x:f>
        <x:v>0</x:v>
      </x:c>
      <x:c r="Q1749" s="70" t="str">
        <x:f aca="0">IF(ABS(O1749-P1749)&lt;0.000001,"PASS","FAIL")</x:f>
        <x:v>PASS</x:v>
      </x:c>
      <x:c r="R1749" s="70" t="s">
        <x:v>28</x:v>
      </x:c>
      <x:c r="S1749" s="70"/>
    </x:row>
    <x:row r="1750" ht="15" hidden="0">
      <x:c r="A1750" s="70" t="s">
        <x:v>3163</x:v>
      </x:c>
      <x:c r="B1750" s="70" t="s">
        <x:v>46</x:v>
      </x:c>
      <x:c r="C1750" s="70" t="s">
        <x:v>76</x:v>
      </x:c>
      <x:c r="D1750" s="70" t="s">
        <x:v>358</x:v>
      </x:c>
      <x:c r="E1750" s="70" t="s">
        <x:v>1129</x:v>
      </x:c>
      <x:c r="F1750" s="70"/>
      <x:c r="G1750" s="70" t="s">
        <x:v>2999</x:v>
      </x:c>
      <x:c r="H1750" s="70" t="s">
        <x:v>1215</x:v>
      </x:c>
      <x:c r="I1750" s="70" t="s">
        <x:v>1199</x:v>
      </x:c>
      <x:c r="J1750" s="70" t="n">
        <x:v>244</x:v>
      </x:c>
      <x:c r="K1750" s="70" t="s">
        <x:v>1200</x:v>
      </x:c>
      <x:c r="L1750" s="70"/>
      <x:c r="M1750" s="70" t="s">
        <x:v>40</x:v>
      </x:c>
      <x:c r="N1750" s="71" t="n">
        <x:v>0</x:v>
      </x:c>
      <x:c r="O1750" s="72" t="n">
        <x:f aca="0">N1750/1000</x:f>
        <x:v>0</x:v>
      </x:c>
      <x:c r="P1750" s="73" t="n">
        <x:f aca="0">FCCL!G53</x:f>
        <x:v>0</x:v>
      </x:c>
      <x:c r="Q1750" s="70" t="str">
        <x:f aca="0">IF(ABS(O1750-P1750)&lt;0.000001,"PASS","FAIL")</x:f>
        <x:v>PASS</x:v>
      </x:c>
      <x:c r="R1750" s="70" t="s">
        <x:v>28</x:v>
      </x:c>
      <x:c r="S1750" s="70"/>
    </x:row>
    <x:row r="1751" ht="15" hidden="0">
      <x:c r="A1751" s="70" t="s">
        <x:v>3164</x:v>
      </x:c>
      <x:c r="B1751" s="70" t="s">
        <x:v>46</x:v>
      </x:c>
      <x:c r="C1751" s="70" t="s">
        <x:v>77</x:v>
      </x:c>
      <x:c r="D1751" s="70" t="s">
        <x:v>358</x:v>
      </x:c>
      <x:c r="E1751" s="70" t="s">
        <x:v>1129</x:v>
      </x:c>
      <x:c r="F1751" s="70"/>
      <x:c r="G1751" s="70" t="s">
        <x:v>2999</x:v>
      </x:c>
      <x:c r="H1751" s="70" t="s">
        <x:v>1215</x:v>
      </x:c>
      <x:c r="I1751" s="70" t="s">
        <x:v>1218</x:v>
      </x:c>
      <x:c r="J1751" s="70" t="n">
        <x:v>244</x:v>
      </x:c>
      <x:c r="K1751" s="70" t="s">
        <x:v>1200</x:v>
      </x:c>
      <x:c r="L1751" s="70"/>
      <x:c r="M1751" s="70" t="s">
        <x:v>40</x:v>
      </x:c>
      <x:c r="N1751" s="71" t="n">
        <x:v>0</x:v>
      </x:c>
      <x:c r="O1751" s="72" t="n">
        <x:f aca="0">N1751/1000</x:f>
        <x:v>0</x:v>
      </x:c>
      <x:c r="P1751" s="73" t="n">
        <x:f aca="0">FCCL!H53</x:f>
        <x:v>0</x:v>
      </x:c>
      <x:c r="Q1751" s="70" t="str">
        <x:f aca="0">IF(ABS(O1751-P1751)&lt;0.000001,"PASS","FAIL")</x:f>
        <x:v>PASS</x:v>
      </x:c>
      <x:c r="R1751" s="70" t="s">
        <x:v>28</x:v>
      </x:c>
      <x:c r="S1751" s="70"/>
    </x:row>
    <x:row r="1752" ht="15" hidden="0">
      <x:c r="A1752" s="70" t="s">
        <x:v>3165</x:v>
      </x:c>
      <x:c r="B1752" s="70" t="s">
        <x:v>46</x:v>
      </x:c>
      <x:c r="C1752" s="70" t="s">
        <x:v>1076</x:v>
      </x:c>
      <x:c r="D1752" s="70" t="s">
        <x:v>360</x:v>
      </x:c>
      <x:c r="E1752" s="70" t="s">
        <x:v>1129</x:v>
      </x:c>
      <x:c r="F1752" s="70" t="s">
        <x:v>1401</x:v>
      </x:c>
      <x:c r="G1752" s="70" t="s">
        <x:v>2990</x:v>
      </x:c>
      <x:c r="H1752" s="70" t="s">
        <x:v>1198</x:v>
      </x:c>
      <x:c r="I1752" s="70" t="s">
        <x:v>1199</x:v>
      </x:c>
      <x:c r="J1752" s="70" t="n">
        <x:v>164</x:v>
      </x:c>
      <x:c r="K1752" s="70" t="s">
        <x:v>2979</x:v>
      </x:c>
      <x:c r="L1752" s="70" t="s">
        <x:v>1397</x:v>
      </x:c>
      <x:c r="M1752" s="70" t="s">
        <x:v>40</x:v>
      </x:c>
      <x:c r="N1752" s="71" t="n">
        <x:v>1869167</x:v>
      </x:c>
      <x:c r="O1752" s="72" t="n">
        <x:f aca="0">N1752/1000</x:f>
        <x:v>1869.167</x:v>
      </x:c>
      <x:c r="P1752" s="73" t="n">
        <x:f aca="0">FCCL!C54</x:f>
        <x:v>1869.167</x:v>
      </x:c>
      <x:c r="Q1752" s="70" t="str">
        <x:f aca="0">IF(ABS(O1752-P1752)&lt;0.000001,"PASS","FAIL")</x:f>
        <x:v>PASS</x:v>
      </x:c>
      <x:c r="R1752" s="70" t="s">
        <x:v>28</x:v>
      </x:c>
      <x:c r="S1752" s="70"/>
    </x:row>
    <x:row r="1753" ht="15" hidden="0">
      <x:c r="A1753" s="70" t="s">
        <x:v>3166</x:v>
      </x:c>
      <x:c r="B1753" s="70" t="s">
        <x:v>46</x:v>
      </x:c>
      <x:c r="C1753" s="70" t="s">
        <x:v>73</x:v>
      </x:c>
      <x:c r="D1753" s="70" t="s">
        <x:v>360</x:v>
      </x:c>
      <x:c r="E1753" s="70" t="s">
        <x:v>1129</x:v>
      </x:c>
      <x:c r="F1753" s="70" t="s">
        <x:v>3167</x:v>
      </x:c>
      <x:c r="G1753" s="70" t="s">
        <x:v>2992</x:v>
      </x:c>
      <x:c r="H1753" s="70" t="s">
        <x:v>1204</x:v>
      </x:c>
      <x:c r="I1753" s="70" t="s">
        <x:v>1199</x:v>
      </x:c>
      <x:c r="J1753" s="70" t="n">
        <x:v>186</x:v>
      </x:c>
      <x:c r="K1753" s="70" t="s">
        <x:v>2126</x:v>
      </x:c>
      <x:c r="L1753" s="70" t="s">
        <x:v>1406</x:v>
      </x:c>
      <x:c r="M1753" s="70" t="s">
        <x:v>40</x:v>
      </x:c>
      <x:c r="N1753" s="71" t="n">
        <x:v>1616787</x:v>
      </x:c>
      <x:c r="O1753" s="72" t="n">
        <x:f aca="0">N1753/1000</x:f>
        <x:v>1616.787</x:v>
      </x:c>
      <x:c r="P1753" s="73" t="n">
        <x:f aca="0">FCCL!D54</x:f>
        <x:v>1616.787</x:v>
      </x:c>
      <x:c r="Q1753" s="70" t="str">
        <x:f aca="0">IF(ABS(O1753-P1753)&lt;0.000001,"PASS","FAIL")</x:f>
        <x:v>PASS</x:v>
      </x:c>
      <x:c r="R1753" s="70" t="s">
        <x:v>28</x:v>
      </x:c>
      <x:c r="S1753" s="70"/>
    </x:row>
    <x:row r="1754" ht="15" hidden="0">
      <x:c r="A1754" s="70" t="s">
        <x:v>3168</x:v>
      </x:c>
      <x:c r="B1754" s="70" t="s">
        <x:v>46</x:v>
      </x:c>
      <x:c r="C1754" s="70" t="s">
        <x:v>74</x:v>
      </x:c>
      <x:c r="D1754" s="70" t="s">
        <x:v>360</x:v>
      </x:c>
      <x:c r="E1754" s="70" t="s">
        <x:v>1129</x:v>
      </x:c>
      <x:c r="F1754" s="70" t="s">
        <x:v>3169</x:v>
      </x:c>
      <x:c r="G1754" s="70" t="s">
        <x:v>2994</x:v>
      </x:c>
      <x:c r="H1754" s="70" t="s">
        <x:v>1208</x:v>
      </x:c>
      <x:c r="I1754" s="70" t="s">
        <x:v>1199</x:v>
      </x:c>
      <x:c r="J1754" s="70" t="n">
        <x:v>208</x:v>
      </x:c>
      <x:c r="K1754" s="70" t="s">
        <x:v>2467</x:v>
      </x:c>
      <x:c r="L1754" s="70" t="s">
        <x:v>1385</x:v>
      </x:c>
      <x:c r="M1754" s="70" t="s">
        <x:v>40</x:v>
      </x:c>
      <x:c r="N1754" s="71" t="n">
        <x:v>10605249</x:v>
      </x:c>
      <x:c r="O1754" s="72" t="n">
        <x:f aca="0">N1754/1000</x:f>
        <x:v>10605.249</x:v>
      </x:c>
      <x:c r="P1754" s="73" t="n">
        <x:f aca="0">FCCL!E54</x:f>
        <x:v>10605.249</x:v>
      </x:c>
      <x:c r="Q1754" s="70" t="str">
        <x:f aca="0">IF(ABS(O1754-P1754)&lt;0.000001,"PASS","FAIL")</x:f>
        <x:v>PASS</x:v>
      </x:c>
      <x:c r="R1754" s="70" t="s">
        <x:v>28</x:v>
      </x:c>
      <x:c r="S1754" s="70"/>
    </x:row>
    <x:row r="1755" ht="15" hidden="0">
      <x:c r="A1755" s="70" t="s">
        <x:v>3170</x:v>
      </x:c>
      <x:c r="B1755" s="70" t="s">
        <x:v>46</x:v>
      </x:c>
      <x:c r="C1755" s="70" t="s">
        <x:v>75</x:v>
      </x:c>
      <x:c r="D1755" s="70" t="s">
        <x:v>360</x:v>
      </x:c>
      <x:c r="E1755" s="70" t="s">
        <x:v>1129</x:v>
      </x:c>
      <x:c r="F1755" s="70" t="s">
        <x:v>3169</x:v>
      </x:c>
      <x:c r="G1755" s="70" t="s">
        <x:v>2997</x:v>
      </x:c>
      <x:c r="H1755" s="70" t="s">
        <x:v>1211</x:v>
      </x:c>
      <x:c r="I1755" s="70" t="s">
        <x:v>1199</x:v>
      </x:c>
      <x:c r="J1755" s="70" t="n">
        <x:v>190</x:v>
      </x:c>
      <x:c r="K1755" s="70" t="s">
        <x:v>2130</x:v>
      </x:c>
      <x:c r="L1755" s="70" t="s">
        <x:v>1385</x:v>
      </x:c>
      <x:c r="M1755" s="70" t="s">
        <x:v>40</x:v>
      </x:c>
      <x:c r="N1755" s="71" t="n">
        <x:v>11917981</x:v>
      </x:c>
      <x:c r="O1755" s="72" t="n">
        <x:f aca="0">N1755/1000</x:f>
        <x:v>11917.981</x:v>
      </x:c>
      <x:c r="P1755" s="73" t="n">
        <x:f aca="0">FCCL!F54</x:f>
        <x:v>11917.981</x:v>
      </x:c>
      <x:c r="Q1755" s="70" t="str">
        <x:f aca="0">IF(ABS(O1755-P1755)&lt;0.000001,"PASS","FAIL")</x:f>
        <x:v>PASS</x:v>
      </x:c>
      <x:c r="R1755" s="70" t="s">
        <x:v>28</x:v>
      </x:c>
      <x:c r="S1755" s="70"/>
    </x:row>
    <x:row r="1756" ht="15" hidden="0">
      <x:c r="A1756" s="70" t="s">
        <x:v>3171</x:v>
      </x:c>
      <x:c r="B1756" s="70" t="s">
        <x:v>46</x:v>
      </x:c>
      <x:c r="C1756" s="70" t="s">
        <x:v>76</x:v>
      </x:c>
      <x:c r="D1756" s="70" t="s">
        <x:v>360</x:v>
      </x:c>
      <x:c r="E1756" s="70" t="s">
        <x:v>1129</x:v>
      </x:c>
      <x:c r="F1756" s="70" t="s">
        <x:v>3169</x:v>
      </x:c>
      <x:c r="G1756" s="70" t="s">
        <x:v>2999</x:v>
      </x:c>
      <x:c r="H1756" s="70" t="s">
        <x:v>1215</x:v>
      </x:c>
      <x:c r="I1756" s="70" t="s">
        <x:v>1199</x:v>
      </x:c>
      <x:c r="J1756" s="70" t="n">
        <x:v>244</x:v>
      </x:c>
      <x:c r="K1756" s="70" t="s">
        <x:v>1200</x:v>
      </x:c>
      <x:c r="L1756" s="70" t="s">
        <x:v>1406</x:v>
      </x:c>
      <x:c r="M1756" s="70" t="s">
        <x:v>40</x:v>
      </x:c>
      <x:c r="N1756" s="71" t="n">
        <x:v>8837934</x:v>
      </x:c>
      <x:c r="O1756" s="72" t="n">
        <x:f aca="0">N1756/1000</x:f>
        <x:v>8837.934</x:v>
      </x:c>
      <x:c r="P1756" s="73" t="n">
        <x:f aca="0">FCCL!G54</x:f>
        <x:v>8837.934</x:v>
      </x:c>
      <x:c r="Q1756" s="70" t="str">
        <x:f aca="0">IF(ABS(O1756-P1756)&lt;0.000001,"PASS","FAIL")</x:f>
        <x:v>PASS</x:v>
      </x:c>
      <x:c r="R1756" s="70" t="s">
        <x:v>28</x:v>
      </x:c>
      <x:c r="S1756" s="70"/>
    </x:row>
    <x:row r="1757" ht="15" hidden="0">
      <x:c r="A1757" s="70" t="s">
        <x:v>3172</x:v>
      </x:c>
      <x:c r="B1757" s="70" t="s">
        <x:v>46</x:v>
      </x:c>
      <x:c r="C1757" s="70" t="s">
        <x:v>77</x:v>
      </x:c>
      <x:c r="D1757" s="70" t="s">
        <x:v>360</x:v>
      </x:c>
      <x:c r="E1757" s="70" t="s">
        <x:v>1129</x:v>
      </x:c>
      <x:c r="F1757" s="70" t="s">
        <x:v>3169</x:v>
      </x:c>
      <x:c r="G1757" s="70" t="s">
        <x:v>2999</x:v>
      </x:c>
      <x:c r="H1757" s="70" t="s">
        <x:v>1215</x:v>
      </x:c>
      <x:c r="I1757" s="70" t="s">
        <x:v>1218</x:v>
      </x:c>
      <x:c r="J1757" s="70" t="n">
        <x:v>244</x:v>
      </x:c>
      <x:c r="K1757" s="70" t="s">
        <x:v>1200</x:v>
      </x:c>
      <x:c r="L1757" s="70" t="s">
        <x:v>1406</x:v>
      </x:c>
      <x:c r="M1757" s="70" t="s">
        <x:v>40</x:v>
      </x:c>
      <x:c r="N1757" s="71" t="n">
        <x:v>9764648</x:v>
      </x:c>
      <x:c r="O1757" s="72" t="n">
        <x:f aca="0">N1757/1000</x:f>
        <x:v>9764.648</x:v>
      </x:c>
      <x:c r="P1757" s="73" t="n">
        <x:f aca="0">FCCL!H54</x:f>
        <x:v>9764.648</x:v>
      </x:c>
      <x:c r="Q1757" s="70" t="str">
        <x:f aca="0">IF(ABS(O1757-P1757)&lt;0.000001,"PASS","FAIL")</x:f>
        <x:v>PASS</x:v>
      </x:c>
      <x:c r="R1757" s="70" t="s">
        <x:v>28</x:v>
      </x:c>
      <x:c r="S1757" s="70"/>
    </x:row>
    <x:row r="1758" ht="15" hidden="0">
      <x:c r="A1758" s="70" t="s">
        <x:v>3173</x:v>
      </x:c>
      <x:c r="B1758" s="70" t="s">
        <x:v>46</x:v>
      </x:c>
      <x:c r="C1758" s="70" t="s">
        <x:v>1076</x:v>
      </x:c>
      <x:c r="D1758" s="70" t="s">
        <x:v>362</x:v>
      </x:c>
      <x:c r="E1758" s="70" t="s">
        <x:v>1129</x:v>
      </x:c>
      <x:c r="F1758" s="70" t="s">
        <x:v>3174</x:v>
      </x:c>
      <x:c r="G1758" s="70" t="s">
        <x:v>2990</x:v>
      </x:c>
      <x:c r="H1758" s="70" t="s">
        <x:v>1198</x:v>
      </x:c>
      <x:c r="I1758" s="70" t="s">
        <x:v>1199</x:v>
      </x:c>
      <x:c r="J1758" s="70" t="n">
        <x:v>164</x:v>
      </x:c>
      <x:c r="K1758" s="70" t="s">
        <x:v>2979</x:v>
      </x:c>
      <x:c r="L1758" s="70" t="s">
        <x:v>1707</x:v>
      </x:c>
      <x:c r="M1758" s="70" t="s">
        <x:v>40</x:v>
      </x:c>
      <x:c r="N1758" s="71" t="n">
        <x:v>303912</x:v>
      </x:c>
      <x:c r="O1758" s="72" t="n">
        <x:f aca="0">N1758/1000</x:f>
        <x:v>303.912</x:v>
      </x:c>
      <x:c r="P1758" s="73" t="n">
        <x:f aca="0">FCCL!C55</x:f>
        <x:v>303.912</x:v>
      </x:c>
      <x:c r="Q1758" s="70" t="str">
        <x:f aca="0">IF(ABS(O1758-P1758)&lt;0.000001,"PASS","FAIL")</x:f>
        <x:v>PASS</x:v>
      </x:c>
      <x:c r="R1758" s="70" t="s">
        <x:v>28</x:v>
      </x:c>
      <x:c r="S1758" s="70"/>
    </x:row>
    <x:row r="1759" ht="15" hidden="0">
      <x:c r="A1759" s="70" t="s">
        <x:v>3175</x:v>
      </x:c>
      <x:c r="B1759" s="70" t="s">
        <x:v>46</x:v>
      </x:c>
      <x:c r="C1759" s="70" t="s">
        <x:v>73</x:v>
      </x:c>
      <x:c r="D1759" s="70" t="s">
        <x:v>362</x:v>
      </x:c>
      <x:c r="E1759" s="70" t="s">
        <x:v>1129</x:v>
      </x:c>
      <x:c r="F1759" s="70" t="s">
        <x:v>3174</x:v>
      </x:c>
      <x:c r="G1759" s="70" t="s">
        <x:v>2992</x:v>
      </x:c>
      <x:c r="H1759" s="70" t="s">
        <x:v>1204</x:v>
      </x:c>
      <x:c r="I1759" s="70" t="s">
        <x:v>1199</x:v>
      </x:c>
      <x:c r="J1759" s="70" t="n">
        <x:v>186</x:v>
      </x:c>
      <x:c r="K1759" s="70" t="s">
        <x:v>2126</x:v>
      </x:c>
      <x:c r="L1759" s="70" t="s">
        <x:v>1720</x:v>
      </x:c>
      <x:c r="M1759" s="70" t="s">
        <x:v>40</x:v>
      </x:c>
      <x:c r="N1759" s="71" t="n">
        <x:v>361521</x:v>
      </x:c>
      <x:c r="O1759" s="72" t="n">
        <x:f aca="0">N1759/1000</x:f>
        <x:v>361.521</x:v>
      </x:c>
      <x:c r="P1759" s="73" t="n">
        <x:f aca="0">FCCL!D55</x:f>
        <x:v>361.521</x:v>
      </x:c>
      <x:c r="Q1759" s="70" t="str">
        <x:f aca="0">IF(ABS(O1759-P1759)&lt;0.000001,"PASS","FAIL")</x:f>
        <x:v>PASS</x:v>
      </x:c>
      <x:c r="R1759" s="70" t="s">
        <x:v>28</x:v>
      </x:c>
      <x:c r="S1759" s="70"/>
    </x:row>
    <x:row r="1760" ht="15" hidden="0">
      <x:c r="A1760" s="70" t="s">
        <x:v>3176</x:v>
      </x:c>
      <x:c r="B1760" s="70" t="s">
        <x:v>46</x:v>
      </x:c>
      <x:c r="C1760" s="70" t="s">
        <x:v>74</x:v>
      </x:c>
      <x:c r="D1760" s="70" t="s">
        <x:v>362</x:v>
      </x:c>
      <x:c r="E1760" s="70" t="s">
        <x:v>1129</x:v>
      </x:c>
      <x:c r="F1760" s="70" t="s">
        <x:v>3174</x:v>
      </x:c>
      <x:c r="G1760" s="70" t="s">
        <x:v>2994</x:v>
      </x:c>
      <x:c r="H1760" s="70" t="s">
        <x:v>1208</x:v>
      </x:c>
      <x:c r="I1760" s="70" t="s">
        <x:v>1199</x:v>
      </x:c>
      <x:c r="J1760" s="70" t="n">
        <x:v>208</x:v>
      </x:c>
      <x:c r="K1760" s="70" t="s">
        <x:v>2467</x:v>
      </x:c>
      <x:c r="L1760" s="70" t="s">
        <x:v>1707</x:v>
      </x:c>
      <x:c r="M1760" s="70" t="s">
        <x:v>40</x:v>
      </x:c>
      <x:c r="N1760" s="71" t="n">
        <x:v>2985087</x:v>
      </x:c>
      <x:c r="O1760" s="72" t="n">
        <x:f aca="0">N1760/1000</x:f>
        <x:v>2985.087</x:v>
      </x:c>
      <x:c r="P1760" s="73" t="n">
        <x:f aca="0">FCCL!E55</x:f>
        <x:v>2985.087</x:v>
      </x:c>
      <x:c r="Q1760" s="70" t="str">
        <x:f aca="0">IF(ABS(O1760-P1760)&lt;0.000001,"PASS","FAIL")</x:f>
        <x:v>PASS</x:v>
      </x:c>
      <x:c r="R1760" s="70" t="s">
        <x:v>28</x:v>
      </x:c>
      <x:c r="S1760" s="70"/>
    </x:row>
    <x:row r="1761" ht="15" hidden="0">
      <x:c r="A1761" s="70" t="s">
        <x:v>3177</x:v>
      </x:c>
      <x:c r="B1761" s="70" t="s">
        <x:v>46</x:v>
      </x:c>
      <x:c r="C1761" s="70" t="s">
        <x:v>75</x:v>
      </x:c>
      <x:c r="D1761" s="70" t="s">
        <x:v>362</x:v>
      </x:c>
      <x:c r="E1761" s="70" t="s">
        <x:v>1129</x:v>
      </x:c>
      <x:c r="F1761" s="70" t="s">
        <x:v>3174</x:v>
      </x:c>
      <x:c r="G1761" s="70" t="s">
        <x:v>2997</x:v>
      </x:c>
      <x:c r="H1761" s="70" t="s">
        <x:v>1211</x:v>
      </x:c>
      <x:c r="I1761" s="70" t="s">
        <x:v>1199</x:v>
      </x:c>
      <x:c r="J1761" s="70" t="n">
        <x:v>190</x:v>
      </x:c>
      <x:c r="K1761" s="70" t="s">
        <x:v>2130</x:v>
      </x:c>
      <x:c r="L1761" s="70" t="s">
        <x:v>1707</x:v>
      </x:c>
      <x:c r="M1761" s="70" t="s">
        <x:v>40</x:v>
      </x:c>
      <x:c r="N1761" s="71" t="n">
        <x:v>4176493</x:v>
      </x:c>
      <x:c r="O1761" s="72" t="n">
        <x:f aca="0">N1761/1000</x:f>
        <x:v>4176.493</x:v>
      </x:c>
      <x:c r="P1761" s="73" t="n">
        <x:f aca="0">FCCL!F55</x:f>
        <x:v>4176.493</x:v>
      </x:c>
      <x:c r="Q1761" s="70" t="str">
        <x:f aca="0">IF(ABS(O1761-P1761)&lt;0.000001,"PASS","FAIL")</x:f>
        <x:v>PASS</x:v>
      </x:c>
      <x:c r="R1761" s="70" t="s">
        <x:v>28</x:v>
      </x:c>
      <x:c r="S1761" s="70"/>
    </x:row>
    <x:row r="1762" ht="15" hidden="0">
      <x:c r="A1762" s="70" t="s">
        <x:v>3178</x:v>
      </x:c>
      <x:c r="B1762" s="70" t="s">
        <x:v>46</x:v>
      </x:c>
      <x:c r="C1762" s="70" t="s">
        <x:v>76</x:v>
      </x:c>
      <x:c r="D1762" s="70" t="s">
        <x:v>362</x:v>
      </x:c>
      <x:c r="E1762" s="70" t="s">
        <x:v>1129</x:v>
      </x:c>
      <x:c r="F1762" s="70" t="s">
        <x:v>3174</x:v>
      </x:c>
      <x:c r="G1762" s="70" t="s">
        <x:v>2999</x:v>
      </x:c>
      <x:c r="H1762" s="70" t="s">
        <x:v>1215</x:v>
      </x:c>
      <x:c r="I1762" s="70" t="s">
        <x:v>1199</x:v>
      </x:c>
      <x:c r="J1762" s="70" t="n">
        <x:v>244</x:v>
      </x:c>
      <x:c r="K1762" s="70" t="s">
        <x:v>1200</x:v>
      </x:c>
      <x:c r="L1762" s="70" t="s">
        <x:v>1332</x:v>
      </x:c>
      <x:c r="M1762" s="70" t="s">
        <x:v>40</x:v>
      </x:c>
      <x:c r="N1762" s="71" t="n">
        <x:v>5066868</x:v>
      </x:c>
      <x:c r="O1762" s="72" t="n">
        <x:f aca="0">N1762/1000</x:f>
        <x:v>5066.868</x:v>
      </x:c>
      <x:c r="P1762" s="73" t="n">
        <x:f aca="0">FCCL!G55</x:f>
        <x:v>5066.868</x:v>
      </x:c>
      <x:c r="Q1762" s="70" t="str">
        <x:f aca="0">IF(ABS(O1762-P1762)&lt;0.000001,"PASS","FAIL")</x:f>
        <x:v>PASS</x:v>
      </x:c>
      <x:c r="R1762" s="70" t="s">
        <x:v>28</x:v>
      </x:c>
      <x:c r="S1762" s="70"/>
    </x:row>
    <x:row r="1763" ht="15" hidden="0">
      <x:c r="A1763" s="70" t="s">
        <x:v>3179</x:v>
      </x:c>
      <x:c r="B1763" s="70" t="s">
        <x:v>46</x:v>
      </x:c>
      <x:c r="C1763" s="70" t="s">
        <x:v>77</x:v>
      </x:c>
      <x:c r="D1763" s="70" t="s">
        <x:v>362</x:v>
      </x:c>
      <x:c r="E1763" s="70" t="s">
        <x:v>1129</x:v>
      </x:c>
      <x:c r="F1763" s="70" t="s">
        <x:v>3174</x:v>
      </x:c>
      <x:c r="G1763" s="70" t="s">
        <x:v>2999</x:v>
      </x:c>
      <x:c r="H1763" s="70" t="s">
        <x:v>1215</x:v>
      </x:c>
      <x:c r="I1763" s="70" t="s">
        <x:v>1218</x:v>
      </x:c>
      <x:c r="J1763" s="70" t="n">
        <x:v>244</x:v>
      </x:c>
      <x:c r="K1763" s="70" t="s">
        <x:v>1200</x:v>
      </x:c>
      <x:c r="L1763" s="70" t="s">
        <x:v>1332</x:v>
      </x:c>
      <x:c r="M1763" s="70" t="s">
        <x:v>40</x:v>
      </x:c>
      <x:c r="N1763" s="71" t="n">
        <x:v>6104065</x:v>
      </x:c>
      <x:c r="O1763" s="72" t="n">
        <x:f aca="0">N1763/1000</x:f>
        <x:v>6104.065</x:v>
      </x:c>
      <x:c r="P1763" s="73" t="n">
        <x:f aca="0">FCCL!H55</x:f>
        <x:v>6104.065</x:v>
      </x:c>
      <x:c r="Q1763" s="70" t="str">
        <x:f aca="0">IF(ABS(O1763-P1763)&lt;0.000001,"PASS","FAIL")</x:f>
        <x:v>PASS</x:v>
      </x:c>
      <x:c r="R1763" s="70" t="s">
        <x:v>28</x:v>
      </x:c>
      <x:c r="S1763" s="70"/>
    </x:row>
    <x:row r="1764" ht="15" hidden="0">
      <x:c r="A1764" s="70" t="s">
        <x:v>3180</x:v>
      </x:c>
      <x:c r="B1764" s="70" t="s">
        <x:v>46</x:v>
      </x:c>
      <x:c r="C1764" s="70" t="s">
        <x:v>1076</x:v>
      </x:c>
      <x:c r="D1764" s="70" t="s">
        <x:v>364</x:v>
      </x:c>
      <x:c r="E1764" s="70" t="s">
        <x:v>1129</x:v>
      </x:c>
      <x:c r="F1764" s="70" t="s">
        <x:v>3181</x:v>
      </x:c>
      <x:c r="G1764" s="70" t="s">
        <x:v>2990</x:v>
      </x:c>
      <x:c r="H1764" s="70" t="s">
        <x:v>1198</x:v>
      </x:c>
      <x:c r="I1764" s="70" t="s">
        <x:v>1199</x:v>
      </x:c>
      <x:c r="J1764" s="70" t="n">
        <x:v>164</x:v>
      </x:c>
      <x:c r="K1764" s="70" t="s">
        <x:v>2979</x:v>
      </x:c>
      <x:c r="L1764" s="70" t="s">
        <x:v>1707</x:v>
      </x:c>
      <x:c r="M1764" s="70" t="s">
        <x:v>40</x:v>
      </x:c>
      <x:c r="N1764" s="71" t="n">
        <x:v>23737</x:v>
      </x:c>
      <x:c r="O1764" s="72" t="n">
        <x:f aca="0">N1764/1000</x:f>
        <x:v>23.737</x:v>
      </x:c>
      <x:c r="P1764" s="73" t="n">
        <x:f aca="0">FCCL!C56</x:f>
        <x:v>23.737</x:v>
      </x:c>
      <x:c r="Q1764" s="70" t="str">
        <x:f aca="0">IF(ABS(O1764-P1764)&lt;0.000001,"PASS","FAIL")</x:f>
        <x:v>PASS</x:v>
      </x:c>
      <x:c r="R1764" s="70" t="s">
        <x:v>28</x:v>
      </x:c>
      <x:c r="S1764" s="70"/>
    </x:row>
    <x:row r="1765" ht="15" hidden="0">
      <x:c r="A1765" s="70" t="s">
        <x:v>3182</x:v>
      </x:c>
      <x:c r="B1765" s="70" t="s">
        <x:v>46</x:v>
      </x:c>
      <x:c r="C1765" s="70" t="s">
        <x:v>73</x:v>
      </x:c>
      <x:c r="D1765" s="70" t="s">
        <x:v>364</x:v>
      </x:c>
      <x:c r="E1765" s="70" t="s">
        <x:v>1129</x:v>
      </x:c>
      <x:c r="F1765" s="70" t="s">
        <x:v>3181</x:v>
      </x:c>
      <x:c r="G1765" s="70" t="s">
        <x:v>2992</x:v>
      </x:c>
      <x:c r="H1765" s="70" t="s">
        <x:v>1204</x:v>
      </x:c>
      <x:c r="I1765" s="70" t="s">
        <x:v>1199</x:v>
      </x:c>
      <x:c r="J1765" s="70" t="n">
        <x:v>186</x:v>
      </x:c>
      <x:c r="K1765" s="70" t="s">
        <x:v>2126</x:v>
      </x:c>
      <x:c r="L1765" s="70" t="s">
        <x:v>1720</x:v>
      </x:c>
      <x:c r="M1765" s="70" t="s">
        <x:v>40</x:v>
      </x:c>
      <x:c r="N1765" s="71" t="n">
        <x:v>24686</x:v>
      </x:c>
      <x:c r="O1765" s="72" t="n">
        <x:f aca="0">N1765/1000</x:f>
        <x:v>24.686</x:v>
      </x:c>
      <x:c r="P1765" s="73" t="n">
        <x:f aca="0">FCCL!D56</x:f>
        <x:v>24.686</x:v>
      </x:c>
      <x:c r="Q1765" s="70" t="str">
        <x:f aca="0">IF(ABS(O1765-P1765)&lt;0.000001,"PASS","FAIL")</x:f>
        <x:v>PASS</x:v>
      </x:c>
      <x:c r="R1765" s="70" t="s">
        <x:v>28</x:v>
      </x:c>
      <x:c r="S1765" s="70"/>
    </x:row>
    <x:row r="1766" ht="15" hidden="0">
      <x:c r="A1766" s="70" t="s">
        <x:v>3183</x:v>
      </x:c>
      <x:c r="B1766" s="70" t="s">
        <x:v>46</x:v>
      </x:c>
      <x:c r="C1766" s="70" t="s">
        <x:v>74</x:v>
      </x:c>
      <x:c r="D1766" s="70" t="s">
        <x:v>364</x:v>
      </x:c>
      <x:c r="E1766" s="70" t="s">
        <x:v>1129</x:v>
      </x:c>
      <x:c r="F1766" s="70" t="s">
        <x:v>3181</x:v>
      </x:c>
      <x:c r="G1766" s="70" t="s">
        <x:v>2994</x:v>
      </x:c>
      <x:c r="H1766" s="70" t="s">
        <x:v>1208</x:v>
      </x:c>
      <x:c r="I1766" s="70" t="s">
        <x:v>1199</x:v>
      </x:c>
      <x:c r="J1766" s="70" t="n">
        <x:v>208</x:v>
      </x:c>
      <x:c r="K1766" s="70" t="s">
        <x:v>2467</x:v>
      </x:c>
      <x:c r="L1766" s="70" t="s">
        <x:v>1707</x:v>
      </x:c>
      <x:c r="M1766" s="70" t="s">
        <x:v>40</x:v>
      </x:c>
      <x:c r="N1766" s="71" t="n">
        <x:v>68332</x:v>
      </x:c>
      <x:c r="O1766" s="72" t="n">
        <x:f aca="0">N1766/1000</x:f>
        <x:v>68.332</x:v>
      </x:c>
      <x:c r="P1766" s="73" t="n">
        <x:f aca="0">FCCL!E56</x:f>
        <x:v>68.332</x:v>
      </x:c>
      <x:c r="Q1766" s="70" t="str">
        <x:f aca="0">IF(ABS(O1766-P1766)&lt;0.000001,"PASS","FAIL")</x:f>
        <x:v>PASS</x:v>
      </x:c>
      <x:c r="R1766" s="70" t="s">
        <x:v>28</x:v>
      </x:c>
      <x:c r="S1766" s="70"/>
    </x:row>
    <x:row r="1767" ht="15" hidden="0">
      <x:c r="A1767" s="70" t="s">
        <x:v>3184</x:v>
      </x:c>
      <x:c r="B1767" s="70" t="s">
        <x:v>46</x:v>
      </x:c>
      <x:c r="C1767" s="70" t="s">
        <x:v>75</x:v>
      </x:c>
      <x:c r="D1767" s="70" t="s">
        <x:v>364</x:v>
      </x:c>
      <x:c r="E1767" s="70" t="s">
        <x:v>1129</x:v>
      </x:c>
      <x:c r="F1767" s="70" t="s">
        <x:v>3181</x:v>
      </x:c>
      <x:c r="G1767" s="70" t="s">
        <x:v>2997</x:v>
      </x:c>
      <x:c r="H1767" s="70" t="s">
        <x:v>1211</x:v>
      </x:c>
      <x:c r="I1767" s="70" t="s">
        <x:v>1199</x:v>
      </x:c>
      <x:c r="J1767" s="70" t="n">
        <x:v>190</x:v>
      </x:c>
      <x:c r="K1767" s="70" t="s">
        <x:v>2130</x:v>
      </x:c>
      <x:c r="L1767" s="70" t="s">
        <x:v>1707</x:v>
      </x:c>
      <x:c r="M1767" s="70" t="s">
        <x:v>40</x:v>
      </x:c>
      <x:c r="N1767" s="71" t="n">
        <x:v>50463</x:v>
      </x:c>
      <x:c r="O1767" s="72" t="n">
        <x:f aca="0">N1767/1000</x:f>
        <x:v>50.463</x:v>
      </x:c>
      <x:c r="P1767" s="73" t="n">
        <x:f aca="0">FCCL!F56</x:f>
        <x:v>50.463</x:v>
      </x:c>
      <x:c r="Q1767" s="70" t="str">
        <x:f aca="0">IF(ABS(O1767-P1767)&lt;0.000001,"PASS","FAIL")</x:f>
        <x:v>PASS</x:v>
      </x:c>
      <x:c r="R1767" s="70" t="s">
        <x:v>28</x:v>
      </x:c>
      <x:c r="S1767" s="70"/>
    </x:row>
    <x:row r="1768" ht="15" hidden="0">
      <x:c r="A1768" s="70" t="s">
        <x:v>3185</x:v>
      </x:c>
      <x:c r="B1768" s="70" t="s">
        <x:v>46</x:v>
      </x:c>
      <x:c r="C1768" s="70" t="s">
        <x:v>76</x:v>
      </x:c>
      <x:c r="D1768" s="70" t="s">
        <x:v>364</x:v>
      </x:c>
      <x:c r="E1768" s="70" t="s">
        <x:v>1129</x:v>
      </x:c>
      <x:c r="F1768" s="70" t="s">
        <x:v>3181</x:v>
      </x:c>
      <x:c r="G1768" s="70" t="s">
        <x:v>2999</x:v>
      </x:c>
      <x:c r="H1768" s="70" t="s">
        <x:v>1215</x:v>
      </x:c>
      <x:c r="I1768" s="70" t="s">
        <x:v>1199</x:v>
      </x:c>
      <x:c r="J1768" s="70" t="n">
        <x:v>244</x:v>
      </x:c>
      <x:c r="K1768" s="70" t="s">
        <x:v>1200</x:v>
      </x:c>
      <x:c r="L1768" s="70" t="s">
        <x:v>1332</x:v>
      </x:c>
      <x:c r="M1768" s="70" t="s">
        <x:v>40</x:v>
      </x:c>
      <x:c r="N1768" s="71" t="n">
        <x:v>46206</x:v>
      </x:c>
      <x:c r="O1768" s="72" t="n">
        <x:f aca="0">N1768/1000</x:f>
        <x:v>46.206</x:v>
      </x:c>
      <x:c r="P1768" s="73" t="n">
        <x:f aca="0">FCCL!G56</x:f>
        <x:v>46.206</x:v>
      </x:c>
      <x:c r="Q1768" s="70" t="str">
        <x:f aca="0">IF(ABS(O1768-P1768)&lt;0.000001,"PASS","FAIL")</x:f>
        <x:v>PASS</x:v>
      </x:c>
      <x:c r="R1768" s="70" t="s">
        <x:v>28</x:v>
      </x:c>
      <x:c r="S1768" s="70"/>
    </x:row>
    <x:row r="1769" ht="15" hidden="0">
      <x:c r="A1769" s="70" t="s">
        <x:v>3186</x:v>
      </x:c>
      <x:c r="B1769" s="70" t="s">
        <x:v>46</x:v>
      </x:c>
      <x:c r="C1769" s="70" t="s">
        <x:v>77</x:v>
      </x:c>
      <x:c r="D1769" s="70" t="s">
        <x:v>364</x:v>
      </x:c>
      <x:c r="E1769" s="70" t="s">
        <x:v>1129</x:v>
      </x:c>
      <x:c r="F1769" s="70" t="s">
        <x:v>3181</x:v>
      </x:c>
      <x:c r="G1769" s="70" t="s">
        <x:v>2999</x:v>
      </x:c>
      <x:c r="H1769" s="70" t="s">
        <x:v>1215</x:v>
      </x:c>
      <x:c r="I1769" s="70" t="s">
        <x:v>1218</x:v>
      </x:c>
      <x:c r="J1769" s="70" t="n">
        <x:v>244</x:v>
      </x:c>
      <x:c r="K1769" s="70" t="s">
        <x:v>1200</x:v>
      </x:c>
      <x:c r="L1769" s="70" t="s">
        <x:v>1332</x:v>
      </x:c>
      <x:c r="M1769" s="70" t="s">
        <x:v>40</x:v>
      </x:c>
      <x:c r="N1769" s="71" t="n">
        <x:v>43099</x:v>
      </x:c>
      <x:c r="O1769" s="72" t="n">
        <x:f aca="0">N1769/1000</x:f>
        <x:v>43.099</x:v>
      </x:c>
      <x:c r="P1769" s="73" t="n">
        <x:f aca="0">FCCL!H56</x:f>
        <x:v>43.099</x:v>
      </x:c>
      <x:c r="Q1769" s="70" t="str">
        <x:f aca="0">IF(ABS(O1769-P1769)&lt;0.000001,"PASS","FAIL")</x:f>
        <x:v>PASS</x:v>
      </x:c>
      <x:c r="R1769" s="70" t="s">
        <x:v>28</x:v>
      </x:c>
      <x:c r="S1769" s="70"/>
    </x:row>
    <x:row r="1770" ht="15" hidden="0">
      <x:c r="A1770" s="70" t="s">
        <x:v>3187</x:v>
      </x:c>
      <x:c r="B1770" s="70" t="s">
        <x:v>46</x:v>
      </x:c>
      <x:c r="C1770" s="70" t="s">
        <x:v>1076</x:v>
      </x:c>
      <x:c r="D1770" s="70" t="s">
        <x:v>366</x:v>
      </x:c>
      <x:c r="E1770" s="70" t="s">
        <x:v>1129</x:v>
      </x:c>
      <x:c r="F1770" s="70"/>
      <x:c r="G1770" s="70" t="s">
        <x:v>2990</x:v>
      </x:c>
      <x:c r="H1770" s="70" t="s">
        <x:v>1198</x:v>
      </x:c>
      <x:c r="I1770" s="70" t="s">
        <x:v>1199</x:v>
      </x:c>
      <x:c r="J1770" s="70" t="n">
        <x:v>164</x:v>
      </x:c>
      <x:c r="K1770" s="70" t="s">
        <x:v>2979</x:v>
      </x:c>
      <x:c r="L1770" s="70"/>
      <x:c r="M1770" s="70" t="s">
        <x:v>40</x:v>
      </x:c>
      <x:c r="N1770" s="71" t="n">
        <x:v>0</x:v>
      </x:c>
      <x:c r="O1770" s="72" t="n">
        <x:f aca="0">N1770/1000</x:f>
        <x:v>0</x:v>
      </x:c>
      <x:c r="P1770" s="73" t="n">
        <x:f aca="0">FCCL!C57</x:f>
        <x:v>0</x:v>
      </x:c>
      <x:c r="Q1770" s="70" t="str">
        <x:f aca="0">IF(ABS(O1770-P1770)&lt;0.000001,"PASS","FAIL")</x:f>
        <x:v>PASS</x:v>
      </x:c>
      <x:c r="R1770" s="70" t="s">
        <x:v>28</x:v>
      </x:c>
      <x:c r="S1770" s="70"/>
    </x:row>
    <x:row r="1771" ht="15" hidden="0">
      <x:c r="A1771" s="70" t="s">
        <x:v>3188</x:v>
      </x:c>
      <x:c r="B1771" s="70" t="s">
        <x:v>46</x:v>
      </x:c>
      <x:c r="C1771" s="70" t="s">
        <x:v>73</x:v>
      </x:c>
      <x:c r="D1771" s="70" t="s">
        <x:v>366</x:v>
      </x:c>
      <x:c r="E1771" s="70" t="s">
        <x:v>1129</x:v>
      </x:c>
      <x:c r="F1771" s="70" t="s">
        <x:v>3189</x:v>
      </x:c>
      <x:c r="G1771" s="70" t="s">
        <x:v>2992</x:v>
      </x:c>
      <x:c r="H1771" s="70" t="s">
        <x:v>1204</x:v>
      </x:c>
      <x:c r="I1771" s="70" t="s">
        <x:v>1199</x:v>
      </x:c>
      <x:c r="J1771" s="70" t="n">
        <x:v>186</x:v>
      </x:c>
      <x:c r="K1771" s="70" t="s">
        <x:v>2126</x:v>
      </x:c>
      <x:c r="L1771" s="70" t="s">
        <x:v>1720</x:v>
      </x:c>
      <x:c r="M1771" s="70" t="s">
        <x:v>40</x:v>
      </x:c>
      <x:c r="N1771" s="71" t="n">
        <x:v>15654</x:v>
      </x:c>
      <x:c r="O1771" s="72" t="n">
        <x:f aca="0">N1771/1000</x:f>
        <x:v>15.654</x:v>
      </x:c>
      <x:c r="P1771" s="73" t="n">
        <x:f aca="0">FCCL!D57</x:f>
        <x:v>15.654</x:v>
      </x:c>
      <x:c r="Q1771" s="70" t="str">
        <x:f aca="0">IF(ABS(O1771-P1771)&lt;0.000001,"PASS","FAIL")</x:f>
        <x:v>PASS</x:v>
      </x:c>
      <x:c r="R1771" s="70" t="s">
        <x:v>28</x:v>
      </x:c>
      <x:c r="S1771" s="70" t="s">
        <x:v>1205</x:v>
      </x:c>
    </x:row>
    <x:row r="1772" ht="15" hidden="0">
      <x:c r="A1772" s="70" t="s">
        <x:v>3190</x:v>
      </x:c>
      <x:c r="B1772" s="70" t="s">
        <x:v>46</x:v>
      </x:c>
      <x:c r="C1772" s="70" t="s">
        <x:v>74</x:v>
      </x:c>
      <x:c r="D1772" s="70" t="s">
        <x:v>366</x:v>
      </x:c>
      <x:c r="E1772" s="70" t="s">
        <x:v>1129</x:v>
      </x:c>
      <x:c r="F1772" s="70" t="s">
        <x:v>3189</x:v>
      </x:c>
      <x:c r="G1772" s="70" t="s">
        <x:v>2994</x:v>
      </x:c>
      <x:c r="H1772" s="70" t="s">
        <x:v>1208</x:v>
      </x:c>
      <x:c r="I1772" s="70" t="s">
        <x:v>1199</x:v>
      </x:c>
      <x:c r="J1772" s="70" t="n">
        <x:v>208</x:v>
      </x:c>
      <x:c r="K1772" s="70" t="s">
        <x:v>2467</x:v>
      </x:c>
      <x:c r="L1772" s="70" t="s">
        <x:v>1707</x:v>
      </x:c>
      <x:c r="M1772" s="70" t="s">
        <x:v>40</x:v>
      </x:c>
      <x:c r="N1772" s="71" t="n">
        <x:v>366464</x:v>
      </x:c>
      <x:c r="O1772" s="72" t="n">
        <x:f aca="0">N1772/1000</x:f>
        <x:v>366.464</x:v>
      </x:c>
      <x:c r="P1772" s="73" t="n">
        <x:f aca="0">FCCL!E57</x:f>
        <x:v>366.464</x:v>
      </x:c>
      <x:c r="Q1772" s="70" t="str">
        <x:f aca="0">IF(ABS(O1772-P1772)&lt;0.000001,"PASS","FAIL")</x:f>
        <x:v>PASS</x:v>
      </x:c>
      <x:c r="R1772" s="70" t="s">
        <x:v>28</x:v>
      </x:c>
      <x:c r="S1772" s="70"/>
    </x:row>
    <x:row r="1773" ht="15" hidden="0">
      <x:c r="A1773" s="70" t="s">
        <x:v>3191</x:v>
      </x:c>
      <x:c r="B1773" s="70" t="s">
        <x:v>46</x:v>
      </x:c>
      <x:c r="C1773" s="70" t="s">
        <x:v>75</x:v>
      </x:c>
      <x:c r="D1773" s="70" t="s">
        <x:v>366</x:v>
      </x:c>
      <x:c r="E1773" s="70" t="s">
        <x:v>1129</x:v>
      </x:c>
      <x:c r="F1773" s="70" t="s">
        <x:v>3189</x:v>
      </x:c>
      <x:c r="G1773" s="70" t="s">
        <x:v>2997</x:v>
      </x:c>
      <x:c r="H1773" s="70" t="s">
        <x:v>1211</x:v>
      </x:c>
      <x:c r="I1773" s="70" t="s">
        <x:v>1199</x:v>
      </x:c>
      <x:c r="J1773" s="70" t="n">
        <x:v>190</x:v>
      </x:c>
      <x:c r="K1773" s="70" t="s">
        <x:v>2130</x:v>
      </x:c>
      <x:c r="L1773" s="70" t="s">
        <x:v>1707</x:v>
      </x:c>
      <x:c r="M1773" s="70" t="s">
        <x:v>40</x:v>
      </x:c>
      <x:c r="N1773" s="71" t="n">
        <x:v>604292</x:v>
      </x:c>
      <x:c r="O1773" s="72" t="n">
        <x:f aca="0">N1773/1000</x:f>
        <x:v>604.292</x:v>
      </x:c>
      <x:c r="P1773" s="73" t="n">
        <x:f aca="0">FCCL!F57</x:f>
        <x:v>604.292</x:v>
      </x:c>
      <x:c r="Q1773" s="70" t="str">
        <x:f aca="0">IF(ABS(O1773-P1773)&lt;0.000001,"PASS","FAIL")</x:f>
        <x:v>PASS</x:v>
      </x:c>
      <x:c r="R1773" s="70" t="s">
        <x:v>28</x:v>
      </x:c>
      <x:c r="S1773" s="70"/>
    </x:row>
    <x:row r="1774" ht="15" hidden="0">
      <x:c r="A1774" s="70" t="s">
        <x:v>3192</x:v>
      </x:c>
      <x:c r="B1774" s="70" t="s">
        <x:v>46</x:v>
      </x:c>
      <x:c r="C1774" s="70" t="s">
        <x:v>76</x:v>
      </x:c>
      <x:c r="D1774" s="70" t="s">
        <x:v>366</x:v>
      </x:c>
      <x:c r="E1774" s="70" t="s">
        <x:v>1129</x:v>
      </x:c>
      <x:c r="F1774" s="70" t="s">
        <x:v>3189</x:v>
      </x:c>
      <x:c r="G1774" s="70" t="s">
        <x:v>2999</x:v>
      </x:c>
      <x:c r="H1774" s="70" t="s">
        <x:v>1215</x:v>
      </x:c>
      <x:c r="I1774" s="70" t="s">
        <x:v>1199</x:v>
      </x:c>
      <x:c r="J1774" s="70" t="n">
        <x:v>244</x:v>
      </x:c>
      <x:c r="K1774" s="70" t="s">
        <x:v>1200</x:v>
      </x:c>
      <x:c r="L1774" s="70" t="s">
        <x:v>1332</x:v>
      </x:c>
      <x:c r="M1774" s="70" t="s">
        <x:v>40</x:v>
      </x:c>
      <x:c r="N1774" s="71" t="n">
        <x:v>580891</x:v>
      </x:c>
      <x:c r="O1774" s="72" t="n">
        <x:f aca="0">N1774/1000</x:f>
        <x:v>580.891</x:v>
      </x:c>
      <x:c r="P1774" s="73" t="n">
        <x:f aca="0">FCCL!G57</x:f>
        <x:v>580.891</x:v>
      </x:c>
      <x:c r="Q1774" s="70" t="str">
        <x:f aca="0">IF(ABS(O1774-P1774)&lt;0.000001,"PASS","FAIL")</x:f>
        <x:v>PASS</x:v>
      </x:c>
      <x:c r="R1774" s="70" t="s">
        <x:v>28</x:v>
      </x:c>
      <x:c r="S1774" s="70"/>
    </x:row>
    <x:row r="1775" ht="15" hidden="0">
      <x:c r="A1775" s="70" t="s">
        <x:v>3193</x:v>
      </x:c>
      <x:c r="B1775" s="70" t="s">
        <x:v>46</x:v>
      </x:c>
      <x:c r="C1775" s="70" t="s">
        <x:v>77</x:v>
      </x:c>
      <x:c r="D1775" s="70" t="s">
        <x:v>366</x:v>
      </x:c>
      <x:c r="E1775" s="70" t="s">
        <x:v>1129</x:v>
      </x:c>
      <x:c r="F1775" s="70" t="s">
        <x:v>3189</x:v>
      </x:c>
      <x:c r="G1775" s="70" t="s">
        <x:v>2999</x:v>
      </x:c>
      <x:c r="H1775" s="70" t="s">
        <x:v>1215</x:v>
      </x:c>
      <x:c r="I1775" s="70" t="s">
        <x:v>1218</x:v>
      </x:c>
      <x:c r="J1775" s="70" t="n">
        <x:v>244</x:v>
      </x:c>
      <x:c r="K1775" s="70" t="s">
        <x:v>1200</x:v>
      </x:c>
      <x:c r="L1775" s="70" t="s">
        <x:v>1332</x:v>
      </x:c>
      <x:c r="M1775" s="70" t="s">
        <x:v>40</x:v>
      </x:c>
      <x:c r="N1775" s="71" t="n">
        <x:v>515175</x:v>
      </x:c>
      <x:c r="O1775" s="72" t="n">
        <x:f aca="0">N1775/1000</x:f>
        <x:v>515.175</x:v>
      </x:c>
      <x:c r="P1775" s="73" t="n">
        <x:f aca="0">FCCL!H57</x:f>
        <x:v>515.175</x:v>
      </x:c>
      <x:c r="Q1775" s="70" t="str">
        <x:f aca="0">IF(ABS(O1775-P1775)&lt;0.000001,"PASS","FAIL")</x:f>
        <x:v>PASS</x:v>
      </x:c>
      <x:c r="R1775" s="70" t="s">
        <x:v>28</x:v>
      </x:c>
      <x:c r="S1775" s="70"/>
    </x:row>
    <x:row r="1776" ht="15" hidden="0">
      <x:c r="A1776" s="70" t="s">
        <x:v>3194</x:v>
      </x:c>
      <x:c r="B1776" s="70" t="s">
        <x:v>46</x:v>
      </x:c>
      <x:c r="C1776" s="70" t="s">
        <x:v>1076</x:v>
      </x:c>
      <x:c r="D1776" s="70" t="s">
        <x:v>368</x:v>
      </x:c>
      <x:c r="E1776" s="70" t="s">
        <x:v>1129</x:v>
      </x:c>
      <x:c r="F1776" s="70" t="s">
        <x:v>1874</x:v>
      </x:c>
      <x:c r="G1776" s="70" t="s">
        <x:v>2990</x:v>
      </x:c>
      <x:c r="H1776" s="70" t="s">
        <x:v>1198</x:v>
      </x:c>
      <x:c r="I1776" s="70" t="s">
        <x:v>1199</x:v>
      </x:c>
      <x:c r="J1776" s="70" t="n">
        <x:v>164</x:v>
      </x:c>
      <x:c r="K1776" s="70" t="s">
        <x:v>2979</x:v>
      </x:c>
      <x:c r="L1776" s="70"/>
      <x:c r="M1776" s="70" t="s">
        <x:v>40</x:v>
      </x:c>
      <x:c r="N1776" s="71" t="n">
        <x:v>40051</x:v>
      </x:c>
      <x:c r="O1776" s="72" t="n">
        <x:f aca="0">N1776/1000</x:f>
        <x:v>40.051</x:v>
      </x:c>
      <x:c r="P1776" s="73" t="n">
        <x:f aca="0">FCCL!C58</x:f>
        <x:v>40.051</x:v>
      </x:c>
      <x:c r="Q1776" s="70" t="str">
        <x:f aca="0">IF(ABS(O1776-P1776)&lt;0.000001,"PASS","FAIL")</x:f>
        <x:v>PASS</x:v>
      </x:c>
      <x:c r="R1776" s="70" t="s">
        <x:v>28</x:v>
      </x:c>
      <x:c r="S1776" s="70"/>
    </x:row>
    <x:row r="1777" ht="15" hidden="0">
      <x:c r="A1777" s="70" t="s">
        <x:v>3195</x:v>
      </x:c>
      <x:c r="B1777" s="70" t="s">
        <x:v>46</x:v>
      </x:c>
      <x:c r="C1777" s="70" t="s">
        <x:v>73</x:v>
      </x:c>
      <x:c r="D1777" s="70" t="s">
        <x:v>368</x:v>
      </x:c>
      <x:c r="E1777" s="70" t="s">
        <x:v>1129</x:v>
      </x:c>
      <x:c r="F1777" s="70" t="s">
        <x:v>1874</x:v>
      </x:c>
      <x:c r="G1777" s="70" t="s">
        <x:v>2992</x:v>
      </x:c>
      <x:c r="H1777" s="70" t="s">
        <x:v>1204</x:v>
      </x:c>
      <x:c r="I1777" s="70" t="s">
        <x:v>1199</x:v>
      </x:c>
      <x:c r="J1777" s="70" t="n">
        <x:v>186</x:v>
      </x:c>
      <x:c r="K1777" s="70" t="s">
        <x:v>2126</x:v>
      </x:c>
      <x:c r="L1777" s="70"/>
      <x:c r="M1777" s="70" t="s">
        <x:v>40</x:v>
      </x:c>
      <x:c r="N1777" s="71" t="n">
        <x:v>38479</x:v>
      </x:c>
      <x:c r="O1777" s="72" t="n">
        <x:f aca="0">N1777/1000</x:f>
        <x:v>38.479</x:v>
      </x:c>
      <x:c r="P1777" s="73" t="n">
        <x:f aca="0">FCCL!D58</x:f>
        <x:v>38.479</x:v>
      </x:c>
      <x:c r="Q1777" s="70" t="str">
        <x:f aca="0">IF(ABS(O1777-P1777)&lt;0.000001,"PASS","FAIL")</x:f>
        <x:v>PASS</x:v>
      </x:c>
      <x:c r="R1777" s="70" t="s">
        <x:v>28</x:v>
      </x:c>
      <x:c r="S1777" s="70"/>
    </x:row>
    <x:row r="1778" ht="15" hidden="0">
      <x:c r="A1778" s="70" t="s">
        <x:v>3196</x:v>
      </x:c>
      <x:c r="B1778" s="70" t="s">
        <x:v>46</x:v>
      </x:c>
      <x:c r="C1778" s="70" t="s">
        <x:v>74</x:v>
      </x:c>
      <x:c r="D1778" s="70" t="s">
        <x:v>368</x:v>
      </x:c>
      <x:c r="E1778" s="70" t="s">
        <x:v>1129</x:v>
      </x:c>
      <x:c r="F1778" s="70" t="s">
        <x:v>1874</x:v>
      </x:c>
      <x:c r="G1778" s="70" t="s">
        <x:v>2994</x:v>
      </x:c>
      <x:c r="H1778" s="70" t="s">
        <x:v>1208</x:v>
      </x:c>
      <x:c r="I1778" s="70" t="s">
        <x:v>1199</x:v>
      </x:c>
      <x:c r="J1778" s="70" t="n">
        <x:v>208</x:v>
      </x:c>
      <x:c r="K1778" s="70" t="s">
        <x:v>2467</x:v>
      </x:c>
      <x:c r="L1778" s="70"/>
      <x:c r="M1778" s="70" t="s">
        <x:v>40</x:v>
      </x:c>
      <x:c r="N1778" s="71" t="n">
        <x:v>37157</x:v>
      </x:c>
      <x:c r="O1778" s="72" t="n">
        <x:f aca="0">N1778/1000</x:f>
        <x:v>37.157</x:v>
      </x:c>
      <x:c r="P1778" s="73" t="n">
        <x:f aca="0">FCCL!E58</x:f>
        <x:v>37.157</x:v>
      </x:c>
      <x:c r="Q1778" s="70" t="str">
        <x:f aca="0">IF(ABS(O1778-P1778)&lt;0.000001,"PASS","FAIL")</x:f>
        <x:v>PASS</x:v>
      </x:c>
      <x:c r="R1778" s="70" t="s">
        <x:v>28</x:v>
      </x:c>
      <x:c r="S1778" s="70"/>
    </x:row>
    <x:row r="1779" ht="15" hidden="0">
      <x:c r="A1779" s="70" t="s">
        <x:v>3197</x:v>
      </x:c>
      <x:c r="B1779" s="70" t="s">
        <x:v>46</x:v>
      </x:c>
      <x:c r="C1779" s="70" t="s">
        <x:v>75</x:v>
      </x:c>
      <x:c r="D1779" s="70" t="s">
        <x:v>368</x:v>
      </x:c>
      <x:c r="E1779" s="70" t="s">
        <x:v>1129</x:v>
      </x:c>
      <x:c r="F1779" s="70" t="s">
        <x:v>1874</x:v>
      </x:c>
      <x:c r="G1779" s="70" t="s">
        <x:v>2997</x:v>
      </x:c>
      <x:c r="H1779" s="70" t="s">
        <x:v>1211</x:v>
      </x:c>
      <x:c r="I1779" s="70" t="s">
        <x:v>1199</x:v>
      </x:c>
      <x:c r="J1779" s="70" t="n">
        <x:v>190</x:v>
      </x:c>
      <x:c r="K1779" s="70" t="s">
        <x:v>2130</x:v>
      </x:c>
      <x:c r="L1779" s="70"/>
      <x:c r="M1779" s="70" t="s">
        <x:v>40</x:v>
      </x:c>
      <x:c r="N1779" s="71" t="n">
        <x:v>36001</x:v>
      </x:c>
      <x:c r="O1779" s="72" t="n">
        <x:f aca="0">N1779/1000</x:f>
        <x:v>36.001</x:v>
      </x:c>
      <x:c r="P1779" s="73" t="n">
        <x:f aca="0">FCCL!F58</x:f>
        <x:v>36.001</x:v>
      </x:c>
      <x:c r="Q1779" s="70" t="str">
        <x:f aca="0">IF(ABS(O1779-P1779)&lt;0.000001,"PASS","FAIL")</x:f>
        <x:v>PASS</x:v>
      </x:c>
      <x:c r="R1779" s="70" t="s">
        <x:v>28</x:v>
      </x:c>
      <x:c r="S1779" s="70"/>
    </x:row>
    <x:row r="1780" ht="15" hidden="0">
      <x:c r="A1780" s="70" t="s">
        <x:v>3198</x:v>
      </x:c>
      <x:c r="B1780" s="70" t="s">
        <x:v>46</x:v>
      </x:c>
      <x:c r="C1780" s="70" t="s">
        <x:v>76</x:v>
      </x:c>
      <x:c r="D1780" s="70" t="s">
        <x:v>368</x:v>
      </x:c>
      <x:c r="E1780" s="70" t="s">
        <x:v>1129</x:v>
      </x:c>
      <x:c r="F1780" s="70" t="s">
        <x:v>1874</x:v>
      </x:c>
      <x:c r="G1780" s="70" t="s">
        <x:v>2999</x:v>
      </x:c>
      <x:c r="H1780" s="70" t="s">
        <x:v>1215</x:v>
      </x:c>
      <x:c r="I1780" s="70" t="s">
        <x:v>1199</x:v>
      </x:c>
      <x:c r="J1780" s="70" t="n">
        <x:v>244</x:v>
      </x:c>
      <x:c r="K1780" s="70" t="s">
        <x:v>1200</x:v>
      </x:c>
      <x:c r="L1780" s="70"/>
      <x:c r="M1780" s="70" t="s">
        <x:v>40</x:v>
      </x:c>
      <x:c r="N1780" s="71" t="n">
        <x:v>35646</x:v>
      </x:c>
      <x:c r="O1780" s="72" t="n">
        <x:f aca="0">N1780/1000</x:f>
        <x:v>35.646</x:v>
      </x:c>
      <x:c r="P1780" s="73" t="n">
        <x:f aca="0">FCCL!G58</x:f>
        <x:v>35.646</x:v>
      </x:c>
      <x:c r="Q1780" s="70" t="str">
        <x:f aca="0">IF(ABS(O1780-P1780)&lt;0.000001,"PASS","FAIL")</x:f>
        <x:v>PASS</x:v>
      </x:c>
      <x:c r="R1780" s="70" t="s">
        <x:v>28</x:v>
      </x:c>
      <x:c r="S1780" s="70"/>
    </x:row>
    <x:row r="1781" ht="15" hidden="0">
      <x:c r="A1781" s="70" t="s">
        <x:v>3199</x:v>
      </x:c>
      <x:c r="B1781" s="70" t="s">
        <x:v>46</x:v>
      </x:c>
      <x:c r="C1781" s="70" t="s">
        <x:v>77</x:v>
      </x:c>
      <x:c r="D1781" s="70" t="s">
        <x:v>368</x:v>
      </x:c>
      <x:c r="E1781" s="70" t="s">
        <x:v>1129</x:v>
      </x:c>
      <x:c r="F1781" s="70" t="s">
        <x:v>1874</x:v>
      </x:c>
      <x:c r="G1781" s="70" t="s">
        <x:v>2999</x:v>
      </x:c>
      <x:c r="H1781" s="70" t="s">
        <x:v>1215</x:v>
      </x:c>
      <x:c r="I1781" s="70" t="s">
        <x:v>1218</x:v>
      </x:c>
      <x:c r="J1781" s="70" t="n">
        <x:v>244</x:v>
      </x:c>
      <x:c r="K1781" s="70" t="s">
        <x:v>1200</x:v>
      </x:c>
      <x:c r="L1781" s="70"/>
      <x:c r="M1781" s="70" t="s">
        <x:v>40</x:v>
      </x:c>
      <x:c r="N1781" s="71" t="n">
        <x:v>41182</x:v>
      </x:c>
      <x:c r="O1781" s="72" t="n">
        <x:f aca="0">N1781/1000</x:f>
        <x:v>41.182</x:v>
      </x:c>
      <x:c r="P1781" s="73" t="n">
        <x:f aca="0">FCCL!H58</x:f>
        <x:v>41.182</x:v>
      </x:c>
      <x:c r="Q1781" s="70" t="str">
        <x:f aca="0">IF(ABS(O1781-P1781)&lt;0.000001,"PASS","FAIL")</x:f>
        <x:v>PASS</x:v>
      </x:c>
      <x:c r="R1781" s="70" t="s">
        <x:v>28</x:v>
      </x:c>
      <x:c r="S1781" s="70"/>
    </x:row>
    <x:row r="1782" ht="15" hidden="0">
      <x:c r="A1782" s="70" t="s">
        <x:v>3200</x:v>
      </x:c>
      <x:c r="B1782" s="70" t="s">
        <x:v>46</x:v>
      </x:c>
      <x:c r="C1782" s="70" t="s">
        <x:v>1076</x:v>
      </x:c>
      <x:c r="D1782" s="70" t="s">
        <x:v>370</x:v>
      </x:c>
      <x:c r="E1782" s="70" t="s">
        <x:v>1129</x:v>
      </x:c>
      <x:c r="F1782" s="70"/>
      <x:c r="G1782" s="70" t="s">
        <x:v>2990</x:v>
      </x:c>
      <x:c r="H1782" s="70" t="s">
        <x:v>1198</x:v>
      </x:c>
      <x:c r="I1782" s="70" t="s">
        <x:v>1199</x:v>
      </x:c>
      <x:c r="J1782" s="70" t="n">
        <x:v>164</x:v>
      </x:c>
      <x:c r="K1782" s="70" t="s">
        <x:v>2979</x:v>
      </x:c>
      <x:c r="L1782" s="70"/>
      <x:c r="M1782" s="70" t="s">
        <x:v>40</x:v>
      </x:c>
      <x:c r="N1782" s="71" t="n">
        <x:v>0</x:v>
      </x:c>
      <x:c r="O1782" s="72" t="n">
        <x:f aca="0">N1782/1000</x:f>
        <x:v>0</x:v>
      </x:c>
      <x:c r="P1782" s="73" t="n">
        <x:f aca="0">FCCL!C59</x:f>
        <x:v>0</x:v>
      </x:c>
      <x:c r="Q1782" s="70" t="str">
        <x:f aca="0">IF(ABS(O1782-P1782)&lt;0.000001,"PASS","FAIL")</x:f>
        <x:v>PASS</x:v>
      </x:c>
      <x:c r="R1782" s="70" t="s">
        <x:v>28</x:v>
      </x:c>
      <x:c r="S1782" s="70"/>
    </x:row>
    <x:row r="1783" ht="15" hidden="0">
      <x:c r="A1783" s="70" t="s">
        <x:v>3201</x:v>
      </x:c>
      <x:c r="B1783" s="70" t="s">
        <x:v>46</x:v>
      </x:c>
      <x:c r="C1783" s="70" t="s">
        <x:v>73</x:v>
      </x:c>
      <x:c r="D1783" s="70" t="s">
        <x:v>370</x:v>
      </x:c>
      <x:c r="E1783" s="70" t="s">
        <x:v>1129</x:v>
      </x:c>
      <x:c r="F1783" s="70"/>
      <x:c r="G1783" s="70" t="s">
        <x:v>2992</x:v>
      </x:c>
      <x:c r="H1783" s="70" t="s">
        <x:v>1204</x:v>
      </x:c>
      <x:c r="I1783" s="70" t="s">
        <x:v>1199</x:v>
      </x:c>
      <x:c r="J1783" s="70" t="n">
        <x:v>186</x:v>
      </x:c>
      <x:c r="K1783" s="70" t="s">
        <x:v>2126</x:v>
      </x:c>
      <x:c r="L1783" s="70"/>
      <x:c r="M1783" s="70" t="s">
        <x:v>40</x:v>
      </x:c>
      <x:c r="N1783" s="71" t="n">
        <x:v>0</x:v>
      </x:c>
      <x:c r="O1783" s="72" t="n">
        <x:f aca="0">N1783/1000</x:f>
        <x:v>0</x:v>
      </x:c>
      <x:c r="P1783" s="73" t="n">
        <x:f aca="0">FCCL!D59</x:f>
        <x:v>0</x:v>
      </x:c>
      <x:c r="Q1783" s="70" t="str">
        <x:f aca="0">IF(ABS(O1783-P1783)&lt;0.000001,"PASS","FAIL")</x:f>
        <x:v>PASS</x:v>
      </x:c>
      <x:c r="R1783" s="70" t="s">
        <x:v>28</x:v>
      </x:c>
      <x:c r="S1783" s="70"/>
    </x:row>
    <x:row r="1784" ht="15" hidden="0">
      <x:c r="A1784" s="70" t="s">
        <x:v>3202</x:v>
      </x:c>
      <x:c r="B1784" s="70" t="s">
        <x:v>46</x:v>
      </x:c>
      <x:c r="C1784" s="70" t="s">
        <x:v>74</x:v>
      </x:c>
      <x:c r="D1784" s="70" t="s">
        <x:v>370</x:v>
      </x:c>
      <x:c r="E1784" s="70" t="s">
        <x:v>1129</x:v>
      </x:c>
      <x:c r="F1784" s="70"/>
      <x:c r="G1784" s="70" t="s">
        <x:v>2994</x:v>
      </x:c>
      <x:c r="H1784" s="70" t="s">
        <x:v>1208</x:v>
      </x:c>
      <x:c r="I1784" s="70" t="s">
        <x:v>1199</x:v>
      </x:c>
      <x:c r="J1784" s="70" t="n">
        <x:v>208</x:v>
      </x:c>
      <x:c r="K1784" s="70" t="s">
        <x:v>2467</x:v>
      </x:c>
      <x:c r="L1784" s="70"/>
      <x:c r="M1784" s="70" t="s">
        <x:v>40</x:v>
      </x:c>
      <x:c r="N1784" s="71" t="n">
        <x:v>0</x:v>
      </x:c>
      <x:c r="O1784" s="72" t="n">
        <x:f aca="0">N1784/1000</x:f>
        <x:v>0</x:v>
      </x:c>
      <x:c r="P1784" s="73" t="n">
        <x:f aca="0">FCCL!E59</x:f>
        <x:v>0</x:v>
      </x:c>
      <x:c r="Q1784" s="70" t="str">
        <x:f aca="0">IF(ABS(O1784-P1784)&lt;0.000001,"PASS","FAIL")</x:f>
        <x:v>PASS</x:v>
      </x:c>
      <x:c r="R1784" s="70" t="s">
        <x:v>28</x:v>
      </x:c>
      <x:c r="S1784" s="70"/>
    </x:row>
    <x:row r="1785" ht="15" hidden="0">
      <x:c r="A1785" s="70" t="s">
        <x:v>3203</x:v>
      </x:c>
      <x:c r="B1785" s="70" t="s">
        <x:v>46</x:v>
      </x:c>
      <x:c r="C1785" s="70" t="s">
        <x:v>75</x:v>
      </x:c>
      <x:c r="D1785" s="70" t="s">
        <x:v>370</x:v>
      </x:c>
      <x:c r="E1785" s="70" t="s">
        <x:v>1129</x:v>
      </x:c>
      <x:c r="F1785" s="70" t="s">
        <x:v>3204</x:v>
      </x:c>
      <x:c r="G1785" s="70" t="s">
        <x:v>2997</x:v>
      </x:c>
      <x:c r="H1785" s="70" t="s">
        <x:v>1211</x:v>
      </x:c>
      <x:c r="I1785" s="70" t="s">
        <x:v>1199</x:v>
      </x:c>
      <x:c r="J1785" s="70" t="n">
        <x:v>190</x:v>
      </x:c>
      <x:c r="K1785" s="70" t="s">
        <x:v>2130</x:v>
      </x:c>
      <x:c r="L1785" s="70"/>
      <x:c r="M1785" s="70" t="s">
        <x:v>40</x:v>
      </x:c>
      <x:c r="N1785" s="71" t="n">
        <x:v>0</x:v>
      </x:c>
      <x:c r="O1785" s="72" t="n">
        <x:f aca="0">N1785/1000</x:f>
        <x:v>0</x:v>
      </x:c>
      <x:c r="P1785" s="73" t="n">
        <x:f aca="0">FCCL!F59</x:f>
        <x:v>0</x:v>
      </x:c>
      <x:c r="Q1785" s="70" t="str">
        <x:f aca="0">IF(ABS(O1785-P1785)&lt;0.000001,"PASS","FAIL")</x:f>
        <x:v>PASS</x:v>
      </x:c>
      <x:c r="R1785" s="70" t="s">
        <x:v>28</x:v>
      </x:c>
      <x:c r="S1785" s="70"/>
    </x:row>
    <x:row r="1786" ht="15" hidden="0">
      <x:c r="A1786" s="70" t="s">
        <x:v>3205</x:v>
      </x:c>
      <x:c r="B1786" s="70" t="s">
        <x:v>46</x:v>
      </x:c>
      <x:c r="C1786" s="70" t="s">
        <x:v>76</x:v>
      </x:c>
      <x:c r="D1786" s="70" t="s">
        <x:v>370</x:v>
      </x:c>
      <x:c r="E1786" s="70" t="s">
        <x:v>1129</x:v>
      </x:c>
      <x:c r="F1786" s="70" t="s">
        <x:v>3206</x:v>
      </x:c>
      <x:c r="G1786" s="70" t="s">
        <x:v>2999</x:v>
      </x:c>
      <x:c r="H1786" s="70" t="s">
        <x:v>1215</x:v>
      </x:c>
      <x:c r="I1786" s="70" t="s">
        <x:v>1199</x:v>
      </x:c>
      <x:c r="J1786" s="70" t="n">
        <x:v>244</x:v>
      </x:c>
      <x:c r="K1786" s="70" t="s">
        <x:v>1200</x:v>
      </x:c>
      <x:c r="L1786" s="70"/>
      <x:c r="M1786" s="70" t="s">
        <x:v>40</x:v>
      </x:c>
      <x:c r="N1786" s="71" t="n">
        <x:v>56810</x:v>
      </x:c>
      <x:c r="O1786" s="72" t="n">
        <x:f aca="0">N1786/1000</x:f>
        <x:v>56.81</x:v>
      </x:c>
      <x:c r="P1786" s="73" t="n">
        <x:f aca="0">FCCL!G59</x:f>
        <x:v>56.81</x:v>
      </x:c>
      <x:c r="Q1786" s="70" t="str">
        <x:f aca="0">IF(ABS(O1786-P1786)&lt;0.000001,"PASS","FAIL")</x:f>
        <x:v>PASS</x:v>
      </x:c>
      <x:c r="R1786" s="70" t="s">
        <x:v>28</x:v>
      </x:c>
      <x:c r="S1786" s="70"/>
    </x:row>
    <x:row r="1787" ht="15" hidden="0">
      <x:c r="A1787" s="70" t="s">
        <x:v>3207</x:v>
      </x:c>
      <x:c r="B1787" s="70" t="s">
        <x:v>46</x:v>
      </x:c>
      <x:c r="C1787" s="70" t="s">
        <x:v>77</x:v>
      </x:c>
      <x:c r="D1787" s="70" t="s">
        <x:v>370</x:v>
      </x:c>
      <x:c r="E1787" s="70" t="s">
        <x:v>1129</x:v>
      </x:c>
      <x:c r="F1787" s="70" t="s">
        <x:v>3206</x:v>
      </x:c>
      <x:c r="G1787" s="70" t="s">
        <x:v>2999</x:v>
      </x:c>
      <x:c r="H1787" s="70" t="s">
        <x:v>1215</x:v>
      </x:c>
      <x:c r="I1787" s="70" t="s">
        <x:v>1218</x:v>
      </x:c>
      <x:c r="J1787" s="70" t="n">
        <x:v>244</x:v>
      </x:c>
      <x:c r="K1787" s="70" t="s">
        <x:v>1200</x:v>
      </x:c>
      <x:c r="L1787" s="70"/>
      <x:c r="M1787" s="70" t="s">
        <x:v>40</x:v>
      </x:c>
      <x:c r="N1787" s="71" t="n">
        <x:v>0</x:v>
      </x:c>
      <x:c r="O1787" s="72" t="n">
        <x:f aca="0">N1787/1000</x:f>
        <x:v>0</x:v>
      </x:c>
      <x:c r="P1787" s="73" t="n">
        <x:f aca="0">FCCL!H59</x:f>
        <x:v>0</x:v>
      </x:c>
      <x:c r="Q1787" s="70" t="str">
        <x:f aca="0">IF(ABS(O1787-P1787)&lt;0.000001,"PASS","FAIL")</x:f>
        <x:v>PASS</x:v>
      </x:c>
      <x:c r="R1787" s="70" t="s">
        <x:v>28</x:v>
      </x:c>
      <x:c r="S1787" s="70"/>
    </x:row>
    <x:row r="1788" ht="15" hidden="0">
      <x:c r="A1788" s="70" t="s">
        <x:v>3208</x:v>
      </x:c>
      <x:c r="B1788" s="70" t="s">
        <x:v>46</x:v>
      </x:c>
      <x:c r="C1788" s="70" t="s">
        <x:v>1076</x:v>
      </x:c>
      <x:c r="D1788" s="70" t="s">
        <x:v>372</x:v>
      </x:c>
      <x:c r="E1788" s="70" t="s">
        <x:v>1129</x:v>
      </x:c>
      <x:c r="F1788" s="70" t="s">
        <x:v>3209</x:v>
      </x:c>
      <x:c r="G1788" s="70" t="s">
        <x:v>2990</x:v>
      </x:c>
      <x:c r="H1788" s="70" t="s">
        <x:v>1198</x:v>
      </x:c>
      <x:c r="I1788" s="70" t="s">
        <x:v>1199</x:v>
      </x:c>
      <x:c r="J1788" s="70" t="n">
        <x:v>164</x:v>
      </x:c>
      <x:c r="K1788" s="70" t="s">
        <x:v>2979</x:v>
      </x:c>
      <x:c r="L1788" s="70"/>
      <x:c r="M1788" s="70" t="s">
        <x:v>40</x:v>
      </x:c>
      <x:c r="N1788" s="71" t="n">
        <x:v>1414393</x:v>
      </x:c>
      <x:c r="O1788" s="72" t="n">
        <x:f aca="0">N1788/1000</x:f>
        <x:v>1414.393</x:v>
      </x:c>
      <x:c r="P1788" s="73" t="n">
        <x:f aca="0">FCCL!C60</x:f>
        <x:v>1414.393</x:v>
      </x:c>
      <x:c r="Q1788" s="70" t="str">
        <x:f aca="0">IF(ABS(O1788-P1788)&lt;0.000001,"PASS","FAIL")</x:f>
        <x:v>PASS</x:v>
      </x:c>
      <x:c r="R1788" s="70" t="s">
        <x:v>28</x:v>
      </x:c>
      <x:c r="S1788" s="70"/>
    </x:row>
    <x:row r="1789" ht="15" hidden="0">
      <x:c r="A1789" s="70" t="s">
        <x:v>3210</x:v>
      </x:c>
      <x:c r="B1789" s="70" t="s">
        <x:v>46</x:v>
      </x:c>
      <x:c r="C1789" s="70" t="s">
        <x:v>73</x:v>
      </x:c>
      <x:c r="D1789" s="70" t="s">
        <x:v>372</x:v>
      </x:c>
      <x:c r="E1789" s="70" t="s">
        <x:v>1129</x:v>
      </x:c>
      <x:c r="F1789" s="70" t="s">
        <x:v>3209</x:v>
      </x:c>
      <x:c r="G1789" s="70" t="s">
        <x:v>2992</x:v>
      </x:c>
      <x:c r="H1789" s="70" t="s">
        <x:v>1204</x:v>
      </x:c>
      <x:c r="I1789" s="70" t="s">
        <x:v>1199</x:v>
      </x:c>
      <x:c r="J1789" s="70" t="n">
        <x:v>186</x:v>
      </x:c>
      <x:c r="K1789" s="70" t="s">
        <x:v>2126</x:v>
      </x:c>
      <x:c r="L1789" s="70"/>
      <x:c r="M1789" s="70" t="s">
        <x:v>40</x:v>
      </x:c>
      <x:c r="N1789" s="71" t="n">
        <x:v>1847123</x:v>
      </x:c>
      <x:c r="O1789" s="72" t="n">
        <x:f aca="0">N1789/1000</x:f>
        <x:v>1847.123</x:v>
      </x:c>
      <x:c r="P1789" s="73" t="n">
        <x:f aca="0">FCCL!D60</x:f>
        <x:v>1847.123</x:v>
      </x:c>
      <x:c r="Q1789" s="70" t="str">
        <x:f aca="0">IF(ABS(O1789-P1789)&lt;0.000001,"PASS","FAIL")</x:f>
        <x:v>PASS</x:v>
      </x:c>
      <x:c r="R1789" s="70" t="s">
        <x:v>28</x:v>
      </x:c>
      <x:c r="S1789" s="70"/>
    </x:row>
    <x:row r="1790" ht="15" hidden="0">
      <x:c r="A1790" s="70" t="s">
        <x:v>3211</x:v>
      </x:c>
      <x:c r="B1790" s="70" t="s">
        <x:v>46</x:v>
      </x:c>
      <x:c r="C1790" s="70" t="s">
        <x:v>74</x:v>
      </x:c>
      <x:c r="D1790" s="70" t="s">
        <x:v>372</x:v>
      </x:c>
      <x:c r="E1790" s="70" t="s">
        <x:v>1129</x:v>
      </x:c>
      <x:c r="F1790" s="70" t="s">
        <x:v>3209</x:v>
      </x:c>
      <x:c r="G1790" s="70" t="s">
        <x:v>2994</x:v>
      </x:c>
      <x:c r="H1790" s="70" t="s">
        <x:v>1208</x:v>
      </x:c>
      <x:c r="I1790" s="70" t="s">
        <x:v>1199</x:v>
      </x:c>
      <x:c r="J1790" s="70" t="n">
        <x:v>208</x:v>
      </x:c>
      <x:c r="K1790" s="70" t="s">
        <x:v>2467</x:v>
      </x:c>
      <x:c r="L1790" s="70"/>
      <x:c r="M1790" s="70" t="s">
        <x:v>40</x:v>
      </x:c>
      <x:c r="N1790" s="71" t="n">
        <x:v>4879506</x:v>
      </x:c>
      <x:c r="O1790" s="72" t="n">
        <x:f aca="0">N1790/1000</x:f>
        <x:v>4879.506</x:v>
      </x:c>
      <x:c r="P1790" s="73" t="n">
        <x:f aca="0">FCCL!E60</x:f>
        <x:v>4879.506</x:v>
      </x:c>
      <x:c r="Q1790" s="70" t="str">
        <x:f aca="0">IF(ABS(O1790-P1790)&lt;0.000001,"PASS","FAIL")</x:f>
        <x:v>PASS</x:v>
      </x:c>
      <x:c r="R1790" s="70" t="s">
        <x:v>28</x:v>
      </x:c>
      <x:c r="S1790" s="70"/>
    </x:row>
    <x:row r="1791" ht="15" hidden="0">
      <x:c r="A1791" s="70" t="s">
        <x:v>3212</x:v>
      </x:c>
      <x:c r="B1791" s="70" t="s">
        <x:v>46</x:v>
      </x:c>
      <x:c r="C1791" s="70" t="s">
        <x:v>75</x:v>
      </x:c>
      <x:c r="D1791" s="70" t="s">
        <x:v>372</x:v>
      </x:c>
      <x:c r="E1791" s="70" t="s">
        <x:v>1129</x:v>
      </x:c>
      <x:c r="F1791" s="70" t="s">
        <x:v>3209</x:v>
      </x:c>
      <x:c r="G1791" s="70" t="s">
        <x:v>2997</x:v>
      </x:c>
      <x:c r="H1791" s="70" t="s">
        <x:v>1211</x:v>
      </x:c>
      <x:c r="I1791" s="70" t="s">
        <x:v>1199</x:v>
      </x:c>
      <x:c r="J1791" s="70" t="n">
        <x:v>190</x:v>
      </x:c>
      <x:c r="K1791" s="70" t="s">
        <x:v>2130</x:v>
      </x:c>
      <x:c r="L1791" s="70"/>
      <x:c r="M1791" s="70" t="s">
        <x:v>40</x:v>
      </x:c>
      <x:c r="N1791" s="71" t="n">
        <x:v>4600354</x:v>
      </x:c>
      <x:c r="O1791" s="72" t="n">
        <x:f aca="0">N1791/1000</x:f>
        <x:v>4600.354</x:v>
      </x:c>
      <x:c r="P1791" s="73" t="n">
        <x:f aca="0">FCCL!F60</x:f>
        <x:v>4600.354</x:v>
      </x:c>
      <x:c r="Q1791" s="70" t="str">
        <x:f aca="0">IF(ABS(O1791-P1791)&lt;0.000001,"PASS","FAIL")</x:f>
        <x:v>PASS</x:v>
      </x:c>
      <x:c r="R1791" s="70" t="s">
        <x:v>28</x:v>
      </x:c>
      <x:c r="S1791" s="70"/>
    </x:row>
    <x:row r="1792" ht="15" hidden="0">
      <x:c r="A1792" s="70" t="s">
        <x:v>3213</x:v>
      </x:c>
      <x:c r="B1792" s="70" t="s">
        <x:v>46</x:v>
      </x:c>
      <x:c r="C1792" s="70" t="s">
        <x:v>76</x:v>
      </x:c>
      <x:c r="D1792" s="70" t="s">
        <x:v>372</x:v>
      </x:c>
      <x:c r="E1792" s="70" t="s">
        <x:v>1129</x:v>
      </x:c>
      <x:c r="F1792" s="70" t="s">
        <x:v>3214</x:v>
      </x:c>
      <x:c r="G1792" s="70" t="s">
        <x:v>2999</x:v>
      </x:c>
      <x:c r="H1792" s="70" t="s">
        <x:v>1215</x:v>
      </x:c>
      <x:c r="I1792" s="70" t="s">
        <x:v>1199</x:v>
      </x:c>
      <x:c r="J1792" s="70" t="n">
        <x:v>244</x:v>
      </x:c>
      <x:c r="K1792" s="70" t="s">
        <x:v>1200</x:v>
      </x:c>
      <x:c r="L1792" s="70" t="s">
        <x:v>1216</x:v>
      </x:c>
      <x:c r="M1792" s="70" t="s">
        <x:v>40</x:v>
      </x:c>
      <x:c r="N1792" s="71" t="n">
        <x:v>5699618</x:v>
      </x:c>
      <x:c r="O1792" s="72" t="n">
        <x:f aca="0">N1792/1000</x:f>
        <x:v>5699.618</x:v>
      </x:c>
      <x:c r="P1792" s="73" t="n">
        <x:f aca="0">FCCL!G60</x:f>
        <x:v>5699.618</x:v>
      </x:c>
      <x:c r="Q1792" s="70" t="str">
        <x:f aca="0">IF(ABS(O1792-P1792)&lt;0.000001,"PASS","FAIL")</x:f>
        <x:v>PASS</x:v>
      </x:c>
      <x:c r="R1792" s="70" t="s">
        <x:v>28</x:v>
      </x:c>
      <x:c r="S1792" s="70" t="s">
        <x:v>1205</x:v>
      </x:c>
    </x:row>
    <x:row r="1793" ht="15" hidden="0">
      <x:c r="A1793" s="70" t="s">
        <x:v>3215</x:v>
      </x:c>
      <x:c r="B1793" s="70" t="s">
        <x:v>46</x:v>
      </x:c>
      <x:c r="C1793" s="70" t="s">
        <x:v>77</x:v>
      </x:c>
      <x:c r="D1793" s="70" t="s">
        <x:v>372</x:v>
      </x:c>
      <x:c r="E1793" s="70" t="s">
        <x:v>1129</x:v>
      </x:c>
      <x:c r="F1793" s="70" t="s">
        <x:v>3214</x:v>
      </x:c>
      <x:c r="G1793" s="70" t="s">
        <x:v>2999</x:v>
      </x:c>
      <x:c r="H1793" s="70" t="s">
        <x:v>1215</x:v>
      </x:c>
      <x:c r="I1793" s="70" t="s">
        <x:v>1218</x:v>
      </x:c>
      <x:c r="J1793" s="70" t="n">
        <x:v>244</x:v>
      </x:c>
      <x:c r="K1793" s="70" t="s">
        <x:v>1200</x:v>
      </x:c>
      <x:c r="L1793" s="70" t="s">
        <x:v>1216</x:v>
      </x:c>
      <x:c r="M1793" s="70" t="s">
        <x:v>40</x:v>
      </x:c>
      <x:c r="N1793" s="71" t="n">
        <x:v>9646744</x:v>
      </x:c>
      <x:c r="O1793" s="72" t="n">
        <x:f aca="0">N1793/1000</x:f>
        <x:v>9646.744</x:v>
      </x:c>
      <x:c r="P1793" s="73" t="n">
        <x:f aca="0">FCCL!H60</x:f>
        <x:v>9646.744</x:v>
      </x:c>
      <x:c r="Q1793" s="70" t="str">
        <x:f aca="0">IF(ABS(O1793-P1793)&lt;0.000001,"PASS","FAIL")</x:f>
        <x:v>PASS</x:v>
      </x:c>
      <x:c r="R1793" s="70" t="s">
        <x:v>28</x:v>
      </x:c>
      <x:c r="S1793" s="70"/>
    </x:row>
    <x:row r="1794" ht="15" hidden="0">
      <x:c r="A1794" s="70" t="s">
        <x:v>3216</x:v>
      </x:c>
      <x:c r="B1794" s="70" t="s">
        <x:v>46</x:v>
      </x:c>
      <x:c r="C1794" s="70" t="s">
        <x:v>1076</x:v>
      </x:c>
      <x:c r="D1794" s="70" t="s">
        <x:v>401</x:v>
      </x:c>
      <x:c r="E1794" s="70" t="s">
        <x:v>1129</x:v>
      </x:c>
      <x:c r="F1794" s="70"/>
      <x:c r="G1794" s="70" t="s">
        <x:v>2990</x:v>
      </x:c>
      <x:c r="H1794" s="70" t="s">
        <x:v>1198</x:v>
      </x:c>
      <x:c r="I1794" s="70" t="s">
        <x:v>1199</x:v>
      </x:c>
      <x:c r="J1794" s="70" t="n">
        <x:v>165</x:v>
      </x:c>
      <x:c r="K1794" s="70" t="s">
        <x:v>1200</x:v>
      </x:c>
      <x:c r="L1794" s="70"/>
      <x:c r="M1794" s="70" t="s">
        <x:v>40</x:v>
      </x:c>
      <x:c r="N1794" s="71" t="n">
        <x:v>29207916</x:v>
      </x:c>
      <x:c r="O1794" s="72" t="n">
        <x:f aca="0">N1794/1000</x:f>
        <x:v>29207.916</x:v>
      </x:c>
      <x:c r="P1794" s="73" t="n">
        <x:f aca="0">FCCL!C75</x:f>
        <x:v>29207.916</x:v>
      </x:c>
      <x:c r="Q1794" s="70" t="str">
        <x:f aca="0">IF(ABS(O1794-P1794)&lt;0.000001,"PASS","FAIL")</x:f>
        <x:v>PASS</x:v>
      </x:c>
      <x:c r="R1794" s="70" t="s">
        <x:v>28</x:v>
      </x:c>
      <x:c r="S1794" s="70"/>
    </x:row>
    <x:row r="1795" ht="15" hidden="0">
      <x:c r="A1795" s="70" t="s">
        <x:v>3217</x:v>
      </x:c>
      <x:c r="B1795" s="70" t="s">
        <x:v>46</x:v>
      </x:c>
      <x:c r="C1795" s="70" t="s">
        <x:v>73</x:v>
      </x:c>
      <x:c r="D1795" s="70" t="s">
        <x:v>401</x:v>
      </x:c>
      <x:c r="E1795" s="70" t="s">
        <x:v>1129</x:v>
      </x:c>
      <x:c r="F1795" s="70"/>
      <x:c r="G1795" s="70" t="s">
        <x:v>2992</x:v>
      </x:c>
      <x:c r="H1795" s="70" t="s">
        <x:v>1204</x:v>
      </x:c>
      <x:c r="I1795" s="70" t="s">
        <x:v>1199</x:v>
      </x:c>
      <x:c r="J1795" s="70" t="n">
        <x:v>187</x:v>
      </x:c>
      <x:c r="K1795" s="70" t="s">
        <x:v>2307</x:v>
      </x:c>
      <x:c r="L1795" s="70"/>
      <x:c r="M1795" s="70" t="s">
        <x:v>40</x:v>
      </x:c>
      <x:c r="N1795" s="71" t="n">
        <x:v>34052231</x:v>
      </x:c>
      <x:c r="O1795" s="72" t="n">
        <x:f aca="0">N1795/1000</x:f>
        <x:v>34052.231</x:v>
      </x:c>
      <x:c r="P1795" s="73" t="n">
        <x:f aca="0">FCCL!D75</x:f>
        <x:v>34052.231</x:v>
      </x:c>
      <x:c r="Q1795" s="70" t="str">
        <x:f aca="0">IF(ABS(O1795-P1795)&lt;0.000001,"PASS","FAIL")</x:f>
        <x:v>PASS</x:v>
      </x:c>
      <x:c r="R1795" s="70" t="s">
        <x:v>28</x:v>
      </x:c>
      <x:c r="S1795" s="70"/>
    </x:row>
    <x:row r="1796" ht="15" hidden="0">
      <x:c r="A1796" s="70" t="s">
        <x:v>3218</x:v>
      </x:c>
      <x:c r="B1796" s="70" t="s">
        <x:v>46</x:v>
      </x:c>
      <x:c r="C1796" s="70" t="s">
        <x:v>74</x:v>
      </x:c>
      <x:c r="D1796" s="70" t="s">
        <x:v>401</x:v>
      </x:c>
      <x:c r="E1796" s="70" t="s">
        <x:v>1129</x:v>
      </x:c>
      <x:c r="F1796" s="70"/>
      <x:c r="G1796" s="70" t="s">
        <x:v>2994</x:v>
      </x:c>
      <x:c r="H1796" s="70" t="s">
        <x:v>1208</x:v>
      </x:c>
      <x:c r="I1796" s="70" t="s">
        <x:v>1199</x:v>
      </x:c>
      <x:c r="J1796" s="70" t="n">
        <x:v>209</x:v>
      </x:c>
      <x:c r="K1796" s="70" t="s">
        <x:v>2995</x:v>
      </x:c>
      <x:c r="L1796" s="70"/>
      <x:c r="M1796" s="70" t="s">
        <x:v>40</x:v>
      </x:c>
      <x:c r="N1796" s="71" t="n">
        <x:v>113698077</x:v>
      </x:c>
      <x:c r="O1796" s="72" t="n">
        <x:f aca="0">N1796/1000</x:f>
        <x:v>113698.077</x:v>
      </x:c>
      <x:c r="P1796" s="73" t="n">
        <x:f aca="0">FCCL!E75</x:f>
        <x:v>113698.077</x:v>
      </x:c>
      <x:c r="Q1796" s="70" t="str">
        <x:f aca="0">IF(ABS(O1796-P1796)&lt;0.000001,"PASS","FAIL")</x:f>
        <x:v>PASS</x:v>
      </x:c>
      <x:c r="R1796" s="70" t="s">
        <x:v>28</x:v>
      </x:c>
      <x:c r="S1796" s="70"/>
    </x:row>
    <x:row r="1797" ht="15" hidden="0">
      <x:c r="A1797" s="70" t="s">
        <x:v>3219</x:v>
      </x:c>
      <x:c r="B1797" s="70" t="s">
        <x:v>46</x:v>
      </x:c>
      <x:c r="C1797" s="70" t="s">
        <x:v>75</x:v>
      </x:c>
      <x:c r="D1797" s="70" t="s">
        <x:v>401</x:v>
      </x:c>
      <x:c r="E1797" s="70" t="s">
        <x:v>1129</x:v>
      </x:c>
      <x:c r="F1797" s="70"/>
      <x:c r="G1797" s="70" t="s">
        <x:v>2997</x:v>
      </x:c>
      <x:c r="H1797" s="70" t="s">
        <x:v>1211</x:v>
      </x:c>
      <x:c r="I1797" s="70" t="s">
        <x:v>1199</x:v>
      </x:c>
      <x:c r="J1797" s="70" t="n">
        <x:v>191</x:v>
      </x:c>
      <x:c r="K1797" s="70" t="s">
        <x:v>1200</x:v>
      </x:c>
      <x:c r="L1797" s="70"/>
      <x:c r="M1797" s="70" t="s">
        <x:v>40</x:v>
      </x:c>
      <x:c r="N1797" s="71" t="n">
        <x:v>138828497</x:v>
      </x:c>
      <x:c r="O1797" s="72" t="n">
        <x:f aca="0">N1797/1000</x:f>
        <x:v>138828.497</x:v>
      </x:c>
      <x:c r="P1797" s="73" t="n">
        <x:f aca="0">FCCL!F75</x:f>
        <x:v>138828.497</x:v>
      </x:c>
      <x:c r="Q1797" s="70" t="str">
        <x:f aca="0">IF(ABS(O1797-P1797)&lt;0.000001,"PASS","FAIL")</x:f>
        <x:v>PASS</x:v>
      </x:c>
      <x:c r="R1797" s="70" t="s">
        <x:v>28</x:v>
      </x:c>
      <x:c r="S1797" s="70"/>
    </x:row>
    <x:row r="1798" ht="15" hidden="0">
      <x:c r="A1798" s="70" t="s">
        <x:v>3220</x:v>
      </x:c>
      <x:c r="B1798" s="70" t="s">
        <x:v>46</x:v>
      </x:c>
      <x:c r="C1798" s="70" t="s">
        <x:v>76</x:v>
      </x:c>
      <x:c r="D1798" s="70" t="s">
        <x:v>401</x:v>
      </x:c>
      <x:c r="E1798" s="70" t="s">
        <x:v>1129</x:v>
      </x:c>
      <x:c r="F1798" s="70"/>
      <x:c r="G1798" s="70" t="s">
        <x:v>2999</x:v>
      </x:c>
      <x:c r="H1798" s="70" t="s">
        <x:v>1215</x:v>
      </x:c>
      <x:c r="I1798" s="70" t="s">
        <x:v>1199</x:v>
      </x:c>
      <x:c r="J1798" s="70" t="n">
        <x:v>245</x:v>
      </x:c>
      <x:c r="K1798" s="70" t="s">
        <x:v>1200</x:v>
      </x:c>
      <x:c r="L1798" s="70"/>
      <x:c r="M1798" s="70" t="s">
        <x:v>40</x:v>
      </x:c>
      <x:c r="N1798" s="71" t="n">
        <x:v>147636299</x:v>
      </x:c>
      <x:c r="O1798" s="72" t="n">
        <x:f aca="0">N1798/1000</x:f>
        <x:v>147636.299</x:v>
      </x:c>
      <x:c r="P1798" s="73" t="n">
        <x:f aca="0">FCCL!G75</x:f>
        <x:v>147636.299</x:v>
      </x:c>
      <x:c r="Q1798" s="70" t="str">
        <x:f aca="0">IF(ABS(O1798-P1798)&lt;0.000001,"PASS","FAIL")</x:f>
        <x:v>PASS</x:v>
      </x:c>
      <x:c r="R1798" s="70" t="s">
        <x:v>28</x:v>
      </x:c>
      <x:c r="S1798" s="70"/>
    </x:row>
    <x:row r="1799" ht="15" hidden="0">
      <x:c r="A1799" s="70" t="s">
        <x:v>3221</x:v>
      </x:c>
      <x:c r="B1799" s="70" t="s">
        <x:v>46</x:v>
      </x:c>
      <x:c r="C1799" s="70" t="s">
        <x:v>77</x:v>
      </x:c>
      <x:c r="D1799" s="70" t="s">
        <x:v>401</x:v>
      </x:c>
      <x:c r="E1799" s="70" t="s">
        <x:v>1129</x:v>
      </x:c>
      <x:c r="F1799" s="70"/>
      <x:c r="G1799" s="70" t="s">
        <x:v>2999</x:v>
      </x:c>
      <x:c r="H1799" s="70" t="s">
        <x:v>1215</x:v>
      </x:c>
      <x:c r="I1799" s="70" t="s">
        <x:v>1218</x:v>
      </x:c>
      <x:c r="J1799" s="70" t="n">
        <x:v>245</x:v>
      </x:c>
      <x:c r="K1799" s="70" t="s">
        <x:v>1200</x:v>
      </x:c>
      <x:c r="L1799" s="70"/>
      <x:c r="M1799" s="70" t="s">
        <x:v>40</x:v>
      </x:c>
      <x:c r="N1799" s="71" t="n">
        <x:v>160845191</x:v>
      </x:c>
      <x:c r="O1799" s="72" t="n">
        <x:f aca="0">N1799/1000</x:f>
        <x:v>160845.191</x:v>
      </x:c>
      <x:c r="P1799" s="73" t="n">
        <x:f aca="0">FCCL!H75</x:f>
        <x:v>160845.191</x:v>
      </x:c>
      <x:c r="Q1799" s="70" t="str">
        <x:f aca="0">IF(ABS(O1799-P1799)&lt;0.000001,"PASS","FAIL")</x:f>
        <x:v>PASS</x:v>
      </x:c>
      <x:c r="R1799" s="70" t="s">
        <x:v>28</x:v>
      </x:c>
      <x:c r="S1799" s="70"/>
    </x:row>
    <x:row r="1800" ht="15" hidden="0">
      <x:c r="A1800" s="70" t="s">
        <x:v>3222</x:v>
      </x:c>
      <x:c r="B1800" s="70" t="s">
        <x:v>46</x:v>
      </x:c>
      <x:c r="C1800" s="70" t="s">
        <x:v>1076</x:v>
      </x:c>
      <x:c r="D1800" s="70" t="s">
        <x:v>403</x:v>
      </x:c>
      <x:c r="E1800" s="70" t="s">
        <x:v>1129</x:v>
      </x:c>
      <x:c r="F1800" s="70"/>
      <x:c r="G1800" s="70" t="s">
        <x:v>2990</x:v>
      </x:c>
      <x:c r="H1800" s="70" t="s">
        <x:v>1198</x:v>
      </x:c>
      <x:c r="I1800" s="70" t="s">
        <x:v>1199</x:v>
      </x:c>
      <x:c r="J1800" s="70" t="n">
        <x:v>164</x:v>
      </x:c>
      <x:c r="K1800" s="70" t="s">
        <x:v>2979</x:v>
      </x:c>
      <x:c r="L1800" s="70"/>
      <x:c r="M1800" s="70" t="s">
        <x:v>40</x:v>
      </x:c>
      <x:c r="N1800" s="71" t="n">
        <x:v>19804320</x:v>
      </x:c>
      <x:c r="O1800" s="72" t="n">
        <x:f aca="0">N1800/1000</x:f>
        <x:v>19804.32</x:v>
      </x:c>
      <x:c r="P1800" s="73" t="n">
        <x:f aca="0">FCCL!C76</x:f>
        <x:v>19804.32</x:v>
      </x:c>
      <x:c r="Q1800" s="70" t="str">
        <x:f aca="0">IF(ABS(O1800-P1800)&lt;0.000001,"PASS","FAIL")</x:f>
        <x:v>PASS</x:v>
      </x:c>
      <x:c r="R1800" s="70" t="s">
        <x:v>28</x:v>
      </x:c>
      <x:c r="S1800" s="70"/>
    </x:row>
    <x:row r="1801" ht="15" hidden="0">
      <x:c r="A1801" s="70" t="s">
        <x:v>3223</x:v>
      </x:c>
      <x:c r="B1801" s="70" t="s">
        <x:v>46</x:v>
      </x:c>
      <x:c r="C1801" s="70" t="s">
        <x:v>73</x:v>
      </x:c>
      <x:c r="D1801" s="70" t="s">
        <x:v>403</x:v>
      </x:c>
      <x:c r="E1801" s="70" t="s">
        <x:v>1129</x:v>
      </x:c>
      <x:c r="F1801" s="70"/>
      <x:c r="G1801" s="70" t="s">
        <x:v>2992</x:v>
      </x:c>
      <x:c r="H1801" s="70" t="s">
        <x:v>1204</x:v>
      </x:c>
      <x:c r="I1801" s="70" t="s">
        <x:v>1199</x:v>
      </x:c>
      <x:c r="J1801" s="70" t="n">
        <x:v>186</x:v>
      </x:c>
      <x:c r="K1801" s="70" t="s">
        <x:v>2126</x:v>
      </x:c>
      <x:c r="L1801" s="70"/>
      <x:c r="M1801" s="70" t="s">
        <x:v>40</x:v>
      </x:c>
      <x:c r="N1801" s="71" t="n">
        <x:v>23275671</x:v>
      </x:c>
      <x:c r="O1801" s="72" t="n">
        <x:f aca="0">N1801/1000</x:f>
        <x:v>23275.671</x:v>
      </x:c>
      <x:c r="P1801" s="73" t="n">
        <x:f aca="0">FCCL!D76</x:f>
        <x:v>23275.671</x:v>
      </x:c>
      <x:c r="Q1801" s="70" t="str">
        <x:f aca="0">IF(ABS(O1801-P1801)&lt;0.000001,"PASS","FAIL")</x:f>
        <x:v>PASS</x:v>
      </x:c>
      <x:c r="R1801" s="70" t="s">
        <x:v>28</x:v>
      </x:c>
      <x:c r="S1801" s="70"/>
    </x:row>
    <x:row r="1802" ht="15" hidden="0">
      <x:c r="A1802" s="70" t="s">
        <x:v>3224</x:v>
      </x:c>
      <x:c r="B1802" s="70" t="s">
        <x:v>46</x:v>
      </x:c>
      <x:c r="C1802" s="70" t="s">
        <x:v>74</x:v>
      </x:c>
      <x:c r="D1802" s="70" t="s">
        <x:v>403</x:v>
      </x:c>
      <x:c r="E1802" s="70" t="s">
        <x:v>1129</x:v>
      </x:c>
      <x:c r="F1802" s="70"/>
      <x:c r="G1802" s="70" t="s">
        <x:v>2994</x:v>
      </x:c>
      <x:c r="H1802" s="70" t="s">
        <x:v>1208</x:v>
      </x:c>
      <x:c r="I1802" s="70" t="s">
        <x:v>1199</x:v>
      </x:c>
      <x:c r="J1802" s="70" t="n">
        <x:v>208</x:v>
      </x:c>
      <x:c r="K1802" s="70" t="s">
        <x:v>2467</x:v>
      </x:c>
      <x:c r="L1802" s="70"/>
      <x:c r="M1802" s="70" t="s">
        <x:v>40</x:v>
      </x:c>
      <x:c r="N1802" s="71" t="n">
        <x:v>57736056</x:v>
      </x:c>
      <x:c r="O1802" s="72" t="n">
        <x:f aca="0">N1802/1000</x:f>
        <x:v>57736.056</x:v>
      </x:c>
      <x:c r="P1802" s="73" t="n">
        <x:f aca="0">FCCL!E76</x:f>
        <x:v>57736.056</x:v>
      </x:c>
      <x:c r="Q1802" s="70" t="str">
        <x:f aca="0">IF(ABS(O1802-P1802)&lt;0.000001,"PASS","FAIL")</x:f>
        <x:v>PASS</x:v>
      </x:c>
      <x:c r="R1802" s="70" t="s">
        <x:v>28</x:v>
      </x:c>
      <x:c r="S1802" s="70"/>
    </x:row>
    <x:row r="1803" ht="15" hidden="0">
      <x:c r="A1803" s="70" t="s">
        <x:v>3225</x:v>
      </x:c>
      <x:c r="B1803" s="70" t="s">
        <x:v>46</x:v>
      </x:c>
      <x:c r="C1803" s="70" t="s">
        <x:v>75</x:v>
      </x:c>
      <x:c r="D1803" s="70" t="s">
        <x:v>403</x:v>
      </x:c>
      <x:c r="E1803" s="70" t="s">
        <x:v>1129</x:v>
      </x:c>
      <x:c r="F1803" s="70"/>
      <x:c r="G1803" s="70" t="s">
        <x:v>2997</x:v>
      </x:c>
      <x:c r="H1803" s="70" t="s">
        <x:v>1211</x:v>
      </x:c>
      <x:c r="I1803" s="70" t="s">
        <x:v>1199</x:v>
      </x:c>
      <x:c r="J1803" s="70" t="n">
        <x:v>190</x:v>
      </x:c>
      <x:c r="K1803" s="70" t="s">
        <x:v>2130</x:v>
      </x:c>
      <x:c r="L1803" s="70"/>
      <x:c r="M1803" s="70" t="s">
        <x:v>40</x:v>
      </x:c>
      <x:c r="N1803" s="71" t="n">
        <x:v>65175737</x:v>
      </x:c>
      <x:c r="O1803" s="72" t="n">
        <x:f aca="0">N1803/1000</x:f>
        <x:v>65175.737</x:v>
      </x:c>
      <x:c r="P1803" s="73" t="n">
        <x:f aca="0">FCCL!F76</x:f>
        <x:v>65175.737</x:v>
      </x:c>
      <x:c r="Q1803" s="70" t="str">
        <x:f aca="0">IF(ABS(O1803-P1803)&lt;0.000001,"PASS","FAIL")</x:f>
        <x:v>PASS</x:v>
      </x:c>
      <x:c r="R1803" s="70" t="s">
        <x:v>28</x:v>
      </x:c>
      <x:c r="S1803" s="70"/>
    </x:row>
    <x:row r="1804" ht="15" hidden="0">
      <x:c r="A1804" s="70" t="s">
        <x:v>3226</x:v>
      </x:c>
      <x:c r="B1804" s="70" t="s">
        <x:v>46</x:v>
      </x:c>
      <x:c r="C1804" s="70" t="s">
        <x:v>76</x:v>
      </x:c>
      <x:c r="D1804" s="70" t="s">
        <x:v>403</x:v>
      </x:c>
      <x:c r="E1804" s="70" t="s">
        <x:v>1129</x:v>
      </x:c>
      <x:c r="F1804" s="70"/>
      <x:c r="G1804" s="70" t="s">
        <x:v>2999</x:v>
      </x:c>
      <x:c r="H1804" s="70" t="s">
        <x:v>1215</x:v>
      </x:c>
      <x:c r="I1804" s="70" t="s">
        <x:v>1199</x:v>
      </x:c>
      <x:c r="J1804" s="70" t="n">
        <x:v>244</x:v>
      </x:c>
      <x:c r="K1804" s="70" t="s">
        <x:v>1200</x:v>
      </x:c>
      <x:c r="L1804" s="70"/>
      <x:c r="M1804" s="70" t="s">
        <x:v>40</x:v>
      </x:c>
      <x:c r="N1804" s="71" t="n">
        <x:v>73398853</x:v>
      </x:c>
      <x:c r="O1804" s="72" t="n">
        <x:f aca="0">N1804/1000</x:f>
        <x:v>73398.853</x:v>
      </x:c>
      <x:c r="P1804" s="73" t="n">
        <x:f aca="0">FCCL!G76</x:f>
        <x:v>73398.853</x:v>
      </x:c>
      <x:c r="Q1804" s="70" t="str">
        <x:f aca="0">IF(ABS(O1804-P1804)&lt;0.000001,"PASS","FAIL")</x:f>
        <x:v>PASS</x:v>
      </x:c>
      <x:c r="R1804" s="70" t="s">
        <x:v>28</x:v>
      </x:c>
      <x:c r="S1804" s="70"/>
    </x:row>
    <x:row r="1805" ht="15" hidden="0">
      <x:c r="A1805" s="70" t="s">
        <x:v>3227</x:v>
      </x:c>
      <x:c r="B1805" s="70" t="s">
        <x:v>46</x:v>
      </x:c>
      <x:c r="C1805" s="70" t="s">
        <x:v>77</x:v>
      </x:c>
      <x:c r="D1805" s="70" t="s">
        <x:v>403</x:v>
      </x:c>
      <x:c r="E1805" s="70" t="s">
        <x:v>1129</x:v>
      </x:c>
      <x:c r="F1805" s="70"/>
      <x:c r="G1805" s="70" t="s">
        <x:v>2999</x:v>
      </x:c>
      <x:c r="H1805" s="70" t="s">
        <x:v>1215</x:v>
      </x:c>
      <x:c r="I1805" s="70" t="s">
        <x:v>1218</x:v>
      </x:c>
      <x:c r="J1805" s="70" t="n">
        <x:v>244</x:v>
      </x:c>
      <x:c r="K1805" s="70" t="s">
        <x:v>1200</x:v>
      </x:c>
      <x:c r="L1805" s="70"/>
      <x:c r="M1805" s="70" t="s">
        <x:v>40</x:v>
      </x:c>
      <x:c r="N1805" s="71" t="n">
        <x:v>84272208</x:v>
      </x:c>
      <x:c r="O1805" s="72" t="n">
        <x:f aca="0">N1805/1000</x:f>
        <x:v>84272.208</x:v>
      </x:c>
      <x:c r="P1805" s="73" t="n">
        <x:f aca="0">FCCL!H76</x:f>
        <x:v>84272.208</x:v>
      </x:c>
      <x:c r="Q1805" s="70" t="str">
        <x:f aca="0">IF(ABS(O1805-P1805)&lt;0.000001,"PASS","FAIL")</x:f>
        <x:v>PASS</x:v>
      </x:c>
      <x:c r="R1805" s="70" t="s">
        <x:v>28</x:v>
      </x:c>
      <x:c r="S1805" s="70"/>
    </x:row>
    <x:row r="1806" ht="15" hidden="0">
      <x:c r="A1806" s="70" t="s">
        <x:v>3228</x:v>
      </x:c>
      <x:c r="B1806" s="70" t="s">
        <x:v>46</x:v>
      </x:c>
      <x:c r="C1806" s="70" t="s">
        <x:v>1076</x:v>
      </x:c>
      <x:c r="D1806" s="70" t="s">
        <x:v>405</x:v>
      </x:c>
      <x:c r="E1806" s="70" t="s">
        <x:v>1129</x:v>
      </x:c>
      <x:c r="F1806" s="70"/>
      <x:c r="G1806" s="70" t="s">
        <x:v>2990</x:v>
      </x:c>
      <x:c r="H1806" s="70" t="s">
        <x:v>1198</x:v>
      </x:c>
      <x:c r="I1806" s="70" t="s">
        <x:v>1199</x:v>
      </x:c>
      <x:c r="J1806" s="70" t="n">
        <x:v>164</x:v>
      </x:c>
      <x:c r="K1806" s="70" t="s">
        <x:v>2979</x:v>
      </x:c>
      <x:c r="L1806" s="70"/>
      <x:c r="M1806" s="70" t="s">
        <x:v>40</x:v>
      </x:c>
      <x:c r="N1806" s="71" t="n">
        <x:v>6983321</x:v>
      </x:c>
      <x:c r="O1806" s="72" t="n">
        <x:f aca="0">N1806/1000</x:f>
        <x:v>6983.321</x:v>
      </x:c>
      <x:c r="P1806" s="73" t="n">
        <x:f aca="0">FCCL!C77</x:f>
        <x:v>6983.321</x:v>
      </x:c>
      <x:c r="Q1806" s="70" t="str">
        <x:f aca="0">IF(ABS(O1806-P1806)&lt;0.000001,"PASS","FAIL")</x:f>
        <x:v>PASS</x:v>
      </x:c>
      <x:c r="R1806" s="70" t="s">
        <x:v>28</x:v>
      </x:c>
      <x:c r="S1806" s="70"/>
    </x:row>
    <x:row r="1807" ht="15" hidden="0">
      <x:c r="A1807" s="70" t="s">
        <x:v>3229</x:v>
      </x:c>
      <x:c r="B1807" s="70" t="s">
        <x:v>46</x:v>
      </x:c>
      <x:c r="C1807" s="70" t="s">
        <x:v>73</x:v>
      </x:c>
      <x:c r="D1807" s="70" t="s">
        <x:v>405</x:v>
      </x:c>
      <x:c r="E1807" s="70" t="s">
        <x:v>1129</x:v>
      </x:c>
      <x:c r="F1807" s="70"/>
      <x:c r="G1807" s="70" t="s">
        <x:v>2992</x:v>
      </x:c>
      <x:c r="H1807" s="70" t="s">
        <x:v>1204</x:v>
      </x:c>
      <x:c r="I1807" s="70" t="s">
        <x:v>1199</x:v>
      </x:c>
      <x:c r="J1807" s="70" t="n">
        <x:v>186</x:v>
      </x:c>
      <x:c r="K1807" s="70" t="s">
        <x:v>2126</x:v>
      </x:c>
      <x:c r="L1807" s="70"/>
      <x:c r="M1807" s="70" t="s">
        <x:v>40</x:v>
      </x:c>
      <x:c r="N1807" s="71" t="n">
        <x:v>12438732</x:v>
      </x:c>
      <x:c r="O1807" s="72" t="n">
        <x:f aca="0">N1807/1000</x:f>
        <x:v>12438.732</x:v>
      </x:c>
      <x:c r="P1807" s="73" t="n">
        <x:f aca="0">FCCL!D77</x:f>
        <x:v>12438.732</x:v>
      </x:c>
      <x:c r="Q1807" s="70" t="str">
        <x:f aca="0">IF(ABS(O1807-P1807)&lt;0.000001,"PASS","FAIL")</x:f>
        <x:v>PASS</x:v>
      </x:c>
      <x:c r="R1807" s="70" t="s">
        <x:v>28</x:v>
      </x:c>
      <x:c r="S1807" s="70"/>
    </x:row>
    <x:row r="1808" ht="15" hidden="0">
      <x:c r="A1808" s="70" t="s">
        <x:v>3230</x:v>
      </x:c>
      <x:c r="B1808" s="70" t="s">
        <x:v>46</x:v>
      </x:c>
      <x:c r="C1808" s="70" t="s">
        <x:v>74</x:v>
      </x:c>
      <x:c r="D1808" s="70" t="s">
        <x:v>405</x:v>
      </x:c>
      <x:c r="E1808" s="70" t="s">
        <x:v>1129</x:v>
      </x:c>
      <x:c r="F1808" s="70"/>
      <x:c r="G1808" s="70" t="s">
        <x:v>2994</x:v>
      </x:c>
      <x:c r="H1808" s="70" t="s">
        <x:v>1208</x:v>
      </x:c>
      <x:c r="I1808" s="70" t="s">
        <x:v>1199</x:v>
      </x:c>
      <x:c r="J1808" s="70" t="n">
        <x:v>208</x:v>
      </x:c>
      <x:c r="K1808" s="70" t="s">
        <x:v>2467</x:v>
      </x:c>
      <x:c r="L1808" s="70"/>
      <x:c r="M1808" s="70" t="s">
        <x:v>40</x:v>
      </x:c>
      <x:c r="N1808" s="71" t="n">
        <x:v>28216812</x:v>
      </x:c>
      <x:c r="O1808" s="72" t="n">
        <x:f aca="0">N1808/1000</x:f>
        <x:v>28216.812</x:v>
      </x:c>
      <x:c r="P1808" s="73" t="n">
        <x:f aca="0">FCCL!E77</x:f>
        <x:v>28216.812</x:v>
      </x:c>
      <x:c r="Q1808" s="70" t="str">
        <x:f aca="0">IF(ABS(O1808-P1808)&lt;0.000001,"PASS","FAIL")</x:f>
        <x:v>PASS</x:v>
      </x:c>
      <x:c r="R1808" s="70" t="s">
        <x:v>28</x:v>
      </x:c>
      <x:c r="S1808" s="70"/>
    </x:row>
    <x:row r="1809" ht="15" hidden="0">
      <x:c r="A1809" s="70" t="s">
        <x:v>3231</x:v>
      </x:c>
      <x:c r="B1809" s="70" t="s">
        <x:v>46</x:v>
      </x:c>
      <x:c r="C1809" s="70" t="s">
        <x:v>75</x:v>
      </x:c>
      <x:c r="D1809" s="70" t="s">
        <x:v>405</x:v>
      </x:c>
      <x:c r="E1809" s="70" t="s">
        <x:v>1129</x:v>
      </x:c>
      <x:c r="F1809" s="70"/>
      <x:c r="G1809" s="70" t="s">
        <x:v>2997</x:v>
      </x:c>
      <x:c r="H1809" s="70" t="s">
        <x:v>1211</x:v>
      </x:c>
      <x:c r="I1809" s="70" t="s">
        <x:v>1199</x:v>
      </x:c>
      <x:c r="J1809" s="70" t="n">
        <x:v>190</x:v>
      </x:c>
      <x:c r="K1809" s="70" t="s">
        <x:v>2130</x:v>
      </x:c>
      <x:c r="L1809" s="70"/>
      <x:c r="M1809" s="70" t="s">
        <x:v>40</x:v>
      </x:c>
      <x:c r="N1809" s="71" t="n">
        <x:v>23134499</x:v>
      </x:c>
      <x:c r="O1809" s="72" t="n">
        <x:f aca="0">N1809/1000</x:f>
        <x:v>23134.499</x:v>
      </x:c>
      <x:c r="P1809" s="73" t="n">
        <x:f aca="0">FCCL!F77</x:f>
        <x:v>23134.499</x:v>
      </x:c>
      <x:c r="Q1809" s="70" t="str">
        <x:f aca="0">IF(ABS(O1809-P1809)&lt;0.000001,"PASS","FAIL")</x:f>
        <x:v>PASS</x:v>
      </x:c>
      <x:c r="R1809" s="70" t="s">
        <x:v>28</x:v>
      </x:c>
      <x:c r="S1809" s="70"/>
    </x:row>
    <x:row r="1810" ht="15" hidden="0">
      <x:c r="A1810" s="70" t="s">
        <x:v>3232</x:v>
      </x:c>
      <x:c r="B1810" s="70" t="s">
        <x:v>46</x:v>
      </x:c>
      <x:c r="C1810" s="70" t="s">
        <x:v>76</x:v>
      </x:c>
      <x:c r="D1810" s="70" t="s">
        <x:v>405</x:v>
      </x:c>
      <x:c r="E1810" s="70" t="s">
        <x:v>1129</x:v>
      </x:c>
      <x:c r="F1810" s="70"/>
      <x:c r="G1810" s="70" t="s">
        <x:v>2999</x:v>
      </x:c>
      <x:c r="H1810" s="70" t="s">
        <x:v>1215</x:v>
      </x:c>
      <x:c r="I1810" s="70" t="s">
        <x:v>1199</x:v>
      </x:c>
      <x:c r="J1810" s="70" t="n">
        <x:v>244</x:v>
      </x:c>
      <x:c r="K1810" s="70" t="s">
        <x:v>1200</x:v>
      </x:c>
      <x:c r="L1810" s="70"/>
      <x:c r="M1810" s="70" t="s">
        <x:v>40</x:v>
      </x:c>
      <x:c r="N1810" s="71" t="n">
        <x:v>25784071</x:v>
      </x:c>
      <x:c r="O1810" s="72" t="n">
        <x:f aca="0">N1810/1000</x:f>
        <x:v>25784.071</x:v>
      </x:c>
      <x:c r="P1810" s="73" t="n">
        <x:f aca="0">FCCL!G77</x:f>
        <x:v>25784.071</x:v>
      </x:c>
      <x:c r="Q1810" s="70" t="str">
        <x:f aca="0">IF(ABS(O1810-P1810)&lt;0.000001,"PASS","FAIL")</x:f>
        <x:v>PASS</x:v>
      </x:c>
      <x:c r="R1810" s="70" t="s">
        <x:v>28</x:v>
      </x:c>
      <x:c r="S1810" s="70"/>
    </x:row>
    <x:row r="1811" ht="15" hidden="0">
      <x:c r="A1811" s="70" t="s">
        <x:v>3233</x:v>
      </x:c>
      <x:c r="B1811" s="70" t="s">
        <x:v>46</x:v>
      </x:c>
      <x:c r="C1811" s="70" t="s">
        <x:v>77</x:v>
      </x:c>
      <x:c r="D1811" s="70" t="s">
        <x:v>405</x:v>
      </x:c>
      <x:c r="E1811" s="70" t="s">
        <x:v>1129</x:v>
      </x:c>
      <x:c r="F1811" s="70"/>
      <x:c r="G1811" s="70" t="s">
        <x:v>2999</x:v>
      </x:c>
      <x:c r="H1811" s="70" t="s">
        <x:v>1215</x:v>
      </x:c>
      <x:c r="I1811" s="70" t="s">
        <x:v>1218</x:v>
      </x:c>
      <x:c r="J1811" s="70" t="n">
        <x:v>244</x:v>
      </x:c>
      <x:c r="K1811" s="70" t="s">
        <x:v>1200</x:v>
      </x:c>
      <x:c r="L1811" s="70"/>
      <x:c r="M1811" s="70" t="s">
        <x:v>40</x:v>
      </x:c>
      <x:c r="N1811" s="71" t="n">
        <x:v>40472565</x:v>
      </x:c>
      <x:c r="O1811" s="72" t="n">
        <x:f aca="0">N1811/1000</x:f>
        <x:v>40472.565</x:v>
      </x:c>
      <x:c r="P1811" s="73" t="n">
        <x:f aca="0">FCCL!H77</x:f>
        <x:v>40472.565</x:v>
      </x:c>
      <x:c r="Q1811" s="70" t="str">
        <x:f aca="0">IF(ABS(O1811-P1811)&lt;0.000001,"PASS","FAIL")</x:f>
        <x:v>PASS</x:v>
      </x:c>
      <x:c r="R1811" s="70" t="s">
        <x:v>28</x:v>
      </x:c>
      <x:c r="S1811" s="70"/>
    </x:row>
    <x:row r="1812" ht="15" hidden="0">
      <x:c r="A1812" s="70" t="s">
        <x:v>3234</x:v>
      </x:c>
      <x:c r="B1812" s="70" t="s">
        <x:v>46</x:v>
      </x:c>
      <x:c r="C1812" s="70" t="s">
        <x:v>1076</x:v>
      </x:c>
      <x:c r="D1812" s="70" t="s">
        <x:v>407</x:v>
      </x:c>
      <x:c r="E1812" s="70" t="s">
        <x:v>1129</x:v>
      </x:c>
      <x:c r="F1812" s="70"/>
      <x:c r="G1812" s="70" t="s">
        <x:v>2990</x:v>
      </x:c>
      <x:c r="H1812" s="70" t="s">
        <x:v>1198</x:v>
      </x:c>
      <x:c r="I1812" s="70" t="s">
        <x:v>1199</x:v>
      </x:c>
      <x:c r="J1812" s="70" t="n">
        <x:v>164</x:v>
      </x:c>
      <x:c r="K1812" s="70" t="s">
        <x:v>2979</x:v>
      </x:c>
      <x:c r="L1812" s="70"/>
      <x:c r="M1812" s="70" t="s">
        <x:v>40</x:v>
      </x:c>
      <x:c r="N1812" s="71" t="n">
        <x:v>5182458</x:v>
      </x:c>
      <x:c r="O1812" s="72" t="n">
        <x:f aca="0">N1812/1000</x:f>
        <x:v>5182.458</x:v>
      </x:c>
      <x:c r="P1812" s="73" t="n">
        <x:f aca="0">FCCL!C78</x:f>
        <x:v>5182.458</x:v>
      </x:c>
      <x:c r="Q1812" s="70" t="str">
        <x:f aca="0">IF(ABS(O1812-P1812)&lt;0.000001,"PASS","FAIL")</x:f>
        <x:v>PASS</x:v>
      </x:c>
      <x:c r="R1812" s="70" t="s">
        <x:v>28</x:v>
      </x:c>
      <x:c r="S1812" s="70"/>
    </x:row>
    <x:row r="1813" ht="15" hidden="0">
      <x:c r="A1813" s="70" t="s">
        <x:v>3235</x:v>
      </x:c>
      <x:c r="B1813" s="70" t="s">
        <x:v>46</x:v>
      </x:c>
      <x:c r="C1813" s="70" t="s">
        <x:v>73</x:v>
      </x:c>
      <x:c r="D1813" s="70" t="s">
        <x:v>407</x:v>
      </x:c>
      <x:c r="E1813" s="70" t="s">
        <x:v>1129</x:v>
      </x:c>
      <x:c r="F1813" s="70"/>
      <x:c r="G1813" s="70" t="s">
        <x:v>2992</x:v>
      </x:c>
      <x:c r="H1813" s="70" t="s">
        <x:v>1204</x:v>
      </x:c>
      <x:c r="I1813" s="70" t="s">
        <x:v>1199</x:v>
      </x:c>
      <x:c r="J1813" s="70" t="n">
        <x:v>186</x:v>
      </x:c>
      <x:c r="K1813" s="70" t="s">
        <x:v>2126</x:v>
      </x:c>
      <x:c r="L1813" s="70"/>
      <x:c r="M1813" s="70" t="s">
        <x:v>40</x:v>
      </x:c>
      <x:c r="N1813" s="71" t="n">
        <x:v>6161989</x:v>
      </x:c>
      <x:c r="O1813" s="72" t="n">
        <x:f aca="0">N1813/1000</x:f>
        <x:v>6161.989</x:v>
      </x:c>
      <x:c r="P1813" s="73" t="n">
        <x:f aca="0">FCCL!D78</x:f>
        <x:v>6161.989</x:v>
      </x:c>
      <x:c r="Q1813" s="70" t="str">
        <x:f aca="0">IF(ABS(O1813-P1813)&lt;0.000001,"PASS","FAIL")</x:f>
        <x:v>PASS</x:v>
      </x:c>
      <x:c r="R1813" s="70" t="s">
        <x:v>28</x:v>
      </x:c>
      <x:c r="S1813" s="70"/>
    </x:row>
    <x:row r="1814" ht="15" hidden="0">
      <x:c r="A1814" s="70" t="s">
        <x:v>3236</x:v>
      </x:c>
      <x:c r="B1814" s="70" t="s">
        <x:v>46</x:v>
      </x:c>
      <x:c r="C1814" s="70" t="s">
        <x:v>74</x:v>
      </x:c>
      <x:c r="D1814" s="70" t="s">
        <x:v>407</x:v>
      </x:c>
      <x:c r="E1814" s="70" t="s">
        <x:v>1129</x:v>
      </x:c>
      <x:c r="F1814" s="70"/>
      <x:c r="G1814" s="70" t="s">
        <x:v>2994</x:v>
      </x:c>
      <x:c r="H1814" s="70" t="s">
        <x:v>1208</x:v>
      </x:c>
      <x:c r="I1814" s="70" t="s">
        <x:v>1199</x:v>
      </x:c>
      <x:c r="J1814" s="70" t="n">
        <x:v>208</x:v>
      </x:c>
      <x:c r="K1814" s="70" t="s">
        <x:v>2467</x:v>
      </x:c>
      <x:c r="L1814" s="70"/>
      <x:c r="M1814" s="70" t="s">
        <x:v>40</x:v>
      </x:c>
      <x:c r="N1814" s="71" t="n">
        <x:v>26721253</x:v>
      </x:c>
      <x:c r="O1814" s="72" t="n">
        <x:f aca="0">N1814/1000</x:f>
        <x:v>26721.253</x:v>
      </x:c>
      <x:c r="P1814" s="73" t="n">
        <x:f aca="0">FCCL!E78</x:f>
        <x:v>26721.253</x:v>
      </x:c>
      <x:c r="Q1814" s="70" t="str">
        <x:f aca="0">IF(ABS(O1814-P1814)&lt;0.000001,"PASS","FAIL")</x:f>
        <x:v>PASS</x:v>
      </x:c>
      <x:c r="R1814" s="70" t="s">
        <x:v>28</x:v>
      </x:c>
      <x:c r="S1814" s="70"/>
    </x:row>
    <x:row r="1815" ht="15" hidden="0">
      <x:c r="A1815" s="70" t="s">
        <x:v>3237</x:v>
      </x:c>
      <x:c r="B1815" s="70" t="s">
        <x:v>46</x:v>
      </x:c>
      <x:c r="C1815" s="70" t="s">
        <x:v>75</x:v>
      </x:c>
      <x:c r="D1815" s="70" t="s">
        <x:v>407</x:v>
      </x:c>
      <x:c r="E1815" s="70" t="s">
        <x:v>1129</x:v>
      </x:c>
      <x:c r="F1815" s="70"/>
      <x:c r="G1815" s="70" t="s">
        <x:v>2997</x:v>
      </x:c>
      <x:c r="H1815" s="70" t="s">
        <x:v>1211</x:v>
      </x:c>
      <x:c r="I1815" s="70" t="s">
        <x:v>1199</x:v>
      </x:c>
      <x:c r="J1815" s="70" t="n">
        <x:v>190</x:v>
      </x:c>
      <x:c r="K1815" s="70" t="s">
        <x:v>2130</x:v>
      </x:c>
      <x:c r="L1815" s="70"/>
      <x:c r="M1815" s="70" t="s">
        <x:v>40</x:v>
      </x:c>
      <x:c r="N1815" s="71" t="n">
        <x:v>28486855</x:v>
      </x:c>
      <x:c r="O1815" s="72" t="n">
        <x:f aca="0">N1815/1000</x:f>
        <x:v>28486.855</x:v>
      </x:c>
      <x:c r="P1815" s="73" t="n">
        <x:f aca="0">FCCL!F78</x:f>
        <x:v>28486.855</x:v>
      </x:c>
      <x:c r="Q1815" s="70" t="str">
        <x:f aca="0">IF(ABS(O1815-P1815)&lt;0.000001,"PASS","FAIL")</x:f>
        <x:v>PASS</x:v>
      </x:c>
      <x:c r="R1815" s="70" t="s">
        <x:v>28</x:v>
      </x:c>
      <x:c r="S1815" s="70"/>
    </x:row>
    <x:row r="1816" ht="15" hidden="0">
      <x:c r="A1816" s="70" t="s">
        <x:v>3238</x:v>
      </x:c>
      <x:c r="B1816" s="70" t="s">
        <x:v>46</x:v>
      </x:c>
      <x:c r="C1816" s="70" t="s">
        <x:v>76</x:v>
      </x:c>
      <x:c r="D1816" s="70" t="s">
        <x:v>407</x:v>
      </x:c>
      <x:c r="E1816" s="70" t="s">
        <x:v>1129</x:v>
      </x:c>
      <x:c r="F1816" s="70"/>
      <x:c r="G1816" s="70" t="s">
        <x:v>2999</x:v>
      </x:c>
      <x:c r="H1816" s="70" t="s">
        <x:v>1215</x:v>
      </x:c>
      <x:c r="I1816" s="70" t="s">
        <x:v>1199</x:v>
      </x:c>
      <x:c r="J1816" s="70" t="n">
        <x:v>244</x:v>
      </x:c>
      <x:c r="K1816" s="70" t="s">
        <x:v>1200</x:v>
      </x:c>
      <x:c r="L1816" s="70"/>
      <x:c r="M1816" s="70" t="s">
        <x:v>40</x:v>
      </x:c>
      <x:c r="N1816" s="71" t="n">
        <x:v>26865467</x:v>
      </x:c>
      <x:c r="O1816" s="72" t="n">
        <x:f aca="0">N1816/1000</x:f>
        <x:v>26865.467</x:v>
      </x:c>
      <x:c r="P1816" s="73" t="n">
        <x:f aca="0">FCCL!G78</x:f>
        <x:v>26865.467</x:v>
      </x:c>
      <x:c r="Q1816" s="70" t="str">
        <x:f aca="0">IF(ABS(O1816-P1816)&lt;0.000001,"PASS","FAIL")</x:f>
        <x:v>PASS</x:v>
      </x:c>
      <x:c r="R1816" s="70" t="s">
        <x:v>28</x:v>
      </x:c>
      <x:c r="S1816" s="70"/>
    </x:row>
    <x:row r="1817" ht="15" hidden="0">
      <x:c r="A1817" s="70" t="s">
        <x:v>3239</x:v>
      </x:c>
      <x:c r="B1817" s="70" t="s">
        <x:v>46</x:v>
      </x:c>
      <x:c r="C1817" s="70" t="s">
        <x:v>77</x:v>
      </x:c>
      <x:c r="D1817" s="70" t="s">
        <x:v>407</x:v>
      </x:c>
      <x:c r="E1817" s="70" t="s">
        <x:v>1129</x:v>
      </x:c>
      <x:c r="F1817" s="70"/>
      <x:c r="G1817" s="70" t="s">
        <x:v>2999</x:v>
      </x:c>
      <x:c r="H1817" s="70" t="s">
        <x:v>1215</x:v>
      </x:c>
      <x:c r="I1817" s="70" t="s">
        <x:v>1218</x:v>
      </x:c>
      <x:c r="J1817" s="70" t="n">
        <x:v>244</x:v>
      </x:c>
      <x:c r="K1817" s="70" t="s">
        <x:v>1200</x:v>
      </x:c>
      <x:c r="L1817" s="70"/>
      <x:c r="M1817" s="70" t="s">
        <x:v>40</x:v>
      </x:c>
      <x:c r="N1817" s="71" t="n">
        <x:v>30637497</x:v>
      </x:c>
      <x:c r="O1817" s="72" t="n">
        <x:f aca="0">N1817/1000</x:f>
        <x:v>30637.497</x:v>
      </x:c>
      <x:c r="P1817" s="73" t="n">
        <x:f aca="0">FCCL!H78</x:f>
        <x:v>30637.497</x:v>
      </x:c>
      <x:c r="Q1817" s="70" t="str">
        <x:f aca="0">IF(ABS(O1817-P1817)&lt;0.000001,"PASS","FAIL")</x:f>
        <x:v>PASS</x:v>
      </x:c>
      <x:c r="R1817" s="70" t="s">
        <x:v>28</x:v>
      </x:c>
      <x:c r="S1817" s="70"/>
    </x:row>
    <x:row r="1818" ht="15" hidden="0">
      <x:c r="A1818" s="70" t="s">
        <x:v>3240</x:v>
      </x:c>
      <x:c r="B1818" s="70" t="s">
        <x:v>46</x:v>
      </x:c>
      <x:c r="C1818" s="70" t="s">
        <x:v>73</x:v>
      </x:c>
      <x:c r="D1818" s="70" t="s">
        <x:v>414</x:v>
      </x:c>
      <x:c r="E1818" s="70" t="s">
        <x:v>1472</x:v>
      </x:c>
      <x:c r="F1818" s="70" t="s">
        <x:v>3241</x:v>
      </x:c>
      <x:c r="G1818" s="70" t="s">
        <x:v>2992</x:v>
      </x:c>
      <x:c r="H1818" s="70" t="s">
        <x:v>1204</x:v>
      </x:c>
      <x:c r="I1818" s="70" t="s">
        <x:v>1199</x:v>
      </x:c>
      <x:c r="J1818" s="70" t="n">
        <x:v>188</x:v>
      </x:c>
      <x:c r="K1818" s="70" t="s">
        <x:v>2128</x:v>
      </x:c>
      <x:c r="L1818" s="70"/>
      <x:c r="M1818" s="70" t="s">
        <x:v>40</x:v>
      </x:c>
      <x:c r="N1818" s="71" t="n">
        <x:v>24271285</x:v>
      </x:c>
      <x:c r="O1818" s="72" t="n">
        <x:f aca="0">N1818/1000</x:f>
        <x:v>24271.285</x:v>
      </x:c>
      <x:c r="P1818" s="73" t="n">
        <x:f aca="0">FCCL!D84</x:f>
        <x:v>24271.285</x:v>
      </x:c>
      <x:c r="Q1818" s="70" t="str">
        <x:f aca="0">IF(ABS(O1818-P1818)&lt;0.000001,"PASS","FAIL")</x:f>
        <x:v>PASS</x:v>
      </x:c>
      <x:c r="R1818" s="70" t="s">
        <x:v>28</x:v>
      </x:c>
      <x:c r="S1818" s="70"/>
    </x:row>
    <x:row r="1819" ht="15" hidden="0">
      <x:c r="A1819" s="70" t="s">
        <x:v>3242</x:v>
      </x:c>
      <x:c r="B1819" s="70" t="s">
        <x:v>46</x:v>
      </x:c>
      <x:c r="C1819" s="70" t="s">
        <x:v>74</x:v>
      </x:c>
      <x:c r="D1819" s="70" t="s">
        <x:v>414</x:v>
      </x:c>
      <x:c r="E1819" s="70" t="s">
        <x:v>1472</x:v>
      </x:c>
      <x:c r="F1819" s="70" t="s">
        <x:v>3241</x:v>
      </x:c>
      <x:c r="G1819" s="70" t="s">
        <x:v>2994</x:v>
      </x:c>
      <x:c r="H1819" s="70" t="s">
        <x:v>1208</x:v>
      </x:c>
      <x:c r="I1819" s="70" t="s">
        <x:v>1199</x:v>
      </x:c>
      <x:c r="J1819" s="70" t="n">
        <x:v>210</x:v>
      </x:c>
      <x:c r="K1819" s="70" t="s">
        <x:v>2460</x:v>
      </x:c>
      <x:c r="L1819" s="70"/>
      <x:c r="M1819" s="70" t="s">
        <x:v>40</x:v>
      </x:c>
      <x:c r="N1819" s="71" t="n">
        <x:v>54243118</x:v>
      </x:c>
      <x:c r="O1819" s="72" t="n">
        <x:f aca="0">N1819/1000</x:f>
        <x:v>54243.118</x:v>
      </x:c>
      <x:c r="P1819" s="73" t="n">
        <x:f aca="0">FCCL!E84</x:f>
        <x:v>54243.118</x:v>
      </x:c>
      <x:c r="Q1819" s="70" t="str">
        <x:f aca="0">IF(ABS(O1819-P1819)&lt;0.000001,"PASS","FAIL")</x:f>
        <x:v>PASS</x:v>
      </x:c>
      <x:c r="R1819" s="70" t="s">
        <x:v>28</x:v>
      </x:c>
      <x:c r="S1819" s="70"/>
    </x:row>
    <x:row r="1820" ht="15" hidden="0">
      <x:c r="A1820" s="70" t="s">
        <x:v>3243</x:v>
      </x:c>
      <x:c r="B1820" s="70" t="s">
        <x:v>46</x:v>
      </x:c>
      <x:c r="C1820" s="70" t="s">
        <x:v>75</x:v>
      </x:c>
      <x:c r="D1820" s="70" t="s">
        <x:v>414</x:v>
      </x:c>
      <x:c r="E1820" s="70" t="s">
        <x:v>1472</x:v>
      </x:c>
      <x:c r="F1820" s="70" t="s">
        <x:v>3241</x:v>
      </x:c>
      <x:c r="G1820" s="70" t="s">
        <x:v>2997</x:v>
      </x:c>
      <x:c r="H1820" s="70" t="s">
        <x:v>1211</x:v>
      </x:c>
      <x:c r="I1820" s="70" t="s">
        <x:v>1199</x:v>
      </x:c>
      <x:c r="J1820" s="70" t="n">
        <x:v>192</x:v>
      </x:c>
      <x:c r="K1820" s="70" t="s">
        <x:v>2813</x:v>
      </x:c>
      <x:c r="L1820" s="70"/>
      <x:c r="M1820" s="70" t="s">
        <x:v>40</x:v>
      </x:c>
      <x:c r="N1820" s="71" t="n">
        <x:v>68069282</x:v>
      </x:c>
      <x:c r="O1820" s="72" t="n">
        <x:f aca="0">N1820/1000</x:f>
        <x:v>68069.282</x:v>
      </x:c>
      <x:c r="P1820" s="73" t="n">
        <x:f aca="0">FCCL!F84</x:f>
        <x:v>68069.282</x:v>
      </x:c>
      <x:c r="Q1820" s="70" t="str">
        <x:f aca="0">IF(ABS(O1820-P1820)&lt;0.000001,"PASS","FAIL")</x:f>
        <x:v>PASS</x:v>
      </x:c>
      <x:c r="R1820" s="70" t="s">
        <x:v>28</x:v>
      </x:c>
      <x:c r="S1820" s="70"/>
    </x:row>
    <x:row r="1821" ht="15" hidden="0">
      <x:c r="A1821" s="70" t="s">
        <x:v>3244</x:v>
      </x:c>
      <x:c r="B1821" s="70" t="s">
        <x:v>46</x:v>
      </x:c>
      <x:c r="C1821" s="70" t="s">
        <x:v>76</x:v>
      </x:c>
      <x:c r="D1821" s="70" t="s">
        <x:v>414</x:v>
      </x:c>
      <x:c r="E1821" s="70" t="s">
        <x:v>1472</x:v>
      </x:c>
      <x:c r="F1821" s="70" t="s">
        <x:v>3241</x:v>
      </x:c>
      <x:c r="G1821" s="70" t="s">
        <x:v>2999</x:v>
      </x:c>
      <x:c r="H1821" s="70" t="s">
        <x:v>1215</x:v>
      </x:c>
      <x:c r="I1821" s="70" t="s">
        <x:v>1199</x:v>
      </x:c>
      <x:c r="J1821" s="70" t="n">
        <x:v>246</x:v>
      </x:c>
      <x:c r="K1821" s="70" t="s">
        <x:v>1200</x:v>
      </x:c>
      <x:c r="L1821" s="70"/>
      <x:c r="M1821" s="70" t="s">
        <x:v>40</x:v>
      </x:c>
      <x:c r="N1821" s="71" t="n">
        <x:v>80026226</x:v>
      </x:c>
      <x:c r="O1821" s="72" t="n">
        <x:f aca="0">N1821/1000</x:f>
        <x:v>80026.226</x:v>
      </x:c>
      <x:c r="P1821" s="73" t="n">
        <x:f aca="0">FCCL!G84</x:f>
        <x:v>80026.226</x:v>
      </x:c>
      <x:c r="Q1821" s="70" t="str">
        <x:f aca="0">IF(ABS(O1821-P1821)&lt;0.000001,"PASS","FAIL")</x:f>
        <x:v>PASS</x:v>
      </x:c>
      <x:c r="R1821" s="70" t="s">
        <x:v>28</x:v>
      </x:c>
      <x:c r="S1821" s="70"/>
    </x:row>
    <x:row r="1822" ht="15" hidden="0">
      <x:c r="A1822" s="70" t="s">
        <x:v>3245</x:v>
      </x:c>
      <x:c r="B1822" s="70" t="s">
        <x:v>46</x:v>
      </x:c>
      <x:c r="C1822" s="70" t="s">
        <x:v>77</x:v>
      </x:c>
      <x:c r="D1822" s="70" t="s">
        <x:v>414</x:v>
      </x:c>
      <x:c r="E1822" s="70" t="s">
        <x:v>1472</x:v>
      </x:c>
      <x:c r="F1822" s="70" t="s">
        <x:v>3241</x:v>
      </x:c>
      <x:c r="G1822" s="70" t="s">
        <x:v>2999</x:v>
      </x:c>
      <x:c r="H1822" s="70" t="s">
        <x:v>1215</x:v>
      </x:c>
      <x:c r="I1822" s="70" t="s">
        <x:v>1218</x:v>
      </x:c>
      <x:c r="J1822" s="70" t="n">
        <x:v>246</x:v>
      </x:c>
      <x:c r="K1822" s="70" t="s">
        <x:v>1200</x:v>
      </x:c>
      <x:c r="L1822" s="70"/>
      <x:c r="M1822" s="70" t="s">
        <x:v>40</x:v>
      </x:c>
      <x:c r="N1822" s="71" t="n">
        <x:v>88956328</x:v>
      </x:c>
      <x:c r="O1822" s="72" t="n">
        <x:f aca="0">N1822/1000</x:f>
        <x:v>88956.328</x:v>
      </x:c>
      <x:c r="P1822" s="73" t="n">
        <x:f aca="0">FCCL!H84</x:f>
        <x:v>88956.328</x:v>
      </x:c>
      <x:c r="Q1822" s="70" t="str">
        <x:f aca="0">IF(ABS(O1822-P1822)&lt;0.000001,"PASS","FAIL")</x:f>
        <x:v>PASS</x:v>
      </x:c>
      <x:c r="R1822" s="70" t="s">
        <x:v>28</x:v>
      </x:c>
      <x:c r="S1822" s="70"/>
    </x:row>
    <x:row r="1823" ht="15" hidden="0">
      <x:c r="A1823" s="70" t="s">
        <x:v>3246</x:v>
      </x:c>
      <x:c r="B1823" s="70" t="s">
        <x:v>46</x:v>
      </x:c>
      <x:c r="C1823" s="70" t="s">
        <x:v>73</x:v>
      </x:c>
      <x:c r="D1823" s="70" t="s">
        <x:v>416</x:v>
      </x:c>
      <x:c r="E1823" s="70" t="s">
        <x:v>1472</x:v>
      </x:c>
      <x:c r="F1823" s="70" t="s">
        <x:v>416</x:v>
      </x:c>
      <x:c r="G1823" s="70" t="s">
        <x:v>2992</x:v>
      </x:c>
      <x:c r="H1823" s="70" t="s">
        <x:v>1204</x:v>
      </x:c>
      <x:c r="I1823" s="70" t="s">
        <x:v>1199</x:v>
      </x:c>
      <x:c r="J1823" s="70" t="n">
        <x:v>188</x:v>
      </x:c>
      <x:c r="K1823" s="70" t="s">
        <x:v>2128</x:v>
      </x:c>
      <x:c r="L1823" s="70"/>
      <x:c r="M1823" s="70" t="s">
        <x:v>40</x:v>
      </x:c>
      <x:c r="N1823" s="71" t="n">
        <x:v>-18206880</x:v>
      </x:c>
      <x:c r="O1823" s="72" t="n">
        <x:f aca="0">N1823/1000</x:f>
        <x:v>-18206.88</x:v>
      </x:c>
      <x:c r="P1823" s="73" t="n">
        <x:f aca="0">FCCL!D85</x:f>
        <x:v>-18206.88</x:v>
      </x:c>
      <x:c r="Q1823" s="70" t="str">
        <x:f aca="0">IF(ABS(O1823-P1823)&lt;0.000001,"PASS","FAIL")</x:f>
        <x:v>PASS</x:v>
      </x:c>
      <x:c r="R1823" s="70" t="s">
        <x:v>28</x:v>
      </x:c>
      <x:c r="S1823" s="70"/>
    </x:row>
    <x:row r="1824" ht="15" hidden="0">
      <x:c r="A1824" s="70" t="s">
        <x:v>3247</x:v>
      </x:c>
      <x:c r="B1824" s="70" t="s">
        <x:v>46</x:v>
      </x:c>
      <x:c r="C1824" s="70" t="s">
        <x:v>74</x:v>
      </x:c>
      <x:c r="D1824" s="70" t="s">
        <x:v>416</x:v>
      </x:c>
      <x:c r="E1824" s="70" t="s">
        <x:v>1472</x:v>
      </x:c>
      <x:c r="F1824" s="70" t="s">
        <x:v>416</x:v>
      </x:c>
      <x:c r="G1824" s="70" t="s">
        <x:v>2994</x:v>
      </x:c>
      <x:c r="H1824" s="70" t="s">
        <x:v>1208</x:v>
      </x:c>
      <x:c r="I1824" s="70" t="s">
        <x:v>1199</x:v>
      </x:c>
      <x:c r="J1824" s="70" t="n">
        <x:v>210</x:v>
      </x:c>
      <x:c r="K1824" s="70" t="s">
        <x:v>2460</x:v>
      </x:c>
      <x:c r="L1824" s="70"/>
      <x:c r="M1824" s="70" t="s">
        <x:v>40</x:v>
      </x:c>
      <x:c r="N1824" s="71" t="n">
        <x:v>-38779542</x:v>
      </x:c>
      <x:c r="O1824" s="72" t="n">
        <x:f aca="0">N1824/1000</x:f>
        <x:v>-38779.542</x:v>
      </x:c>
      <x:c r="P1824" s="73" t="n">
        <x:f aca="0">FCCL!E85</x:f>
        <x:v>-38779.542</x:v>
      </x:c>
      <x:c r="Q1824" s="70" t="str">
        <x:f aca="0">IF(ABS(O1824-P1824)&lt;0.000001,"PASS","FAIL")</x:f>
        <x:v>PASS</x:v>
      </x:c>
      <x:c r="R1824" s="70" t="s">
        <x:v>28</x:v>
      </x:c>
      <x:c r="S1824" s="70" t="s">
        <x:v>1205</x:v>
      </x:c>
    </x:row>
    <x:row r="1825" ht="15" hidden="0">
      <x:c r="A1825" s="70" t="s">
        <x:v>3248</x:v>
      </x:c>
      <x:c r="B1825" s="70" t="s">
        <x:v>46</x:v>
      </x:c>
      <x:c r="C1825" s="70" t="s">
        <x:v>75</x:v>
      </x:c>
      <x:c r="D1825" s="70" t="s">
        <x:v>416</x:v>
      </x:c>
      <x:c r="E1825" s="70" t="s">
        <x:v>1472</x:v>
      </x:c>
      <x:c r="F1825" s="70" t="s">
        <x:v>416</x:v>
      </x:c>
      <x:c r="G1825" s="70" t="s">
        <x:v>2997</x:v>
      </x:c>
      <x:c r="H1825" s="70" t="s">
        <x:v>1211</x:v>
      </x:c>
      <x:c r="I1825" s="70" t="s">
        <x:v>1199</x:v>
      </x:c>
      <x:c r="J1825" s="70" t="n">
        <x:v>192</x:v>
      </x:c>
      <x:c r="K1825" s="70" t="s">
        <x:v>2813</x:v>
      </x:c>
      <x:c r="L1825" s="70"/>
      <x:c r="M1825" s="70" t="s">
        <x:v>40</x:v>
      </x:c>
      <x:c r="N1825" s="71" t="n">
        <x:v>-47650809</x:v>
      </x:c>
      <x:c r="O1825" s="72" t="n">
        <x:f aca="0">N1825/1000</x:f>
        <x:v>-47650.809</x:v>
      </x:c>
      <x:c r="P1825" s="73" t="n">
        <x:f aca="0">FCCL!F85</x:f>
        <x:v>-47650.809</x:v>
      </x:c>
      <x:c r="Q1825" s="70" t="str">
        <x:f aca="0">IF(ABS(O1825-P1825)&lt;0.000001,"PASS","FAIL")</x:f>
        <x:v>PASS</x:v>
      </x:c>
      <x:c r="R1825" s="70" t="s">
        <x:v>28</x:v>
      </x:c>
      <x:c r="S1825" s="70"/>
    </x:row>
    <x:row r="1826" ht="15" hidden="0">
      <x:c r="A1826" s="70" t="s">
        <x:v>3249</x:v>
      </x:c>
      <x:c r="B1826" s="70" t="s">
        <x:v>46</x:v>
      </x:c>
      <x:c r="C1826" s="70" t="s">
        <x:v>76</x:v>
      </x:c>
      <x:c r="D1826" s="70" t="s">
        <x:v>416</x:v>
      </x:c>
      <x:c r="E1826" s="70" t="s">
        <x:v>1472</x:v>
      </x:c>
      <x:c r="F1826" s="70" t="s">
        <x:v>416</x:v>
      </x:c>
      <x:c r="G1826" s="70" t="s">
        <x:v>2999</x:v>
      </x:c>
      <x:c r="H1826" s="70" t="s">
        <x:v>1215</x:v>
      </x:c>
      <x:c r="I1826" s="70" t="s">
        <x:v>1199</x:v>
      </x:c>
      <x:c r="J1826" s="70" t="n">
        <x:v>246</x:v>
      </x:c>
      <x:c r="K1826" s="70" t="s">
        <x:v>1200</x:v>
      </x:c>
      <x:c r="L1826" s="70"/>
      <x:c r="M1826" s="70" t="s">
        <x:v>40</x:v>
      </x:c>
      <x:c r="N1826" s="71" t="n">
        <x:v>-54345821</x:v>
      </x:c>
      <x:c r="O1826" s="72" t="n">
        <x:f aca="0">N1826/1000</x:f>
        <x:v>-54345.821</x:v>
      </x:c>
      <x:c r="P1826" s="73" t="n">
        <x:f aca="0">FCCL!G85</x:f>
        <x:v>-54345.821</x:v>
      </x:c>
      <x:c r="Q1826" s="70" t="str">
        <x:f aca="0">IF(ABS(O1826-P1826)&lt;0.000001,"PASS","FAIL")</x:f>
        <x:v>PASS</x:v>
      </x:c>
      <x:c r="R1826" s="70" t="s">
        <x:v>28</x:v>
      </x:c>
      <x:c r="S1826" s="70"/>
    </x:row>
    <x:row r="1827" ht="15" hidden="0">
      <x:c r="A1827" s="70" t="s">
        <x:v>3250</x:v>
      </x:c>
      <x:c r="B1827" s="70" t="s">
        <x:v>46</x:v>
      </x:c>
      <x:c r="C1827" s="70" t="s">
        <x:v>77</x:v>
      </x:c>
      <x:c r="D1827" s="70" t="s">
        <x:v>416</x:v>
      </x:c>
      <x:c r="E1827" s="70" t="s">
        <x:v>1472</x:v>
      </x:c>
      <x:c r="F1827" s="70" t="s">
        <x:v>416</x:v>
      </x:c>
      <x:c r="G1827" s="70" t="s">
        <x:v>2999</x:v>
      </x:c>
      <x:c r="H1827" s="70" t="s">
        <x:v>1215</x:v>
      </x:c>
      <x:c r="I1827" s="70" t="s">
        <x:v>1218</x:v>
      </x:c>
      <x:c r="J1827" s="70" t="n">
        <x:v>246</x:v>
      </x:c>
      <x:c r="K1827" s="70" t="s">
        <x:v>1200</x:v>
      </x:c>
      <x:c r="L1827" s="70"/>
      <x:c r="M1827" s="70" t="s">
        <x:v>40</x:v>
      </x:c>
      <x:c r="N1827" s="71" t="n">
        <x:v>-57384978</x:v>
      </x:c>
      <x:c r="O1827" s="72" t="n">
        <x:f aca="0">N1827/1000</x:f>
        <x:v>-57384.978</x:v>
      </x:c>
      <x:c r="P1827" s="73" t="n">
        <x:f aca="0">FCCL!H85</x:f>
        <x:v>-57384.978</x:v>
      </x:c>
      <x:c r="Q1827" s="70" t="str">
        <x:f aca="0">IF(ABS(O1827-P1827)&lt;0.000001,"PASS","FAIL")</x:f>
        <x:v>PASS</x:v>
      </x:c>
      <x:c r="R1827" s="70" t="s">
        <x:v>28</x:v>
      </x:c>
      <x:c r="S1827" s="70"/>
    </x:row>
    <x:row r="1828" ht="15" hidden="0">
      <x:c r="A1828" s="70" t="s">
        <x:v>3251</x:v>
      </x:c>
      <x:c r="B1828" s="70" t="s">
        <x:v>46</x:v>
      </x:c>
      <x:c r="C1828" s="70" t="s">
        <x:v>73</x:v>
      </x:c>
      <x:c r="D1828" s="70" t="s">
        <x:v>420</x:v>
      </x:c>
      <x:c r="E1828" s="70" t="s">
        <x:v>1472</x:v>
      </x:c>
      <x:c r="F1828" s="70" t="s">
        <x:v>420</x:v>
      </x:c>
      <x:c r="G1828" s="70" t="s">
        <x:v>2992</x:v>
      </x:c>
      <x:c r="H1828" s="70" t="s">
        <x:v>1204</x:v>
      </x:c>
      <x:c r="I1828" s="70" t="s">
        <x:v>1199</x:v>
      </x:c>
      <x:c r="J1828" s="70" t="n">
        <x:v>188</x:v>
      </x:c>
      <x:c r="K1828" s="70" t="s">
        <x:v>2128</x:v>
      </x:c>
      <x:c r="L1828" s="70"/>
      <x:c r="M1828" s="70" t="s">
        <x:v>40</x:v>
      </x:c>
      <x:c r="N1828" s="71" t="n">
        <x:v>-189537</x:v>
      </x:c>
      <x:c r="O1828" s="72" t="n">
        <x:f aca="0">N1828/1000</x:f>
        <x:v>-189.537</x:v>
      </x:c>
      <x:c r="P1828" s="73" t="n">
        <x:f aca="0">FCCL!D87</x:f>
        <x:v>-189.537</x:v>
      </x:c>
      <x:c r="Q1828" s="70" t="str">
        <x:f aca="0">IF(ABS(O1828-P1828)&lt;0.000001,"PASS","FAIL")</x:f>
        <x:v>PASS</x:v>
      </x:c>
      <x:c r="R1828" s="70" t="s">
        <x:v>28</x:v>
      </x:c>
      <x:c r="S1828" s="70"/>
    </x:row>
    <x:row r="1829" ht="15" hidden="0">
      <x:c r="A1829" s="70" t="s">
        <x:v>3252</x:v>
      </x:c>
      <x:c r="B1829" s="70" t="s">
        <x:v>46</x:v>
      </x:c>
      <x:c r="C1829" s="70" t="s">
        <x:v>74</x:v>
      </x:c>
      <x:c r="D1829" s="70" t="s">
        <x:v>420</x:v>
      </x:c>
      <x:c r="E1829" s="70" t="s">
        <x:v>1472</x:v>
      </x:c>
      <x:c r="F1829" s="70" t="s">
        <x:v>420</x:v>
      </x:c>
      <x:c r="G1829" s="70" t="s">
        <x:v>2994</x:v>
      </x:c>
      <x:c r="H1829" s="70" t="s">
        <x:v>1208</x:v>
      </x:c>
      <x:c r="I1829" s="70" t="s">
        <x:v>1199</x:v>
      </x:c>
      <x:c r="J1829" s="70" t="n">
        <x:v>210</x:v>
      </x:c>
      <x:c r="K1829" s="70" t="s">
        <x:v>2460</x:v>
      </x:c>
      <x:c r="L1829" s="70"/>
      <x:c r="M1829" s="70" t="s">
        <x:v>40</x:v>
      </x:c>
      <x:c r="N1829" s="71" t="n">
        <x:v>-1603323</x:v>
      </x:c>
      <x:c r="O1829" s="72" t="n">
        <x:f aca="0">N1829/1000</x:f>
        <x:v>-1603.323</x:v>
      </x:c>
      <x:c r="P1829" s="73" t="n">
        <x:f aca="0">FCCL!E87</x:f>
        <x:v>-1603.323</x:v>
      </x:c>
      <x:c r="Q1829" s="70" t="str">
        <x:f aca="0">IF(ABS(O1829-P1829)&lt;0.000001,"PASS","FAIL")</x:f>
        <x:v>PASS</x:v>
      </x:c>
      <x:c r="R1829" s="70" t="s">
        <x:v>28</x:v>
      </x:c>
      <x:c r="S1829" s="70" t="s">
        <x:v>1205</x:v>
      </x:c>
    </x:row>
    <x:row r="1830" ht="15" hidden="0">
      <x:c r="A1830" s="70" t="s">
        <x:v>3253</x:v>
      </x:c>
      <x:c r="B1830" s="70" t="s">
        <x:v>46</x:v>
      </x:c>
      <x:c r="C1830" s="70" t="s">
        <x:v>75</x:v>
      </x:c>
      <x:c r="D1830" s="70" t="s">
        <x:v>420</x:v>
      </x:c>
      <x:c r="E1830" s="70" t="s">
        <x:v>1472</x:v>
      </x:c>
      <x:c r="F1830" s="70" t="s">
        <x:v>420</x:v>
      </x:c>
      <x:c r="G1830" s="70" t="s">
        <x:v>2997</x:v>
      </x:c>
      <x:c r="H1830" s="70" t="s">
        <x:v>1211</x:v>
      </x:c>
      <x:c r="I1830" s="70" t="s">
        <x:v>1199</x:v>
      </x:c>
      <x:c r="J1830" s="70" t="n">
        <x:v>192</x:v>
      </x:c>
      <x:c r="K1830" s="70" t="s">
        <x:v>2813</x:v>
      </x:c>
      <x:c r="L1830" s="70"/>
      <x:c r="M1830" s="70" t="s">
        <x:v>40</x:v>
      </x:c>
      <x:c r="N1830" s="71" t="n">
        <x:v>-2705263</x:v>
      </x:c>
      <x:c r="O1830" s="72" t="n">
        <x:f aca="0">N1830/1000</x:f>
        <x:v>-2705.263</x:v>
      </x:c>
      <x:c r="P1830" s="73" t="n">
        <x:f aca="0">FCCL!F87</x:f>
        <x:v>-2705.263</x:v>
      </x:c>
      <x:c r="Q1830" s="70" t="str">
        <x:f aca="0">IF(ABS(O1830-P1830)&lt;0.000001,"PASS","FAIL")</x:f>
        <x:v>PASS</x:v>
      </x:c>
      <x:c r="R1830" s="70" t="s">
        <x:v>28</x:v>
      </x:c>
      <x:c r="S1830" s="70"/>
    </x:row>
    <x:row r="1831" ht="15" hidden="0">
      <x:c r="A1831" s="70" t="s">
        <x:v>3254</x:v>
      </x:c>
      <x:c r="B1831" s="70" t="s">
        <x:v>46</x:v>
      </x:c>
      <x:c r="C1831" s="70" t="s">
        <x:v>76</x:v>
      </x:c>
      <x:c r="D1831" s="70" t="s">
        <x:v>420</x:v>
      </x:c>
      <x:c r="E1831" s="70" t="s">
        <x:v>1472</x:v>
      </x:c>
      <x:c r="F1831" s="70" t="s">
        <x:v>420</x:v>
      </x:c>
      <x:c r="G1831" s="70" t="s">
        <x:v>2999</x:v>
      </x:c>
      <x:c r="H1831" s="70" t="s">
        <x:v>1215</x:v>
      </x:c>
      <x:c r="I1831" s="70" t="s">
        <x:v>1199</x:v>
      </x:c>
      <x:c r="J1831" s="70" t="n">
        <x:v>246</x:v>
      </x:c>
      <x:c r="K1831" s="70" t="s">
        <x:v>1200</x:v>
      </x:c>
      <x:c r="L1831" s="70"/>
      <x:c r="M1831" s="70" t="s">
        <x:v>40</x:v>
      </x:c>
      <x:c r="N1831" s="71" t="n">
        <x:v>-3285923</x:v>
      </x:c>
      <x:c r="O1831" s="72" t="n">
        <x:f aca="0">N1831/1000</x:f>
        <x:v>-3285.923</x:v>
      </x:c>
      <x:c r="P1831" s="73" t="n">
        <x:f aca="0">FCCL!G87</x:f>
        <x:v>-3285.923</x:v>
      </x:c>
      <x:c r="Q1831" s="70" t="str">
        <x:f aca="0">IF(ABS(O1831-P1831)&lt;0.000001,"PASS","FAIL")</x:f>
        <x:v>PASS</x:v>
      </x:c>
      <x:c r="R1831" s="70" t="s">
        <x:v>28</x:v>
      </x:c>
      <x:c r="S1831" s="70"/>
    </x:row>
    <x:row r="1832" ht="15" hidden="0">
      <x:c r="A1832" s="70" t="s">
        <x:v>3255</x:v>
      </x:c>
      <x:c r="B1832" s="70" t="s">
        <x:v>46</x:v>
      </x:c>
      <x:c r="C1832" s="70" t="s">
        <x:v>77</x:v>
      </x:c>
      <x:c r="D1832" s="70" t="s">
        <x:v>420</x:v>
      </x:c>
      <x:c r="E1832" s="70" t="s">
        <x:v>1472</x:v>
      </x:c>
      <x:c r="F1832" s="70" t="s">
        <x:v>420</x:v>
      </x:c>
      <x:c r="G1832" s="70" t="s">
        <x:v>2999</x:v>
      </x:c>
      <x:c r="H1832" s="70" t="s">
        <x:v>1215</x:v>
      </x:c>
      <x:c r="I1832" s="70" t="s">
        <x:v>1218</x:v>
      </x:c>
      <x:c r="J1832" s="70" t="n">
        <x:v>246</x:v>
      </x:c>
      <x:c r="K1832" s="70" t="s">
        <x:v>1200</x:v>
      </x:c>
      <x:c r="L1832" s="70"/>
      <x:c r="M1832" s="70" t="s">
        <x:v>40</x:v>
      </x:c>
      <x:c r="N1832" s="71" t="n">
        <x:v>-2935139</x:v>
      </x:c>
      <x:c r="O1832" s="72" t="n">
        <x:f aca="0">N1832/1000</x:f>
        <x:v>-2935.139</x:v>
      </x:c>
      <x:c r="P1832" s="73" t="n">
        <x:f aca="0">FCCL!H87</x:f>
        <x:v>-2935.139</x:v>
      </x:c>
      <x:c r="Q1832" s="70" t="str">
        <x:f aca="0">IF(ABS(O1832-P1832)&lt;0.000001,"PASS","FAIL")</x:f>
        <x:v>PASS</x:v>
      </x:c>
      <x:c r="R1832" s="70" t="s">
        <x:v>28</x:v>
      </x:c>
      <x:c r="S1832" s="70"/>
    </x:row>
    <x:row r="1833" ht="15" hidden="0">
      <x:c r="A1833" s="70" t="s">
        <x:v>3256</x:v>
      </x:c>
      <x:c r="B1833" s="70" t="s">
        <x:v>46</x:v>
      </x:c>
      <x:c r="C1833" s="70" t="s">
        <x:v>73</x:v>
      </x:c>
      <x:c r="D1833" s="70" t="s">
        <x:v>422</x:v>
      </x:c>
      <x:c r="E1833" s="70" t="s">
        <x:v>1472</x:v>
      </x:c>
      <x:c r="F1833" s="70" t="s">
        <x:v>422</x:v>
      </x:c>
      <x:c r="G1833" s="70" t="s">
        <x:v>2992</x:v>
      </x:c>
      <x:c r="H1833" s="70" t="s">
        <x:v>1204</x:v>
      </x:c>
      <x:c r="I1833" s="70" t="s">
        <x:v>1199</x:v>
      </x:c>
      <x:c r="J1833" s="70" t="n">
        <x:v>188</x:v>
      </x:c>
      <x:c r="K1833" s="70" t="s">
        <x:v>2128</x:v>
      </x:c>
      <x:c r="L1833" s="70"/>
      <x:c r="M1833" s="70" t="s">
        <x:v>40</x:v>
      </x:c>
      <x:c r="N1833" s="71" t="n">
        <x:v>-524709</x:v>
      </x:c>
      <x:c r="O1833" s="72" t="n">
        <x:f aca="0">N1833/1000</x:f>
        <x:v>-524.709</x:v>
      </x:c>
      <x:c r="P1833" s="73" t="n">
        <x:f aca="0">FCCL!D88</x:f>
        <x:v>-524.709</x:v>
      </x:c>
      <x:c r="Q1833" s="70" t="str">
        <x:f aca="0">IF(ABS(O1833-P1833)&lt;0.000001,"PASS","FAIL")</x:f>
        <x:v>PASS</x:v>
      </x:c>
      <x:c r="R1833" s="70" t="s">
        <x:v>28</x:v>
      </x:c>
      <x:c r="S1833" s="70"/>
    </x:row>
    <x:row r="1834" ht="15" hidden="0">
      <x:c r="A1834" s="70" t="s">
        <x:v>3257</x:v>
      </x:c>
      <x:c r="B1834" s="70" t="s">
        <x:v>46</x:v>
      </x:c>
      <x:c r="C1834" s="70" t="s">
        <x:v>74</x:v>
      </x:c>
      <x:c r="D1834" s="70" t="s">
        <x:v>422</x:v>
      </x:c>
      <x:c r="E1834" s="70" t="s">
        <x:v>1472</x:v>
      </x:c>
      <x:c r="F1834" s="70" t="s">
        <x:v>422</x:v>
      </x:c>
      <x:c r="G1834" s="70" t="s">
        <x:v>2994</x:v>
      </x:c>
      <x:c r="H1834" s="70" t="s">
        <x:v>1208</x:v>
      </x:c>
      <x:c r="I1834" s="70" t="s">
        <x:v>1199</x:v>
      </x:c>
      <x:c r="J1834" s="70" t="n">
        <x:v>210</x:v>
      </x:c>
      <x:c r="K1834" s="70" t="s">
        <x:v>2460</x:v>
      </x:c>
      <x:c r="L1834" s="70"/>
      <x:c r="M1834" s="70" t="s">
        <x:v>40</x:v>
      </x:c>
      <x:c r="N1834" s="71" t="n">
        <x:v>-1299439</x:v>
      </x:c>
      <x:c r="O1834" s="72" t="n">
        <x:f aca="0">N1834/1000</x:f>
        <x:v>-1299.439</x:v>
      </x:c>
      <x:c r="P1834" s="73" t="n">
        <x:f aca="0">FCCL!E88</x:f>
        <x:v>-1299.439</x:v>
      </x:c>
      <x:c r="Q1834" s="70" t="str">
        <x:f aca="0">IF(ABS(O1834-P1834)&lt;0.000001,"PASS","FAIL")</x:f>
        <x:v>PASS</x:v>
      </x:c>
      <x:c r="R1834" s="70" t="s">
        <x:v>28</x:v>
      </x:c>
      <x:c r="S1834" s="70"/>
    </x:row>
    <x:row r="1835" ht="15" hidden="0">
      <x:c r="A1835" s="70" t="s">
        <x:v>3258</x:v>
      </x:c>
      <x:c r="B1835" s="70" t="s">
        <x:v>46</x:v>
      </x:c>
      <x:c r="C1835" s="70" t="s">
        <x:v>75</x:v>
      </x:c>
      <x:c r="D1835" s="70" t="s">
        <x:v>422</x:v>
      </x:c>
      <x:c r="E1835" s="70" t="s">
        <x:v>1472</x:v>
      </x:c>
      <x:c r="F1835" s="70" t="s">
        <x:v>422</x:v>
      </x:c>
      <x:c r="G1835" s="70" t="s">
        <x:v>2997</x:v>
      </x:c>
      <x:c r="H1835" s="70" t="s">
        <x:v>1211</x:v>
      </x:c>
      <x:c r="I1835" s="70" t="s">
        <x:v>1199</x:v>
      </x:c>
      <x:c r="J1835" s="70" t="n">
        <x:v>192</x:v>
      </x:c>
      <x:c r="K1835" s="70" t="s">
        <x:v>2813</x:v>
      </x:c>
      <x:c r="L1835" s="70"/>
      <x:c r="M1835" s="70" t="s">
        <x:v>40</x:v>
      </x:c>
      <x:c r="N1835" s="71" t="n">
        <x:v>-1381633</x:v>
      </x:c>
      <x:c r="O1835" s="72" t="n">
        <x:f aca="0">N1835/1000</x:f>
        <x:v>-1381.633</x:v>
      </x:c>
      <x:c r="P1835" s="73" t="n">
        <x:f aca="0">FCCL!F88</x:f>
        <x:v>-1381.633</x:v>
      </x:c>
      <x:c r="Q1835" s="70" t="str">
        <x:f aca="0">IF(ABS(O1835-P1835)&lt;0.000001,"PASS","FAIL")</x:f>
        <x:v>PASS</x:v>
      </x:c>
      <x:c r="R1835" s="70" t="s">
        <x:v>28</x:v>
      </x:c>
      <x:c r="S1835" s="70"/>
    </x:row>
    <x:row r="1836" ht="15" hidden="0">
      <x:c r="A1836" s="70" t="s">
        <x:v>3259</x:v>
      </x:c>
      <x:c r="B1836" s="70" t="s">
        <x:v>46</x:v>
      </x:c>
      <x:c r="C1836" s="70" t="s">
        <x:v>76</x:v>
      </x:c>
      <x:c r="D1836" s="70" t="s">
        <x:v>422</x:v>
      </x:c>
      <x:c r="E1836" s="70" t="s">
        <x:v>1472</x:v>
      </x:c>
      <x:c r="F1836" s="70" t="s">
        <x:v>422</x:v>
      </x:c>
      <x:c r="G1836" s="70" t="s">
        <x:v>2999</x:v>
      </x:c>
      <x:c r="H1836" s="70" t="s">
        <x:v>1215</x:v>
      </x:c>
      <x:c r="I1836" s="70" t="s">
        <x:v>1199</x:v>
      </x:c>
      <x:c r="J1836" s="70" t="n">
        <x:v>246</x:v>
      </x:c>
      <x:c r="K1836" s="70" t="s">
        <x:v>1200</x:v>
      </x:c>
      <x:c r="L1836" s="70"/>
      <x:c r="M1836" s="70" t="s">
        <x:v>40</x:v>
      </x:c>
      <x:c r="N1836" s="71" t="n">
        <x:v>-1516046</x:v>
      </x:c>
      <x:c r="O1836" s="72" t="n">
        <x:f aca="0">N1836/1000</x:f>
        <x:v>-1516.046</x:v>
      </x:c>
      <x:c r="P1836" s="73" t="n">
        <x:f aca="0">FCCL!G88</x:f>
        <x:v>-1516.046</x:v>
      </x:c>
      <x:c r="Q1836" s="70" t="str">
        <x:f aca="0">IF(ABS(O1836-P1836)&lt;0.000001,"PASS","FAIL")</x:f>
        <x:v>PASS</x:v>
      </x:c>
      <x:c r="R1836" s="70" t="s">
        <x:v>28</x:v>
      </x:c>
      <x:c r="S1836" s="70"/>
    </x:row>
    <x:row r="1837" ht="15" hidden="0">
      <x:c r="A1837" s="70" t="s">
        <x:v>3260</x:v>
      </x:c>
      <x:c r="B1837" s="70" t="s">
        <x:v>46</x:v>
      </x:c>
      <x:c r="C1837" s="70" t="s">
        <x:v>77</x:v>
      </x:c>
      <x:c r="D1837" s="70" t="s">
        <x:v>422</x:v>
      </x:c>
      <x:c r="E1837" s="70" t="s">
        <x:v>1472</x:v>
      </x:c>
      <x:c r="F1837" s="70" t="s">
        <x:v>422</x:v>
      </x:c>
      <x:c r="G1837" s="70" t="s">
        <x:v>2999</x:v>
      </x:c>
      <x:c r="H1837" s="70" t="s">
        <x:v>1215</x:v>
      </x:c>
      <x:c r="I1837" s="70" t="s">
        <x:v>1218</x:v>
      </x:c>
      <x:c r="J1837" s="70" t="n">
        <x:v>246</x:v>
      </x:c>
      <x:c r="K1837" s="70" t="s">
        <x:v>1200</x:v>
      </x:c>
      <x:c r="L1837" s="70"/>
      <x:c r="M1837" s="70" t="s">
        <x:v>40</x:v>
      </x:c>
      <x:c r="N1837" s="71" t="n">
        <x:v>-1688886</x:v>
      </x:c>
      <x:c r="O1837" s="72" t="n">
        <x:f aca="0">N1837/1000</x:f>
        <x:v>-1688.886</x:v>
      </x:c>
      <x:c r="P1837" s="73" t="n">
        <x:f aca="0">FCCL!H88</x:f>
        <x:v>-1688.886</x:v>
      </x:c>
      <x:c r="Q1837" s="70" t="str">
        <x:f aca="0">IF(ABS(O1837-P1837)&lt;0.000001,"PASS","FAIL")</x:f>
        <x:v>PASS</x:v>
      </x:c>
      <x:c r="R1837" s="70" t="s">
        <x:v>28</x:v>
      </x:c>
      <x:c r="S1837" s="70"/>
    </x:row>
    <x:row r="1838" ht="15" hidden="0">
      <x:c r="A1838" s="70" t="s">
        <x:v>3261</x:v>
      </x:c>
      <x:c r="B1838" s="70" t="s">
        <x:v>46</x:v>
      </x:c>
      <x:c r="C1838" s="70" t="s">
        <x:v>73</x:v>
      </x:c>
      <x:c r="D1838" s="70" t="s">
        <x:v>424</x:v>
      </x:c>
      <x:c r="E1838" s="70" t="s">
        <x:v>1472</x:v>
      </x:c>
      <x:c r="F1838" s="70"/>
      <x:c r="G1838" s="70" t="s">
        <x:v>2992</x:v>
      </x:c>
      <x:c r="H1838" s="70" t="s">
        <x:v>1204</x:v>
      </x:c>
      <x:c r="I1838" s="70" t="s">
        <x:v>1199</x:v>
      </x:c>
      <x:c r="J1838" s="70" t="n">
        <x:v>188</x:v>
      </x:c>
      <x:c r="K1838" s="70" t="s">
        <x:v>2128</x:v>
      </x:c>
      <x:c r="L1838" s="70"/>
      <x:c r="M1838" s="70" t="s">
        <x:v>40</x:v>
      </x:c>
      <x:c r="N1838" s="71" t="n">
        <x:v>0</x:v>
      </x:c>
      <x:c r="O1838" s="72" t="n">
        <x:f aca="0">N1838/1000</x:f>
        <x:v>0</x:v>
      </x:c>
      <x:c r="P1838" s="73" t="n">
        <x:f aca="0">FCCL!D89</x:f>
        <x:v>0</x:v>
      </x:c>
      <x:c r="Q1838" s="70" t="str">
        <x:f aca="0">IF(ABS(O1838-P1838)&lt;0.000001,"PASS","FAIL")</x:f>
        <x:v>PASS</x:v>
      </x:c>
      <x:c r="R1838" s="70" t="s">
        <x:v>28</x:v>
      </x:c>
      <x:c r="S1838" s="70"/>
    </x:row>
    <x:row r="1839" ht="15" hidden="0">
      <x:c r="A1839" s="70" t="s">
        <x:v>3262</x:v>
      </x:c>
      <x:c r="B1839" s="70" t="s">
        <x:v>46</x:v>
      </x:c>
      <x:c r="C1839" s="70" t="s">
        <x:v>74</x:v>
      </x:c>
      <x:c r="D1839" s="70" t="s">
        <x:v>424</x:v>
      </x:c>
      <x:c r="E1839" s="70" t="s">
        <x:v>1472</x:v>
      </x:c>
      <x:c r="F1839" s="70"/>
      <x:c r="G1839" s="70" t="s">
        <x:v>2994</x:v>
      </x:c>
      <x:c r="H1839" s="70" t="s">
        <x:v>1208</x:v>
      </x:c>
      <x:c r="I1839" s="70" t="s">
        <x:v>1199</x:v>
      </x:c>
      <x:c r="J1839" s="70" t="n">
        <x:v>210</x:v>
      </x:c>
      <x:c r="K1839" s="70" t="s">
        <x:v>2460</x:v>
      </x:c>
      <x:c r="L1839" s="70"/>
      <x:c r="M1839" s="70" t="s">
        <x:v>40</x:v>
      </x:c>
      <x:c r="N1839" s="71" t="n">
        <x:v>0</x:v>
      </x:c>
      <x:c r="O1839" s="72" t="n">
        <x:f aca="0">N1839/1000</x:f>
        <x:v>0</x:v>
      </x:c>
      <x:c r="P1839" s="73" t="n">
        <x:f aca="0">FCCL!E89</x:f>
        <x:v>0</x:v>
      </x:c>
      <x:c r="Q1839" s="70" t="str">
        <x:f aca="0">IF(ABS(O1839-P1839)&lt;0.000001,"PASS","FAIL")</x:f>
        <x:v>PASS</x:v>
      </x:c>
      <x:c r="R1839" s="70" t="s">
        <x:v>28</x:v>
      </x:c>
      <x:c r="S1839" s="70"/>
    </x:row>
    <x:row r="1840" ht="15" hidden="0">
      <x:c r="A1840" s="70" t="s">
        <x:v>3263</x:v>
      </x:c>
      <x:c r="B1840" s="70" t="s">
        <x:v>46</x:v>
      </x:c>
      <x:c r="C1840" s="70" t="s">
        <x:v>75</x:v>
      </x:c>
      <x:c r="D1840" s="70" t="s">
        <x:v>424</x:v>
      </x:c>
      <x:c r="E1840" s="70" t="s">
        <x:v>1472</x:v>
      </x:c>
      <x:c r="F1840" s="70"/>
      <x:c r="G1840" s="70" t="s">
        <x:v>2997</x:v>
      </x:c>
      <x:c r="H1840" s="70" t="s">
        <x:v>1211</x:v>
      </x:c>
      <x:c r="I1840" s="70" t="s">
        <x:v>1199</x:v>
      </x:c>
      <x:c r="J1840" s="70" t="n">
        <x:v>192</x:v>
      </x:c>
      <x:c r="K1840" s="70" t="s">
        <x:v>2813</x:v>
      </x:c>
      <x:c r="L1840" s="70"/>
      <x:c r="M1840" s="70" t="s">
        <x:v>40</x:v>
      </x:c>
      <x:c r="N1840" s="71" t="n">
        <x:v>0</x:v>
      </x:c>
      <x:c r="O1840" s="72" t="n">
        <x:f aca="0">N1840/1000</x:f>
        <x:v>0</x:v>
      </x:c>
      <x:c r="P1840" s="73" t="n">
        <x:f aca="0">FCCL!F89</x:f>
        <x:v>0</x:v>
      </x:c>
      <x:c r="Q1840" s="70" t="str">
        <x:f aca="0">IF(ABS(O1840-P1840)&lt;0.000001,"PASS","FAIL")</x:f>
        <x:v>PASS</x:v>
      </x:c>
      <x:c r="R1840" s="70" t="s">
        <x:v>28</x:v>
      </x:c>
      <x:c r="S1840" s="70"/>
    </x:row>
    <x:row r="1841" ht="15" hidden="0">
      <x:c r="A1841" s="70" t="s">
        <x:v>3264</x:v>
      </x:c>
      <x:c r="B1841" s="70" t="s">
        <x:v>46</x:v>
      </x:c>
      <x:c r="C1841" s="70" t="s">
        <x:v>76</x:v>
      </x:c>
      <x:c r="D1841" s="70" t="s">
        <x:v>424</x:v>
      </x:c>
      <x:c r="E1841" s="70" t="s">
        <x:v>1472</x:v>
      </x:c>
      <x:c r="F1841" s="70"/>
      <x:c r="G1841" s="70" t="s">
        <x:v>2999</x:v>
      </x:c>
      <x:c r="H1841" s="70" t="s">
        <x:v>1215</x:v>
      </x:c>
      <x:c r="I1841" s="70" t="s">
        <x:v>1199</x:v>
      </x:c>
      <x:c r="J1841" s="70" t="n">
        <x:v>246</x:v>
      </x:c>
      <x:c r="K1841" s="70" t="s">
        <x:v>1200</x:v>
      </x:c>
      <x:c r="L1841" s="70"/>
      <x:c r="M1841" s="70" t="s">
        <x:v>40</x:v>
      </x:c>
      <x:c r="N1841" s="71" t="n">
        <x:v>0</x:v>
      </x:c>
      <x:c r="O1841" s="72" t="n">
        <x:f aca="0">N1841/1000</x:f>
        <x:v>0</x:v>
      </x:c>
      <x:c r="P1841" s="73" t="n">
        <x:f aca="0">FCCL!G89</x:f>
        <x:v>0</x:v>
      </x:c>
      <x:c r="Q1841" s="70" t="str">
        <x:f aca="0">IF(ABS(O1841-P1841)&lt;0.000001,"PASS","FAIL")</x:f>
        <x:v>PASS</x:v>
      </x:c>
      <x:c r="R1841" s="70" t="s">
        <x:v>28</x:v>
      </x:c>
      <x:c r="S1841" s="70"/>
    </x:row>
    <x:row r="1842" ht="15" hidden="0">
      <x:c r="A1842" s="70" t="s">
        <x:v>3265</x:v>
      </x:c>
      <x:c r="B1842" s="70" t="s">
        <x:v>46</x:v>
      </x:c>
      <x:c r="C1842" s="70" t="s">
        <x:v>77</x:v>
      </x:c>
      <x:c r="D1842" s="70" t="s">
        <x:v>424</x:v>
      </x:c>
      <x:c r="E1842" s="70" t="s">
        <x:v>1472</x:v>
      </x:c>
      <x:c r="F1842" s="70"/>
      <x:c r="G1842" s="70" t="s">
        <x:v>2999</x:v>
      </x:c>
      <x:c r="H1842" s="70" t="s">
        <x:v>1215</x:v>
      </x:c>
      <x:c r="I1842" s="70" t="s">
        <x:v>1218</x:v>
      </x:c>
      <x:c r="J1842" s="70" t="n">
        <x:v>246</x:v>
      </x:c>
      <x:c r="K1842" s="70" t="s">
        <x:v>1200</x:v>
      </x:c>
      <x:c r="L1842" s="70"/>
      <x:c r="M1842" s="70" t="s">
        <x:v>40</x:v>
      </x:c>
      <x:c r="N1842" s="71" t="n">
        <x:v>0</x:v>
      </x:c>
      <x:c r="O1842" s="72" t="n">
        <x:f aca="0">N1842/1000</x:f>
        <x:v>0</x:v>
      </x:c>
      <x:c r="P1842" s="73" t="n">
        <x:f aca="0">FCCL!H89</x:f>
        <x:v>0</x:v>
      </x:c>
      <x:c r="Q1842" s="70" t="str">
        <x:f aca="0">IF(ABS(O1842-P1842)&lt;0.000001,"PASS","FAIL")</x:f>
        <x:v>PASS</x:v>
      </x:c>
      <x:c r="R1842" s="70" t="s">
        <x:v>28</x:v>
      </x:c>
      <x:c r="S1842" s="70"/>
    </x:row>
    <x:row r="1843" ht="15" hidden="0">
      <x:c r="A1843" s="70" t="s">
        <x:v>3266</x:v>
      </x:c>
      <x:c r="B1843" s="70" t="s">
        <x:v>46</x:v>
      </x:c>
      <x:c r="C1843" s="70" t="s">
        <x:v>73</x:v>
      </x:c>
      <x:c r="D1843" s="70" t="s">
        <x:v>426</x:v>
      </x:c>
      <x:c r="E1843" s="70" t="s">
        <x:v>1472</x:v>
      </x:c>
      <x:c r="F1843" s="70" t="s">
        <x:v>1502</x:v>
      </x:c>
      <x:c r="G1843" s="70" t="s">
        <x:v>2992</x:v>
      </x:c>
      <x:c r="H1843" s="70" t="s">
        <x:v>1204</x:v>
      </x:c>
      <x:c r="I1843" s="70" t="s">
        <x:v>1199</x:v>
      </x:c>
      <x:c r="J1843" s="70" t="n">
        <x:v>188</x:v>
      </x:c>
      <x:c r="K1843" s="70" t="s">
        <x:v>2128</x:v>
      </x:c>
      <x:c r="L1843" s="70"/>
      <x:c r="M1843" s="70" t="s">
        <x:v>40</x:v>
      </x:c>
      <x:c r="N1843" s="71" t="n">
        <x:v>-377946</x:v>
      </x:c>
      <x:c r="O1843" s="72" t="n">
        <x:f aca="0">N1843/1000</x:f>
        <x:v>-377.946</x:v>
      </x:c>
      <x:c r="P1843" s="73" t="n">
        <x:f aca="0">FCCL!D90</x:f>
        <x:v>-377.946</x:v>
      </x:c>
      <x:c r="Q1843" s="70" t="str">
        <x:f aca="0">IF(ABS(O1843-P1843)&lt;0.000001,"PASS","FAIL")</x:f>
        <x:v>PASS</x:v>
      </x:c>
      <x:c r="R1843" s="70" t="s">
        <x:v>28</x:v>
      </x:c>
      <x:c r="S1843" s="70"/>
    </x:row>
    <x:row r="1844" ht="15" hidden="0">
      <x:c r="A1844" s="70" t="s">
        <x:v>3267</x:v>
      </x:c>
      <x:c r="B1844" s="70" t="s">
        <x:v>46</x:v>
      </x:c>
      <x:c r="C1844" s="70" t="s">
        <x:v>74</x:v>
      </x:c>
      <x:c r="D1844" s="70" t="s">
        <x:v>426</x:v>
      </x:c>
      <x:c r="E1844" s="70" t="s">
        <x:v>1472</x:v>
      </x:c>
      <x:c r="F1844" s="70" t="s">
        <x:v>1502</x:v>
      </x:c>
      <x:c r="G1844" s="70" t="s">
        <x:v>2994</x:v>
      </x:c>
      <x:c r="H1844" s="70" t="s">
        <x:v>1208</x:v>
      </x:c>
      <x:c r="I1844" s="70" t="s">
        <x:v>1199</x:v>
      </x:c>
      <x:c r="J1844" s="70" t="n">
        <x:v>210</x:v>
      </x:c>
      <x:c r="K1844" s="70" t="s">
        <x:v>2460</x:v>
      </x:c>
      <x:c r="L1844" s="70"/>
      <x:c r="M1844" s="70" t="s">
        <x:v>40</x:v>
      </x:c>
      <x:c r="N1844" s="71" t="n">
        <x:v>-808964</x:v>
      </x:c>
      <x:c r="O1844" s="72" t="n">
        <x:f aca="0">N1844/1000</x:f>
        <x:v>-808.964</x:v>
      </x:c>
      <x:c r="P1844" s="73" t="n">
        <x:f aca="0">FCCL!E90</x:f>
        <x:v>-808.964</x:v>
      </x:c>
      <x:c r="Q1844" s="70" t="str">
        <x:f aca="0">IF(ABS(O1844-P1844)&lt;0.000001,"PASS","FAIL")</x:f>
        <x:v>PASS</x:v>
      </x:c>
      <x:c r="R1844" s="70" t="s">
        <x:v>28</x:v>
      </x:c>
      <x:c r="S1844" s="70"/>
    </x:row>
    <x:row r="1845" ht="15" hidden="0">
      <x:c r="A1845" s="70" t="s">
        <x:v>3268</x:v>
      </x:c>
      <x:c r="B1845" s="70" t="s">
        <x:v>46</x:v>
      </x:c>
      <x:c r="C1845" s="70" t="s">
        <x:v>75</x:v>
      </x:c>
      <x:c r="D1845" s="70" t="s">
        <x:v>426</x:v>
      </x:c>
      <x:c r="E1845" s="70" t="s">
        <x:v>1472</x:v>
      </x:c>
      <x:c r="F1845" s="70" t="s">
        <x:v>1502</x:v>
      </x:c>
      <x:c r="G1845" s="70" t="s">
        <x:v>2997</x:v>
      </x:c>
      <x:c r="H1845" s="70" t="s">
        <x:v>1211</x:v>
      </x:c>
      <x:c r="I1845" s="70" t="s">
        <x:v>1199</x:v>
      </x:c>
      <x:c r="J1845" s="70" t="n">
        <x:v>192</x:v>
      </x:c>
      <x:c r="K1845" s="70" t="s">
        <x:v>2813</x:v>
      </x:c>
      <x:c r="L1845" s="70"/>
      <x:c r="M1845" s="70" t="s">
        <x:v>40</x:v>
      </x:c>
      <x:c r="N1845" s="71" t="n">
        <x:v>-750078</x:v>
      </x:c>
      <x:c r="O1845" s="72" t="n">
        <x:f aca="0">N1845/1000</x:f>
        <x:v>-750.078</x:v>
      </x:c>
      <x:c r="P1845" s="73" t="n">
        <x:f aca="0">FCCL!F90</x:f>
        <x:v>-750.078</x:v>
      </x:c>
      <x:c r="Q1845" s="70" t="str">
        <x:f aca="0">IF(ABS(O1845-P1845)&lt;0.000001,"PASS","FAIL")</x:f>
        <x:v>PASS</x:v>
      </x:c>
      <x:c r="R1845" s="70" t="s">
        <x:v>28</x:v>
      </x:c>
      <x:c r="S1845" s="70"/>
    </x:row>
    <x:row r="1846" ht="15" hidden="0">
      <x:c r="A1846" s="70" t="s">
        <x:v>3269</x:v>
      </x:c>
      <x:c r="B1846" s="70" t="s">
        <x:v>46</x:v>
      </x:c>
      <x:c r="C1846" s="70" t="s">
        <x:v>76</x:v>
      </x:c>
      <x:c r="D1846" s="70" t="s">
        <x:v>426</x:v>
      </x:c>
      <x:c r="E1846" s="70" t="s">
        <x:v>1472</x:v>
      </x:c>
      <x:c r="F1846" s="70" t="s">
        <x:v>1502</x:v>
      </x:c>
      <x:c r="G1846" s="70" t="s">
        <x:v>2999</x:v>
      </x:c>
      <x:c r="H1846" s="70" t="s">
        <x:v>1215</x:v>
      </x:c>
      <x:c r="I1846" s="70" t="s">
        <x:v>1199</x:v>
      </x:c>
      <x:c r="J1846" s="70" t="n">
        <x:v>246</x:v>
      </x:c>
      <x:c r="K1846" s="70" t="s">
        <x:v>1200</x:v>
      </x:c>
      <x:c r="L1846" s="70"/>
      <x:c r="M1846" s="70" t="s">
        <x:v>40</x:v>
      </x:c>
      <x:c r="N1846" s="71" t="n">
        <x:v>-826875</x:v>
      </x:c>
      <x:c r="O1846" s="72" t="n">
        <x:f aca="0">N1846/1000</x:f>
        <x:v>-826.875</x:v>
      </x:c>
      <x:c r="P1846" s="73" t="n">
        <x:f aca="0">FCCL!G90</x:f>
        <x:v>-826.875</x:v>
      </x:c>
      <x:c r="Q1846" s="70" t="str">
        <x:f aca="0">IF(ABS(O1846-P1846)&lt;0.000001,"PASS","FAIL")</x:f>
        <x:v>PASS</x:v>
      </x:c>
      <x:c r="R1846" s="70" t="s">
        <x:v>28</x:v>
      </x:c>
      <x:c r="S1846" s="70"/>
    </x:row>
    <x:row r="1847" ht="15" hidden="0">
      <x:c r="A1847" s="70" t="s">
        <x:v>3270</x:v>
      </x:c>
      <x:c r="B1847" s="70" t="s">
        <x:v>46</x:v>
      </x:c>
      <x:c r="C1847" s="70" t="s">
        <x:v>77</x:v>
      </x:c>
      <x:c r="D1847" s="70" t="s">
        <x:v>426</x:v>
      </x:c>
      <x:c r="E1847" s="70" t="s">
        <x:v>1472</x:v>
      </x:c>
      <x:c r="F1847" s="70" t="s">
        <x:v>1502</x:v>
      </x:c>
      <x:c r="G1847" s="70" t="s">
        <x:v>2999</x:v>
      </x:c>
      <x:c r="H1847" s="70" t="s">
        <x:v>1215</x:v>
      </x:c>
      <x:c r="I1847" s="70" t="s">
        <x:v>1218</x:v>
      </x:c>
      <x:c r="J1847" s="70" t="n">
        <x:v>246</x:v>
      </x:c>
      <x:c r="K1847" s="70" t="s">
        <x:v>1200</x:v>
      </x:c>
      <x:c r="L1847" s="70"/>
      <x:c r="M1847" s="70" t="s">
        <x:v>40</x:v>
      </x:c>
      <x:c r="N1847" s="71" t="n">
        <x:v>-1479276</x:v>
      </x:c>
      <x:c r="O1847" s="72" t="n">
        <x:f aca="0">N1847/1000</x:f>
        <x:v>-1479.276</x:v>
      </x:c>
      <x:c r="P1847" s="73" t="n">
        <x:f aca="0">FCCL!H90</x:f>
        <x:v>-1479.276</x:v>
      </x:c>
      <x:c r="Q1847" s="70" t="str">
        <x:f aca="0">IF(ABS(O1847-P1847)&lt;0.000001,"PASS","FAIL")</x:f>
        <x:v>PASS</x:v>
      </x:c>
      <x:c r="R1847" s="70" t="s">
        <x:v>28</x:v>
      </x:c>
      <x:c r="S1847" s="70"/>
    </x:row>
    <x:row r="1848" ht="15" hidden="0">
      <x:c r="A1848" s="70" t="s">
        <x:v>3271</x:v>
      </x:c>
      <x:c r="B1848" s="70" t="s">
        <x:v>46</x:v>
      </x:c>
      <x:c r="C1848" s="70" t="s">
        <x:v>73</x:v>
      </x:c>
      <x:c r="D1848" s="70" t="s">
        <x:v>430</x:v>
      </x:c>
      <x:c r="E1848" s="70" t="s">
        <x:v>1472</x:v>
      </x:c>
      <x:c r="F1848" s="70" t="s">
        <x:v>430</x:v>
      </x:c>
      <x:c r="G1848" s="70" t="s">
        <x:v>2992</x:v>
      </x:c>
      <x:c r="H1848" s="70" t="s">
        <x:v>1204</x:v>
      </x:c>
      <x:c r="I1848" s="70" t="s">
        <x:v>1199</x:v>
      </x:c>
      <x:c r="J1848" s="70" t="n">
        <x:v>188</x:v>
      </x:c>
      <x:c r="K1848" s="70" t="s">
        <x:v>2128</x:v>
      </x:c>
      <x:c r="L1848" s="70"/>
      <x:c r="M1848" s="70" t="s">
        <x:v>40</x:v>
      </x:c>
      <x:c r="N1848" s="71" t="n">
        <x:v>81710</x:v>
      </x:c>
      <x:c r="O1848" s="72" t="n">
        <x:f aca="0">N1848/1000</x:f>
        <x:v>81.71</x:v>
      </x:c>
      <x:c r="P1848" s="73" t="n">
        <x:f aca="0">FCCL!D92</x:f>
        <x:v>81.71</x:v>
      </x:c>
      <x:c r="Q1848" s="70" t="str">
        <x:f aca="0">IF(ABS(O1848-P1848)&lt;0.000001,"PASS","FAIL")</x:f>
        <x:v>PASS</x:v>
      </x:c>
      <x:c r="R1848" s="70" t="s">
        <x:v>28</x:v>
      </x:c>
      <x:c r="S1848" s="70"/>
    </x:row>
    <x:row r="1849" ht="15" hidden="0">
      <x:c r="A1849" s="70" t="s">
        <x:v>3272</x:v>
      </x:c>
      <x:c r="B1849" s="70" t="s">
        <x:v>46</x:v>
      </x:c>
      <x:c r="C1849" s="70" t="s">
        <x:v>74</x:v>
      </x:c>
      <x:c r="D1849" s="70" t="s">
        <x:v>430</x:v>
      </x:c>
      <x:c r="E1849" s="70" t="s">
        <x:v>1472</x:v>
      </x:c>
      <x:c r="F1849" s="70" t="s">
        <x:v>430</x:v>
      </x:c>
      <x:c r="G1849" s="70" t="s">
        <x:v>2994</x:v>
      </x:c>
      <x:c r="H1849" s="70" t="s">
        <x:v>1208</x:v>
      </x:c>
      <x:c r="I1849" s="70" t="s">
        <x:v>1199</x:v>
      </x:c>
      <x:c r="J1849" s="70" t="n">
        <x:v>210</x:v>
      </x:c>
      <x:c r="K1849" s="70" t="s">
        <x:v>2460</x:v>
      </x:c>
      <x:c r="L1849" s="70"/>
      <x:c r="M1849" s="70" t="s">
        <x:v>40</x:v>
      </x:c>
      <x:c r="N1849" s="71" t="n">
        <x:v>230695</x:v>
      </x:c>
      <x:c r="O1849" s="72" t="n">
        <x:f aca="0">N1849/1000</x:f>
        <x:v>230.695</x:v>
      </x:c>
      <x:c r="P1849" s="73" t="n">
        <x:f aca="0">FCCL!E92</x:f>
        <x:v>230.695</x:v>
      </x:c>
      <x:c r="Q1849" s="70" t="str">
        <x:f aca="0">IF(ABS(O1849-P1849)&lt;0.000001,"PASS","FAIL")</x:f>
        <x:v>PASS</x:v>
      </x:c>
      <x:c r="R1849" s="70" t="s">
        <x:v>28</x:v>
      </x:c>
      <x:c r="S1849" s="70"/>
    </x:row>
    <x:row r="1850" ht="15" hidden="0">
      <x:c r="A1850" s="70" t="s">
        <x:v>3273</x:v>
      </x:c>
      <x:c r="B1850" s="70" t="s">
        <x:v>46</x:v>
      </x:c>
      <x:c r="C1850" s="70" t="s">
        <x:v>75</x:v>
      </x:c>
      <x:c r="D1850" s="70" t="s">
        <x:v>430</x:v>
      </x:c>
      <x:c r="E1850" s="70" t="s">
        <x:v>1472</x:v>
      </x:c>
      <x:c r="F1850" s="70" t="s">
        <x:v>430</x:v>
      </x:c>
      <x:c r="G1850" s="70" t="s">
        <x:v>2997</x:v>
      </x:c>
      <x:c r="H1850" s="70" t="s">
        <x:v>1211</x:v>
      </x:c>
      <x:c r="I1850" s="70" t="s">
        <x:v>1199</x:v>
      </x:c>
      <x:c r="J1850" s="70" t="n">
        <x:v>192</x:v>
      </x:c>
      <x:c r="K1850" s="70" t="s">
        <x:v>2813</x:v>
      </x:c>
      <x:c r="L1850" s="70"/>
      <x:c r="M1850" s="70" t="s">
        <x:v>40</x:v>
      </x:c>
      <x:c r="N1850" s="71" t="n">
        <x:v>436173</x:v>
      </x:c>
      <x:c r="O1850" s="72" t="n">
        <x:f aca="0">N1850/1000</x:f>
        <x:v>436.173</x:v>
      </x:c>
      <x:c r="P1850" s="73" t="n">
        <x:f aca="0">FCCL!F92</x:f>
        <x:v>436.173</x:v>
      </x:c>
      <x:c r="Q1850" s="70" t="str">
        <x:f aca="0">IF(ABS(O1850-P1850)&lt;0.000001,"PASS","FAIL")</x:f>
        <x:v>PASS</x:v>
      </x:c>
      <x:c r="R1850" s="70" t="s">
        <x:v>28</x:v>
      </x:c>
      <x:c r="S1850" s="70"/>
    </x:row>
    <x:row r="1851" ht="15" hidden="0">
      <x:c r="A1851" s="70" t="s">
        <x:v>3274</x:v>
      </x:c>
      <x:c r="B1851" s="70" t="s">
        <x:v>46</x:v>
      </x:c>
      <x:c r="C1851" s="70" t="s">
        <x:v>76</x:v>
      </x:c>
      <x:c r="D1851" s="70" t="s">
        <x:v>430</x:v>
      </x:c>
      <x:c r="E1851" s="70" t="s">
        <x:v>1472</x:v>
      </x:c>
      <x:c r="F1851" s="70" t="s">
        <x:v>430</x:v>
      </x:c>
      <x:c r="G1851" s="70" t="s">
        <x:v>2999</x:v>
      </x:c>
      <x:c r="H1851" s="70" t="s">
        <x:v>1215</x:v>
      </x:c>
      <x:c r="I1851" s="70" t="s">
        <x:v>1199</x:v>
      </x:c>
      <x:c r="J1851" s="70" t="n">
        <x:v>246</x:v>
      </x:c>
      <x:c r="K1851" s="70" t="s">
        <x:v>1200</x:v>
      </x:c>
      <x:c r="L1851" s="70"/>
      <x:c r="M1851" s="70" t="s">
        <x:v>40</x:v>
      </x:c>
      <x:c r="N1851" s="71" t="n">
        <x:v>540373</x:v>
      </x:c>
      <x:c r="O1851" s="72" t="n">
        <x:f aca="0">N1851/1000</x:f>
        <x:v>540.373</x:v>
      </x:c>
      <x:c r="P1851" s="73" t="n">
        <x:f aca="0">FCCL!G92</x:f>
        <x:v>540.373</x:v>
      </x:c>
      <x:c r="Q1851" s="70" t="str">
        <x:f aca="0">IF(ABS(O1851-P1851)&lt;0.000001,"PASS","FAIL")</x:f>
        <x:v>PASS</x:v>
      </x:c>
      <x:c r="R1851" s="70" t="s">
        <x:v>28</x:v>
      </x:c>
      <x:c r="S1851" s="70"/>
    </x:row>
    <x:row r="1852" ht="15" hidden="0">
      <x:c r="A1852" s="70" t="s">
        <x:v>3275</x:v>
      </x:c>
      <x:c r="B1852" s="70" t="s">
        <x:v>46</x:v>
      </x:c>
      <x:c r="C1852" s="70" t="s">
        <x:v>77</x:v>
      </x:c>
      <x:c r="D1852" s="70" t="s">
        <x:v>430</x:v>
      </x:c>
      <x:c r="E1852" s="70" t="s">
        <x:v>1472</x:v>
      </x:c>
      <x:c r="F1852" s="70" t="s">
        <x:v>430</x:v>
      </x:c>
      <x:c r="G1852" s="70" t="s">
        <x:v>2999</x:v>
      </x:c>
      <x:c r="H1852" s="70" t="s">
        <x:v>1215</x:v>
      </x:c>
      <x:c r="I1852" s="70" t="s">
        <x:v>1218</x:v>
      </x:c>
      <x:c r="J1852" s="70" t="n">
        <x:v>246</x:v>
      </x:c>
      <x:c r="K1852" s="70" t="s">
        <x:v>1200</x:v>
      </x:c>
      <x:c r="L1852" s="70"/>
      <x:c r="M1852" s="70" t="s">
        <x:v>40</x:v>
      </x:c>
      <x:c r="N1852" s="71" t="n">
        <x:v>760772</x:v>
      </x:c>
      <x:c r="O1852" s="72" t="n">
        <x:f aca="0">N1852/1000</x:f>
        <x:v>760.772</x:v>
      </x:c>
      <x:c r="P1852" s="73" t="n">
        <x:f aca="0">FCCL!H92</x:f>
        <x:v>760.772</x:v>
      </x:c>
      <x:c r="Q1852" s="70" t="str">
        <x:f aca="0">IF(ABS(O1852-P1852)&lt;0.000001,"PASS","FAIL")</x:f>
        <x:v>PASS</x:v>
      </x:c>
      <x:c r="R1852" s="70" t="s">
        <x:v>28</x:v>
      </x:c>
      <x:c r="S1852" s="70"/>
    </x:row>
    <x:row r="1853" ht="15" hidden="0">
      <x:c r="A1853" s="70" t="s">
        <x:v>3276</x:v>
      </x:c>
      <x:c r="B1853" s="70" t="s">
        <x:v>46</x:v>
      </x:c>
      <x:c r="C1853" s="70" t="s">
        <x:v>73</x:v>
      </x:c>
      <x:c r="D1853" s="70" t="s">
        <x:v>432</x:v>
      </x:c>
      <x:c r="E1853" s="70" t="s">
        <x:v>1472</x:v>
      </x:c>
      <x:c r="F1853" s="70" t="s">
        <x:v>2852</x:v>
      </x:c>
      <x:c r="G1853" s="70" t="s">
        <x:v>2992</x:v>
      </x:c>
      <x:c r="H1853" s="70" t="s">
        <x:v>1204</x:v>
      </x:c>
      <x:c r="I1853" s="70" t="s">
        <x:v>1199</x:v>
      </x:c>
      <x:c r="J1853" s="70" t="n">
        <x:v>188</x:v>
      </x:c>
      <x:c r="K1853" s="70" t="s">
        <x:v>2128</x:v>
      </x:c>
      <x:c r="L1853" s="70"/>
      <x:c r="M1853" s="70" t="s">
        <x:v>40</x:v>
      </x:c>
      <x:c r="N1853" s="71" t="n">
        <x:v>160543</x:v>
      </x:c>
      <x:c r="O1853" s="72" t="n">
        <x:f aca="0">N1853/1000</x:f>
        <x:v>160.543</x:v>
      </x:c>
      <x:c r="P1853" s="73" t="n">
        <x:f aca="0">FCCL!D93</x:f>
        <x:v>160.543</x:v>
      </x:c>
      <x:c r="Q1853" s="70" t="str">
        <x:f aca="0">IF(ABS(O1853-P1853)&lt;0.000001,"PASS","FAIL")</x:f>
        <x:v>PASS</x:v>
      </x:c>
      <x:c r="R1853" s="70" t="s">
        <x:v>28</x:v>
      </x:c>
      <x:c r="S1853" s="70"/>
    </x:row>
    <x:row r="1854" ht="15" hidden="0">
      <x:c r="A1854" s="70" t="s">
        <x:v>3277</x:v>
      </x:c>
      <x:c r="B1854" s="70" t="s">
        <x:v>46</x:v>
      </x:c>
      <x:c r="C1854" s="70" t="s">
        <x:v>74</x:v>
      </x:c>
      <x:c r="D1854" s="70" t="s">
        <x:v>432</x:v>
      </x:c>
      <x:c r="E1854" s="70" t="s">
        <x:v>1472</x:v>
      </x:c>
      <x:c r="F1854" s="70" t="s">
        <x:v>2852</x:v>
      </x:c>
      <x:c r="G1854" s="70" t="s">
        <x:v>2994</x:v>
      </x:c>
      <x:c r="H1854" s="70" t="s">
        <x:v>1208</x:v>
      </x:c>
      <x:c r="I1854" s="70" t="s">
        <x:v>1199</x:v>
      </x:c>
      <x:c r="J1854" s="70" t="n">
        <x:v>210</x:v>
      </x:c>
      <x:c r="K1854" s="70" t="s">
        <x:v>2460</x:v>
      </x:c>
      <x:c r="L1854" s="70"/>
      <x:c r="M1854" s="70" t="s">
        <x:v>40</x:v>
      </x:c>
      <x:c r="N1854" s="71" t="n">
        <x:v>745852</x:v>
      </x:c>
      <x:c r="O1854" s="72" t="n">
        <x:f aca="0">N1854/1000</x:f>
        <x:v>745.852</x:v>
      </x:c>
      <x:c r="P1854" s="73" t="n">
        <x:f aca="0">FCCL!E93</x:f>
        <x:v>745.852</x:v>
      </x:c>
      <x:c r="Q1854" s="70" t="str">
        <x:f aca="0">IF(ABS(O1854-P1854)&lt;0.000001,"PASS","FAIL")</x:f>
        <x:v>PASS</x:v>
      </x:c>
      <x:c r="R1854" s="70" t="s">
        <x:v>28</x:v>
      </x:c>
      <x:c r="S1854" s="70"/>
    </x:row>
    <x:row r="1855" ht="15" hidden="0">
      <x:c r="A1855" s="70" t="s">
        <x:v>3278</x:v>
      </x:c>
      <x:c r="B1855" s="70" t="s">
        <x:v>46</x:v>
      </x:c>
      <x:c r="C1855" s="70" t="s">
        <x:v>75</x:v>
      </x:c>
      <x:c r="D1855" s="70" t="s">
        <x:v>432</x:v>
      </x:c>
      <x:c r="E1855" s="70" t="s">
        <x:v>1472</x:v>
      </x:c>
      <x:c r="F1855" s="70" t="s">
        <x:v>2852</x:v>
      </x:c>
      <x:c r="G1855" s="70" t="s">
        <x:v>2997</x:v>
      </x:c>
      <x:c r="H1855" s="70" t="s">
        <x:v>1211</x:v>
      </x:c>
      <x:c r="I1855" s="70" t="s">
        <x:v>1199</x:v>
      </x:c>
      <x:c r="J1855" s="70" t="n">
        <x:v>192</x:v>
      </x:c>
      <x:c r="K1855" s="70" t="s">
        <x:v>2813</x:v>
      </x:c>
      <x:c r="L1855" s="70"/>
      <x:c r="M1855" s="70" t="s">
        <x:v>40</x:v>
      </x:c>
      <x:c r="N1855" s="71" t="n">
        <x:v>527702</x:v>
      </x:c>
      <x:c r="O1855" s="72" t="n">
        <x:f aca="0">N1855/1000</x:f>
        <x:v>527.702</x:v>
      </x:c>
      <x:c r="P1855" s="73" t="n">
        <x:f aca="0">FCCL!F93</x:f>
        <x:v>527.702</x:v>
      </x:c>
      <x:c r="Q1855" s="70" t="str">
        <x:f aca="0">IF(ABS(O1855-P1855)&lt;0.000001,"PASS","FAIL")</x:f>
        <x:v>PASS</x:v>
      </x:c>
      <x:c r="R1855" s="70" t="s">
        <x:v>28</x:v>
      </x:c>
      <x:c r="S1855" s="70"/>
    </x:row>
    <x:row r="1856" ht="15" hidden="0">
      <x:c r="A1856" s="70" t="s">
        <x:v>3279</x:v>
      </x:c>
      <x:c r="B1856" s="70" t="s">
        <x:v>46</x:v>
      </x:c>
      <x:c r="C1856" s="70" t="s">
        <x:v>76</x:v>
      </x:c>
      <x:c r="D1856" s="70" t="s">
        <x:v>432</x:v>
      </x:c>
      <x:c r="E1856" s="70" t="s">
        <x:v>1472</x:v>
      </x:c>
      <x:c r="F1856" s="70" t="s">
        <x:v>2852</x:v>
      </x:c>
      <x:c r="G1856" s="70" t="s">
        <x:v>2999</x:v>
      </x:c>
      <x:c r="H1856" s="70" t="s">
        <x:v>1215</x:v>
      </x:c>
      <x:c r="I1856" s="70" t="s">
        <x:v>1199</x:v>
      </x:c>
      <x:c r="J1856" s="70" t="n">
        <x:v>246</x:v>
      </x:c>
      <x:c r="K1856" s="70" t="s">
        <x:v>1200</x:v>
      </x:c>
      <x:c r="L1856" s="70"/>
      <x:c r="M1856" s="70" t="s">
        <x:v>40</x:v>
      </x:c>
      <x:c r="N1856" s="71" t="n">
        <x:v>299318</x:v>
      </x:c>
      <x:c r="O1856" s="72" t="n">
        <x:f aca="0">N1856/1000</x:f>
        <x:v>299.318</x:v>
      </x:c>
      <x:c r="P1856" s="73" t="n">
        <x:f aca="0">FCCL!G93</x:f>
        <x:v>299.318</x:v>
      </x:c>
      <x:c r="Q1856" s="70" t="str">
        <x:f aca="0">IF(ABS(O1856-P1856)&lt;0.000001,"PASS","FAIL")</x:f>
        <x:v>PASS</x:v>
      </x:c>
      <x:c r="R1856" s="70" t="s">
        <x:v>28</x:v>
      </x:c>
      <x:c r="S1856" s="70"/>
    </x:row>
    <x:row r="1857" ht="15" hidden="0">
      <x:c r="A1857" s="70" t="s">
        <x:v>3280</x:v>
      </x:c>
      <x:c r="B1857" s="70" t="s">
        <x:v>46</x:v>
      </x:c>
      <x:c r="C1857" s="70" t="s">
        <x:v>77</x:v>
      </x:c>
      <x:c r="D1857" s="70" t="s">
        <x:v>432</x:v>
      </x:c>
      <x:c r="E1857" s="70" t="s">
        <x:v>1472</x:v>
      </x:c>
      <x:c r="F1857" s="70" t="s">
        <x:v>2852</x:v>
      </x:c>
      <x:c r="G1857" s="70" t="s">
        <x:v>2999</x:v>
      </x:c>
      <x:c r="H1857" s="70" t="s">
        <x:v>1215</x:v>
      </x:c>
      <x:c r="I1857" s="70" t="s">
        <x:v>1218</x:v>
      </x:c>
      <x:c r="J1857" s="70" t="n">
        <x:v>246</x:v>
      </x:c>
      <x:c r="K1857" s="70" t="s">
        <x:v>1200</x:v>
      </x:c>
      <x:c r="L1857" s="70"/>
      <x:c r="M1857" s="70" t="s">
        <x:v>40</x:v>
      </x:c>
      <x:c r="N1857" s="71" t="n">
        <x:v>1068831</x:v>
      </x:c>
      <x:c r="O1857" s="72" t="n">
        <x:f aca="0">N1857/1000</x:f>
        <x:v>1068.831</x:v>
      </x:c>
      <x:c r="P1857" s="73" t="n">
        <x:f aca="0">FCCL!H93</x:f>
        <x:v>1068.831</x:v>
      </x:c>
      <x:c r="Q1857" s="70" t="str">
        <x:f aca="0">IF(ABS(O1857-P1857)&lt;0.000001,"PASS","FAIL")</x:f>
        <x:v>PASS</x:v>
      </x:c>
      <x:c r="R1857" s="70" t="s">
        <x:v>28</x:v>
      </x:c>
      <x:c r="S1857" s="70"/>
    </x:row>
    <x:row r="1858" ht="15" hidden="0">
      <x:c r="A1858" s="70" t="s">
        <x:v>3281</x:v>
      </x:c>
      <x:c r="B1858" s="70" t="s">
        <x:v>46</x:v>
      </x:c>
      <x:c r="C1858" s="70" t="s">
        <x:v>73</x:v>
      </x:c>
      <x:c r="D1858" s="70" t="s">
        <x:v>434</x:v>
      </x:c>
      <x:c r="E1858" s="70" t="s">
        <x:v>1472</x:v>
      </x:c>
      <x:c r="F1858" s="70" t="s">
        <x:v>434</x:v>
      </x:c>
      <x:c r="G1858" s="70" t="s">
        <x:v>2992</x:v>
      </x:c>
      <x:c r="H1858" s="70" t="s">
        <x:v>1204</x:v>
      </x:c>
      <x:c r="I1858" s="70" t="s">
        <x:v>1199</x:v>
      </x:c>
      <x:c r="J1858" s="70" t="n">
        <x:v>188</x:v>
      </x:c>
      <x:c r="K1858" s="70" t="s">
        <x:v>2128</x:v>
      </x:c>
      <x:c r="L1858" s="70"/>
      <x:c r="M1858" s="70" t="s">
        <x:v>40</x:v>
      </x:c>
      <x:c r="N1858" s="71" t="n">
        <x:v>2849</x:v>
      </x:c>
      <x:c r="O1858" s="72" t="n">
        <x:f aca="0">N1858/1000</x:f>
        <x:v>2.849</x:v>
      </x:c>
      <x:c r="P1858" s="73" t="n">
        <x:f aca="0">FCCL!D94</x:f>
        <x:v>2.849</x:v>
      </x:c>
      <x:c r="Q1858" s="70" t="str">
        <x:f aca="0">IF(ABS(O1858-P1858)&lt;0.000001,"PASS","FAIL")</x:f>
        <x:v>PASS</x:v>
      </x:c>
      <x:c r="R1858" s="70" t="s">
        <x:v>28</x:v>
      </x:c>
      <x:c r="S1858" s="70"/>
    </x:row>
    <x:row r="1859" ht="15" hidden="0">
      <x:c r="A1859" s="70" t="s">
        <x:v>3282</x:v>
      </x:c>
      <x:c r="B1859" s="70" t="s">
        <x:v>46</x:v>
      </x:c>
      <x:c r="C1859" s="70" t="s">
        <x:v>74</x:v>
      </x:c>
      <x:c r="D1859" s="70" t="s">
        <x:v>434</x:v>
      </x:c>
      <x:c r="E1859" s="70" t="s">
        <x:v>1472</x:v>
      </x:c>
      <x:c r="F1859" s="70" t="s">
        <x:v>434</x:v>
      </x:c>
      <x:c r="G1859" s="70" t="s">
        <x:v>2994</x:v>
      </x:c>
      <x:c r="H1859" s="70" t="s">
        <x:v>1208</x:v>
      </x:c>
      <x:c r="I1859" s="70" t="s">
        <x:v>1199</x:v>
      </x:c>
      <x:c r="J1859" s="70" t="n">
        <x:v>210</x:v>
      </x:c>
      <x:c r="K1859" s="70" t="s">
        <x:v>2460</x:v>
      </x:c>
      <x:c r="L1859" s="70"/>
      <x:c r="M1859" s="70" t="s">
        <x:v>40</x:v>
      </x:c>
      <x:c r="N1859" s="71" t="n">
        <x:v>1308</x:v>
      </x:c>
      <x:c r="O1859" s="72" t="n">
        <x:f aca="0">N1859/1000</x:f>
        <x:v>1.308</x:v>
      </x:c>
      <x:c r="P1859" s="73" t="n">
        <x:f aca="0">FCCL!E94</x:f>
        <x:v>1.308</x:v>
      </x:c>
      <x:c r="Q1859" s="70" t="str">
        <x:f aca="0">IF(ABS(O1859-P1859)&lt;0.000001,"PASS","FAIL")</x:f>
        <x:v>PASS</x:v>
      </x:c>
      <x:c r="R1859" s="70" t="s">
        <x:v>28</x:v>
      </x:c>
      <x:c r="S1859" s="70"/>
    </x:row>
    <x:row r="1860" ht="15" hidden="0">
      <x:c r="A1860" s="70" t="s">
        <x:v>3283</x:v>
      </x:c>
      <x:c r="B1860" s="70" t="s">
        <x:v>46</x:v>
      </x:c>
      <x:c r="C1860" s="70" t="s">
        <x:v>75</x:v>
      </x:c>
      <x:c r="D1860" s="70" t="s">
        <x:v>434</x:v>
      </x:c>
      <x:c r="E1860" s="70" t="s">
        <x:v>1472</x:v>
      </x:c>
      <x:c r="F1860" s="70"/>
      <x:c r="G1860" s="70" t="s">
        <x:v>2997</x:v>
      </x:c>
      <x:c r="H1860" s="70" t="s">
        <x:v>1211</x:v>
      </x:c>
      <x:c r="I1860" s="70" t="s">
        <x:v>1199</x:v>
      </x:c>
      <x:c r="J1860" s="70" t="n">
        <x:v>192</x:v>
      </x:c>
      <x:c r="K1860" s="70" t="s">
        <x:v>2813</x:v>
      </x:c>
      <x:c r="L1860" s="70"/>
      <x:c r="M1860" s="70" t="s">
        <x:v>40</x:v>
      </x:c>
      <x:c r="N1860" s="71" t="n">
        <x:v>0</x:v>
      </x:c>
      <x:c r="O1860" s="72" t="n">
        <x:f aca="0">N1860/1000</x:f>
        <x:v>0</x:v>
      </x:c>
      <x:c r="P1860" s="73" t="n">
        <x:f aca="0">FCCL!F94</x:f>
        <x:v>0</x:v>
      </x:c>
      <x:c r="Q1860" s="70" t="str">
        <x:f aca="0">IF(ABS(O1860-P1860)&lt;0.000001,"PASS","FAIL")</x:f>
        <x:v>PASS</x:v>
      </x:c>
      <x:c r="R1860" s="70" t="s">
        <x:v>28</x:v>
      </x:c>
      <x:c r="S1860" s="70"/>
    </x:row>
    <x:row r="1861" ht="15" hidden="0">
      <x:c r="A1861" s="70" t="s">
        <x:v>3284</x:v>
      </x:c>
      <x:c r="B1861" s="70" t="s">
        <x:v>46</x:v>
      </x:c>
      <x:c r="C1861" s="70" t="s">
        <x:v>76</x:v>
      </x:c>
      <x:c r="D1861" s="70" t="s">
        <x:v>434</x:v>
      </x:c>
      <x:c r="E1861" s="70" t="s">
        <x:v>1472</x:v>
      </x:c>
      <x:c r="F1861" s="70"/>
      <x:c r="G1861" s="70" t="s">
        <x:v>2999</x:v>
      </x:c>
      <x:c r="H1861" s="70" t="s">
        <x:v>1215</x:v>
      </x:c>
      <x:c r="I1861" s="70" t="s">
        <x:v>1199</x:v>
      </x:c>
      <x:c r="J1861" s="70" t="n">
        <x:v>246</x:v>
      </x:c>
      <x:c r="K1861" s="70" t="s">
        <x:v>1200</x:v>
      </x:c>
      <x:c r="L1861" s="70"/>
      <x:c r="M1861" s="70" t="s">
        <x:v>40</x:v>
      </x:c>
      <x:c r="N1861" s="71" t="n">
        <x:v>0</x:v>
      </x:c>
      <x:c r="O1861" s="72" t="n">
        <x:f aca="0">N1861/1000</x:f>
        <x:v>0</x:v>
      </x:c>
      <x:c r="P1861" s="73" t="n">
        <x:f aca="0">FCCL!G94</x:f>
        <x:v>0</x:v>
      </x:c>
      <x:c r="Q1861" s="70" t="str">
        <x:f aca="0">IF(ABS(O1861-P1861)&lt;0.000001,"PASS","FAIL")</x:f>
        <x:v>PASS</x:v>
      </x:c>
      <x:c r="R1861" s="70" t="s">
        <x:v>28</x:v>
      </x:c>
      <x:c r="S1861" s="70"/>
    </x:row>
    <x:row r="1862" ht="15" hidden="0">
      <x:c r="A1862" s="70" t="s">
        <x:v>3285</x:v>
      </x:c>
      <x:c r="B1862" s="70" t="s">
        <x:v>46</x:v>
      </x:c>
      <x:c r="C1862" s="70" t="s">
        <x:v>77</x:v>
      </x:c>
      <x:c r="D1862" s="70" t="s">
        <x:v>434</x:v>
      </x:c>
      <x:c r="E1862" s="70" t="s">
        <x:v>1472</x:v>
      </x:c>
      <x:c r="F1862" s="70"/>
      <x:c r="G1862" s="70" t="s">
        <x:v>2999</x:v>
      </x:c>
      <x:c r="H1862" s="70" t="s">
        <x:v>1215</x:v>
      </x:c>
      <x:c r="I1862" s="70" t="s">
        <x:v>1218</x:v>
      </x:c>
      <x:c r="J1862" s="70" t="n">
        <x:v>246</x:v>
      </x:c>
      <x:c r="K1862" s="70" t="s">
        <x:v>1200</x:v>
      </x:c>
      <x:c r="L1862" s="70"/>
      <x:c r="M1862" s="70" t="s">
        <x:v>40</x:v>
      </x:c>
      <x:c r="N1862" s="71" t="n">
        <x:v>0</x:v>
      </x:c>
      <x:c r="O1862" s="72" t="n">
        <x:f aca="0">N1862/1000</x:f>
        <x:v>0</x:v>
      </x:c>
      <x:c r="P1862" s="73" t="n">
        <x:f aca="0">FCCL!H94</x:f>
        <x:v>0</x:v>
      </x:c>
      <x:c r="Q1862" s="70" t="str">
        <x:f aca="0">IF(ABS(O1862-P1862)&lt;0.000001,"PASS","FAIL")</x:f>
        <x:v>PASS</x:v>
      </x:c>
      <x:c r="R1862" s="70" t="s">
        <x:v>28</x:v>
      </x:c>
      <x:c r="S1862" s="70"/>
    </x:row>
    <x:row r="1863" ht="15" hidden="0">
      <x:c r="A1863" s="70" t="s">
        <x:v>3286</x:v>
      </x:c>
      <x:c r="B1863" s="70" t="s">
        <x:v>46</x:v>
      </x:c>
      <x:c r="C1863" s="70" t="s">
        <x:v>73</x:v>
      </x:c>
      <x:c r="D1863" s="70" t="s">
        <x:v>436</x:v>
      </x:c>
      <x:c r="E1863" s="70" t="s">
        <x:v>1472</x:v>
      </x:c>
      <x:c r="F1863" s="70" t="s">
        <x:v>436</x:v>
      </x:c>
      <x:c r="G1863" s="70" t="s">
        <x:v>2992</x:v>
      </x:c>
      <x:c r="H1863" s="70" t="s">
        <x:v>1204</x:v>
      </x:c>
      <x:c r="I1863" s="70" t="s">
        <x:v>1199</x:v>
      </x:c>
      <x:c r="J1863" s="70" t="n">
        <x:v>188</x:v>
      </x:c>
      <x:c r="K1863" s="70" t="s">
        <x:v>2128</x:v>
      </x:c>
      <x:c r="L1863" s="70"/>
      <x:c r="M1863" s="70" t="s">
        <x:v>40</x:v>
      </x:c>
      <x:c r="N1863" s="71" t="n">
        <x:v>-109623</x:v>
      </x:c>
      <x:c r="O1863" s="72" t="n">
        <x:f aca="0">N1863/1000</x:f>
        <x:v>-109.623</x:v>
      </x:c>
      <x:c r="P1863" s="73" t="n">
        <x:f aca="0">FCCL!D95</x:f>
        <x:v>-109.623</x:v>
      </x:c>
      <x:c r="Q1863" s="70" t="str">
        <x:f aca="0">IF(ABS(O1863-P1863)&lt;0.000001,"PASS","FAIL")</x:f>
        <x:v>PASS</x:v>
      </x:c>
      <x:c r="R1863" s="70" t="s">
        <x:v>28</x:v>
      </x:c>
      <x:c r="S1863" s="70"/>
    </x:row>
    <x:row r="1864" ht="15" hidden="0">
      <x:c r="A1864" s="70" t="s">
        <x:v>3287</x:v>
      </x:c>
      <x:c r="B1864" s="70" t="s">
        <x:v>46</x:v>
      </x:c>
      <x:c r="C1864" s="70" t="s">
        <x:v>74</x:v>
      </x:c>
      <x:c r="D1864" s="70" t="s">
        <x:v>436</x:v>
      </x:c>
      <x:c r="E1864" s="70" t="s">
        <x:v>1472</x:v>
      </x:c>
      <x:c r="F1864" s="70" t="s">
        <x:v>436</x:v>
      </x:c>
      <x:c r="G1864" s="70" t="s">
        <x:v>2994</x:v>
      </x:c>
      <x:c r="H1864" s="70" t="s">
        <x:v>1208</x:v>
      </x:c>
      <x:c r="I1864" s="70" t="s">
        <x:v>1199</x:v>
      </x:c>
      <x:c r="J1864" s="70" t="n">
        <x:v>210</x:v>
      </x:c>
      <x:c r="K1864" s="70" t="s">
        <x:v>2460</x:v>
      </x:c>
      <x:c r="L1864" s="70"/>
      <x:c r="M1864" s="70" t="s">
        <x:v>40</x:v>
      </x:c>
      <x:c r="N1864" s="71" t="n">
        <x:v>-1201612</x:v>
      </x:c>
      <x:c r="O1864" s="72" t="n">
        <x:f aca="0">N1864/1000</x:f>
        <x:v>-1201.612</x:v>
      </x:c>
      <x:c r="P1864" s="73" t="n">
        <x:f aca="0">FCCL!E95</x:f>
        <x:v>-1201.612</x:v>
      </x:c>
      <x:c r="Q1864" s="70" t="str">
        <x:f aca="0">IF(ABS(O1864-P1864)&lt;0.000001,"PASS","FAIL")</x:f>
        <x:v>PASS</x:v>
      </x:c>
      <x:c r="R1864" s="70" t="s">
        <x:v>28</x:v>
      </x:c>
      <x:c r="S1864" s="70"/>
    </x:row>
    <x:row r="1865" ht="15" hidden="0">
      <x:c r="A1865" s="70" t="s">
        <x:v>3288</x:v>
      </x:c>
      <x:c r="B1865" s="70" t="s">
        <x:v>46</x:v>
      </x:c>
      <x:c r="C1865" s="70" t="s">
        <x:v>75</x:v>
      </x:c>
      <x:c r="D1865" s="70" t="s">
        <x:v>436</x:v>
      </x:c>
      <x:c r="E1865" s="70" t="s">
        <x:v>1472</x:v>
      </x:c>
      <x:c r="F1865" s="70" t="s">
        <x:v>436</x:v>
      </x:c>
      <x:c r="G1865" s="70" t="s">
        <x:v>2997</x:v>
      </x:c>
      <x:c r="H1865" s="70" t="s">
        <x:v>1211</x:v>
      </x:c>
      <x:c r="I1865" s="70" t="s">
        <x:v>1199</x:v>
      </x:c>
      <x:c r="J1865" s="70" t="n">
        <x:v>192</x:v>
      </x:c>
      <x:c r="K1865" s="70" t="s">
        <x:v>2813</x:v>
      </x:c>
      <x:c r="L1865" s="70"/>
      <x:c r="M1865" s="70" t="s">
        <x:v>40</x:v>
      </x:c>
      <x:c r="N1865" s="71" t="n">
        <x:v>-3645265</x:v>
      </x:c>
      <x:c r="O1865" s="72" t="n">
        <x:f aca="0">N1865/1000</x:f>
        <x:v>-3645.265</x:v>
      </x:c>
      <x:c r="P1865" s="73" t="n">
        <x:f aca="0">FCCL!F95</x:f>
        <x:v>-3645.265</x:v>
      </x:c>
      <x:c r="Q1865" s="70" t="str">
        <x:f aca="0">IF(ABS(O1865-P1865)&lt;0.000001,"PASS","FAIL")</x:f>
        <x:v>PASS</x:v>
      </x:c>
      <x:c r="R1865" s="70" t="s">
        <x:v>28</x:v>
      </x:c>
      <x:c r="S1865" s="70"/>
    </x:row>
    <x:row r="1866" ht="15" hidden="0">
      <x:c r="A1866" s="70" t="s">
        <x:v>3289</x:v>
      </x:c>
      <x:c r="B1866" s="70" t="s">
        <x:v>46</x:v>
      </x:c>
      <x:c r="C1866" s="70" t="s">
        <x:v>76</x:v>
      </x:c>
      <x:c r="D1866" s="70" t="s">
        <x:v>436</x:v>
      </x:c>
      <x:c r="E1866" s="70" t="s">
        <x:v>1472</x:v>
      </x:c>
      <x:c r="F1866" s="70" t="s">
        <x:v>436</x:v>
      </x:c>
      <x:c r="G1866" s="70" t="s">
        <x:v>2999</x:v>
      </x:c>
      <x:c r="H1866" s="70" t="s">
        <x:v>1215</x:v>
      </x:c>
      <x:c r="I1866" s="70" t="s">
        <x:v>1199</x:v>
      </x:c>
      <x:c r="J1866" s="70" t="n">
        <x:v>246</x:v>
      </x:c>
      <x:c r="K1866" s="70" t="s">
        <x:v>1200</x:v>
      </x:c>
      <x:c r="L1866" s="70"/>
      <x:c r="M1866" s="70" t="s">
        <x:v>40</x:v>
      </x:c>
      <x:c r="N1866" s="71" t="n">
        <x:v>-5536298</x:v>
      </x:c>
      <x:c r="O1866" s="72" t="n">
        <x:f aca="0">N1866/1000</x:f>
        <x:v>-5536.298</x:v>
      </x:c>
      <x:c r="P1866" s="73" t="n">
        <x:f aca="0">FCCL!G95</x:f>
        <x:v>-5536.298</x:v>
      </x:c>
      <x:c r="Q1866" s="70" t="str">
        <x:f aca="0">IF(ABS(O1866-P1866)&lt;0.000001,"PASS","FAIL")</x:f>
        <x:v>PASS</x:v>
      </x:c>
      <x:c r="R1866" s="70" t="s">
        <x:v>28</x:v>
      </x:c>
      <x:c r="S1866" s="70"/>
    </x:row>
    <x:row r="1867" ht="15" hidden="0">
      <x:c r="A1867" s="70" t="s">
        <x:v>3290</x:v>
      </x:c>
      <x:c r="B1867" s="70" t="s">
        <x:v>46</x:v>
      </x:c>
      <x:c r="C1867" s="70" t="s">
        <x:v>77</x:v>
      </x:c>
      <x:c r="D1867" s="70" t="s">
        <x:v>436</x:v>
      </x:c>
      <x:c r="E1867" s="70" t="s">
        <x:v>1472</x:v>
      </x:c>
      <x:c r="F1867" s="70" t="s">
        <x:v>436</x:v>
      </x:c>
      <x:c r="G1867" s="70" t="s">
        <x:v>2999</x:v>
      </x:c>
      <x:c r="H1867" s="70" t="s">
        <x:v>1215</x:v>
      </x:c>
      <x:c r="I1867" s="70" t="s">
        <x:v>1218</x:v>
      </x:c>
      <x:c r="J1867" s="70" t="n">
        <x:v>246</x:v>
      </x:c>
      <x:c r="K1867" s="70" t="s">
        <x:v>1200</x:v>
      </x:c>
      <x:c r="L1867" s="70"/>
      <x:c r="M1867" s="70" t="s">
        <x:v>40</x:v>
      </x:c>
      <x:c r="N1867" s="71" t="n">
        <x:v>-5772132</x:v>
      </x:c>
      <x:c r="O1867" s="72" t="n">
        <x:f aca="0">N1867/1000</x:f>
        <x:v>-5772.132</x:v>
      </x:c>
      <x:c r="P1867" s="73" t="n">
        <x:f aca="0">FCCL!H95</x:f>
        <x:v>-5772.132</x:v>
      </x:c>
      <x:c r="Q1867" s="70" t="str">
        <x:f aca="0">IF(ABS(O1867-P1867)&lt;0.000001,"PASS","FAIL")</x:f>
        <x:v>PASS</x:v>
      </x:c>
      <x:c r="R1867" s="70" t="s">
        <x:v>28</x:v>
      </x:c>
      <x:c r="S1867" s="70"/>
    </x:row>
    <x:row r="1868" ht="15" hidden="0">
      <x:c r="A1868" s="70" t="s">
        <x:v>3291</x:v>
      </x:c>
      <x:c r="B1868" s="70" t="s">
        <x:v>46</x:v>
      </x:c>
      <x:c r="C1868" s="70" t="s">
        <x:v>73</x:v>
      </x:c>
      <x:c r="D1868" s="70" t="s">
        <x:v>440</x:v>
      </x:c>
      <x:c r="E1868" s="70" t="s">
        <x:v>1472</x:v>
      </x:c>
      <x:c r="F1868" s="70"/>
      <x:c r="G1868" s="70" t="s">
        <x:v>2992</x:v>
      </x:c>
      <x:c r="H1868" s="70" t="s">
        <x:v>1204</x:v>
      </x:c>
      <x:c r="I1868" s="70" t="s">
        <x:v>1199</x:v>
      </x:c>
      <x:c r="J1868" s="70" t="n">
        <x:v>188</x:v>
      </x:c>
      <x:c r="K1868" s="70" t="s">
        <x:v>2128</x:v>
      </x:c>
      <x:c r="L1868" s="70"/>
      <x:c r="M1868" s="70" t="s">
        <x:v>40</x:v>
      </x:c>
      <x:c r="N1868" s="71" t="n">
        <x:v>0</x:v>
      </x:c>
      <x:c r="O1868" s="72" t="n">
        <x:f aca="0">N1868/1000</x:f>
        <x:v>0</x:v>
      </x:c>
      <x:c r="P1868" s="73" t="n">
        <x:f aca="0">FCCL!D97</x:f>
        <x:v>0</x:v>
      </x:c>
      <x:c r="Q1868" s="70" t="str">
        <x:f aca="0">IF(ABS(O1868-P1868)&lt;0.000001,"PASS","FAIL")</x:f>
        <x:v>PASS</x:v>
      </x:c>
      <x:c r="R1868" s="70" t="s">
        <x:v>28</x:v>
      </x:c>
      <x:c r="S1868" s="70"/>
    </x:row>
    <x:row r="1869" ht="15" hidden="0">
      <x:c r="A1869" s="70" t="s">
        <x:v>3292</x:v>
      </x:c>
      <x:c r="B1869" s="70" t="s">
        <x:v>46</x:v>
      </x:c>
      <x:c r="C1869" s="70" t="s">
        <x:v>74</x:v>
      </x:c>
      <x:c r="D1869" s="70" t="s">
        <x:v>440</x:v>
      </x:c>
      <x:c r="E1869" s="70" t="s">
        <x:v>1472</x:v>
      </x:c>
      <x:c r="F1869" s="70"/>
      <x:c r="G1869" s="70" t="s">
        <x:v>2994</x:v>
      </x:c>
      <x:c r="H1869" s="70" t="s">
        <x:v>1208</x:v>
      </x:c>
      <x:c r="I1869" s="70" t="s">
        <x:v>1199</x:v>
      </x:c>
      <x:c r="J1869" s="70" t="n">
        <x:v>210</x:v>
      </x:c>
      <x:c r="K1869" s="70" t="s">
        <x:v>2460</x:v>
      </x:c>
      <x:c r="L1869" s="70"/>
      <x:c r="M1869" s="70" t="s">
        <x:v>40</x:v>
      </x:c>
      <x:c r="N1869" s="71" t="n">
        <x:v>0</x:v>
      </x:c>
      <x:c r="O1869" s="72" t="n">
        <x:f aca="0">N1869/1000</x:f>
        <x:v>0</x:v>
      </x:c>
      <x:c r="P1869" s="73" t="n">
        <x:f aca="0">FCCL!E97</x:f>
        <x:v>0</x:v>
      </x:c>
      <x:c r="Q1869" s="70" t="str">
        <x:f aca="0">IF(ABS(O1869-P1869)&lt;0.000001,"PASS","FAIL")</x:f>
        <x:v>PASS</x:v>
      </x:c>
      <x:c r="R1869" s="70" t="s">
        <x:v>28</x:v>
      </x:c>
      <x:c r="S1869" s="70"/>
    </x:row>
    <x:row r="1870" ht="15" hidden="0">
      <x:c r="A1870" s="70" t="s">
        <x:v>3293</x:v>
      </x:c>
      <x:c r="B1870" s="70" t="s">
        <x:v>46</x:v>
      </x:c>
      <x:c r="C1870" s="70" t="s">
        <x:v>75</x:v>
      </x:c>
      <x:c r="D1870" s="70" t="s">
        <x:v>440</x:v>
      </x:c>
      <x:c r="E1870" s="70" t="s">
        <x:v>1472</x:v>
      </x:c>
      <x:c r="F1870" s="70" t="s">
        <x:v>3294</x:v>
      </x:c>
      <x:c r="G1870" s="70" t="s">
        <x:v>2997</x:v>
      </x:c>
      <x:c r="H1870" s="70" t="s">
        <x:v>1211</x:v>
      </x:c>
      <x:c r="I1870" s="70" t="s">
        <x:v>1199</x:v>
      </x:c>
      <x:c r="J1870" s="70" t="n">
        <x:v>192</x:v>
      </x:c>
      <x:c r="K1870" s="70" t="s">
        <x:v>2813</x:v>
      </x:c>
      <x:c r="L1870" s="70"/>
      <x:c r="M1870" s="70" t="s">
        <x:v>40</x:v>
      </x:c>
      <x:c r="N1870" s="71" t="n">
        <x:v>-45660</x:v>
      </x:c>
      <x:c r="O1870" s="72" t="n">
        <x:f aca="0">N1870/1000</x:f>
        <x:v>-45.66</x:v>
      </x:c>
      <x:c r="P1870" s="73" t="n">
        <x:f aca="0">FCCL!F97</x:f>
        <x:v>-45.66</x:v>
      </x:c>
      <x:c r="Q1870" s="70" t="str">
        <x:f aca="0">IF(ABS(O1870-P1870)&lt;0.000001,"PASS","FAIL")</x:f>
        <x:v>PASS</x:v>
      </x:c>
      <x:c r="R1870" s="70" t="s">
        <x:v>28</x:v>
      </x:c>
      <x:c r="S1870" s="70"/>
    </x:row>
    <x:row r="1871" ht="15" hidden="0">
      <x:c r="A1871" s="70" t="s">
        <x:v>3295</x:v>
      </x:c>
      <x:c r="B1871" s="70" t="s">
        <x:v>46</x:v>
      </x:c>
      <x:c r="C1871" s="70" t="s">
        <x:v>76</x:v>
      </x:c>
      <x:c r="D1871" s="70" t="s">
        <x:v>440</x:v>
      </x:c>
      <x:c r="E1871" s="70" t="s">
        <x:v>1472</x:v>
      </x:c>
      <x:c r="F1871" s="70" t="s">
        <x:v>3294</x:v>
      </x:c>
      <x:c r="G1871" s="70" t="s">
        <x:v>2999</x:v>
      </x:c>
      <x:c r="H1871" s="70" t="s">
        <x:v>1215</x:v>
      </x:c>
      <x:c r="I1871" s="70" t="s">
        <x:v>1199</x:v>
      </x:c>
      <x:c r="J1871" s="70" t="n">
        <x:v>246</x:v>
      </x:c>
      <x:c r="K1871" s="70" t="s">
        <x:v>1200</x:v>
      </x:c>
      <x:c r="L1871" s="70"/>
      <x:c r="M1871" s="70" t="s">
        <x:v>40</x:v>
      </x:c>
      <x:c r="N1871" s="71" t="n">
        <x:v>-55223</x:v>
      </x:c>
      <x:c r="O1871" s="72" t="n">
        <x:f aca="0">N1871/1000</x:f>
        <x:v>-55.223</x:v>
      </x:c>
      <x:c r="P1871" s="73" t="n">
        <x:f aca="0">FCCL!G97</x:f>
        <x:v>-55.223</x:v>
      </x:c>
      <x:c r="Q1871" s="70" t="str">
        <x:f aca="0">IF(ABS(O1871-P1871)&lt;0.000001,"PASS","FAIL")</x:f>
        <x:v>PASS</x:v>
      </x:c>
      <x:c r="R1871" s="70" t="s">
        <x:v>28</x:v>
      </x:c>
      <x:c r="S1871" s="70"/>
    </x:row>
    <x:row r="1872" ht="15" hidden="0">
      <x:c r="A1872" s="70" t="s">
        <x:v>3296</x:v>
      </x:c>
      <x:c r="B1872" s="70" t="s">
        <x:v>46</x:v>
      </x:c>
      <x:c r="C1872" s="70" t="s">
        <x:v>77</x:v>
      </x:c>
      <x:c r="D1872" s="70" t="s">
        <x:v>440</x:v>
      </x:c>
      <x:c r="E1872" s="70" t="s">
        <x:v>1472</x:v>
      </x:c>
      <x:c r="F1872" s="70" t="s">
        <x:v>3294</x:v>
      </x:c>
      <x:c r="G1872" s="70" t="s">
        <x:v>2999</x:v>
      </x:c>
      <x:c r="H1872" s="70" t="s">
        <x:v>1215</x:v>
      </x:c>
      <x:c r="I1872" s="70" t="s">
        <x:v>1218</x:v>
      </x:c>
      <x:c r="J1872" s="70" t="n">
        <x:v>246</x:v>
      </x:c>
      <x:c r="K1872" s="70" t="s">
        <x:v>1200</x:v>
      </x:c>
      <x:c r="L1872" s="70"/>
      <x:c r="M1872" s="70" t="s">
        <x:v>40</x:v>
      </x:c>
      <x:c r="N1872" s="71" t="n">
        <x:v>0</x:v>
      </x:c>
      <x:c r="O1872" s="72" t="n">
        <x:f aca="0">N1872/1000</x:f>
        <x:v>0</x:v>
      </x:c>
      <x:c r="P1872" s="73" t="n">
        <x:f aca="0">FCCL!H97</x:f>
        <x:v>0</x:v>
      </x:c>
      <x:c r="Q1872" s="70" t="str">
        <x:f aca="0">IF(ABS(O1872-P1872)&lt;0.000001,"PASS","FAIL")</x:f>
        <x:v>PASS</x:v>
      </x:c>
      <x:c r="R1872" s="70" t="s">
        <x:v>28</x:v>
      </x:c>
      <x:c r="S1872" s="70"/>
    </x:row>
    <x:row r="1873" ht="15" hidden="0">
      <x:c r="A1873" s="70" t="s">
        <x:v>3297</x:v>
      </x:c>
      <x:c r="B1873" s="70" t="s">
        <x:v>46</x:v>
      </x:c>
      <x:c r="C1873" s="70" t="s">
        <x:v>73</x:v>
      </x:c>
      <x:c r="D1873" s="70" t="s">
        <x:v>442</x:v>
      </x:c>
      <x:c r="E1873" s="70" t="s">
        <x:v>1472</x:v>
      </x:c>
      <x:c r="F1873" s="70" t="s">
        <x:v>3298</x:v>
      </x:c>
      <x:c r="G1873" s="70" t="s">
        <x:v>2992</x:v>
      </x:c>
      <x:c r="H1873" s="70" t="s">
        <x:v>1204</x:v>
      </x:c>
      <x:c r="I1873" s="70" t="s">
        <x:v>1199</x:v>
      </x:c>
      <x:c r="J1873" s="70" t="n">
        <x:v>188</x:v>
      </x:c>
      <x:c r="K1873" s="70" t="s">
        <x:v>2128</x:v>
      </x:c>
      <x:c r="L1873" s="70"/>
      <x:c r="M1873" s="70" t="s">
        <x:v>40</x:v>
      </x:c>
      <x:c r="N1873" s="71" t="n">
        <x:v>-1636341</x:v>
      </x:c>
      <x:c r="O1873" s="72" t="n">
        <x:f aca="0">N1873/1000</x:f>
        <x:v>-1636.341</x:v>
      </x:c>
      <x:c r="P1873" s="73" t="n">
        <x:f aca="0">FCCL!D98</x:f>
        <x:v>-1636.341</x:v>
      </x:c>
      <x:c r="Q1873" s="70" t="str">
        <x:f aca="0">IF(ABS(O1873-P1873)&lt;0.000001,"PASS","FAIL")</x:f>
        <x:v>PASS</x:v>
      </x:c>
      <x:c r="R1873" s="70" t="s">
        <x:v>28</x:v>
      </x:c>
      <x:c r="S1873" s="70"/>
    </x:row>
    <x:row r="1874" ht="15" hidden="0">
      <x:c r="A1874" s="70" t="s">
        <x:v>3299</x:v>
      </x:c>
      <x:c r="B1874" s="70" t="s">
        <x:v>46</x:v>
      </x:c>
      <x:c r="C1874" s="70" t="s">
        <x:v>74</x:v>
      </x:c>
      <x:c r="D1874" s="70" t="s">
        <x:v>442</x:v>
      </x:c>
      <x:c r="E1874" s="70" t="s">
        <x:v>1472</x:v>
      </x:c>
      <x:c r="F1874" s="70" t="s">
        <x:v>3298</x:v>
      </x:c>
      <x:c r="G1874" s="70" t="s">
        <x:v>2994</x:v>
      </x:c>
      <x:c r="H1874" s="70" t="s">
        <x:v>1208</x:v>
      </x:c>
      <x:c r="I1874" s="70" t="s">
        <x:v>1199</x:v>
      </x:c>
      <x:c r="J1874" s="70" t="n">
        <x:v>210</x:v>
      </x:c>
      <x:c r="K1874" s="70" t="s">
        <x:v>2460</x:v>
      </x:c>
      <x:c r="L1874" s="70"/>
      <x:c r="M1874" s="70" t="s">
        <x:v>40</x:v>
      </x:c>
      <x:c r="N1874" s="71" t="n">
        <x:v>-4415553</x:v>
      </x:c>
      <x:c r="O1874" s="72" t="n">
        <x:f aca="0">N1874/1000</x:f>
        <x:v>-4415.553</x:v>
      </x:c>
      <x:c r="P1874" s="73" t="n">
        <x:f aca="0">FCCL!E98</x:f>
        <x:v>-4415.553</x:v>
      </x:c>
      <x:c r="Q1874" s="70" t="str">
        <x:f aca="0">IF(ABS(O1874-P1874)&lt;0.000001,"PASS","FAIL")</x:f>
        <x:v>PASS</x:v>
      </x:c>
      <x:c r="R1874" s="70" t="s">
        <x:v>28</x:v>
      </x:c>
      <x:c r="S1874" s="70"/>
    </x:row>
    <x:row r="1875" ht="15" hidden="0">
      <x:c r="A1875" s="70" t="s">
        <x:v>3300</x:v>
      </x:c>
      <x:c r="B1875" s="70" t="s">
        <x:v>46</x:v>
      </x:c>
      <x:c r="C1875" s="70" t="s">
        <x:v>75</x:v>
      </x:c>
      <x:c r="D1875" s="70" t="s">
        <x:v>442</x:v>
      </x:c>
      <x:c r="E1875" s="70" t="s">
        <x:v>1472</x:v>
      </x:c>
      <x:c r="F1875" s="70" t="s">
        <x:v>3298</x:v>
      </x:c>
      <x:c r="G1875" s="70" t="s">
        <x:v>2997</x:v>
      </x:c>
      <x:c r="H1875" s="70" t="s">
        <x:v>1211</x:v>
      </x:c>
      <x:c r="I1875" s="70" t="s">
        <x:v>1199</x:v>
      </x:c>
      <x:c r="J1875" s="70" t="n">
        <x:v>192</x:v>
      </x:c>
      <x:c r="K1875" s="70" t="s">
        <x:v>2813</x:v>
      </x:c>
      <x:c r="L1875" s="70"/>
      <x:c r="M1875" s="70" t="s">
        <x:v>40</x:v>
      </x:c>
      <x:c r="N1875" s="71" t="n">
        <x:v>-5414768</x:v>
      </x:c>
      <x:c r="O1875" s="72" t="n">
        <x:f aca="0">N1875/1000</x:f>
        <x:v>-5414.768</x:v>
      </x:c>
      <x:c r="P1875" s="73" t="n">
        <x:f aca="0">FCCL!F98</x:f>
        <x:v>-5414.768</x:v>
      </x:c>
      <x:c r="Q1875" s="70" t="str">
        <x:f aca="0">IF(ABS(O1875-P1875)&lt;0.000001,"PASS","FAIL")</x:f>
        <x:v>PASS</x:v>
      </x:c>
      <x:c r="R1875" s="70" t="s">
        <x:v>28</x:v>
      </x:c>
      <x:c r="S1875" s="70" t="s">
        <x:v>1205</x:v>
      </x:c>
    </x:row>
    <x:row r="1876" ht="15" hidden="0">
      <x:c r="A1876" s="70" t="s">
        <x:v>3301</x:v>
      </x:c>
      <x:c r="B1876" s="70" t="s">
        <x:v>46</x:v>
      </x:c>
      <x:c r="C1876" s="70" t="s">
        <x:v>76</x:v>
      </x:c>
      <x:c r="D1876" s="70" t="s">
        <x:v>442</x:v>
      </x:c>
      <x:c r="E1876" s="70" t="s">
        <x:v>1472</x:v>
      </x:c>
      <x:c r="F1876" s="70" t="s">
        <x:v>3298</x:v>
      </x:c>
      <x:c r="G1876" s="70" t="s">
        <x:v>2999</x:v>
      </x:c>
      <x:c r="H1876" s="70" t="s">
        <x:v>1215</x:v>
      </x:c>
      <x:c r="I1876" s="70" t="s">
        <x:v>1199</x:v>
      </x:c>
      <x:c r="J1876" s="70" t="n">
        <x:v>246</x:v>
      </x:c>
      <x:c r="K1876" s="70" t="s">
        <x:v>1200</x:v>
      </x:c>
      <x:c r="L1876" s="70"/>
      <x:c r="M1876" s="70" t="s">
        <x:v>40</x:v>
      </x:c>
      <x:c r="N1876" s="71" t="n">
        <x:v>-7076615</x:v>
      </x:c>
      <x:c r="O1876" s="72" t="n">
        <x:f aca="0">N1876/1000</x:f>
        <x:v>-7076.615</x:v>
      </x:c>
      <x:c r="P1876" s="73" t="n">
        <x:f aca="0">FCCL!G98</x:f>
        <x:v>-7076.615</x:v>
      </x:c>
      <x:c r="Q1876" s="70" t="str">
        <x:f aca="0">IF(ABS(O1876-P1876)&lt;0.000001,"PASS","FAIL")</x:f>
        <x:v>PASS</x:v>
      </x:c>
      <x:c r="R1876" s="70" t="s">
        <x:v>28</x:v>
      </x:c>
      <x:c r="S1876" s="70"/>
    </x:row>
    <x:row r="1877" ht="15" hidden="0">
      <x:c r="A1877" s="70" t="s">
        <x:v>3302</x:v>
      </x:c>
      <x:c r="B1877" s="70" t="s">
        <x:v>46</x:v>
      </x:c>
      <x:c r="C1877" s="70" t="s">
        <x:v>77</x:v>
      </x:c>
      <x:c r="D1877" s="70" t="s">
        <x:v>442</x:v>
      </x:c>
      <x:c r="E1877" s="70" t="s">
        <x:v>1472</x:v>
      </x:c>
      <x:c r="F1877" s="70" t="s">
        <x:v>3298</x:v>
      </x:c>
      <x:c r="G1877" s="70" t="s">
        <x:v>2999</x:v>
      </x:c>
      <x:c r="H1877" s="70" t="s">
        <x:v>1215</x:v>
      </x:c>
      <x:c r="I1877" s="70" t="s">
        <x:v>1218</x:v>
      </x:c>
      <x:c r="J1877" s="70" t="n">
        <x:v>246</x:v>
      </x:c>
      <x:c r="K1877" s="70" t="s">
        <x:v>1200</x:v>
      </x:c>
      <x:c r="L1877" s="70"/>
      <x:c r="M1877" s="70" t="s">
        <x:v>40</x:v>
      </x:c>
      <x:c r="N1877" s="71" t="n">
        <x:v>-8199318</x:v>
      </x:c>
      <x:c r="O1877" s="72" t="n">
        <x:f aca="0">N1877/1000</x:f>
        <x:v>-8199.318</x:v>
      </x:c>
      <x:c r="P1877" s="73" t="n">
        <x:f aca="0">FCCL!H98</x:f>
        <x:v>-8199.318</x:v>
      </x:c>
      <x:c r="Q1877" s="70" t="str">
        <x:f aca="0">IF(ABS(O1877-P1877)&lt;0.000001,"PASS","FAIL")</x:f>
        <x:v>PASS</x:v>
      </x:c>
      <x:c r="R1877" s="70" t="s">
        <x:v>28</x:v>
      </x:c>
      <x:c r="S1877" s="70"/>
    </x:row>
    <x:row r="1878" ht="15" hidden="0">
      <x:c r="A1878" s="70" t="s">
        <x:v>3303</x:v>
      </x:c>
      <x:c r="B1878" s="70" t="s">
        <x:v>46</x:v>
      </x:c>
      <x:c r="C1878" s="70" t="s">
        <x:v>73</x:v>
      </x:c>
      <x:c r="D1878" s="70" t="s">
        <x:v>446</x:v>
      </x:c>
      <x:c r="E1878" s="70" t="s">
        <x:v>1472</x:v>
      </x:c>
      <x:c r="F1878" s="70" t="s">
        <x:v>418</x:v>
      </x:c>
      <x:c r="G1878" s="70" t="s">
        <x:v>2992</x:v>
      </x:c>
      <x:c r="H1878" s="70" t="s">
        <x:v>1204</x:v>
      </x:c>
      <x:c r="I1878" s="70" t="s">
        <x:v>1199</x:v>
      </x:c>
      <x:c r="J1878" s="70" t="n">
        <x:v>188</x:v>
      </x:c>
      <x:c r="K1878" s="70" t="s">
        <x:v>2128</x:v>
      </x:c>
      <x:c r="L1878" s="70"/>
      <x:c r="M1878" s="70" t="s">
        <x:v>40</x:v>
      </x:c>
      <x:c r="N1878" s="71" t="n">
        <x:v>6064405</x:v>
      </x:c>
      <x:c r="O1878" s="72" t="n">
        <x:f aca="0">N1878/1000</x:f>
        <x:v>6064.405</x:v>
      </x:c>
      <x:c r="P1878" s="73" t="n">
        <x:f aca="0">FCCL!D100</x:f>
        <x:v>6064.405</x:v>
      </x:c>
      <x:c r="Q1878" s="70" t="str">
        <x:f aca="0">IF(ABS(O1878-P1878)&lt;0.000001,"PASS","FAIL")</x:f>
        <x:v>PASS</x:v>
      </x:c>
      <x:c r="R1878" s="70" t="s">
        <x:v>28</x:v>
      </x:c>
      <x:c r="S1878" s="70"/>
    </x:row>
    <x:row r="1879" ht="15" hidden="0">
      <x:c r="A1879" s="70" t="s">
        <x:v>3304</x:v>
      </x:c>
      <x:c r="B1879" s="70" t="s">
        <x:v>46</x:v>
      </x:c>
      <x:c r="C1879" s="70" t="s">
        <x:v>74</x:v>
      </x:c>
      <x:c r="D1879" s="70" t="s">
        <x:v>446</x:v>
      </x:c>
      <x:c r="E1879" s="70" t="s">
        <x:v>1472</x:v>
      </x:c>
      <x:c r="F1879" s="70" t="s">
        <x:v>418</x:v>
      </x:c>
      <x:c r="G1879" s="70" t="s">
        <x:v>2994</x:v>
      </x:c>
      <x:c r="H1879" s="70" t="s">
        <x:v>1208</x:v>
      </x:c>
      <x:c r="I1879" s="70" t="s">
        <x:v>1199</x:v>
      </x:c>
      <x:c r="J1879" s="70" t="n">
        <x:v>210</x:v>
      </x:c>
      <x:c r="K1879" s="70" t="s">
        <x:v>2460</x:v>
      </x:c>
      <x:c r="L1879" s="70"/>
      <x:c r="M1879" s="70" t="s">
        <x:v>40</x:v>
      </x:c>
      <x:c r="N1879" s="71" t="n">
        <x:v>15463576</x:v>
      </x:c>
      <x:c r="O1879" s="72" t="n">
        <x:f aca="0">N1879/1000</x:f>
        <x:v>15463.576</x:v>
      </x:c>
      <x:c r="P1879" s="73" t="n">
        <x:f aca="0">FCCL!E100</x:f>
        <x:v>15463.576</x:v>
      </x:c>
      <x:c r="Q1879" s="70" t="str">
        <x:f aca="0">IF(ABS(O1879-P1879)&lt;0.000001,"PASS","FAIL")</x:f>
        <x:v>PASS</x:v>
      </x:c>
      <x:c r="R1879" s="70" t="s">
        <x:v>28</x:v>
      </x:c>
      <x:c r="S1879" s="70"/>
    </x:row>
    <x:row r="1880" ht="15" hidden="0">
      <x:c r="A1880" s="70" t="s">
        <x:v>3305</x:v>
      </x:c>
      <x:c r="B1880" s="70" t="s">
        <x:v>46</x:v>
      </x:c>
      <x:c r="C1880" s="70" t="s">
        <x:v>75</x:v>
      </x:c>
      <x:c r="D1880" s="70" t="s">
        <x:v>446</x:v>
      </x:c>
      <x:c r="E1880" s="70" t="s">
        <x:v>1472</x:v>
      </x:c>
      <x:c r="F1880" s="70" t="s">
        <x:v>418</x:v>
      </x:c>
      <x:c r="G1880" s="70" t="s">
        <x:v>2997</x:v>
      </x:c>
      <x:c r="H1880" s="70" t="s">
        <x:v>1211</x:v>
      </x:c>
      <x:c r="I1880" s="70" t="s">
        <x:v>1199</x:v>
      </x:c>
      <x:c r="J1880" s="70" t="n">
        <x:v>192</x:v>
      </x:c>
      <x:c r="K1880" s="70" t="s">
        <x:v>2813</x:v>
      </x:c>
      <x:c r="L1880" s="70"/>
      <x:c r="M1880" s="70" t="s">
        <x:v>40</x:v>
      </x:c>
      <x:c r="N1880" s="71" t="n">
        <x:v>20418473</x:v>
      </x:c>
      <x:c r="O1880" s="72" t="n">
        <x:f aca="0">N1880/1000</x:f>
        <x:v>20418.473</x:v>
      </x:c>
      <x:c r="P1880" s="73" t="n">
        <x:f aca="0">FCCL!F100</x:f>
        <x:v>20418.473</x:v>
      </x:c>
      <x:c r="Q1880" s="70" t="str">
        <x:f aca="0">IF(ABS(O1880-P1880)&lt;0.000001,"PASS","FAIL")</x:f>
        <x:v>PASS</x:v>
      </x:c>
      <x:c r="R1880" s="70" t="s">
        <x:v>28</x:v>
      </x:c>
      <x:c r="S1880" s="70"/>
    </x:row>
    <x:row r="1881" ht="15" hidden="0">
      <x:c r="A1881" s="70" t="s">
        <x:v>3306</x:v>
      </x:c>
      <x:c r="B1881" s="70" t="s">
        <x:v>46</x:v>
      </x:c>
      <x:c r="C1881" s="70" t="s">
        <x:v>76</x:v>
      </x:c>
      <x:c r="D1881" s="70" t="s">
        <x:v>446</x:v>
      </x:c>
      <x:c r="E1881" s="70" t="s">
        <x:v>1472</x:v>
      </x:c>
      <x:c r="F1881" s="70" t="s">
        <x:v>418</x:v>
      </x:c>
      <x:c r="G1881" s="70" t="s">
        <x:v>2999</x:v>
      </x:c>
      <x:c r="H1881" s="70" t="s">
        <x:v>1215</x:v>
      </x:c>
      <x:c r="I1881" s="70" t="s">
        <x:v>1199</x:v>
      </x:c>
      <x:c r="J1881" s="70" t="n">
        <x:v>246</x:v>
      </x:c>
      <x:c r="K1881" s="70" t="s">
        <x:v>1200</x:v>
      </x:c>
      <x:c r="L1881" s="70"/>
      <x:c r="M1881" s="70" t="s">
        <x:v>40</x:v>
      </x:c>
      <x:c r="N1881" s="71" t="n">
        <x:v>25680405</x:v>
      </x:c>
      <x:c r="O1881" s="72" t="n">
        <x:f aca="0">N1881/1000</x:f>
        <x:v>25680.405</x:v>
      </x:c>
      <x:c r="P1881" s="73" t="n">
        <x:f aca="0">FCCL!G100</x:f>
        <x:v>25680.405</x:v>
      </x:c>
      <x:c r="Q1881" s="70" t="str">
        <x:f aca="0">IF(ABS(O1881-P1881)&lt;0.000001,"PASS","FAIL")</x:f>
        <x:v>PASS</x:v>
      </x:c>
      <x:c r="R1881" s="70" t="s">
        <x:v>28</x:v>
      </x:c>
      <x:c r="S1881" s="70"/>
    </x:row>
    <x:row r="1882" ht="15" hidden="0">
      <x:c r="A1882" s="70" t="s">
        <x:v>3307</x:v>
      </x:c>
      <x:c r="B1882" s="70" t="s">
        <x:v>46</x:v>
      </x:c>
      <x:c r="C1882" s="70" t="s">
        <x:v>77</x:v>
      </x:c>
      <x:c r="D1882" s="70" t="s">
        <x:v>446</x:v>
      </x:c>
      <x:c r="E1882" s="70" t="s">
        <x:v>1472</x:v>
      </x:c>
      <x:c r="F1882" s="70" t="s">
        <x:v>418</x:v>
      </x:c>
      <x:c r="G1882" s="70" t="s">
        <x:v>2999</x:v>
      </x:c>
      <x:c r="H1882" s="70" t="s">
        <x:v>1215</x:v>
      </x:c>
      <x:c r="I1882" s="70" t="s">
        <x:v>1218</x:v>
      </x:c>
      <x:c r="J1882" s="70" t="n">
        <x:v>246</x:v>
      </x:c>
      <x:c r="K1882" s="70" t="s">
        <x:v>1200</x:v>
      </x:c>
      <x:c r="L1882" s="70"/>
      <x:c r="M1882" s="70" t="s">
        <x:v>40</x:v>
      </x:c>
      <x:c r="N1882" s="71" t="n">
        <x:v>31571350</x:v>
      </x:c>
      <x:c r="O1882" s="72" t="n">
        <x:f aca="0">N1882/1000</x:f>
        <x:v>31571.35</x:v>
      </x:c>
      <x:c r="P1882" s="73" t="n">
        <x:f aca="0">FCCL!H100</x:f>
        <x:v>31571.35</x:v>
      </x:c>
      <x:c r="Q1882" s="70" t="str">
        <x:f aca="0">IF(ABS(O1882-P1882)&lt;0.000001,"PASS","FAIL")</x:f>
        <x:v>PASS</x:v>
      </x:c>
      <x:c r="R1882" s="70" t="s">
        <x:v>28</x:v>
      </x:c>
      <x:c r="S1882" s="70"/>
    </x:row>
    <x:row r="1883" ht="15" hidden="0">
      <x:c r="A1883" s="70" t="s">
        <x:v>3308</x:v>
      </x:c>
      <x:c r="B1883" s="70" t="s">
        <x:v>46</x:v>
      </x:c>
      <x:c r="C1883" s="70" t="s">
        <x:v>73</x:v>
      </x:c>
      <x:c r="D1883" s="70" t="s">
        <x:v>448</x:v>
      </x:c>
      <x:c r="E1883" s="70" t="s">
        <x:v>1472</x:v>
      </x:c>
      <x:c r="F1883" s="70" t="s">
        <x:v>1546</x:v>
      </x:c>
      <x:c r="G1883" s="70" t="s">
        <x:v>2992</x:v>
      </x:c>
      <x:c r="H1883" s="70" t="s">
        <x:v>1204</x:v>
      </x:c>
      <x:c r="I1883" s="70" t="s">
        <x:v>1199</x:v>
      </x:c>
      <x:c r="J1883" s="70" t="n">
        <x:v>188</x:v>
      </x:c>
      <x:c r="K1883" s="70" t="s">
        <x:v>2128</x:v>
      </x:c>
      <x:c r="L1883" s="70"/>
      <x:c r="M1883" s="70" t="s">
        <x:v>40</x:v>
      </x:c>
      <x:c r="N1883" s="71" t="n">
        <x:v>5107692</x:v>
      </x:c>
      <x:c r="O1883" s="72" t="n">
        <x:f aca="0">N1883/1000</x:f>
        <x:v>5107.692</x:v>
      </x:c>
      <x:c r="P1883" s="73" t="n">
        <x:f aca="0">FCCL!D101</x:f>
        <x:v>5107.692</x:v>
      </x:c>
      <x:c r="Q1883" s="70" t="str">
        <x:f aca="0">IF(ABS(O1883-P1883)&lt;0.000001,"PASS","FAIL")</x:f>
        <x:v>PASS</x:v>
      </x:c>
      <x:c r="R1883" s="70" t="s">
        <x:v>28</x:v>
      </x:c>
      <x:c r="S1883" s="70"/>
    </x:row>
    <x:row r="1884" ht="15" hidden="0">
      <x:c r="A1884" s="70" t="s">
        <x:v>3309</x:v>
      </x:c>
      <x:c r="B1884" s="70" t="s">
        <x:v>46</x:v>
      </x:c>
      <x:c r="C1884" s="70" t="s">
        <x:v>74</x:v>
      </x:c>
      <x:c r="D1884" s="70" t="s">
        <x:v>448</x:v>
      </x:c>
      <x:c r="E1884" s="70" t="s">
        <x:v>1472</x:v>
      </x:c>
      <x:c r="F1884" s="70" t="s">
        <x:v>1546</x:v>
      </x:c>
      <x:c r="G1884" s="70" t="s">
        <x:v>2994</x:v>
      </x:c>
      <x:c r="H1884" s="70" t="s">
        <x:v>1208</x:v>
      </x:c>
      <x:c r="I1884" s="70" t="s">
        <x:v>1199</x:v>
      </x:c>
      <x:c r="J1884" s="70" t="n">
        <x:v>210</x:v>
      </x:c>
      <x:c r="K1884" s="70" t="s">
        <x:v>2460</x:v>
      </x:c>
      <x:c r="L1884" s="70"/>
      <x:c r="M1884" s="70" t="s">
        <x:v>40</x:v>
      </x:c>
      <x:c r="N1884" s="71" t="n">
        <x:v>11528093</x:v>
      </x:c>
      <x:c r="O1884" s="72" t="n">
        <x:f aca="0">N1884/1000</x:f>
        <x:v>11528.093</x:v>
      </x:c>
      <x:c r="P1884" s="73" t="n">
        <x:f aca="0">FCCL!E101</x:f>
        <x:v>11528.093</x:v>
      </x:c>
      <x:c r="Q1884" s="70" t="str">
        <x:f aca="0">IF(ABS(O1884-P1884)&lt;0.000001,"PASS","FAIL")</x:f>
        <x:v>PASS</x:v>
      </x:c>
      <x:c r="R1884" s="70" t="s">
        <x:v>28</x:v>
      </x:c>
      <x:c r="S1884" s="70"/>
    </x:row>
    <x:row r="1885" ht="15" hidden="0">
      <x:c r="A1885" s="70" t="s">
        <x:v>3310</x:v>
      </x:c>
      <x:c r="B1885" s="70" t="s">
        <x:v>46</x:v>
      </x:c>
      <x:c r="C1885" s="70" t="s">
        <x:v>75</x:v>
      </x:c>
      <x:c r="D1885" s="70" t="s">
        <x:v>448</x:v>
      </x:c>
      <x:c r="E1885" s="70" t="s">
        <x:v>1472</x:v>
      </x:c>
      <x:c r="F1885" s="70" t="s">
        <x:v>1549</x:v>
      </x:c>
      <x:c r="G1885" s="70" t="s">
        <x:v>2997</x:v>
      </x:c>
      <x:c r="H1885" s="70" t="s">
        <x:v>1211</x:v>
      </x:c>
      <x:c r="I1885" s="70" t="s">
        <x:v>1199</x:v>
      </x:c>
      <x:c r="J1885" s="70" t="n">
        <x:v>192</x:v>
      </x:c>
      <x:c r="K1885" s="70" t="s">
        <x:v>2813</x:v>
      </x:c>
      <x:c r="L1885" s="70"/>
      <x:c r="M1885" s="70" t="s">
        <x:v>40</x:v>
      </x:c>
      <x:c r="N1885" s="71" t="n">
        <x:v>12900109</x:v>
      </x:c>
      <x:c r="O1885" s="72" t="n">
        <x:f aca="0">N1885/1000</x:f>
        <x:v>12900.109</x:v>
      </x:c>
      <x:c r="P1885" s="73" t="n">
        <x:f aca="0">FCCL!F101</x:f>
        <x:v>12900.109</x:v>
      </x:c>
      <x:c r="Q1885" s="70" t="str">
        <x:f aca="0">IF(ABS(O1885-P1885)&lt;0.000001,"PASS","FAIL")</x:f>
        <x:v>PASS</x:v>
      </x:c>
      <x:c r="R1885" s="70" t="s">
        <x:v>28</x:v>
      </x:c>
      <x:c r="S1885" s="70"/>
    </x:row>
    <x:row r="1886" ht="15" hidden="0">
      <x:c r="A1886" s="70" t="s">
        <x:v>3311</x:v>
      </x:c>
      <x:c r="B1886" s="70" t="s">
        <x:v>46</x:v>
      </x:c>
      <x:c r="C1886" s="70" t="s">
        <x:v>76</x:v>
      </x:c>
      <x:c r="D1886" s="70" t="s">
        <x:v>448</x:v>
      </x:c>
      <x:c r="E1886" s="70" t="s">
        <x:v>1472</x:v>
      </x:c>
      <x:c r="F1886" s="70" t="s">
        <x:v>1549</x:v>
      </x:c>
      <x:c r="G1886" s="70" t="s">
        <x:v>2999</x:v>
      </x:c>
      <x:c r="H1886" s="70" t="s">
        <x:v>1215</x:v>
      </x:c>
      <x:c r="I1886" s="70" t="s">
        <x:v>1199</x:v>
      </x:c>
      <x:c r="J1886" s="70" t="n">
        <x:v>246</x:v>
      </x:c>
      <x:c r="K1886" s="70" t="s">
        <x:v>1200</x:v>
      </x:c>
      <x:c r="L1886" s="70"/>
      <x:c r="M1886" s="70" t="s">
        <x:v>40</x:v>
      </x:c>
      <x:c r="N1886" s="71" t="n">
        <x:v>15354954</x:v>
      </x:c>
      <x:c r="O1886" s="72" t="n">
        <x:f aca="0">N1886/1000</x:f>
        <x:v>15354.954</x:v>
      </x:c>
      <x:c r="P1886" s="73" t="n">
        <x:f aca="0">FCCL!G101</x:f>
        <x:v>15354.954</x:v>
      </x:c>
      <x:c r="Q1886" s="70" t="str">
        <x:f aca="0">IF(ABS(O1886-P1886)&lt;0.000001,"PASS","FAIL")</x:f>
        <x:v>PASS</x:v>
      </x:c>
      <x:c r="R1886" s="70" t="s">
        <x:v>28</x:v>
      </x:c>
      <x:c r="S1886" s="70"/>
    </x:row>
    <x:row r="1887" ht="15" hidden="0">
      <x:c r="A1887" s="70" t="s">
        <x:v>3312</x:v>
      </x:c>
      <x:c r="B1887" s="70" t="s">
        <x:v>46</x:v>
      </x:c>
      <x:c r="C1887" s="70" t="s">
        <x:v>77</x:v>
      </x:c>
      <x:c r="D1887" s="70" t="s">
        <x:v>448</x:v>
      </x:c>
      <x:c r="E1887" s="70" t="s">
        <x:v>1472</x:v>
      </x:c>
      <x:c r="F1887" s="70" t="s">
        <x:v>1549</x:v>
      </x:c>
      <x:c r="G1887" s="70" t="s">
        <x:v>2999</x:v>
      </x:c>
      <x:c r="H1887" s="70" t="s">
        <x:v>1215</x:v>
      </x:c>
      <x:c r="I1887" s="70" t="s">
        <x:v>1218</x:v>
      </x:c>
      <x:c r="J1887" s="70" t="n">
        <x:v>246</x:v>
      </x:c>
      <x:c r="K1887" s="70" t="s">
        <x:v>1200</x:v>
      </x:c>
      <x:c r="L1887" s="70"/>
      <x:c r="M1887" s="70" t="s">
        <x:v>40</x:v>
      </x:c>
      <x:c r="N1887" s="71" t="n">
        <x:v>21525520</x:v>
      </x:c>
      <x:c r="O1887" s="72" t="n">
        <x:f aca="0">N1887/1000</x:f>
        <x:v>21525.52</x:v>
      </x:c>
      <x:c r="P1887" s="73" t="n">
        <x:f aca="0">FCCL!H101</x:f>
        <x:v>21525.52</x:v>
      </x:c>
      <x:c r="Q1887" s="70" t="str">
        <x:f aca="0">IF(ABS(O1887-P1887)&lt;0.000001,"PASS","FAIL")</x:f>
        <x:v>PASS</x:v>
      </x:c>
      <x:c r="R1887" s="70" t="s">
        <x:v>28</x:v>
      </x:c>
      <x:c r="S1887" s="70"/>
    </x:row>
    <x:row r="1888" ht="15" hidden="0">
      <x:c r="A1888" s="70" t="s">
        <x:v>3313</x:v>
      </x:c>
      <x:c r="B1888" s="70" t="s">
        <x:v>46</x:v>
      </x:c>
      <x:c r="C1888" s="70" t="s">
        <x:v>73</x:v>
      </x:c>
      <x:c r="D1888" s="70" t="s">
        <x:v>450</x:v>
      </x:c>
      <x:c r="E1888" s="70" t="s">
        <x:v>1472</x:v>
      </x:c>
      <x:c r="F1888" s="70" t="s">
        <x:v>2443</x:v>
      </x:c>
      <x:c r="G1888" s="70" t="s">
        <x:v>2992</x:v>
      </x:c>
      <x:c r="H1888" s="70" t="s">
        <x:v>1204</x:v>
      </x:c>
      <x:c r="I1888" s="70" t="s">
        <x:v>1199</x:v>
      </x:c>
      <x:c r="J1888" s="70" t="n">
        <x:v>188</x:v>
      </x:c>
      <x:c r="K1888" s="70" t="s">
        <x:v>2128</x:v>
      </x:c>
      <x:c r="L1888" s="70"/>
      <x:c r="M1888" s="70" t="s">
        <x:v>40</x:v>
      </x:c>
      <x:c r="N1888" s="71" t="n">
        <x:v>3471351</x:v>
      </x:c>
      <x:c r="O1888" s="72" t="n">
        <x:f aca="0">N1888/1000</x:f>
        <x:v>3471.351</x:v>
      </x:c>
      <x:c r="P1888" s="73" t="n">
        <x:f aca="0">FCCL!D102</x:f>
        <x:v>3471.351</x:v>
      </x:c>
      <x:c r="Q1888" s="70" t="str">
        <x:f aca="0">IF(ABS(O1888-P1888)&lt;0.000001,"PASS","FAIL")</x:f>
        <x:v>PASS</x:v>
      </x:c>
      <x:c r="R1888" s="70" t="s">
        <x:v>28</x:v>
      </x:c>
      <x:c r="S1888" s="70"/>
    </x:row>
    <x:row r="1889" ht="15" hidden="0">
      <x:c r="A1889" s="70" t="s">
        <x:v>3314</x:v>
      </x:c>
      <x:c r="B1889" s="70" t="s">
        <x:v>46</x:v>
      </x:c>
      <x:c r="C1889" s="70" t="s">
        <x:v>74</x:v>
      </x:c>
      <x:c r="D1889" s="70" t="s">
        <x:v>450</x:v>
      </x:c>
      <x:c r="E1889" s="70" t="s">
        <x:v>1472</x:v>
      </x:c>
      <x:c r="F1889" s="70" t="s">
        <x:v>2443</x:v>
      </x:c>
      <x:c r="G1889" s="70" t="s">
        <x:v>2994</x:v>
      </x:c>
      <x:c r="H1889" s="70" t="s">
        <x:v>1208</x:v>
      </x:c>
      <x:c r="I1889" s="70" t="s">
        <x:v>1199</x:v>
      </x:c>
      <x:c r="J1889" s="70" t="n">
        <x:v>210</x:v>
      </x:c>
      <x:c r="K1889" s="70" t="s">
        <x:v>2460</x:v>
      </x:c>
      <x:c r="L1889" s="70"/>
      <x:c r="M1889" s="70" t="s">
        <x:v>40</x:v>
      </x:c>
      <x:c r="N1889" s="71" t="n">
        <x:v>7112540</x:v>
      </x:c>
      <x:c r="O1889" s="72" t="n">
        <x:f aca="0">N1889/1000</x:f>
        <x:v>7112.54</x:v>
      </x:c>
      <x:c r="P1889" s="73" t="n">
        <x:f aca="0">FCCL!E102</x:f>
        <x:v>7112.54</x:v>
      </x:c>
      <x:c r="Q1889" s="70" t="str">
        <x:f aca="0">IF(ABS(O1889-P1889)&lt;0.000001,"PASS","FAIL")</x:f>
        <x:v>PASS</x:v>
      </x:c>
      <x:c r="R1889" s="70" t="s">
        <x:v>28</x:v>
      </x:c>
      <x:c r="S1889" s="70"/>
    </x:row>
    <x:row r="1890" ht="15" hidden="0">
      <x:c r="A1890" s="70" t="s">
        <x:v>3315</x:v>
      </x:c>
      <x:c r="B1890" s="70" t="s">
        <x:v>46</x:v>
      </x:c>
      <x:c r="C1890" s="70" t="s">
        <x:v>75</x:v>
      </x:c>
      <x:c r="D1890" s="70" t="s">
        <x:v>450</x:v>
      </x:c>
      <x:c r="E1890" s="70" t="s">
        <x:v>1472</x:v>
      </x:c>
      <x:c r="F1890" s="70" t="s">
        <x:v>2443</x:v>
      </x:c>
      <x:c r="G1890" s="70" t="s">
        <x:v>2997</x:v>
      </x:c>
      <x:c r="H1890" s="70" t="s">
        <x:v>1211</x:v>
      </x:c>
      <x:c r="I1890" s="70" t="s">
        <x:v>1199</x:v>
      </x:c>
      <x:c r="J1890" s="70" t="n">
        <x:v>192</x:v>
      </x:c>
      <x:c r="K1890" s="70" t="s">
        <x:v>2813</x:v>
      </x:c>
      <x:c r="L1890" s="70"/>
      <x:c r="M1890" s="70" t="s">
        <x:v>40</x:v>
      </x:c>
      <x:c r="N1890" s="71" t="n">
        <x:v>7439681</x:v>
      </x:c>
      <x:c r="O1890" s="72" t="n">
        <x:f aca="0">N1890/1000</x:f>
        <x:v>7439.681</x:v>
      </x:c>
      <x:c r="P1890" s="73" t="n">
        <x:f aca="0">FCCL!F102</x:f>
        <x:v>7439.681</x:v>
      </x:c>
      <x:c r="Q1890" s="70" t="str">
        <x:f aca="0">IF(ABS(O1890-P1890)&lt;0.000001,"PASS","FAIL")</x:f>
        <x:v>PASS</x:v>
      </x:c>
      <x:c r="R1890" s="70" t="s">
        <x:v>28</x:v>
      </x:c>
      <x:c r="S1890" s="70"/>
    </x:row>
    <x:row r="1891" ht="15" hidden="0">
      <x:c r="A1891" s="70" t="s">
        <x:v>3316</x:v>
      </x:c>
      <x:c r="B1891" s="70" t="s">
        <x:v>46</x:v>
      </x:c>
      <x:c r="C1891" s="70" t="s">
        <x:v>76</x:v>
      </x:c>
      <x:c r="D1891" s="70" t="s">
        <x:v>450</x:v>
      </x:c>
      <x:c r="E1891" s="70" t="s">
        <x:v>1472</x:v>
      </x:c>
      <x:c r="F1891" s="70" t="s">
        <x:v>2443</x:v>
      </x:c>
      <x:c r="G1891" s="70" t="s">
        <x:v>2999</x:v>
      </x:c>
      <x:c r="H1891" s="70" t="s">
        <x:v>1215</x:v>
      </x:c>
      <x:c r="I1891" s="70" t="s">
        <x:v>1199</x:v>
      </x:c>
      <x:c r="J1891" s="70" t="n">
        <x:v>246</x:v>
      </x:c>
      <x:c r="K1891" s="70" t="s">
        <x:v>1200</x:v>
      </x:c>
      <x:c r="L1891" s="70"/>
      <x:c r="M1891" s="70" t="s">
        <x:v>40</x:v>
      </x:c>
      <x:c r="N1891" s="71" t="n">
        <x:v>8223116</x:v>
      </x:c>
      <x:c r="O1891" s="72" t="n">
        <x:f aca="0">N1891/1000</x:f>
        <x:v>8223.116</x:v>
      </x:c>
      <x:c r="P1891" s="73" t="n">
        <x:f aca="0">FCCL!G102</x:f>
        <x:v>8223.116</x:v>
      </x:c>
      <x:c r="Q1891" s="70" t="str">
        <x:f aca="0">IF(ABS(O1891-P1891)&lt;0.000001,"PASS","FAIL")</x:f>
        <x:v>PASS</x:v>
      </x:c>
      <x:c r="R1891" s="70" t="s">
        <x:v>28</x:v>
      </x:c>
      <x:c r="S1891" s="70"/>
    </x:row>
    <x:row r="1892" ht="15" hidden="0">
      <x:c r="A1892" s="70" t="s">
        <x:v>3317</x:v>
      </x:c>
      <x:c r="B1892" s="70" t="s">
        <x:v>46</x:v>
      </x:c>
      <x:c r="C1892" s="70" t="s">
        <x:v>77</x:v>
      </x:c>
      <x:c r="D1892" s="70" t="s">
        <x:v>450</x:v>
      </x:c>
      <x:c r="E1892" s="70" t="s">
        <x:v>1472</x:v>
      </x:c>
      <x:c r="F1892" s="70" t="s">
        <x:v>2443</x:v>
      </x:c>
      <x:c r="G1892" s="70" t="s">
        <x:v>2999</x:v>
      </x:c>
      <x:c r="H1892" s="70" t="s">
        <x:v>1215</x:v>
      </x:c>
      <x:c r="I1892" s="70" t="s">
        <x:v>1218</x:v>
      </x:c>
      <x:c r="J1892" s="70" t="n">
        <x:v>246</x:v>
      </x:c>
      <x:c r="K1892" s="70" t="s">
        <x:v>1200</x:v>
      </x:c>
      <x:c r="L1892" s="70"/>
      <x:c r="M1892" s="70" t="s">
        <x:v>40</x:v>
      </x:c>
      <x:c r="N1892" s="71" t="n">
        <x:v>13326202</x:v>
      </x:c>
      <x:c r="O1892" s="72" t="n">
        <x:f aca="0">N1892/1000</x:f>
        <x:v>13326.202</x:v>
      </x:c>
      <x:c r="P1892" s="73" t="n">
        <x:f aca="0">FCCL!H102</x:f>
        <x:v>13326.202</x:v>
      </x:c>
      <x:c r="Q1892" s="70" t="str">
        <x:f aca="0">IF(ABS(O1892-P1892)&lt;0.000001,"PASS","FAIL")</x:f>
        <x:v>PASS</x:v>
      </x:c>
      <x:c r="R1892" s="70" t="s">
        <x:v>28</x:v>
      </x:c>
      <x:c r="S1892" s="70"/>
    </x:row>
    <x:row r="1893" ht="15" hidden="0">
      <x:c r="A1893" s="70" t="s">
        <x:v>3318</x:v>
      </x:c>
      <x:c r="B1893" s="70" t="s">
        <x:v>46</x:v>
      </x:c>
      <x:c r="C1893" s="70" t="s">
        <x:v>73</x:v>
      </x:c>
      <x:c r="D1893" s="70" t="s">
        <x:v>454</x:v>
      </x:c>
      <x:c r="E1893" s="70" t="s">
        <x:v>1221</x:v>
      </x:c>
      <x:c r="F1893" s="70" t="s">
        <x:v>3319</x:v>
      </x:c>
      <x:c r="G1893" s="70" t="s">
        <x:v>2992</x:v>
      </x:c>
      <x:c r="H1893" s="70" t="s">
        <x:v>1204</x:v>
      </x:c>
      <x:c r="I1893" s="70" t="s">
        <x:v>1199</x:v>
      </x:c>
      <x:c r="J1893" s="70" t="n">
        <x:v>229</x:v>
      </x:c>
      <x:c r="K1893" s="70" t="s">
        <x:v>2024</x:v>
      </x:c>
      <x:c r="L1893" s="70"/>
      <x:c r="M1893" s="70" t="s">
        <x:v>40</x:v>
      </x:c>
      <x:c r="N1893" s="71" t="n">
        <x:v>17511</x:v>
      </x:c>
      <x:c r="O1893" s="72" t="n">
        <x:f aca="0">N1893/1000</x:f>
        <x:v>17.511</x:v>
      </x:c>
      <x:c r="P1893" s="73" t="n">
        <x:f aca="0">FCCL!D105</x:f>
        <x:v>17.511</x:v>
      </x:c>
      <x:c r="Q1893" s="70" t="str">
        <x:f aca="0">IF(ABS(O1893-P1893)&lt;0.000001,"PASS","FAIL")</x:f>
        <x:v>PASS</x:v>
      </x:c>
      <x:c r="R1893" s="70" t="s">
        <x:v>28</x:v>
      </x:c>
      <x:c r="S1893" s="70"/>
    </x:row>
    <x:row r="1894" ht="15" hidden="0">
      <x:c r="A1894" s="70" t="s">
        <x:v>3320</x:v>
      </x:c>
      <x:c r="B1894" s="70" t="s">
        <x:v>46</x:v>
      </x:c>
      <x:c r="C1894" s="70" t="s">
        <x:v>74</x:v>
      </x:c>
      <x:c r="D1894" s="70" t="s">
        <x:v>454</x:v>
      </x:c>
      <x:c r="E1894" s="70" t="s">
        <x:v>1221</x:v>
      </x:c>
      <x:c r="F1894" s="70" t="s">
        <x:v>3319</x:v>
      </x:c>
      <x:c r="G1894" s="70" t="s">
        <x:v>2994</x:v>
      </x:c>
      <x:c r="H1894" s="70" t="s">
        <x:v>1208</x:v>
      </x:c>
      <x:c r="I1894" s="70" t="s">
        <x:v>1199</x:v>
      </x:c>
      <x:c r="J1894" s="70" t="n">
        <x:v>250</x:v>
      </x:c>
      <x:c r="K1894" s="70" t="s">
        <x:v>1684</x:v>
      </x:c>
      <x:c r="L1894" s="70"/>
      <x:c r="M1894" s="70" t="s">
        <x:v>40</x:v>
      </x:c>
      <x:c r="N1894" s="71" t="n">
        <x:v>206388</x:v>
      </x:c>
      <x:c r="O1894" s="72" t="n">
        <x:f aca="0">N1894/1000</x:f>
        <x:v>206.388</x:v>
      </x:c>
      <x:c r="P1894" s="73" t="n">
        <x:f aca="0">FCCL!E105</x:f>
        <x:v>206.388</x:v>
      </x:c>
      <x:c r="Q1894" s="70" t="str">
        <x:f aca="0">IF(ABS(O1894-P1894)&lt;0.000001,"PASS","FAIL")</x:f>
        <x:v>PASS</x:v>
      </x:c>
      <x:c r="R1894" s="70" t="s">
        <x:v>28</x:v>
      </x:c>
      <x:c r="S1894" s="70"/>
    </x:row>
    <x:row r="1895" ht="15" hidden="0">
      <x:c r="A1895" s="70" t="s">
        <x:v>3321</x:v>
      </x:c>
      <x:c r="B1895" s="70" t="s">
        <x:v>46</x:v>
      </x:c>
      <x:c r="C1895" s="70" t="s">
        <x:v>75</x:v>
      </x:c>
      <x:c r="D1895" s="70" t="s">
        <x:v>454</x:v>
      </x:c>
      <x:c r="E1895" s="70" t="s">
        <x:v>1221</x:v>
      </x:c>
      <x:c r="F1895" s="70" t="s">
        <x:v>3322</x:v>
      </x:c>
      <x:c r="G1895" s="70" t="s">
        <x:v>2997</x:v>
      </x:c>
      <x:c r="H1895" s="70" t="s">
        <x:v>1211</x:v>
      </x:c>
      <x:c r="I1895" s="70" t="s">
        <x:v>1199</x:v>
      </x:c>
      <x:c r="J1895" s="70" t="n">
        <x:v>228</x:v>
      </x:c>
      <x:c r="K1895" s="70" t="s">
        <x:v>3323</x:v>
      </x:c>
      <x:c r="L1895" s="70"/>
      <x:c r="M1895" s="70" t="s">
        <x:v>40</x:v>
      </x:c>
      <x:c r="N1895" s="71" t="n">
        <x:v>1020455</x:v>
      </x:c>
      <x:c r="O1895" s="72" t="n">
        <x:f aca="0">N1895/1000</x:f>
        <x:v>1020.455</x:v>
      </x:c>
      <x:c r="P1895" s="73" t="n">
        <x:f aca="0">FCCL!F105</x:f>
        <x:v>1020.455</x:v>
      </x:c>
      <x:c r="Q1895" s="70" t="str">
        <x:f aca="0">IF(ABS(O1895-P1895)&lt;0.000001,"PASS","FAIL")</x:f>
        <x:v>PASS</x:v>
      </x:c>
      <x:c r="R1895" s="70" t="s">
        <x:v>28</x:v>
      </x:c>
      <x:c r="S1895" s="70"/>
    </x:row>
    <x:row r="1896" ht="15" hidden="0">
      <x:c r="A1896" s="70" t="s">
        <x:v>3324</x:v>
      </x:c>
      <x:c r="B1896" s="70" t="s">
        <x:v>46</x:v>
      </x:c>
      <x:c r="C1896" s="70" t="s">
        <x:v>76</x:v>
      </x:c>
      <x:c r="D1896" s="70" t="s">
        <x:v>454</x:v>
      </x:c>
      <x:c r="E1896" s="70" t="s">
        <x:v>1221</x:v>
      </x:c>
      <x:c r="F1896" s="70" t="s">
        <x:v>3325</x:v>
      </x:c>
      <x:c r="G1896" s="70" t="s">
        <x:v>2999</x:v>
      </x:c>
      <x:c r="H1896" s="70" t="s">
        <x:v>1215</x:v>
      </x:c>
      <x:c r="I1896" s="70" t="s">
        <x:v>1199</x:v>
      </x:c>
      <x:c r="J1896" s="70" t="n">
        <x:v>283</x:v>
      </x:c>
      <x:c r="K1896" s="70" t="s">
        <x:v>1200</x:v>
      </x:c>
      <x:c r="L1896" s="70"/>
      <x:c r="M1896" s="70" t="s">
        <x:v>40</x:v>
      </x:c>
      <x:c r="N1896" s="71" t="n">
        <x:v>12561</x:v>
      </x:c>
      <x:c r="O1896" s="72" t="n">
        <x:f aca="0">N1896/1000</x:f>
        <x:v>12.561</x:v>
      </x:c>
      <x:c r="P1896" s="73" t="n">
        <x:f aca="0">FCCL!G105</x:f>
        <x:v>12.561</x:v>
      </x:c>
      <x:c r="Q1896" s="70" t="str">
        <x:f aca="0">IF(ABS(O1896-P1896)&lt;0.000001,"PASS","FAIL")</x:f>
        <x:v>PASS</x:v>
      </x:c>
      <x:c r="R1896" s="70" t="s">
        <x:v>28</x:v>
      </x:c>
      <x:c r="S1896" s="70"/>
    </x:row>
    <x:row r="1897" ht="15" hidden="0">
      <x:c r="A1897" s="70" t="s">
        <x:v>3326</x:v>
      </x:c>
      <x:c r="B1897" s="70" t="s">
        <x:v>46</x:v>
      </x:c>
      <x:c r="C1897" s="70" t="s">
        <x:v>77</x:v>
      </x:c>
      <x:c r="D1897" s="70" t="s">
        <x:v>454</x:v>
      </x:c>
      <x:c r="E1897" s="70" t="s">
        <x:v>1221</x:v>
      </x:c>
      <x:c r="F1897" s="70" t="s">
        <x:v>3325</x:v>
      </x:c>
      <x:c r="G1897" s="70" t="s">
        <x:v>2999</x:v>
      </x:c>
      <x:c r="H1897" s="70" t="s">
        <x:v>1215</x:v>
      </x:c>
      <x:c r="I1897" s="70" t="s">
        <x:v>1218</x:v>
      </x:c>
      <x:c r="J1897" s="70" t="n">
        <x:v>283</x:v>
      </x:c>
      <x:c r="K1897" s="70" t="s">
        <x:v>1200</x:v>
      </x:c>
      <x:c r="L1897" s="70"/>
      <x:c r="M1897" s="70" t="s">
        <x:v>40</x:v>
      </x:c>
      <x:c r="N1897" s="71" t="n">
        <x:v>97854</x:v>
      </x:c>
      <x:c r="O1897" s="72" t="n">
        <x:f aca="0">N1897/1000</x:f>
        <x:v>97.854</x:v>
      </x:c>
      <x:c r="P1897" s="73" t="n">
        <x:f aca="0">FCCL!H105</x:f>
        <x:v>97.854</x:v>
      </x:c>
      <x:c r="Q1897" s="70" t="str">
        <x:f aca="0">IF(ABS(O1897-P1897)&lt;0.000001,"PASS","FAIL")</x:f>
        <x:v>PASS</x:v>
      </x:c>
      <x:c r="R1897" s="70" t="s">
        <x:v>28</x:v>
      </x:c>
      <x:c r="S1897" s="70"/>
    </x:row>
    <x:row r="1898" ht="15" hidden="0">
      <x:c r="A1898" s="70" t="s">
        <x:v>3327</x:v>
      </x:c>
      <x:c r="B1898" s="70" t="s">
        <x:v>46</x:v>
      </x:c>
      <x:c r="C1898" s="70" t="s">
        <x:v>73</x:v>
      </x:c>
      <x:c r="D1898" s="70" t="s">
        <x:v>458</x:v>
      </x:c>
      <x:c r="E1898" s="70" t="s">
        <x:v>172</x:v>
      </x:c>
      <x:c r="F1898" s="70" t="s">
        <x:v>3328</x:v>
      </x:c>
      <x:c r="G1898" s="70" t="s">
        <x:v>2992</x:v>
      </x:c>
      <x:c r="H1898" s="70" t="s">
        <x:v>1204</x:v>
      </x:c>
      <x:c r="I1898" s="70" t="s">
        <x:v>1199</x:v>
      </x:c>
      <x:c r="J1898" s="70" t="n">
        <x:v>190</x:v>
      </x:c>
      <x:c r="K1898" s="70" t="s">
        <x:v>2130</x:v>
      </x:c>
      <x:c r="L1898" s="70"/>
      <x:c r="M1898" s="70" t="s">
        <x:v>40</x:v>
      </x:c>
      <x:c r="N1898" s="71" t="n">
        <x:v>1599551</x:v>
      </x:c>
      <x:c r="O1898" s="72" t="n">
        <x:f aca="0">N1898/1000</x:f>
        <x:v>1599.551</x:v>
      </x:c>
      <x:c r="P1898" s="73" t="n">
        <x:f aca="0">FCCL!D107</x:f>
        <x:v>1599.551</x:v>
      </x:c>
      <x:c r="Q1898" s="70" t="str">
        <x:f aca="0">IF(ABS(O1898-P1898)&lt;0.000001,"PASS","FAIL")</x:f>
        <x:v>PASS</x:v>
      </x:c>
      <x:c r="R1898" s="70" t="s">
        <x:v>28</x:v>
      </x:c>
      <x:c r="S1898" s="70"/>
    </x:row>
    <x:row r="1899" ht="15" hidden="0">
      <x:c r="A1899" s="70" t="s">
        <x:v>3329</x:v>
      </x:c>
      <x:c r="B1899" s="70" t="s">
        <x:v>46</x:v>
      </x:c>
      <x:c r="C1899" s="70" t="s">
        <x:v>74</x:v>
      </x:c>
      <x:c r="D1899" s="70" t="s">
        <x:v>458</x:v>
      </x:c>
      <x:c r="E1899" s="70" t="s">
        <x:v>172</x:v>
      </x:c>
      <x:c r="F1899" s="70" t="s">
        <x:v>3330</x:v>
      </x:c>
      <x:c r="G1899" s="70" t="s">
        <x:v>2994</x:v>
      </x:c>
      <x:c r="H1899" s="70" t="s">
        <x:v>1208</x:v>
      </x:c>
      <x:c r="I1899" s="70" t="s">
        <x:v>1199</x:v>
      </x:c>
      <x:c r="J1899" s="70" t="n">
        <x:v>212</x:v>
      </x:c>
      <x:c r="K1899" s="70" t="s">
        <x:v>3331</x:v>
      </x:c>
      <x:c r="L1899" s="70"/>
      <x:c r="M1899" s="70" t="s">
        <x:v>40</x:v>
      </x:c>
      <x:c r="N1899" s="71" t="n">
        <x:v>2950143</x:v>
      </x:c>
      <x:c r="O1899" s="72" t="n">
        <x:f aca="0">N1899/1000</x:f>
        <x:v>2950.143</x:v>
      </x:c>
      <x:c r="P1899" s="73" t="n">
        <x:f aca="0">FCCL!E107</x:f>
        <x:v>2950.143</x:v>
      </x:c>
      <x:c r="Q1899" s="70" t="str">
        <x:f aca="0">IF(ABS(O1899-P1899)&lt;0.000001,"PASS","FAIL")</x:f>
        <x:v>PASS</x:v>
      </x:c>
      <x:c r="R1899" s="70" t="s">
        <x:v>28</x:v>
      </x:c>
      <x:c r="S1899" s="70"/>
    </x:row>
    <x:row r="1900" ht="15" hidden="0">
      <x:c r="A1900" s="70" t="s">
        <x:v>3332</x:v>
      </x:c>
      <x:c r="B1900" s="70" t="s">
        <x:v>46</x:v>
      </x:c>
      <x:c r="C1900" s="70" t="s">
        <x:v>75</x:v>
      </x:c>
      <x:c r="D1900" s="70" t="s">
        <x:v>458</x:v>
      </x:c>
      <x:c r="E1900" s="70" t="s">
        <x:v>172</x:v>
      </x:c>
      <x:c r="F1900" s="70" t="s">
        <x:v>3328</x:v>
      </x:c>
      <x:c r="G1900" s="70" t="s">
        <x:v>2997</x:v>
      </x:c>
      <x:c r="H1900" s="70" t="s">
        <x:v>1211</x:v>
      </x:c>
      <x:c r="I1900" s="70" t="s">
        <x:v>1199</x:v>
      </x:c>
      <x:c r="J1900" s="70" t="n">
        <x:v>194</x:v>
      </x:c>
      <x:c r="K1900" s="70" t="s">
        <x:v>2913</x:v>
      </x:c>
      <x:c r="L1900" s="70"/>
      <x:c r="M1900" s="70" t="s">
        <x:v>40</x:v>
      </x:c>
      <x:c r="N1900" s="71" t="n">
        <x:v>3649886</x:v>
      </x:c>
      <x:c r="O1900" s="72" t="n">
        <x:f aca="0">N1900/1000</x:f>
        <x:v>3649.886</x:v>
      </x:c>
      <x:c r="P1900" s="73" t="n">
        <x:f aca="0">FCCL!F107</x:f>
        <x:v>3649.886</x:v>
      </x:c>
      <x:c r="Q1900" s="70" t="str">
        <x:f aca="0">IF(ABS(O1900-P1900)&lt;0.000001,"PASS","FAIL")</x:f>
        <x:v>PASS</x:v>
      </x:c>
      <x:c r="R1900" s="70" t="s">
        <x:v>28</x:v>
      </x:c>
      <x:c r="S1900" s="70"/>
    </x:row>
    <x:row r="1901" ht="15" hidden="0">
      <x:c r="A1901" s="70" t="s">
        <x:v>3333</x:v>
      </x:c>
      <x:c r="B1901" s="70" t="s">
        <x:v>46</x:v>
      </x:c>
      <x:c r="C1901" s="70" t="s">
        <x:v>76</x:v>
      </x:c>
      <x:c r="D1901" s="70" t="s">
        <x:v>458</x:v>
      </x:c>
      <x:c r="E1901" s="70" t="s">
        <x:v>172</x:v>
      </x:c>
      <x:c r="F1901" s="70" t="s">
        <x:v>3328</x:v>
      </x:c>
      <x:c r="G1901" s="70" t="s">
        <x:v>2999</x:v>
      </x:c>
      <x:c r="H1901" s="70" t="s">
        <x:v>1215</x:v>
      </x:c>
      <x:c r="I1901" s="70" t="s">
        <x:v>1199</x:v>
      </x:c>
      <x:c r="J1901" s="70" t="n">
        <x:v>248</x:v>
      </x:c>
      <x:c r="K1901" s="70" t="s">
        <x:v>1200</x:v>
      </x:c>
      <x:c r="L1901" s="70"/>
      <x:c r="M1901" s="70" t="s">
        <x:v>40</x:v>
      </x:c>
      <x:c r="N1901" s="71" t="n">
        <x:v>4058051</x:v>
      </x:c>
      <x:c r="O1901" s="72" t="n">
        <x:f aca="0">N1901/1000</x:f>
        <x:v>4058.051</x:v>
      </x:c>
      <x:c r="P1901" s="73" t="n">
        <x:f aca="0">FCCL!G107</x:f>
        <x:v>4058.051</x:v>
      </x:c>
      <x:c r="Q1901" s="70" t="str">
        <x:f aca="0">IF(ABS(O1901-P1901)&lt;0.000001,"PASS","FAIL")</x:f>
        <x:v>PASS</x:v>
      </x:c>
      <x:c r="R1901" s="70" t="s">
        <x:v>28</x:v>
      </x:c>
      <x:c r="S1901" s="70"/>
    </x:row>
    <x:row r="1902" ht="15" hidden="0">
      <x:c r="A1902" s="70" t="s">
        <x:v>3334</x:v>
      </x:c>
      <x:c r="B1902" s="70" t="s">
        <x:v>46</x:v>
      </x:c>
      <x:c r="C1902" s="70" t="s">
        <x:v>77</x:v>
      </x:c>
      <x:c r="D1902" s="70" t="s">
        <x:v>458</x:v>
      </x:c>
      <x:c r="E1902" s="70" t="s">
        <x:v>172</x:v>
      </x:c>
      <x:c r="F1902" s="70" t="s">
        <x:v>3328</x:v>
      </x:c>
      <x:c r="G1902" s="70" t="s">
        <x:v>2999</x:v>
      </x:c>
      <x:c r="H1902" s="70" t="s">
        <x:v>1215</x:v>
      </x:c>
      <x:c r="I1902" s="70" t="s">
        <x:v>1218</x:v>
      </x:c>
      <x:c r="J1902" s="70" t="n">
        <x:v>248</x:v>
      </x:c>
      <x:c r="K1902" s="70" t="s">
        <x:v>1200</x:v>
      </x:c>
      <x:c r="L1902" s="70"/>
      <x:c r="M1902" s="70" t="s">
        <x:v>40</x:v>
      </x:c>
      <x:c r="N1902" s="71" t="n">
        <x:v>4969739</x:v>
      </x:c>
      <x:c r="O1902" s="72" t="n">
        <x:f aca="0">N1902/1000</x:f>
        <x:v>4969.739</x:v>
      </x:c>
      <x:c r="P1902" s="73" t="n">
        <x:f aca="0">FCCL!H107</x:f>
        <x:v>4969.739</x:v>
      </x:c>
      <x:c r="Q1902" s="70" t="str">
        <x:f aca="0">IF(ABS(O1902-P1902)&lt;0.000001,"PASS","FAIL")</x:f>
        <x:v>PASS</x:v>
      </x:c>
      <x:c r="R1902" s="70" t="s">
        <x:v>28</x:v>
      </x:c>
      <x:c r="S1902" s="70"/>
    </x:row>
    <x:row r="1903" ht="15" hidden="0">
      <x:c r="A1903" s="70" t="s">
        <x:v>3335</x:v>
      </x:c>
      <x:c r="B1903" s="70" t="s">
        <x:v>46</x:v>
      </x:c>
      <x:c r="C1903" s="70" t="s">
        <x:v>73</x:v>
      </x:c>
      <x:c r="D1903" s="70" t="s">
        <x:v>473</x:v>
      </x:c>
      <x:c r="E1903" s="70" t="s">
        <x:v>172</x:v>
      </x:c>
      <x:c r="F1903" s="70"/>
      <x:c r="G1903" s="70" t="s">
        <x:v>2992</x:v>
      </x:c>
      <x:c r="H1903" s="70" t="s">
        <x:v>1204</x:v>
      </x:c>
      <x:c r="I1903" s="70" t="s">
        <x:v>1199</x:v>
      </x:c>
      <x:c r="J1903" s="70" t="n">
        <x:v>190</x:v>
      </x:c>
      <x:c r="K1903" s="70" t="s">
        <x:v>2130</x:v>
      </x:c>
      <x:c r="L1903" s="70"/>
      <x:c r="M1903" s="70" t="s">
        <x:v>40</x:v>
      </x:c>
      <x:c r="N1903" s="71" t="n">
        <x:v>0</x:v>
      </x:c>
      <x:c r="O1903" s="72" t="n">
        <x:f aca="0">N1903/1000</x:f>
        <x:v>0</x:v>
      </x:c>
      <x:c r="P1903" s="73" t="n">
        <x:f aca="0">FCCL!D116</x:f>
        <x:v>0</x:v>
      </x:c>
      <x:c r="Q1903" s="70" t="str">
        <x:f aca="0">IF(ABS(O1903-P1903)&lt;0.000001,"PASS","FAIL")</x:f>
        <x:v>PASS</x:v>
      </x:c>
      <x:c r="R1903" s="70" t="s">
        <x:v>28</x:v>
      </x:c>
      <x:c r="S1903" s="70"/>
    </x:row>
    <x:row r="1904" ht="15" hidden="0">
      <x:c r="A1904" s="70" t="s">
        <x:v>3336</x:v>
      </x:c>
      <x:c r="B1904" s="70" t="s">
        <x:v>46</x:v>
      </x:c>
      <x:c r="C1904" s="70" t="s">
        <x:v>74</x:v>
      </x:c>
      <x:c r="D1904" s="70" t="s">
        <x:v>473</x:v>
      </x:c>
      <x:c r="E1904" s="70" t="s">
        <x:v>172</x:v>
      </x:c>
      <x:c r="F1904" s="70"/>
      <x:c r="G1904" s="70" t="s">
        <x:v>2994</x:v>
      </x:c>
      <x:c r="H1904" s="70" t="s">
        <x:v>1208</x:v>
      </x:c>
      <x:c r="I1904" s="70" t="s">
        <x:v>1199</x:v>
      </x:c>
      <x:c r="J1904" s="70" t="n">
        <x:v>212</x:v>
      </x:c>
      <x:c r="K1904" s="70" t="s">
        <x:v>3331</x:v>
      </x:c>
      <x:c r="L1904" s="70"/>
      <x:c r="M1904" s="70" t="s">
        <x:v>40</x:v>
      </x:c>
      <x:c r="N1904" s="71" t="n">
        <x:v>0</x:v>
      </x:c>
      <x:c r="O1904" s="72" t="n">
        <x:f aca="0">N1904/1000</x:f>
        <x:v>0</x:v>
      </x:c>
      <x:c r="P1904" s="73" t="n">
        <x:f aca="0">FCCL!E116</x:f>
        <x:v>0</x:v>
      </x:c>
      <x:c r="Q1904" s="70" t="str">
        <x:f aca="0">IF(ABS(O1904-P1904)&lt;0.000001,"PASS","FAIL")</x:f>
        <x:v>PASS</x:v>
      </x:c>
      <x:c r="R1904" s="70" t="s">
        <x:v>28</x:v>
      </x:c>
      <x:c r="S1904" s="70"/>
    </x:row>
    <x:row r="1905" ht="15" hidden="0">
      <x:c r="A1905" s="70" t="s">
        <x:v>3337</x:v>
      </x:c>
      <x:c r="B1905" s="70" t="s">
        <x:v>46</x:v>
      </x:c>
      <x:c r="C1905" s="70" t="s">
        <x:v>75</x:v>
      </x:c>
      <x:c r="D1905" s="70" t="s">
        <x:v>473</x:v>
      </x:c>
      <x:c r="E1905" s="70" t="s">
        <x:v>172</x:v>
      </x:c>
      <x:c r="F1905" s="70"/>
      <x:c r="G1905" s="70" t="s">
        <x:v>2997</x:v>
      </x:c>
      <x:c r="H1905" s="70" t="s">
        <x:v>1211</x:v>
      </x:c>
      <x:c r="I1905" s="70" t="s">
        <x:v>1199</x:v>
      </x:c>
      <x:c r="J1905" s="70" t="n">
        <x:v>194</x:v>
      </x:c>
      <x:c r="K1905" s="70" t="s">
        <x:v>2913</x:v>
      </x:c>
      <x:c r="L1905" s="70"/>
      <x:c r="M1905" s="70" t="s">
        <x:v>40</x:v>
      </x:c>
      <x:c r="N1905" s="71" t="n">
        <x:v>0</x:v>
      </x:c>
      <x:c r="O1905" s="72" t="n">
        <x:f aca="0">N1905/1000</x:f>
        <x:v>0</x:v>
      </x:c>
      <x:c r="P1905" s="73" t="n">
        <x:f aca="0">FCCL!F116</x:f>
        <x:v>0</x:v>
      </x:c>
      <x:c r="Q1905" s="70" t="str">
        <x:f aca="0">IF(ABS(O1905-P1905)&lt;0.000001,"PASS","FAIL")</x:f>
        <x:v>PASS</x:v>
      </x:c>
      <x:c r="R1905" s="70" t="s">
        <x:v>28</x:v>
      </x:c>
      <x:c r="S1905" s="70"/>
    </x:row>
    <x:row r="1906" ht="15" hidden="0">
      <x:c r="A1906" s="70" t="s">
        <x:v>3338</x:v>
      </x:c>
      <x:c r="B1906" s="70" t="s">
        <x:v>46</x:v>
      </x:c>
      <x:c r="C1906" s="70" t="s">
        <x:v>76</x:v>
      </x:c>
      <x:c r="D1906" s="70" t="s">
        <x:v>473</x:v>
      </x:c>
      <x:c r="E1906" s="70" t="s">
        <x:v>172</x:v>
      </x:c>
      <x:c r="F1906" s="70"/>
      <x:c r="G1906" s="70" t="s">
        <x:v>2999</x:v>
      </x:c>
      <x:c r="H1906" s="70" t="s">
        <x:v>1215</x:v>
      </x:c>
      <x:c r="I1906" s="70" t="s">
        <x:v>1199</x:v>
      </x:c>
      <x:c r="J1906" s="70" t="n">
        <x:v>248</x:v>
      </x:c>
      <x:c r="K1906" s="70" t="s">
        <x:v>1200</x:v>
      </x:c>
      <x:c r="L1906" s="70"/>
      <x:c r="M1906" s="70" t="s">
        <x:v>40</x:v>
      </x:c>
      <x:c r="N1906" s="71" t="n">
        <x:v>0</x:v>
      </x:c>
      <x:c r="O1906" s="72" t="n">
        <x:f aca="0">N1906/1000</x:f>
        <x:v>0</x:v>
      </x:c>
      <x:c r="P1906" s="73" t="n">
        <x:f aca="0">FCCL!G116</x:f>
        <x:v>0</x:v>
      </x:c>
      <x:c r="Q1906" s="70" t="str">
        <x:f aca="0">IF(ABS(O1906-P1906)&lt;0.000001,"PASS","FAIL")</x:f>
        <x:v>PASS</x:v>
      </x:c>
      <x:c r="R1906" s="70" t="s">
        <x:v>28</x:v>
      </x:c>
      <x:c r="S1906" s="70"/>
    </x:row>
    <x:row r="1907" ht="15" hidden="0">
      <x:c r="A1907" s="70" t="s">
        <x:v>3339</x:v>
      </x:c>
      <x:c r="B1907" s="70" t="s">
        <x:v>46</x:v>
      </x:c>
      <x:c r="C1907" s="70" t="s">
        <x:v>77</x:v>
      </x:c>
      <x:c r="D1907" s="70" t="s">
        <x:v>473</x:v>
      </x:c>
      <x:c r="E1907" s="70" t="s">
        <x:v>172</x:v>
      </x:c>
      <x:c r="F1907" s="70"/>
      <x:c r="G1907" s="70" t="s">
        <x:v>2999</x:v>
      </x:c>
      <x:c r="H1907" s="70" t="s">
        <x:v>1215</x:v>
      </x:c>
      <x:c r="I1907" s="70" t="s">
        <x:v>1218</x:v>
      </x:c>
      <x:c r="J1907" s="70" t="n">
        <x:v>248</x:v>
      </x:c>
      <x:c r="K1907" s="70" t="s">
        <x:v>1200</x:v>
      </x:c>
      <x:c r="L1907" s="70"/>
      <x:c r="M1907" s="70" t="s">
        <x:v>40</x:v>
      </x:c>
      <x:c r="N1907" s="71" t="n">
        <x:v>0</x:v>
      </x:c>
      <x:c r="O1907" s="72" t="n">
        <x:f aca="0">N1907/1000</x:f>
        <x:v>0</x:v>
      </x:c>
      <x:c r="P1907" s="73" t="n">
        <x:f aca="0">FCCL!H116</x:f>
        <x:v>0</x:v>
      </x:c>
      <x:c r="Q1907" s="70" t="str">
        <x:f aca="0">IF(ABS(O1907-P1907)&lt;0.000001,"PASS","FAIL")</x:f>
        <x:v>PASS</x:v>
      </x:c>
      <x:c r="R1907" s="70" t="s">
        <x:v>28</x:v>
      </x:c>
      <x:c r="S1907" s="70"/>
    </x:row>
    <x:row r="1908" ht="15" hidden="0">
      <x:c r="A1908" s="70" t="s">
        <x:v>3340</x:v>
      </x:c>
      <x:c r="B1908" s="70" t="s">
        <x:v>46</x:v>
      </x:c>
      <x:c r="C1908" s="70" t="s">
        <x:v>73</x:v>
      </x:c>
      <x:c r="D1908" s="70" t="s">
        <x:v>475</x:v>
      </x:c>
      <x:c r="E1908" s="70" t="s">
        <x:v>172</x:v>
      </x:c>
      <x:c r="F1908" s="70" t="s">
        <x:v>1583</x:v>
      </x:c>
      <x:c r="G1908" s="70" t="s">
        <x:v>2992</x:v>
      </x:c>
      <x:c r="H1908" s="70" t="s">
        <x:v>1204</x:v>
      </x:c>
      <x:c r="I1908" s="70" t="s">
        <x:v>1199</x:v>
      </x:c>
      <x:c r="J1908" s="70" t="n">
        <x:v>190</x:v>
      </x:c>
      <x:c r="K1908" s="70" t="s">
        <x:v>2130</x:v>
      </x:c>
      <x:c r="L1908" s="70"/>
      <x:c r="M1908" s="70" t="s">
        <x:v>40</x:v>
      </x:c>
      <x:c r="N1908" s="71" t="n">
        <x:v>5739097</x:v>
      </x:c>
      <x:c r="O1908" s="72" t="n">
        <x:f aca="0">N1908/1000</x:f>
        <x:v>5739.097</x:v>
      </x:c>
      <x:c r="P1908" s="73" t="n">
        <x:f aca="0">FCCL!D117</x:f>
        <x:v>5739.097</x:v>
      </x:c>
      <x:c r="Q1908" s="70" t="str">
        <x:f aca="0">IF(ABS(O1908-P1908)&lt;0.000001,"PASS","FAIL")</x:f>
        <x:v>PASS</x:v>
      </x:c>
      <x:c r="R1908" s="70" t="s">
        <x:v>28</x:v>
      </x:c>
      <x:c r="S1908" s="70"/>
    </x:row>
    <x:row r="1909" ht="15" hidden="0">
      <x:c r="A1909" s="70" t="s">
        <x:v>3341</x:v>
      </x:c>
      <x:c r="B1909" s="70" t="s">
        <x:v>46</x:v>
      </x:c>
      <x:c r="C1909" s="70" t="s">
        <x:v>74</x:v>
      </x:c>
      <x:c r="D1909" s="70" t="s">
        <x:v>475</x:v>
      </x:c>
      <x:c r="E1909" s="70" t="s">
        <x:v>172</x:v>
      </x:c>
      <x:c r="F1909" s="70" t="s">
        <x:v>1583</x:v>
      </x:c>
      <x:c r="G1909" s="70" t="s">
        <x:v>2994</x:v>
      </x:c>
      <x:c r="H1909" s="70" t="s">
        <x:v>1208</x:v>
      </x:c>
      <x:c r="I1909" s="70" t="s">
        <x:v>1199</x:v>
      </x:c>
      <x:c r="J1909" s="70" t="n">
        <x:v>212</x:v>
      </x:c>
      <x:c r="K1909" s="70" t="s">
        <x:v>3331</x:v>
      </x:c>
      <x:c r="L1909" s="70"/>
      <x:c r="M1909" s="70" t="s">
        <x:v>40</x:v>
      </x:c>
      <x:c r="N1909" s="71" t="n">
        <x:v>7567564</x:v>
      </x:c>
      <x:c r="O1909" s="72" t="n">
        <x:f aca="0">N1909/1000</x:f>
        <x:v>7567.564</x:v>
      </x:c>
      <x:c r="P1909" s="73" t="n">
        <x:f aca="0">FCCL!E117</x:f>
        <x:v>7567.564</x:v>
      </x:c>
      <x:c r="Q1909" s="70" t="str">
        <x:f aca="0">IF(ABS(O1909-P1909)&lt;0.000001,"PASS","FAIL")</x:f>
        <x:v>PASS</x:v>
      </x:c>
      <x:c r="R1909" s="70" t="s">
        <x:v>28</x:v>
      </x:c>
      <x:c r="S1909" s="70"/>
    </x:row>
    <x:row r="1910" ht="15" hidden="0">
      <x:c r="A1910" s="70" t="s">
        <x:v>3342</x:v>
      </x:c>
      <x:c r="B1910" s="70" t="s">
        <x:v>46</x:v>
      </x:c>
      <x:c r="C1910" s="70" t="s">
        <x:v>75</x:v>
      </x:c>
      <x:c r="D1910" s="70" t="s">
        <x:v>475</x:v>
      </x:c>
      <x:c r="E1910" s="70" t="s">
        <x:v>172</x:v>
      </x:c>
      <x:c r="F1910" s="70" t="s">
        <x:v>1583</x:v>
      </x:c>
      <x:c r="G1910" s="70" t="s">
        <x:v>2997</x:v>
      </x:c>
      <x:c r="H1910" s="70" t="s">
        <x:v>1211</x:v>
      </x:c>
      <x:c r="I1910" s="70" t="s">
        <x:v>1199</x:v>
      </x:c>
      <x:c r="J1910" s="70" t="n">
        <x:v>194</x:v>
      </x:c>
      <x:c r="K1910" s="70" t="s">
        <x:v>2913</x:v>
      </x:c>
      <x:c r="L1910" s="70"/>
      <x:c r="M1910" s="70" t="s">
        <x:v>40</x:v>
      </x:c>
      <x:c r="N1910" s="71" t="n">
        <x:v>16030998</x:v>
      </x:c>
      <x:c r="O1910" s="72" t="n">
        <x:f aca="0">N1910/1000</x:f>
        <x:v>16030.998</x:v>
      </x:c>
      <x:c r="P1910" s="73" t="n">
        <x:f aca="0">FCCL!F117</x:f>
        <x:v>16030.998</x:v>
      </x:c>
      <x:c r="Q1910" s="70" t="str">
        <x:f aca="0">IF(ABS(O1910-P1910)&lt;0.000001,"PASS","FAIL")</x:f>
        <x:v>PASS</x:v>
      </x:c>
      <x:c r="R1910" s="70" t="s">
        <x:v>28</x:v>
      </x:c>
      <x:c r="S1910" s="70" t="s">
        <x:v>1205</x:v>
      </x:c>
    </x:row>
    <x:row r="1911" ht="15" hidden="0">
      <x:c r="A1911" s="70" t="s">
        <x:v>3343</x:v>
      </x:c>
      <x:c r="B1911" s="70" t="s">
        <x:v>46</x:v>
      </x:c>
      <x:c r="C1911" s="70" t="s">
        <x:v>76</x:v>
      </x:c>
      <x:c r="D1911" s="70" t="s">
        <x:v>475</x:v>
      </x:c>
      <x:c r="E1911" s="70" t="s">
        <x:v>172</x:v>
      </x:c>
      <x:c r="F1911" s="70" t="s">
        <x:v>1583</x:v>
      </x:c>
      <x:c r="G1911" s="70" t="s">
        <x:v>2999</x:v>
      </x:c>
      <x:c r="H1911" s="70" t="s">
        <x:v>1215</x:v>
      </x:c>
      <x:c r="I1911" s="70" t="s">
        <x:v>1199</x:v>
      </x:c>
      <x:c r="J1911" s="70" t="n">
        <x:v>248</x:v>
      </x:c>
      <x:c r="K1911" s="70" t="s">
        <x:v>1200</x:v>
      </x:c>
      <x:c r="L1911" s="70"/>
      <x:c r="M1911" s="70" t="s">
        <x:v>40</x:v>
      </x:c>
      <x:c r="N1911" s="71" t="n">
        <x:v>22284607</x:v>
      </x:c>
      <x:c r="O1911" s="72" t="n">
        <x:f aca="0">N1911/1000</x:f>
        <x:v>22284.607</x:v>
      </x:c>
      <x:c r="P1911" s="73" t="n">
        <x:f aca="0">FCCL!G117</x:f>
        <x:v>22284.607</x:v>
      </x:c>
      <x:c r="Q1911" s="70" t="str">
        <x:f aca="0">IF(ABS(O1911-P1911)&lt;0.000001,"PASS","FAIL")</x:f>
        <x:v>PASS</x:v>
      </x:c>
      <x:c r="R1911" s="70" t="s">
        <x:v>28</x:v>
      </x:c>
      <x:c r="S1911" s="70" t="s">
        <x:v>1205</x:v>
      </x:c>
    </x:row>
    <x:row r="1912" ht="15" hidden="0">
      <x:c r="A1912" s="70" t="s">
        <x:v>3344</x:v>
      </x:c>
      <x:c r="B1912" s="70" t="s">
        <x:v>46</x:v>
      </x:c>
      <x:c r="C1912" s="70" t="s">
        <x:v>77</x:v>
      </x:c>
      <x:c r="D1912" s="70" t="s">
        <x:v>475</x:v>
      </x:c>
      <x:c r="E1912" s="70" t="s">
        <x:v>172</x:v>
      </x:c>
      <x:c r="F1912" s="70" t="s">
        <x:v>1583</x:v>
      </x:c>
      <x:c r="G1912" s="70" t="s">
        <x:v>2999</x:v>
      </x:c>
      <x:c r="H1912" s="70" t="s">
        <x:v>1215</x:v>
      </x:c>
      <x:c r="I1912" s="70" t="s">
        <x:v>1218</x:v>
      </x:c>
      <x:c r="J1912" s="70" t="n">
        <x:v>248</x:v>
      </x:c>
      <x:c r="K1912" s="70" t="s">
        <x:v>1200</x:v>
      </x:c>
      <x:c r="L1912" s="70"/>
      <x:c r="M1912" s="70" t="s">
        <x:v>40</x:v>
      </x:c>
      <x:c r="N1912" s="71" t="n">
        <x:v>24313208</x:v>
      </x:c>
      <x:c r="O1912" s="72" t="n">
        <x:f aca="0">N1912/1000</x:f>
        <x:v>24313.208</x:v>
      </x:c>
      <x:c r="P1912" s="73" t="n">
        <x:f aca="0">FCCL!H117</x:f>
        <x:v>24313.208</x:v>
      </x:c>
      <x:c r="Q1912" s="70" t="str">
        <x:f aca="0">IF(ABS(O1912-P1912)&lt;0.000001,"PASS","FAIL")</x:f>
        <x:v>PASS</x:v>
      </x:c>
      <x:c r="R1912" s="70" t="s">
        <x:v>28</x:v>
      </x:c>
      <x:c r="S1912" s="70"/>
    </x:row>
    <x:row r="1913" ht="15" hidden="0">
      <x:c r="A1913" s="70" t="s">
        <x:v>3345</x:v>
      </x:c>
      <x:c r="B1913" s="70" t="s">
        <x:v>46</x:v>
      </x:c>
      <x:c r="C1913" s="70" t="s">
        <x:v>73</x:v>
      </x:c>
      <x:c r="D1913" s="70" t="s">
        <x:v>477</x:v>
      </x:c>
      <x:c r="E1913" s="70" t="s">
        <x:v>172</x:v>
      </x:c>
      <x:c r="F1913" s="70" t="s">
        <x:v>1589</x:v>
      </x:c>
      <x:c r="G1913" s="70" t="s">
        <x:v>2992</x:v>
      </x:c>
      <x:c r="H1913" s="70" t="s">
        <x:v>1204</x:v>
      </x:c>
      <x:c r="I1913" s="70" t="s">
        <x:v>1199</x:v>
      </x:c>
      <x:c r="J1913" s="70" t="n">
        <x:v>190</x:v>
      </x:c>
      <x:c r="K1913" s="70" t="s">
        <x:v>2130</x:v>
      </x:c>
      <x:c r="L1913" s="70"/>
      <x:c r="M1913" s="70" t="s">
        <x:v>40</x:v>
      </x:c>
      <x:c r="N1913" s="71" t="n">
        <x:v>-94843</x:v>
      </x:c>
      <x:c r="O1913" s="72" t="n">
        <x:f aca="0">N1913/1000</x:f>
        <x:v>-94.843</x:v>
      </x:c>
      <x:c r="P1913" s="73" t="n">
        <x:f aca="0">FCCL!D118</x:f>
        <x:v>-94.843</x:v>
      </x:c>
      <x:c r="Q1913" s="70" t="str">
        <x:f aca="0">IF(ABS(O1913-P1913)&lt;0.000001,"PASS","FAIL")</x:f>
        <x:v>PASS</x:v>
      </x:c>
      <x:c r="R1913" s="70" t="s">
        <x:v>28</x:v>
      </x:c>
      <x:c r="S1913" s="70"/>
    </x:row>
    <x:row r="1914" ht="15" hidden="0">
      <x:c r="A1914" s="70" t="s">
        <x:v>3346</x:v>
      </x:c>
      <x:c r="B1914" s="70" t="s">
        <x:v>46</x:v>
      </x:c>
      <x:c r="C1914" s="70" t="s">
        <x:v>74</x:v>
      </x:c>
      <x:c r="D1914" s="70" t="s">
        <x:v>477</x:v>
      </x:c>
      <x:c r="E1914" s="70" t="s">
        <x:v>172</x:v>
      </x:c>
      <x:c r="F1914" s="70" t="s">
        <x:v>1589</x:v>
      </x:c>
      <x:c r="G1914" s="70" t="s">
        <x:v>2994</x:v>
      </x:c>
      <x:c r="H1914" s="70" t="s">
        <x:v>1208</x:v>
      </x:c>
      <x:c r="I1914" s="70" t="s">
        <x:v>1199</x:v>
      </x:c>
      <x:c r="J1914" s="70" t="n">
        <x:v>212</x:v>
      </x:c>
      <x:c r="K1914" s="70" t="s">
        <x:v>3331</x:v>
      </x:c>
      <x:c r="L1914" s="70"/>
      <x:c r="M1914" s="70" t="s">
        <x:v>40</x:v>
      </x:c>
      <x:c r="N1914" s="71" t="n">
        <x:v>-985172</x:v>
      </x:c>
      <x:c r="O1914" s="72" t="n">
        <x:f aca="0">N1914/1000</x:f>
        <x:v>-985.172</x:v>
      </x:c>
      <x:c r="P1914" s="73" t="n">
        <x:f aca="0">FCCL!E118</x:f>
        <x:v>-985.172</x:v>
      </x:c>
      <x:c r="Q1914" s="70" t="str">
        <x:f aca="0">IF(ABS(O1914-P1914)&lt;0.000001,"PASS","FAIL")</x:f>
        <x:v>PASS</x:v>
      </x:c>
      <x:c r="R1914" s="70" t="s">
        <x:v>28</x:v>
      </x:c>
      <x:c r="S1914" s="70"/>
    </x:row>
    <x:row r="1915" ht="15" hidden="0">
      <x:c r="A1915" s="70" t="s">
        <x:v>3347</x:v>
      </x:c>
      <x:c r="B1915" s="70" t="s">
        <x:v>46</x:v>
      </x:c>
      <x:c r="C1915" s="70" t="s">
        <x:v>75</x:v>
      </x:c>
      <x:c r="D1915" s="70" t="s">
        <x:v>477</x:v>
      </x:c>
      <x:c r="E1915" s="70" t="s">
        <x:v>172</x:v>
      </x:c>
      <x:c r="F1915" s="70" t="s">
        <x:v>1589</x:v>
      </x:c>
      <x:c r="G1915" s="70" t="s">
        <x:v>2997</x:v>
      </x:c>
      <x:c r="H1915" s="70" t="s">
        <x:v>1211</x:v>
      </x:c>
      <x:c r="I1915" s="70" t="s">
        <x:v>1199</x:v>
      </x:c>
      <x:c r="J1915" s="70" t="n">
        <x:v>195</x:v>
      </x:c>
      <x:c r="K1915" s="70" t="s">
        <x:v>1200</x:v>
      </x:c>
      <x:c r="L1915" s="70"/>
      <x:c r="M1915" s="70" t="s">
        <x:v>40</x:v>
      </x:c>
      <x:c r="N1915" s="71" t="n">
        <x:v>-2483101</x:v>
      </x:c>
      <x:c r="O1915" s="72" t="n">
        <x:f aca="0">N1915/1000</x:f>
        <x:v>-2483.101</x:v>
      </x:c>
      <x:c r="P1915" s="73" t="n">
        <x:f aca="0">FCCL!F118</x:f>
        <x:v>-2483.101</x:v>
      </x:c>
      <x:c r="Q1915" s="70" t="str">
        <x:f aca="0">IF(ABS(O1915-P1915)&lt;0.000001,"PASS","FAIL")</x:f>
        <x:v>PASS</x:v>
      </x:c>
      <x:c r="R1915" s="70" t="s">
        <x:v>28</x:v>
      </x:c>
      <x:c r="S1915" s="70" t="s">
        <x:v>1205</x:v>
      </x:c>
    </x:row>
    <x:row r="1916" ht="15" hidden="0">
      <x:c r="A1916" s="70" t="s">
        <x:v>3348</x:v>
      </x:c>
      <x:c r="B1916" s="70" t="s">
        <x:v>46</x:v>
      </x:c>
      <x:c r="C1916" s="70" t="s">
        <x:v>76</x:v>
      </x:c>
      <x:c r="D1916" s="70" t="s">
        <x:v>477</x:v>
      </x:c>
      <x:c r="E1916" s="70" t="s">
        <x:v>172</x:v>
      </x:c>
      <x:c r="F1916" s="70" t="s">
        <x:v>3349</x:v>
      </x:c>
      <x:c r="G1916" s="70" t="s">
        <x:v>2999</x:v>
      </x:c>
      <x:c r="H1916" s="70" t="s">
        <x:v>1215</x:v>
      </x:c>
      <x:c r="I1916" s="70" t="s">
        <x:v>1199</x:v>
      </x:c>
      <x:c r="J1916" s="70" t="n">
        <x:v>249</x:v>
      </x:c>
      <x:c r="K1916" s="70" t="s">
        <x:v>1200</x:v>
      </x:c>
      <x:c r="L1916" s="70"/>
      <x:c r="M1916" s="70" t="s">
        <x:v>40</x:v>
      </x:c>
      <x:c r="N1916" s="71" t="n">
        <x:v>-6993060</x:v>
      </x:c>
      <x:c r="O1916" s="72" t="n">
        <x:f aca="0">N1916/1000</x:f>
        <x:v>-6993.06</x:v>
      </x:c>
      <x:c r="P1916" s="73" t="n">
        <x:f aca="0">FCCL!G118</x:f>
        <x:v>-6993.06</x:v>
      </x:c>
      <x:c r="Q1916" s="70" t="str">
        <x:f aca="0">IF(ABS(O1916-P1916)&lt;0.000001,"PASS","FAIL")</x:f>
        <x:v>PASS</x:v>
      </x:c>
      <x:c r="R1916" s="70" t="s">
        <x:v>28</x:v>
      </x:c>
      <x:c r="S1916" s="70" t="s">
        <x:v>1205</x:v>
      </x:c>
    </x:row>
    <x:row r="1917" ht="15" hidden="0">
      <x:c r="A1917" s="70" t="s">
        <x:v>3350</x:v>
      </x:c>
      <x:c r="B1917" s="70" t="s">
        <x:v>46</x:v>
      </x:c>
      <x:c r="C1917" s="70" t="s">
        <x:v>77</x:v>
      </x:c>
      <x:c r="D1917" s="70" t="s">
        <x:v>477</x:v>
      </x:c>
      <x:c r="E1917" s="70" t="s">
        <x:v>172</x:v>
      </x:c>
      <x:c r="F1917" s="70" t="s">
        <x:v>3349</x:v>
      </x:c>
      <x:c r="G1917" s="70" t="s">
        <x:v>2999</x:v>
      </x:c>
      <x:c r="H1917" s="70" t="s">
        <x:v>1215</x:v>
      </x:c>
      <x:c r="I1917" s="70" t="s">
        <x:v>1218</x:v>
      </x:c>
      <x:c r="J1917" s="70" t="n">
        <x:v>249</x:v>
      </x:c>
      <x:c r="K1917" s="70" t="s">
        <x:v>1200</x:v>
      </x:c>
      <x:c r="L1917" s="70"/>
      <x:c r="M1917" s="70" t="s">
        <x:v>40</x:v>
      </x:c>
      <x:c r="N1917" s="71" t="n">
        <x:v>-5559451</x:v>
      </x:c>
      <x:c r="O1917" s="72" t="n">
        <x:f aca="0">N1917/1000</x:f>
        <x:v>-5559.451</x:v>
      </x:c>
      <x:c r="P1917" s="73" t="n">
        <x:f aca="0">FCCL!H118</x:f>
        <x:v>-5559.451</x:v>
      </x:c>
      <x:c r="Q1917" s="70" t="str">
        <x:f aca="0">IF(ABS(O1917-P1917)&lt;0.000001,"PASS","FAIL")</x:f>
        <x:v>PASS</x:v>
      </x:c>
      <x:c r="R1917" s="70" t="s">
        <x:v>28</x:v>
      </x:c>
      <x:c r="S1917" s="70"/>
    </x:row>
    <x:row r="1918" ht="15" hidden="0">
      <x:c r="A1918" s="70" t="s">
        <x:v>3351</x:v>
      </x:c>
      <x:c r="B1918" s="70" t="s">
        <x:v>46</x:v>
      </x:c>
      <x:c r="C1918" s="70" t="s">
        <x:v>73</x:v>
      </x:c>
      <x:c r="D1918" s="70" t="s">
        <x:v>479</x:v>
      </x:c>
      <x:c r="E1918" s="70" t="s">
        <x:v>172</x:v>
      </x:c>
      <x:c r="F1918" s="70" t="s">
        <x:v>1595</x:v>
      </x:c>
      <x:c r="G1918" s="70" t="s">
        <x:v>2992</x:v>
      </x:c>
      <x:c r="H1918" s="70" t="s">
        <x:v>1204</x:v>
      </x:c>
      <x:c r="I1918" s="70" t="s">
        <x:v>1199</x:v>
      </x:c>
      <x:c r="J1918" s="70" t="n">
        <x:v>190</x:v>
      </x:c>
      <x:c r="K1918" s="70" t="s">
        <x:v>2130</x:v>
      </x:c>
      <x:c r="L1918" s="70"/>
      <x:c r="M1918" s="70" t="s">
        <x:v>482</x:v>
      </x:c>
      <x:c r="N1918" s="70" t="s">
        <x:v>914</x:v>
      </x:c>
      <x:c r="O1918" s="70" t="str">
        <x:f aca="0">N1918</x:f>
        <x:v>Financing</x:v>
      </x:c>
      <x:c r="P1918" s="70" t="str">
        <x:f aca="0">FCCL!D119</x:f>
        <x:v>Financing</x:v>
      </x:c>
      <x:c r="Q1918" s="70" t="str">
        <x:f aca="0">IF(O1918=P1918,"PASS","FAIL")</x:f>
        <x:v>PASS</x:v>
      </x:c>
      <x:c r="R1918" s="70" t="s">
        <x:v>28</x:v>
      </x:c>
      <x:c r="S1918" s="70"/>
    </x:row>
    <x:row r="1919" ht="15" hidden="0">
      <x:c r="A1919" s="70" t="s">
        <x:v>3352</x:v>
      </x:c>
      <x:c r="B1919" s="70" t="s">
        <x:v>46</x:v>
      </x:c>
      <x:c r="C1919" s="70" t="s">
        <x:v>74</x:v>
      </x:c>
      <x:c r="D1919" s="70" t="s">
        <x:v>479</x:v>
      </x:c>
      <x:c r="E1919" s="70" t="s">
        <x:v>172</x:v>
      </x:c>
      <x:c r="F1919" s="70" t="s">
        <x:v>1595</x:v>
      </x:c>
      <x:c r="G1919" s="70" t="s">
        <x:v>2994</x:v>
      </x:c>
      <x:c r="H1919" s="70" t="s">
        <x:v>1208</x:v>
      </x:c>
      <x:c r="I1919" s="70" t="s">
        <x:v>1199</x:v>
      </x:c>
      <x:c r="J1919" s="70" t="n">
        <x:v>212</x:v>
      </x:c>
      <x:c r="K1919" s="70" t="s">
        <x:v>3331</x:v>
      </x:c>
      <x:c r="L1919" s="70"/>
      <x:c r="M1919" s="70" t="s">
        <x:v>482</x:v>
      </x:c>
      <x:c r="N1919" s="70" t="s">
        <x:v>914</x:v>
      </x:c>
      <x:c r="O1919" s="70" t="str">
        <x:f aca="0">N1919</x:f>
        <x:v>Financing</x:v>
      </x:c>
      <x:c r="P1919" s="70" t="str">
        <x:f aca="0">FCCL!E119</x:f>
        <x:v>Financing</x:v>
      </x:c>
      <x:c r="Q1919" s="70" t="str">
        <x:f aca="0">IF(O1919=P1919,"PASS","FAIL")</x:f>
        <x:v>PASS</x:v>
      </x:c>
      <x:c r="R1919" s="70" t="s">
        <x:v>28</x:v>
      </x:c>
      <x:c r="S1919" s="70"/>
    </x:row>
    <x:row r="1920" ht="15" hidden="0">
      <x:c r="A1920" s="70" t="s">
        <x:v>3353</x:v>
      </x:c>
      <x:c r="B1920" s="70" t="s">
        <x:v>46</x:v>
      </x:c>
      <x:c r="C1920" s="70" t="s">
        <x:v>75</x:v>
      </x:c>
      <x:c r="D1920" s="70" t="s">
        <x:v>479</x:v>
      </x:c>
      <x:c r="E1920" s="70" t="s">
        <x:v>172</x:v>
      </x:c>
      <x:c r="F1920" s="70" t="s">
        <x:v>1595</x:v>
      </x:c>
      <x:c r="G1920" s="70" t="s">
        <x:v>2997</x:v>
      </x:c>
      <x:c r="H1920" s="70" t="s">
        <x:v>1211</x:v>
      </x:c>
      <x:c r="I1920" s="70" t="s">
        <x:v>1199</x:v>
      </x:c>
      <x:c r="J1920" s="70" t="n">
        <x:v>195</x:v>
      </x:c>
      <x:c r="K1920" s="70" t="s">
        <x:v>1200</x:v>
      </x:c>
      <x:c r="L1920" s="70"/>
      <x:c r="M1920" s="70" t="s">
        <x:v>482</x:v>
      </x:c>
      <x:c r="N1920" s="70" t="s">
        <x:v>914</x:v>
      </x:c>
      <x:c r="O1920" s="70" t="str">
        <x:f aca="0">N1920</x:f>
        <x:v>Financing</x:v>
      </x:c>
      <x:c r="P1920" s="70" t="str">
        <x:f aca="0">FCCL!F119</x:f>
        <x:v>Financing</x:v>
      </x:c>
      <x:c r="Q1920" s="70" t="str">
        <x:f aca="0">IF(O1920=P1920,"PASS","FAIL")</x:f>
        <x:v>PASS</x:v>
      </x:c>
      <x:c r="R1920" s="70" t="s">
        <x:v>28</x:v>
      </x:c>
      <x:c r="S1920" s="70"/>
    </x:row>
    <x:row r="1921" ht="15" hidden="0">
      <x:c r="A1921" s="70" t="s">
        <x:v>3354</x:v>
      </x:c>
      <x:c r="B1921" s="70" t="s">
        <x:v>46</x:v>
      </x:c>
      <x:c r="C1921" s="70" t="s">
        <x:v>76</x:v>
      </x:c>
      <x:c r="D1921" s="70" t="s">
        <x:v>479</x:v>
      </x:c>
      <x:c r="E1921" s="70" t="s">
        <x:v>172</x:v>
      </x:c>
      <x:c r="F1921" s="70" t="s">
        <x:v>1595</x:v>
      </x:c>
      <x:c r="G1921" s="70" t="s">
        <x:v>2999</x:v>
      </x:c>
      <x:c r="H1921" s="70" t="s">
        <x:v>1215</x:v>
      </x:c>
      <x:c r="I1921" s="70" t="s">
        <x:v>1199</x:v>
      </x:c>
      <x:c r="J1921" s="70" t="n">
        <x:v>249</x:v>
      </x:c>
      <x:c r="K1921" s="70" t="s">
        <x:v>1200</x:v>
      </x:c>
      <x:c r="L1921" s="70"/>
      <x:c r="M1921" s="70" t="s">
        <x:v>482</x:v>
      </x:c>
      <x:c r="N1921" s="70" t="s">
        <x:v>914</x:v>
      </x:c>
      <x:c r="O1921" s="70" t="str">
        <x:f aca="0">N1921</x:f>
        <x:v>Financing</x:v>
      </x:c>
      <x:c r="P1921" s="70" t="str">
        <x:f aca="0">FCCL!G119</x:f>
        <x:v>Financing</x:v>
      </x:c>
      <x:c r="Q1921" s="70" t="str">
        <x:f aca="0">IF(O1921=P1921,"PASS","FAIL")</x:f>
        <x:v>PASS</x:v>
      </x:c>
      <x:c r="R1921" s="70" t="s">
        <x:v>28</x:v>
      </x:c>
      <x:c r="S1921" s="70"/>
    </x:row>
    <x:row r="1922" ht="15" hidden="0">
      <x:c r="A1922" s="70" t="s">
        <x:v>3355</x:v>
      </x:c>
      <x:c r="B1922" s="70" t="s">
        <x:v>46</x:v>
      </x:c>
      <x:c r="C1922" s="70" t="s">
        <x:v>77</x:v>
      </x:c>
      <x:c r="D1922" s="70" t="s">
        <x:v>479</x:v>
      </x:c>
      <x:c r="E1922" s="70" t="s">
        <x:v>172</x:v>
      </x:c>
      <x:c r="F1922" s="70" t="s">
        <x:v>1595</x:v>
      </x:c>
      <x:c r="G1922" s="70" t="s">
        <x:v>2999</x:v>
      </x:c>
      <x:c r="H1922" s="70" t="s">
        <x:v>1215</x:v>
      </x:c>
      <x:c r="I1922" s="70" t="s">
        <x:v>1218</x:v>
      </x:c>
      <x:c r="J1922" s="70" t="n">
        <x:v>249</x:v>
      </x:c>
      <x:c r="K1922" s="70" t="s">
        <x:v>1200</x:v>
      </x:c>
      <x:c r="L1922" s="70"/>
      <x:c r="M1922" s="70" t="s">
        <x:v>482</x:v>
      </x:c>
      <x:c r="N1922" s="70" t="s">
        <x:v>914</x:v>
      </x:c>
      <x:c r="O1922" s="70" t="str">
        <x:f aca="0">N1922</x:f>
        <x:v>Financing</x:v>
      </x:c>
      <x:c r="P1922" s="70" t="str">
        <x:f aca="0">FCCL!H119</x:f>
        <x:v>Financing</x:v>
      </x:c>
      <x:c r="Q1922" s="70" t="str">
        <x:f aca="0">IF(O1922=P1922,"PASS","FAIL")</x:f>
        <x:v>PASS</x:v>
      </x:c>
      <x:c r="R1922" s="70" t="s">
        <x:v>28</x:v>
      </x:c>
      <x:c r="S1922" s="70"/>
    </x:row>
    <x:row r="1923" ht="15" hidden="0">
      <x:c r="A1923" s="70" t="s">
        <x:v>3356</x:v>
      </x:c>
      <x:c r="B1923" s="70" t="s">
        <x:v>46</x:v>
      </x:c>
      <x:c r="C1923" s="70" t="s">
        <x:v>73</x:v>
      </x:c>
      <x:c r="D1923" s="70" t="s">
        <x:v>485</x:v>
      </x:c>
      <x:c r="E1923" s="70" t="s">
        <x:v>172</x:v>
      </x:c>
      <x:c r="F1923" s="70" t="s">
        <x:v>3357</x:v>
      </x:c>
      <x:c r="G1923" s="70" t="s">
        <x:v>2992</x:v>
      </x:c>
      <x:c r="H1923" s="70" t="s">
        <x:v>1204</x:v>
      </x:c>
      <x:c r="I1923" s="70" t="s">
        <x:v>1199</x:v>
      </x:c>
      <x:c r="J1923" s="70" t="n">
        <x:v>190</x:v>
      </x:c>
      <x:c r="K1923" s="70" t="s">
        <x:v>2130</x:v>
      </x:c>
      <x:c r="L1923" s="70"/>
      <x:c r="M1923" s="70" t="s">
        <x:v>40</x:v>
      </x:c>
      <x:c r="N1923" s="71" t="n">
        <x:v>-1007205</x:v>
      </x:c>
      <x:c r="O1923" s="72" t="n">
        <x:f aca="0">N1923/1000</x:f>
        <x:v>-1007.205</x:v>
      </x:c>
      <x:c r="P1923" s="73" t="n">
        <x:f aca="0">FCCL!D121</x:f>
        <x:v>-1007.205</x:v>
      </x:c>
      <x:c r="Q1923" s="70" t="str">
        <x:f aca="0">IF(ABS(O1923-P1923)&lt;0.000001,"PASS","FAIL")</x:f>
        <x:v>PASS</x:v>
      </x:c>
      <x:c r="R1923" s="70" t="s">
        <x:v>28</x:v>
      </x:c>
      <x:c r="S1923" s="70"/>
    </x:row>
    <x:row r="1924" ht="15" hidden="0">
      <x:c r="A1924" s="70" t="s">
        <x:v>3358</x:v>
      </x:c>
      <x:c r="B1924" s="70" t="s">
        <x:v>46</x:v>
      </x:c>
      <x:c r="C1924" s="70" t="s">
        <x:v>74</x:v>
      </x:c>
      <x:c r="D1924" s="70" t="s">
        <x:v>485</x:v>
      </x:c>
      <x:c r="E1924" s="70" t="s">
        <x:v>172</x:v>
      </x:c>
      <x:c r="F1924" s="70" t="s">
        <x:v>3359</x:v>
      </x:c>
      <x:c r="G1924" s="70" t="s">
        <x:v>2994</x:v>
      </x:c>
      <x:c r="H1924" s="70" t="s">
        <x:v>1208</x:v>
      </x:c>
      <x:c r="I1924" s="70" t="s">
        <x:v>1199</x:v>
      </x:c>
      <x:c r="J1924" s="70" t="n">
        <x:v>212</x:v>
      </x:c>
      <x:c r="K1924" s="70" t="s">
        <x:v>3331</x:v>
      </x:c>
      <x:c r="L1924" s="70"/>
      <x:c r="M1924" s="70" t="s">
        <x:v>40</x:v>
      </x:c>
      <x:c r="N1924" s="71" t="n">
        <x:v>-28425596</x:v>
      </x:c>
      <x:c r="O1924" s="72" t="n">
        <x:f aca="0">N1924/1000</x:f>
        <x:v>-28425.596</x:v>
      </x:c>
      <x:c r="P1924" s="73" t="n">
        <x:f aca="0">FCCL!E121</x:f>
        <x:v>-28425.596</x:v>
      </x:c>
      <x:c r="Q1924" s="70" t="str">
        <x:f aca="0">IF(ABS(O1924-P1924)&lt;0.000001,"PASS","FAIL")</x:f>
        <x:v>PASS</x:v>
      </x:c>
      <x:c r="R1924" s="70" t="s">
        <x:v>28</x:v>
      </x:c>
      <x:c r="S1924" s="70"/>
    </x:row>
    <x:row r="1925" ht="15" hidden="0">
      <x:c r="A1925" s="70" t="s">
        <x:v>3360</x:v>
      </x:c>
      <x:c r="B1925" s="70" t="s">
        <x:v>46</x:v>
      </x:c>
      <x:c r="C1925" s="70" t="s">
        <x:v>75</x:v>
      </x:c>
      <x:c r="D1925" s="70" t="s">
        <x:v>485</x:v>
      </x:c>
      <x:c r="E1925" s="70" t="s">
        <x:v>172</x:v>
      </x:c>
      <x:c r="F1925" s="70" t="s">
        <x:v>3361</x:v>
      </x:c>
      <x:c r="G1925" s="70" t="s">
        <x:v>2997</x:v>
      </x:c>
      <x:c r="H1925" s="70" t="s">
        <x:v>1211</x:v>
      </x:c>
      <x:c r="I1925" s="70" t="s">
        <x:v>1199</x:v>
      </x:c>
      <x:c r="J1925" s="70" t="n">
        <x:v>195</x:v>
      </x:c>
      <x:c r="K1925" s="70" t="s">
        <x:v>1200</x:v>
      </x:c>
      <x:c r="L1925" s="70"/>
      <x:c r="M1925" s="70" t="s">
        <x:v>40</x:v>
      </x:c>
      <x:c r="N1925" s="71" t="n">
        <x:v>-33903442</x:v>
      </x:c>
      <x:c r="O1925" s="72" t="n">
        <x:f aca="0">N1925/1000</x:f>
        <x:v>-33903.442</x:v>
      </x:c>
      <x:c r="P1925" s="73" t="n">
        <x:f aca="0">FCCL!F121</x:f>
        <x:v>-33903.442</x:v>
      </x:c>
      <x:c r="Q1925" s="70" t="str">
        <x:f aca="0">IF(ABS(O1925-P1925)&lt;0.000001,"PASS","FAIL")</x:f>
        <x:v>PASS</x:v>
      </x:c>
      <x:c r="R1925" s="70" t="s">
        <x:v>28</x:v>
      </x:c>
      <x:c r="S1925" s="70"/>
    </x:row>
    <x:row r="1926" ht="15" hidden="0">
      <x:c r="A1926" s="70" t="s">
        <x:v>3362</x:v>
      </x:c>
      <x:c r="B1926" s="70" t="s">
        <x:v>46</x:v>
      </x:c>
      <x:c r="C1926" s="70" t="s">
        <x:v>76</x:v>
      </x:c>
      <x:c r="D1926" s="70" t="s">
        <x:v>485</x:v>
      </x:c>
      <x:c r="E1926" s="70" t="s">
        <x:v>172</x:v>
      </x:c>
      <x:c r="F1926" s="70" t="s">
        <x:v>3361</x:v>
      </x:c>
      <x:c r="G1926" s="70" t="s">
        <x:v>2999</x:v>
      </x:c>
      <x:c r="H1926" s="70" t="s">
        <x:v>1215</x:v>
      </x:c>
      <x:c r="I1926" s="70" t="s">
        <x:v>1199</x:v>
      </x:c>
      <x:c r="J1926" s="70" t="n">
        <x:v>249</x:v>
      </x:c>
      <x:c r="K1926" s="70" t="s">
        <x:v>1200</x:v>
      </x:c>
      <x:c r="L1926" s="70"/>
      <x:c r="M1926" s="70" t="s">
        <x:v>40</x:v>
      </x:c>
      <x:c r="N1926" s="71" t="n">
        <x:v>-8478876</x:v>
      </x:c>
      <x:c r="O1926" s="72" t="n">
        <x:f aca="0">N1926/1000</x:f>
        <x:v>-8478.876</x:v>
      </x:c>
      <x:c r="P1926" s="73" t="n">
        <x:f aca="0">FCCL!G121</x:f>
        <x:v>-8478.876</x:v>
      </x:c>
      <x:c r="Q1926" s="70" t="str">
        <x:f aca="0">IF(ABS(O1926-P1926)&lt;0.000001,"PASS","FAIL")</x:f>
        <x:v>PASS</x:v>
      </x:c>
      <x:c r="R1926" s="70" t="s">
        <x:v>28</x:v>
      </x:c>
      <x:c r="S1926" s="70"/>
    </x:row>
    <x:row r="1927" ht="15" hidden="0">
      <x:c r="A1927" s="70" t="s">
        <x:v>3363</x:v>
      </x:c>
      <x:c r="B1927" s="70" t="s">
        <x:v>46</x:v>
      </x:c>
      <x:c r="C1927" s="70" t="s">
        <x:v>77</x:v>
      </x:c>
      <x:c r="D1927" s="70" t="s">
        <x:v>485</x:v>
      </x:c>
      <x:c r="E1927" s="70" t="s">
        <x:v>172</x:v>
      </x:c>
      <x:c r="F1927" s="70" t="s">
        <x:v>3361</x:v>
      </x:c>
      <x:c r="G1927" s="70" t="s">
        <x:v>2999</x:v>
      </x:c>
      <x:c r="H1927" s="70" t="s">
        <x:v>1215</x:v>
      </x:c>
      <x:c r="I1927" s="70" t="s">
        <x:v>1218</x:v>
      </x:c>
      <x:c r="J1927" s="70" t="n">
        <x:v>249</x:v>
      </x:c>
      <x:c r="K1927" s="70" t="s">
        <x:v>1200</x:v>
      </x:c>
      <x:c r="L1927" s="70"/>
      <x:c r="M1927" s="70" t="s">
        <x:v>40</x:v>
      </x:c>
      <x:c r="N1927" s="71" t="n">
        <x:v>-3477647</x:v>
      </x:c>
      <x:c r="O1927" s="72" t="n">
        <x:f aca="0">N1927/1000</x:f>
        <x:v>-3477.647</x:v>
      </x:c>
      <x:c r="P1927" s="73" t="n">
        <x:f aca="0">FCCL!H121</x:f>
        <x:v>-3477.647</x:v>
      </x:c>
      <x:c r="Q1927" s="70" t="str">
        <x:f aca="0">IF(ABS(O1927-P1927)&lt;0.000001,"PASS","FAIL")</x:f>
        <x:v>PASS</x:v>
      </x:c>
      <x:c r="R1927" s="70" t="s">
        <x:v>28</x:v>
      </x:c>
      <x:c r="S1927" s="70"/>
    </x:row>
    <x:row r="1928" ht="15" hidden="0">
      <x:c r="A1928" s="70" t="s">
        <x:v>3364</x:v>
      </x:c>
      <x:c r="B1928" s="70" t="s">
        <x:v>46</x:v>
      </x:c>
      <x:c r="C1928" s="70" t="s">
        <x:v>73</x:v>
      </x:c>
      <x:c r="D1928" s="70" t="s">
        <x:v>487</x:v>
      </x:c>
      <x:c r="E1928" s="70" t="s">
        <x:v>172</x:v>
      </x:c>
      <x:c r="F1928" s="70" t="s">
        <x:v>1607</x:v>
      </x:c>
      <x:c r="G1928" s="70" t="s">
        <x:v>2992</x:v>
      </x:c>
      <x:c r="H1928" s="70" t="s">
        <x:v>1204</x:v>
      </x:c>
      <x:c r="I1928" s="70" t="s">
        <x:v>1199</x:v>
      </x:c>
      <x:c r="J1928" s="70" t="n">
        <x:v>190</x:v>
      </x:c>
      <x:c r="K1928" s="70" t="s">
        <x:v>2130</x:v>
      </x:c>
      <x:c r="L1928" s="70"/>
      <x:c r="M1928" s="70" t="s">
        <x:v>40</x:v>
      </x:c>
      <x:c r="N1928" s="71" t="n">
        <x:v>-5141658</x:v>
      </x:c>
      <x:c r="O1928" s="72" t="n">
        <x:f aca="0">N1928/1000</x:f>
        <x:v>-5141.658</x:v>
      </x:c>
      <x:c r="P1928" s="73" t="n">
        <x:f aca="0">FCCL!D122</x:f>
        <x:v>-5141.658</x:v>
      </x:c>
      <x:c r="Q1928" s="70" t="str">
        <x:f aca="0">IF(ABS(O1928-P1928)&lt;0.000001,"PASS","FAIL")</x:f>
        <x:v>PASS</x:v>
      </x:c>
      <x:c r="R1928" s="70" t="s">
        <x:v>28</x:v>
      </x:c>
      <x:c r="S1928" s="70"/>
    </x:row>
    <x:row r="1929" ht="15" hidden="0">
      <x:c r="A1929" s="70" t="s">
        <x:v>3365</x:v>
      </x:c>
      <x:c r="B1929" s="70" t="s">
        <x:v>46</x:v>
      </x:c>
      <x:c r="C1929" s="70" t="s">
        <x:v>74</x:v>
      </x:c>
      <x:c r="D1929" s="70" t="s">
        <x:v>487</x:v>
      </x:c>
      <x:c r="E1929" s="70" t="s">
        <x:v>172</x:v>
      </x:c>
      <x:c r="F1929" s="70" t="s">
        <x:v>1607</x:v>
      </x:c>
      <x:c r="G1929" s="70" t="s">
        <x:v>2994</x:v>
      </x:c>
      <x:c r="H1929" s="70" t="s">
        <x:v>1208</x:v>
      </x:c>
      <x:c r="I1929" s="70" t="s">
        <x:v>1199</x:v>
      </x:c>
      <x:c r="J1929" s="70" t="n">
        <x:v>212</x:v>
      </x:c>
      <x:c r="K1929" s="70" t="s">
        <x:v>3331</x:v>
      </x:c>
      <x:c r="L1929" s="70"/>
      <x:c r="M1929" s="70" t="s">
        <x:v>40</x:v>
      </x:c>
      <x:c r="N1929" s="71" t="n">
        <x:v>-26064704</x:v>
      </x:c>
      <x:c r="O1929" s="72" t="n">
        <x:f aca="0">N1929/1000</x:f>
        <x:v>-26064.704</x:v>
      </x:c>
      <x:c r="P1929" s="73" t="n">
        <x:f aca="0">FCCL!E122</x:f>
        <x:v>-26064.704</x:v>
      </x:c>
      <x:c r="Q1929" s="70" t="str">
        <x:f aca="0">IF(ABS(O1929-P1929)&lt;0.000001,"PASS","FAIL")</x:f>
        <x:v>PASS</x:v>
      </x:c>
      <x:c r="R1929" s="70" t="s">
        <x:v>28</x:v>
      </x:c>
      <x:c r="S1929" s="70"/>
    </x:row>
    <x:row r="1930" ht="15" hidden="0">
      <x:c r="A1930" s="70" t="s">
        <x:v>3366</x:v>
      </x:c>
      <x:c r="B1930" s="70" t="s">
        <x:v>46</x:v>
      </x:c>
      <x:c r="C1930" s="70" t="s">
        <x:v>75</x:v>
      </x:c>
      <x:c r="D1930" s="70" t="s">
        <x:v>487</x:v>
      </x:c>
      <x:c r="E1930" s="70" t="s">
        <x:v>172</x:v>
      </x:c>
      <x:c r="F1930" s="70" t="s">
        <x:v>1607</x:v>
      </x:c>
      <x:c r="G1930" s="70" t="s">
        <x:v>2997</x:v>
      </x:c>
      <x:c r="H1930" s="70" t="s">
        <x:v>1211</x:v>
      </x:c>
      <x:c r="I1930" s="70" t="s">
        <x:v>1199</x:v>
      </x:c>
      <x:c r="J1930" s="70" t="n">
        <x:v>195</x:v>
      </x:c>
      <x:c r="K1930" s="70" t="s">
        <x:v>1200</x:v>
      </x:c>
      <x:c r="L1930" s="70"/>
      <x:c r="M1930" s="70" t="s">
        <x:v>40</x:v>
      </x:c>
      <x:c r="N1930" s="71" t="n">
        <x:v>-29667173</x:v>
      </x:c>
      <x:c r="O1930" s="72" t="n">
        <x:f aca="0">N1930/1000</x:f>
        <x:v>-29667.173</x:v>
      </x:c>
      <x:c r="P1930" s="73" t="n">
        <x:f aca="0">FCCL!F122</x:f>
        <x:v>-29667.173</x:v>
      </x:c>
      <x:c r="Q1930" s="70" t="str">
        <x:f aca="0">IF(ABS(O1930-P1930)&lt;0.000001,"PASS","FAIL")</x:f>
        <x:v>PASS</x:v>
      </x:c>
      <x:c r="R1930" s="70" t="s">
        <x:v>28</x:v>
      </x:c>
      <x:c r="S1930" s="70"/>
    </x:row>
    <x:row r="1931" ht="15" hidden="0">
      <x:c r="A1931" s="70" t="s">
        <x:v>3367</x:v>
      </x:c>
      <x:c r="B1931" s="70" t="s">
        <x:v>46</x:v>
      </x:c>
      <x:c r="C1931" s="70" t="s">
        <x:v>76</x:v>
      </x:c>
      <x:c r="D1931" s="70" t="s">
        <x:v>487</x:v>
      </x:c>
      <x:c r="E1931" s="70" t="s">
        <x:v>172</x:v>
      </x:c>
      <x:c r="F1931" s="70" t="s">
        <x:v>1607</x:v>
      </x:c>
      <x:c r="G1931" s="70" t="s">
        <x:v>2999</x:v>
      </x:c>
      <x:c r="H1931" s="70" t="s">
        <x:v>1215</x:v>
      </x:c>
      <x:c r="I1931" s="70" t="s">
        <x:v>1199</x:v>
      </x:c>
      <x:c r="J1931" s="70" t="n">
        <x:v>249</x:v>
      </x:c>
      <x:c r="K1931" s="70" t="s">
        <x:v>1200</x:v>
      </x:c>
      <x:c r="L1931" s="70"/>
      <x:c r="M1931" s="70" t="s">
        <x:v>40</x:v>
      </x:c>
      <x:c r="N1931" s="71" t="n">
        <x:v>-8158036</x:v>
      </x:c>
      <x:c r="O1931" s="72" t="n">
        <x:f aca="0">N1931/1000</x:f>
        <x:v>-8158.036</x:v>
      </x:c>
      <x:c r="P1931" s="73" t="n">
        <x:f aca="0">FCCL!G122</x:f>
        <x:v>-8158.036</x:v>
      </x:c>
      <x:c r="Q1931" s="70" t="str">
        <x:f aca="0">IF(ABS(O1931-P1931)&lt;0.000001,"PASS","FAIL")</x:f>
        <x:v>PASS</x:v>
      </x:c>
      <x:c r="R1931" s="70" t="s">
        <x:v>28</x:v>
      </x:c>
      <x:c r="S1931" s="70" t="s">
        <x:v>1205</x:v>
      </x:c>
    </x:row>
    <x:row r="1932" ht="15" hidden="0">
      <x:c r="A1932" s="70" t="s">
        <x:v>3368</x:v>
      </x:c>
      <x:c r="B1932" s="70" t="s">
        <x:v>46</x:v>
      </x:c>
      <x:c r="C1932" s="70" t="s">
        <x:v>77</x:v>
      </x:c>
      <x:c r="D1932" s="70" t="s">
        <x:v>487</x:v>
      </x:c>
      <x:c r="E1932" s="70" t="s">
        <x:v>172</x:v>
      </x:c>
      <x:c r="F1932" s="70" t="s">
        <x:v>1607</x:v>
      </x:c>
      <x:c r="G1932" s="70" t="s">
        <x:v>2999</x:v>
      </x:c>
      <x:c r="H1932" s="70" t="s">
        <x:v>1215</x:v>
      </x:c>
      <x:c r="I1932" s="70" t="s">
        <x:v>1218</x:v>
      </x:c>
      <x:c r="J1932" s="70" t="n">
        <x:v>249</x:v>
      </x:c>
      <x:c r="K1932" s="70" t="s">
        <x:v>1200</x:v>
      </x:c>
      <x:c r="L1932" s="70"/>
      <x:c r="M1932" s="70" t="s">
        <x:v>40</x:v>
      </x:c>
      <x:c r="N1932" s="71" t="n">
        <x:v>-11259190</x:v>
      </x:c>
      <x:c r="O1932" s="72" t="n">
        <x:f aca="0">N1932/1000</x:f>
        <x:v>-11259.19</x:v>
      </x:c>
      <x:c r="P1932" s="73" t="n">
        <x:f aca="0">FCCL!H122</x:f>
        <x:v>-11259.19</x:v>
      </x:c>
      <x:c r="Q1932" s="70" t="str">
        <x:f aca="0">IF(ABS(O1932-P1932)&lt;0.000001,"PASS","FAIL")</x:f>
        <x:v>PASS</x:v>
      </x:c>
      <x:c r="R1932" s="70" t="s">
        <x:v>28</x:v>
      </x:c>
      <x:c r="S1932" s="70"/>
    </x:row>
    <x:row r="1933" ht="15" hidden="0">
      <x:c r="A1933" s="70" t="s">
        <x:v>3369</x:v>
      </x:c>
      <x:c r="B1933" s="70" t="s">
        <x:v>46</x:v>
      </x:c>
      <x:c r="C1933" s="70" t="s">
        <x:v>73</x:v>
      </x:c>
      <x:c r="D1933" s="70" t="s">
        <x:v>489</x:v>
      </x:c>
      <x:c r="E1933" s="70" t="s">
        <x:v>172</x:v>
      </x:c>
      <x:c r="F1933" s="70" t="s">
        <x:v>2945</x:v>
      </x:c>
      <x:c r="G1933" s="70" t="s">
        <x:v>2992</x:v>
      </x:c>
      <x:c r="H1933" s="70" t="s">
        <x:v>1204</x:v>
      </x:c>
      <x:c r="I1933" s="70" t="s">
        <x:v>1199</x:v>
      </x:c>
      <x:c r="J1933" s="70" t="n">
        <x:v>190</x:v>
      </x:c>
      <x:c r="K1933" s="70" t="s">
        <x:v>2130</x:v>
      </x:c>
      <x:c r="L1933" s="70"/>
      <x:c r="M1933" s="70" t="s">
        <x:v>40</x:v>
      </x:c>
      <x:c r="N1933" s="71" t="n">
        <x:v>-5455</x:v>
      </x:c>
      <x:c r="O1933" s="72" t="n">
        <x:f aca="0">N1933/1000</x:f>
        <x:v>-5.455</x:v>
      </x:c>
      <x:c r="P1933" s="73" t="n">
        <x:f aca="0">FCCL!D123</x:f>
        <x:v>-5.455</x:v>
      </x:c>
      <x:c r="Q1933" s="70" t="str">
        <x:f aca="0">IF(ABS(O1933-P1933)&lt;0.000001,"PASS","FAIL")</x:f>
        <x:v>PASS</x:v>
      </x:c>
      <x:c r="R1933" s="70" t="s">
        <x:v>28</x:v>
      </x:c>
      <x:c r="S1933" s="70"/>
    </x:row>
    <x:row r="1934" ht="15" hidden="0">
      <x:c r="A1934" s="70" t="s">
        <x:v>3370</x:v>
      </x:c>
      <x:c r="B1934" s="70" t="s">
        <x:v>46</x:v>
      </x:c>
      <x:c r="C1934" s="70" t="s">
        <x:v>74</x:v>
      </x:c>
      <x:c r="D1934" s="70" t="s">
        <x:v>489</x:v>
      </x:c>
      <x:c r="E1934" s="70" t="s">
        <x:v>172</x:v>
      </x:c>
      <x:c r="F1934" s="70" t="s">
        <x:v>2062</x:v>
      </x:c>
      <x:c r="G1934" s="70" t="s">
        <x:v>2994</x:v>
      </x:c>
      <x:c r="H1934" s="70" t="s">
        <x:v>1208</x:v>
      </x:c>
      <x:c r="I1934" s="70" t="s">
        <x:v>1199</x:v>
      </x:c>
      <x:c r="J1934" s="70" t="n">
        <x:v>212</x:v>
      </x:c>
      <x:c r="K1934" s="70" t="s">
        <x:v>3331</x:v>
      </x:c>
      <x:c r="L1934" s="70"/>
      <x:c r="M1934" s="70" t="s">
        <x:v>40</x:v>
      </x:c>
      <x:c r="N1934" s="71" t="n">
        <x:v>19345923</x:v>
      </x:c>
      <x:c r="O1934" s="72" t="n">
        <x:f aca="0">N1934/1000</x:f>
        <x:v>19345.923</x:v>
      </x:c>
      <x:c r="P1934" s="73" t="n">
        <x:f aca="0">FCCL!E123</x:f>
        <x:v>19345.923</x:v>
      </x:c>
      <x:c r="Q1934" s="70" t="str">
        <x:f aca="0">IF(ABS(O1934-P1934)&lt;0.000001,"PASS","FAIL")</x:f>
        <x:v>PASS</x:v>
      </x:c>
      <x:c r="R1934" s="70" t="s">
        <x:v>28</x:v>
      </x:c>
      <x:c r="S1934" s="70"/>
    </x:row>
    <x:row r="1935" ht="15" hidden="0">
      <x:c r="A1935" s="70" t="s">
        <x:v>3371</x:v>
      </x:c>
      <x:c r="B1935" s="70" t="s">
        <x:v>46</x:v>
      </x:c>
      <x:c r="C1935" s="70" t="s">
        <x:v>75</x:v>
      </x:c>
      <x:c r="D1935" s="70" t="s">
        <x:v>489</x:v>
      </x:c>
      <x:c r="E1935" s="70" t="s">
        <x:v>172</x:v>
      </x:c>
      <x:c r="F1935" s="70" t="s">
        <x:v>2065</x:v>
      </x:c>
      <x:c r="G1935" s="70" t="s">
        <x:v>2997</x:v>
      </x:c>
      <x:c r="H1935" s="70" t="s">
        <x:v>1211</x:v>
      </x:c>
      <x:c r="I1935" s="70" t="s">
        <x:v>1199</x:v>
      </x:c>
      <x:c r="J1935" s="70" t="n">
        <x:v>195</x:v>
      </x:c>
      <x:c r="K1935" s="70" t="s">
        <x:v>1200</x:v>
      </x:c>
      <x:c r="L1935" s="70"/>
      <x:c r="M1935" s="70" t="s">
        <x:v>40</x:v>
      </x:c>
      <x:c r="N1935" s="71" t="n">
        <x:v>10897767</x:v>
      </x:c>
      <x:c r="O1935" s="72" t="n">
        <x:f aca="0">N1935/1000</x:f>
        <x:v>10897.767</x:v>
      </x:c>
      <x:c r="P1935" s="73" t="n">
        <x:f aca="0">FCCL!F123</x:f>
        <x:v>10897.767</x:v>
      </x:c>
      <x:c r="Q1935" s="70" t="str">
        <x:f aca="0">IF(ABS(O1935-P1935)&lt;0.000001,"PASS","FAIL")</x:f>
        <x:v>PASS</x:v>
      </x:c>
      <x:c r="R1935" s="70" t="s">
        <x:v>28</x:v>
      </x:c>
      <x:c r="S1935" s="70" t="s">
        <x:v>1205</x:v>
      </x:c>
    </x:row>
    <x:row r="1936" ht="15" hidden="0">
      <x:c r="A1936" s="70" t="s">
        <x:v>3372</x:v>
      </x:c>
      <x:c r="B1936" s="70" t="s">
        <x:v>46</x:v>
      </x:c>
      <x:c r="C1936" s="70" t="s">
        <x:v>76</x:v>
      </x:c>
      <x:c r="D1936" s="70" t="s">
        <x:v>489</x:v>
      </x:c>
      <x:c r="E1936" s="70" t="s">
        <x:v>172</x:v>
      </x:c>
      <x:c r="F1936" s="70" t="s">
        <x:v>1613</x:v>
      </x:c>
      <x:c r="G1936" s="70" t="s">
        <x:v>2999</x:v>
      </x:c>
      <x:c r="H1936" s="70" t="s">
        <x:v>1215</x:v>
      </x:c>
      <x:c r="I1936" s="70" t="s">
        <x:v>1199</x:v>
      </x:c>
      <x:c r="J1936" s="70" t="n">
        <x:v>249</x:v>
      </x:c>
      <x:c r="K1936" s="70" t="s">
        <x:v>1200</x:v>
      </x:c>
      <x:c r="L1936" s="70"/>
      <x:c r="M1936" s="70" t="s">
        <x:v>40</x:v>
      </x:c>
      <x:c r="N1936" s="71" t="n">
        <x:v>-8479996</x:v>
      </x:c>
      <x:c r="O1936" s="72" t="n">
        <x:f aca="0">N1936/1000</x:f>
        <x:v>-8479.996</x:v>
      </x:c>
      <x:c r="P1936" s="73" t="n">
        <x:f aca="0">FCCL!G123</x:f>
        <x:v>-8479.996</x:v>
      </x:c>
      <x:c r="Q1936" s="70" t="str">
        <x:f aca="0">IF(ABS(O1936-P1936)&lt;0.000001,"PASS","FAIL")</x:f>
        <x:v>PASS</x:v>
      </x:c>
      <x:c r="R1936" s="70" t="s">
        <x:v>28</x:v>
      </x:c>
      <x:c r="S1936" s="70"/>
    </x:row>
    <x:row r="1937" ht="15" hidden="0">
      <x:c r="A1937" s="70" t="s">
        <x:v>3373</x:v>
      </x:c>
      <x:c r="B1937" s="70" t="s">
        <x:v>46</x:v>
      </x:c>
      <x:c r="C1937" s="70" t="s">
        <x:v>77</x:v>
      </x:c>
      <x:c r="D1937" s="70" t="s">
        <x:v>489</x:v>
      </x:c>
      <x:c r="E1937" s="70" t="s">
        <x:v>172</x:v>
      </x:c>
      <x:c r="F1937" s="70" t="s">
        <x:v>1613</x:v>
      </x:c>
      <x:c r="G1937" s="70" t="s">
        <x:v>2999</x:v>
      </x:c>
      <x:c r="H1937" s="70" t="s">
        <x:v>1215</x:v>
      </x:c>
      <x:c r="I1937" s="70" t="s">
        <x:v>1218</x:v>
      </x:c>
      <x:c r="J1937" s="70" t="n">
        <x:v>249</x:v>
      </x:c>
      <x:c r="K1937" s="70" t="s">
        <x:v>1200</x:v>
      </x:c>
      <x:c r="L1937" s="70"/>
      <x:c r="M1937" s="70" t="s">
        <x:v>40</x:v>
      </x:c>
      <x:c r="N1937" s="71" t="n">
        <x:v>-12739192</x:v>
      </x:c>
      <x:c r="O1937" s="72" t="n">
        <x:f aca="0">N1937/1000</x:f>
        <x:v>-12739.192</x:v>
      </x:c>
      <x:c r="P1937" s="73" t="n">
        <x:f aca="0">FCCL!H123</x:f>
        <x:v>-12739.192</x:v>
      </x:c>
      <x:c r="Q1937" s="70" t="str">
        <x:f aca="0">IF(ABS(O1937-P1937)&lt;0.000001,"PASS","FAIL")</x:f>
        <x:v>PASS</x:v>
      </x:c>
      <x:c r="R1937" s="70" t="s">
        <x:v>28</x:v>
      </x:c>
      <x:c r="S1937" s="70"/>
    </x:row>
    <x:row r="1938" ht="15" hidden="0">
      <x:c r="A1938" s="70" t="s">
        <x:v>3374</x:v>
      </x:c>
      <x:c r="B1938" s="70" t="s">
        <x:v>46</x:v>
      </x:c>
      <x:c r="C1938" s="70" t="s">
        <x:v>73</x:v>
      </x:c>
      <x:c r="D1938" s="70" t="s">
        <x:v>491</x:v>
      </x:c>
      <x:c r="E1938" s="70" t="s">
        <x:v>172</x:v>
      </x:c>
      <x:c r="F1938" s="70" t="s">
        <x:v>1619</x:v>
      </x:c>
      <x:c r="G1938" s="70" t="s">
        <x:v>2992</x:v>
      </x:c>
      <x:c r="H1938" s="70" t="s">
        <x:v>1204</x:v>
      </x:c>
      <x:c r="I1938" s="70" t="s">
        <x:v>1199</x:v>
      </x:c>
      <x:c r="J1938" s="70" t="n">
        <x:v>190</x:v>
      </x:c>
      <x:c r="K1938" s="70" t="s">
        <x:v>2130</x:v>
      </x:c>
      <x:c r="L1938" s="70"/>
      <x:c r="M1938" s="70" t="s">
        <x:v>40</x:v>
      </x:c>
      <x:c r="N1938" s="71" t="n">
        <x:v>-1572</x:v>
      </x:c>
      <x:c r="O1938" s="72" t="n">
        <x:f aca="0">N1938/1000</x:f>
        <x:v>-1.572</x:v>
      </x:c>
      <x:c r="P1938" s="73" t="n">
        <x:f aca="0">FCCL!D124</x:f>
        <x:v>-1.572</x:v>
      </x:c>
      <x:c r="Q1938" s="70" t="str">
        <x:f aca="0">IF(ABS(O1938-P1938)&lt;0.000001,"PASS","FAIL")</x:f>
        <x:v>PASS</x:v>
      </x:c>
      <x:c r="R1938" s="70" t="s">
        <x:v>28</x:v>
      </x:c>
      <x:c r="S1938" s="70"/>
    </x:row>
    <x:row r="1939" ht="15" hidden="0">
      <x:c r="A1939" s="70" t="s">
        <x:v>3375</x:v>
      </x:c>
      <x:c r="B1939" s="70" t="s">
        <x:v>46</x:v>
      </x:c>
      <x:c r="C1939" s="70" t="s">
        <x:v>74</x:v>
      </x:c>
      <x:c r="D1939" s="70" t="s">
        <x:v>491</x:v>
      </x:c>
      <x:c r="E1939" s="70" t="s">
        <x:v>172</x:v>
      </x:c>
      <x:c r="F1939" s="70" t="s">
        <x:v>3376</x:v>
      </x:c>
      <x:c r="G1939" s="70" t="s">
        <x:v>2994</x:v>
      </x:c>
      <x:c r="H1939" s="70" t="s">
        <x:v>1208</x:v>
      </x:c>
      <x:c r="I1939" s="70" t="s">
        <x:v>1199</x:v>
      </x:c>
      <x:c r="J1939" s="70" t="n">
        <x:v>212</x:v>
      </x:c>
      <x:c r="K1939" s="70" t="s">
        <x:v>3331</x:v>
      </x:c>
      <x:c r="L1939" s="70"/>
      <x:c r="M1939" s="70" t="s">
        <x:v>40</x:v>
      </x:c>
      <x:c r="N1939" s="71" t="n">
        <x:v>-1322</x:v>
      </x:c>
      <x:c r="O1939" s="72" t="n">
        <x:f aca="0">N1939/1000</x:f>
        <x:v>-1.322</x:v>
      </x:c>
      <x:c r="P1939" s="73" t="n">
        <x:f aca="0">FCCL!E124</x:f>
        <x:v>-1.322</x:v>
      </x:c>
      <x:c r="Q1939" s="70" t="str">
        <x:f aca="0">IF(ABS(O1939-P1939)&lt;0.000001,"PASS","FAIL")</x:f>
        <x:v>PASS</x:v>
      </x:c>
      <x:c r="R1939" s="70" t="s">
        <x:v>28</x:v>
      </x:c>
      <x:c r="S1939" s="70"/>
    </x:row>
    <x:row r="1940" ht="15" hidden="0">
      <x:c r="A1940" s="70" t="s">
        <x:v>3377</x:v>
      </x:c>
      <x:c r="B1940" s="70" t="s">
        <x:v>46</x:v>
      </x:c>
      <x:c r="C1940" s="70" t="s">
        <x:v>75</x:v>
      </x:c>
      <x:c r="D1940" s="70" t="s">
        <x:v>491</x:v>
      </x:c>
      <x:c r="E1940" s="70" t="s">
        <x:v>172</x:v>
      </x:c>
      <x:c r="F1940" s="70" t="s">
        <x:v>3376</x:v>
      </x:c>
      <x:c r="G1940" s="70" t="s">
        <x:v>2997</x:v>
      </x:c>
      <x:c r="H1940" s="70" t="s">
        <x:v>1211</x:v>
      </x:c>
      <x:c r="I1940" s="70" t="s">
        <x:v>1199</x:v>
      </x:c>
      <x:c r="J1940" s="70" t="n">
        <x:v>195</x:v>
      </x:c>
      <x:c r="K1940" s="70" t="s">
        <x:v>1200</x:v>
      </x:c>
      <x:c r="L1940" s="70"/>
      <x:c r="M1940" s="70" t="s">
        <x:v>40</x:v>
      </x:c>
      <x:c r="N1940" s="71" t="n">
        <x:v>-1156</x:v>
      </x:c>
      <x:c r="O1940" s="72" t="n">
        <x:f aca="0">N1940/1000</x:f>
        <x:v>-1.156</x:v>
      </x:c>
      <x:c r="P1940" s="73" t="n">
        <x:f aca="0">FCCL!F124</x:f>
        <x:v>-1.156</x:v>
      </x:c>
      <x:c r="Q1940" s="70" t="str">
        <x:f aca="0">IF(ABS(O1940-P1940)&lt;0.000001,"PASS","FAIL")</x:f>
        <x:v>PASS</x:v>
      </x:c>
      <x:c r="R1940" s="70" t="s">
        <x:v>28</x:v>
      </x:c>
      <x:c r="S1940" s="70"/>
    </x:row>
    <x:row r="1941" ht="15" hidden="0">
      <x:c r="A1941" s="70" t="s">
        <x:v>3378</x:v>
      </x:c>
      <x:c r="B1941" s="70" t="s">
        <x:v>46</x:v>
      </x:c>
      <x:c r="C1941" s="70" t="s">
        <x:v>76</x:v>
      </x:c>
      <x:c r="D1941" s="70" t="s">
        <x:v>491</x:v>
      </x:c>
      <x:c r="E1941" s="70" t="s">
        <x:v>172</x:v>
      </x:c>
      <x:c r="F1941" s="70" t="s">
        <x:v>3379</x:v>
      </x:c>
      <x:c r="G1941" s="70" t="s">
        <x:v>2999</x:v>
      </x:c>
      <x:c r="H1941" s="70" t="s">
        <x:v>1215</x:v>
      </x:c>
      <x:c r="I1941" s="70" t="s">
        <x:v>1199</x:v>
      </x:c>
      <x:c r="J1941" s="70" t="n">
        <x:v>249</x:v>
      </x:c>
      <x:c r="K1941" s="70" t="s">
        <x:v>1200</x:v>
      </x:c>
      <x:c r="L1941" s="70"/>
      <x:c r="M1941" s="70" t="s">
        <x:v>40</x:v>
      </x:c>
      <x:c r="N1941" s="71" t="n">
        <x:v>-355</x:v>
      </x:c>
      <x:c r="O1941" s="72" t="n">
        <x:f aca="0">N1941/1000</x:f>
        <x:v>-0.355</x:v>
      </x:c>
      <x:c r="P1941" s="73" t="n">
        <x:f aca="0">FCCL!G124</x:f>
        <x:v>-0.355</x:v>
      </x:c>
      <x:c r="Q1941" s="70" t="str">
        <x:f aca="0">IF(ABS(O1941-P1941)&lt;0.000001,"PASS","FAIL")</x:f>
        <x:v>PASS</x:v>
      </x:c>
      <x:c r="R1941" s="70" t="s">
        <x:v>28</x:v>
      </x:c>
      <x:c r="S1941" s="70"/>
    </x:row>
    <x:row r="1942" ht="15" hidden="0">
      <x:c r="A1942" s="70" t="s">
        <x:v>3380</x:v>
      </x:c>
      <x:c r="B1942" s="70" t="s">
        <x:v>46</x:v>
      </x:c>
      <x:c r="C1942" s="70" t="s">
        <x:v>77</x:v>
      </x:c>
      <x:c r="D1942" s="70" t="s">
        <x:v>491</x:v>
      </x:c>
      <x:c r="E1942" s="70" t="s">
        <x:v>172</x:v>
      </x:c>
      <x:c r="F1942" s="70" t="s">
        <x:v>3379</x:v>
      </x:c>
      <x:c r="G1942" s="70" t="s">
        <x:v>2999</x:v>
      </x:c>
      <x:c r="H1942" s="70" t="s">
        <x:v>1215</x:v>
      </x:c>
      <x:c r="I1942" s="70" t="s">
        <x:v>1218</x:v>
      </x:c>
      <x:c r="J1942" s="70" t="n">
        <x:v>249</x:v>
      </x:c>
      <x:c r="K1942" s="70" t="s">
        <x:v>1200</x:v>
      </x:c>
      <x:c r="L1942" s="70"/>
      <x:c r="M1942" s="70" t="s">
        <x:v>40</x:v>
      </x:c>
      <x:c r="N1942" s="71" t="n">
        <x:v>-2447311</x:v>
      </x:c>
      <x:c r="O1942" s="72" t="n">
        <x:f aca="0">N1942/1000</x:f>
        <x:v>-2447.311</x:v>
      </x:c>
      <x:c r="P1942" s="73" t="n">
        <x:f aca="0">FCCL!H124</x:f>
        <x:v>-2447.311</x:v>
      </x:c>
      <x:c r="Q1942" s="70" t="str">
        <x:f aca="0">IF(ABS(O1942-P1942)&lt;0.000001,"PASS","FAIL")</x:f>
        <x:v>PASS</x:v>
      </x:c>
      <x:c r="R1942" s="70" t="s">
        <x:v>28</x:v>
      </x:c>
      <x:c r="S1942" s="70"/>
    </x:row>
    <x:row r="1943" ht="15" hidden="0">
      <x:c r="A1943" s="70" t="s">
        <x:v>3381</x:v>
      </x:c>
      <x:c r="B1943" s="70" t="s">
        <x:v>46</x:v>
      </x:c>
      <x:c r="C1943" s="70" t="s">
        <x:v>73</x:v>
      </x:c>
      <x:c r="D1943" s="70" t="s">
        <x:v>494</x:v>
      </x:c>
      <x:c r="E1943" s="70" t="s">
        <x:v>1221</x:v>
      </x:c>
      <x:c r="F1943" s="70" t="s">
        <x:v>1625</x:v>
      </x:c>
      <x:c r="G1943" s="70" t="s">
        <x:v>2990</x:v>
      </x:c>
      <x:c r="H1943" s="70" t="s">
        <x:v>1198</x:v>
      </x:c>
      <x:c r="I1943" s="70" t="s">
        <x:v>1218</x:v>
      </x:c>
      <x:c r="J1943" s="70" t="n">
        <x:v>201</x:v>
      </x:c>
      <x:c r="K1943" s="70" t="s">
        <x:v>3382</x:v>
      </x:c>
      <x:c r="L1943" s="70"/>
      <x:c r="M1943" s="70" t="s">
        <x:v>158</x:v>
      </x:c>
      <x:c r="N1943" s="70" t="n">
        <x:v>10</x:v>
      </x:c>
      <x:c r="O1943" s="70" t="n">
        <x:f aca="0">N1943</x:f>
        <x:v>10</x:v>
      </x:c>
      <x:c r="P1943" s="74" t="n">
        <x:f aca="0">FCCL!D127</x:f>
        <x:v>10</x:v>
      </x:c>
      <x:c r="Q1943" s="70" t="str">
        <x:f aca="0">IF(ABS(O1943-P1943)&lt;0.000001,"PASS","FAIL")</x:f>
        <x:v>PASS</x:v>
      </x:c>
      <x:c r="R1943" s="70" t="s">
        <x:v>28</x:v>
      </x:c>
      <x:c r="S1943" s="70" t="str">
        <x:v>Verified FY-end share basis; see Share Basis and Corporate Actions for source excerpts and normalization. Original source metadata superseded where the basis changed.</x:v>
      </x:c>
    </x:row>
    <x:row r="1944" ht="15" hidden="0">
      <x:c r="A1944" s="70" t="s">
        <x:v>3383</x:v>
      </x:c>
      <x:c r="B1944" s="70" t="s">
        <x:v>46</x:v>
      </x:c>
      <x:c r="C1944" s="70" t="s">
        <x:v>74</x:v>
      </x:c>
      <x:c r="D1944" s="70" t="s">
        <x:v>494</x:v>
      </x:c>
      <x:c r="E1944" s="70" t="s">
        <x:v>1221</x:v>
      </x:c>
      <x:c r="F1944" s="70" t="s">
        <x:v>1625</x:v>
      </x:c>
      <x:c r="G1944" s="70" t="s">
        <x:v>2992</x:v>
      </x:c>
      <x:c r="H1944" s="70" t="s">
        <x:v>1204</x:v>
      </x:c>
      <x:c r="I1944" s="70" t="s">
        <x:v>1218</x:v>
      </x:c>
      <x:c r="J1944" s="70" t="n">
        <x:v>230</x:v>
      </x:c>
      <x:c r="K1944" s="70" t="s">
        <x:v>3384</x:v>
      </x:c>
      <x:c r="L1944" s="70"/>
      <x:c r="M1944" s="70" t="s">
        <x:v>158</x:v>
      </x:c>
      <x:c r="N1944" s="70" t="n">
        <x:v>10</x:v>
      </x:c>
      <x:c r="O1944" s="70" t="n">
        <x:f aca="0">N1944</x:f>
        <x:v>10</x:v>
      </x:c>
      <x:c r="P1944" s="74" t="n">
        <x:f aca="0">FCCL!E127</x:f>
        <x:v>10</x:v>
      </x:c>
      <x:c r="Q1944" s="70" t="str">
        <x:f aca="0">IF(ABS(O1944-P1944)&lt;0.000001,"PASS","FAIL")</x:f>
        <x:v>PASS</x:v>
      </x:c>
      <x:c r="R1944" s="70" t="s">
        <x:v>28</x:v>
      </x:c>
      <x:c r="S1944" s="70" t="str">
        <x:v>Verified FY-end share basis; see Share Basis and Corporate Actions for source excerpts and normalization. Original source metadata superseded where the basis changed.</x:v>
      </x:c>
    </x:row>
    <x:row r="1945" ht="15" hidden="0">
      <x:c r="A1945" s="70" t="s">
        <x:v>3385</x:v>
      </x:c>
      <x:c r="B1945" s="70" t="s">
        <x:v>46</x:v>
      </x:c>
      <x:c r="C1945" s="70" t="s">
        <x:v>75</x:v>
      </x:c>
      <x:c r="D1945" s="70" t="s">
        <x:v>494</x:v>
      </x:c>
      <x:c r="E1945" s="70" t="s">
        <x:v>1221</x:v>
      </x:c>
      <x:c r="F1945" s="70" t="s">
        <x:v>1625</x:v>
      </x:c>
      <x:c r="G1945" s="70" t="s">
        <x:v>2994</x:v>
      </x:c>
      <x:c r="H1945" s="70" t="s">
        <x:v>1208</x:v>
      </x:c>
      <x:c r="I1945" s="70" t="s">
        <x:v>1218</x:v>
      </x:c>
      <x:c r="J1945" s="70" t="n">
        <x:v>251</x:v>
      </x:c>
      <x:c r="K1945" s="70" t="s">
        <x:v>2897</x:v>
      </x:c>
      <x:c r="L1945" s="70"/>
      <x:c r="M1945" s="70" t="s">
        <x:v>158</x:v>
      </x:c>
      <x:c r="N1945" s="70" t="n">
        <x:v>10</x:v>
      </x:c>
      <x:c r="O1945" s="70" t="n">
        <x:f aca="0">N1945</x:f>
        <x:v>10</x:v>
      </x:c>
      <x:c r="P1945" s="74" t="n">
        <x:f aca="0">FCCL!F127</x:f>
        <x:v>10</x:v>
      </x:c>
      <x:c r="Q1945" s="70" t="str">
        <x:f aca="0">IF(ABS(O1945-P1945)&lt;0.000001,"PASS","FAIL")</x:f>
        <x:v>PASS</x:v>
      </x:c>
      <x:c r="R1945" s="70" t="s">
        <x:v>28</x:v>
      </x:c>
      <x:c r="S1945" s="70" t="str">
        <x:v>Verified FY-end share basis; see Share Basis and Corporate Actions for source excerpts and normalization. Original source metadata superseded where the basis changed.</x:v>
      </x:c>
    </x:row>
    <x:row r="1946" ht="15" hidden="0">
      <x:c r="A1946" s="70" t="s">
        <x:v>3386</x:v>
      </x:c>
      <x:c r="B1946" s="70" t="s">
        <x:v>46</x:v>
      </x:c>
      <x:c r="C1946" s="70" t="s">
        <x:v>76</x:v>
      </x:c>
      <x:c r="D1946" s="70" t="s">
        <x:v>494</x:v>
      </x:c>
      <x:c r="E1946" s="70" t="s">
        <x:v>1221</x:v>
      </x:c>
      <x:c r="F1946" s="70" t="s">
        <x:v>1625</x:v>
      </x:c>
      <x:c r="G1946" s="70" t="s">
        <x:v>2997</x:v>
      </x:c>
      <x:c r="H1946" s="70" t="s">
        <x:v>1211</x:v>
      </x:c>
      <x:c r="I1946" s="70" t="s">
        <x:v>1218</x:v>
      </x:c>
      <x:c r="J1946" s="70" t="n">
        <x:v>230</x:v>
      </x:c>
      <x:c r="K1946" s="70" t="s">
        <x:v>3384</x:v>
      </x:c>
      <x:c r="L1946" s="70"/>
      <x:c r="M1946" s="70" t="s">
        <x:v>158</x:v>
      </x:c>
      <x:c r="N1946" s="70" t="n">
        <x:v>10</x:v>
      </x:c>
      <x:c r="O1946" s="70" t="n">
        <x:f aca="0">N1946</x:f>
        <x:v>10</x:v>
      </x:c>
      <x:c r="P1946" s="74" t="n">
        <x:f aca="0">FCCL!G127</x:f>
        <x:v>10</x:v>
      </x:c>
      <x:c r="Q1946" s="70" t="str">
        <x:f aca="0">IF(ABS(O1946-P1946)&lt;0.000001,"PASS","FAIL")</x:f>
        <x:v>PASS</x:v>
      </x:c>
      <x:c r="R1946" s="70" t="s">
        <x:v>28</x:v>
      </x:c>
      <x:c r="S1946" s="70" t="str">
        <x:v>Verified FY-end share basis; see Share Basis and Corporate Actions for source excerpts and normalization. Original source metadata superseded where the basis changed.</x:v>
      </x:c>
    </x:row>
    <x:row r="1947" ht="15" hidden="0">
      <x:c r="A1947" s="70" t="s">
        <x:v>3387</x:v>
      </x:c>
      <x:c r="B1947" s="70" t="s">
        <x:v>46</x:v>
      </x:c>
      <x:c r="C1947" s="70" t="s">
        <x:v>77</x:v>
      </x:c>
      <x:c r="D1947" s="70" t="s">
        <x:v>494</x:v>
      </x:c>
      <x:c r="E1947" s="70" t="s">
        <x:v>1221</x:v>
      </x:c>
      <x:c r="F1947" s="70" t="s">
        <x:v>1625</x:v>
      </x:c>
      <x:c r="G1947" s="70" t="s">
        <x:v>2999</x:v>
      </x:c>
      <x:c r="H1947" s="70" t="s">
        <x:v>1215</x:v>
      </x:c>
      <x:c r="I1947" s="70" t="s">
        <x:v>1218</x:v>
      </x:c>
      <x:c r="J1947" s="70" t="n">
        <x:v>285</x:v>
      </x:c>
      <x:c r="K1947" s="70" t="s">
        <x:v>1200</x:v>
      </x:c>
      <x:c r="L1947" s="70"/>
      <x:c r="M1947" s="70" t="s">
        <x:v>158</x:v>
      </x:c>
      <x:c r="N1947" s="70" t="n">
        <x:v>10</x:v>
      </x:c>
      <x:c r="O1947" s="70" t="n">
        <x:f aca="0">N1947</x:f>
        <x:v>10</x:v>
      </x:c>
      <x:c r="P1947" s="74" t="n">
        <x:f aca="0">FCCL!H127</x:f>
        <x:v>10</x:v>
      </x:c>
      <x:c r="Q1947" s="70" t="str">
        <x:f aca="0">IF(ABS(O1947-P1947)&lt;0.000001,"PASS","FAIL")</x:f>
        <x:v>PASS</x:v>
      </x:c>
      <x:c r="R1947" s="70" t="s">
        <x:v>28</x:v>
      </x:c>
      <x:c r="S1947" s="70" t="str">
        <x:v>Verified FY-end share basis; see Share Basis and Corporate Actions for source excerpts and normalization. Original source metadata superseded where the basis changed.</x:v>
      </x:c>
    </x:row>
    <x:row r="1948" ht="15" hidden="0">
      <x:c r="A1948" s="70" t="s">
        <x:v>3388</x:v>
      </x:c>
      <x:c r="B1948" s="70" t="s">
        <x:v>46</x:v>
      </x:c>
      <x:c r="C1948" s="70" t="s">
        <x:v>73</x:v>
      </x:c>
      <x:c r="D1948" s="70" t="s">
        <x:v>499</x:v>
      </x:c>
      <x:c r="E1948" s="70" t="s">
        <x:v>1221</x:v>
      </x:c>
      <x:c r="F1948" s="70" t="s">
        <x:v>1632</x:v>
      </x:c>
      <x:c r="G1948" s="70" t="str">
        <x:v>FCCL-Annual-Report-2021.pdf</x:v>
      </x:c>
      <x:c r="H1948" s="70" t="s">
        <x:v>1198</x:v>
      </x:c>
      <x:c r="I1948" s="70" t="s">
        <x:v>1218</x:v>
      </x:c>
      <x:c r="J1948" s="70" t="n">
        <x:v>201</x:v>
      </x:c>
      <x:c r="K1948" s="70" t="s">
        <x:v>3382</x:v>
      </x:c>
      <x:c r="L1948" s="70"/>
      <x:c r="M1948" s="70" t="s">
        <x:v>498</x:v>
      </x:c>
      <x:c r="N1948" s="70" t="n">
        <x:v>1379.815</x:v>
      </x:c>
      <x:c r="O1948" s="70" t="n">
        <x:f aca="0">N1948</x:f>
        <x:v>1379.815</x:v>
      </x:c>
      <x:c r="P1948" s="72" t="n">
        <x:f aca="0">FCCL!D129</x:f>
        <x:v>1379.815</x:v>
      </x:c>
      <x:c r="Q1948" s="70" t="str">
        <x:f aca="0">IF(ABS(O1948-P1948)&lt;0.000001,"PASS","FAIL")</x:f>
        <x:v>PASS</x:v>
      </x:c>
      <x:c r="R1948" s="70" t="s">
        <x:v>28</x:v>
      </x:c>
      <x:c r="S1948" s="70" t="str">
        <x:v>Verified FY-end share basis; see Share Basis and Corporate Actions for source excerpts and normalization. Original source metadata superseded where the basis changed.</x:v>
      </x:c>
    </x:row>
    <x:row r="1949" ht="15" hidden="0">
      <x:c r="A1949" s="70" t="s">
        <x:v>3389</x:v>
      </x:c>
      <x:c r="B1949" s="70" t="s">
        <x:v>46</x:v>
      </x:c>
      <x:c r="C1949" s="70" t="s">
        <x:v>74</x:v>
      </x:c>
      <x:c r="D1949" s="70" t="s">
        <x:v>499</x:v>
      </x:c>
      <x:c r="E1949" s="70" t="s">
        <x:v>1221</x:v>
      </x:c>
      <x:c r="F1949" s="70" t="s">
        <x:v>1632</x:v>
      </x:c>
      <x:c r="G1949" s="70" t="str">
        <x:v>FCCL-Annual-Report-2022.pdf</x:v>
      </x:c>
      <x:c r="H1949" s="70" t="s">
        <x:v>1204</x:v>
      </x:c>
      <x:c r="I1949" s="70" t="s">
        <x:v>1218</x:v>
      </x:c>
      <x:c r="J1949" s="70" t="n">
        <x:v>230</x:v>
      </x:c>
      <x:c r="K1949" s="70" t="s">
        <x:v>3384</x:v>
      </x:c>
      <x:c r="L1949" s="70"/>
      <x:c r="M1949" s="70" t="s">
        <x:v>498</x:v>
      </x:c>
      <x:c r="N1949" s="70" t="n">
        <x:v>2180.309</x:v>
      </x:c>
      <x:c r="O1949" s="70" t="n">
        <x:f aca="0">N1949</x:f>
        <x:v>2180.309</x:v>
      </x:c>
      <x:c r="P1949" s="72" t="n">
        <x:f aca="0">FCCL!E129</x:f>
        <x:v>2180.309</x:v>
      </x:c>
      <x:c r="Q1949" s="70" t="str">
        <x:f aca="0">IF(ABS(O1949-P1949)&lt;0.000001,"PASS","FAIL")</x:f>
        <x:v>PASS</x:v>
      </x:c>
      <x:c r="R1949" s="70" t="s">
        <x:v>28</x:v>
      </x:c>
      <x:c r="S1949" s="70" t="str">
        <x:v>Verified FY-end share basis; see Share Basis and Corporate Actions for source excerpts and normalization. Original source metadata superseded where the basis changed.</x:v>
      </x:c>
    </x:row>
    <x:row r="1950" ht="15" hidden="0">
      <x:c r="A1950" s="70" t="s">
        <x:v>3390</x:v>
      </x:c>
      <x:c r="B1950" s="70" t="s">
        <x:v>46</x:v>
      </x:c>
      <x:c r="C1950" s="70" t="s">
        <x:v>75</x:v>
      </x:c>
      <x:c r="D1950" s="70" t="s">
        <x:v>499</x:v>
      </x:c>
      <x:c r="E1950" s="70" t="s">
        <x:v>1221</x:v>
      </x:c>
      <x:c r="F1950" s="70" t="s">
        <x:v>1632</x:v>
      </x:c>
      <x:c r="G1950" s="70" t="str">
        <x:v>FCCL-Annual-Report-2023.pdf</x:v>
      </x:c>
      <x:c r="H1950" s="70" t="s">
        <x:v>1208</x:v>
      </x:c>
      <x:c r="I1950" s="70" t="s">
        <x:v>1218</x:v>
      </x:c>
      <x:c r="J1950" s="70" t="n">
        <x:v>251</x:v>
      </x:c>
      <x:c r="K1950" s="70" t="s">
        <x:v>2897</x:v>
      </x:c>
      <x:c r="L1950" s="70"/>
      <x:c r="M1950" s="70" t="s">
        <x:v>498</x:v>
      </x:c>
      <x:c r="N1950" s="70" t="n">
        <x:f>FCCL!F128</x:f>
        <x:v>2452.8476</x:v>
      </x:c>
      <x:c r="O1950" s="70" t="n">
        <x:f aca="0">N1950</x:f>
        <x:v>2452.8476</x:v>
      </x:c>
      <x:c r="P1950" s="72" t="n">
        <x:f aca="0">FCCL!F129</x:f>
        <x:v>2452.8476</x:v>
      </x:c>
      <x:c r="Q1950" s="70" t="str">
        <x:f aca="0">IF(ABS(O1950-P1950)&lt;0.000001,"PASS","FAIL")</x:f>
        <x:v>PASS</x:v>
      </x:c>
      <x:c r="R1950" s="70" t="s">
        <x:v>28</x:v>
      </x:c>
      <x:c r="S1950" s="70" t="str">
        <x:v>Verified FY-end share basis; see Share Basis and Corporate Actions for source excerpts and normalization. Original source metadata superseded where the basis changed.</x:v>
      </x:c>
    </x:row>
    <x:row r="1951" ht="15" hidden="0">
      <x:c r="A1951" s="70" t="s">
        <x:v>3391</x:v>
      </x:c>
      <x:c r="B1951" s="70" t="s">
        <x:v>46</x:v>
      </x:c>
      <x:c r="C1951" s="70" t="s">
        <x:v>76</x:v>
      </x:c>
      <x:c r="D1951" s="70" t="s">
        <x:v>499</x:v>
      </x:c>
      <x:c r="E1951" s="70" t="s">
        <x:v>1221</x:v>
      </x:c>
      <x:c r="F1951" s="70" t="s">
        <x:v>1632</x:v>
      </x:c>
      <x:c r="G1951" s="70" t="str">
        <x:v>FCCL-Annual-Report-2024.pdf</x:v>
      </x:c>
      <x:c r="H1951" s="70" t="s">
        <x:v>1211</x:v>
      </x:c>
      <x:c r="I1951" s="70" t="s">
        <x:v>1218</x:v>
      </x:c>
      <x:c r="J1951" s="70" t="n">
        <x:v>230</x:v>
      </x:c>
      <x:c r="K1951" s="70" t="s">
        <x:v>3384</x:v>
      </x:c>
      <x:c r="L1951" s="70"/>
      <x:c r="M1951" s="70" t="s">
        <x:v>498</x:v>
      </x:c>
      <x:c r="N1951" s="70" t="n">
        <x:v>2452.847</x:v>
      </x:c>
      <x:c r="O1951" s="70" t="n">
        <x:f aca="0">N1951</x:f>
        <x:v>2452.847</x:v>
      </x:c>
      <x:c r="P1951" s="72" t="n">
        <x:f aca="0">FCCL!G129</x:f>
        <x:v>2452.847</x:v>
      </x:c>
      <x:c r="Q1951" s="70" t="str">
        <x:f aca="0">IF(ABS(O1951-P1951)&lt;0.000001,"PASS","FAIL")</x:f>
        <x:v>PASS</x:v>
      </x:c>
      <x:c r="R1951" s="70" t="s">
        <x:v>28</x:v>
      </x:c>
      <x:c r="S1951" s="70" t="str">
        <x:v>Verified FY-end share basis; see Share Basis and Corporate Actions for source excerpts and normalization. Original source metadata superseded where the basis changed.</x:v>
      </x:c>
    </x:row>
    <x:row r="1952" ht="15" hidden="0">
      <x:c r="A1952" s="70" t="s">
        <x:v>3392</x:v>
      </x:c>
      <x:c r="B1952" s="70" t="s">
        <x:v>46</x:v>
      </x:c>
      <x:c r="C1952" s="70" t="s">
        <x:v>77</x:v>
      </x:c>
      <x:c r="D1952" s="70" t="s">
        <x:v>499</x:v>
      </x:c>
      <x:c r="E1952" s="70" t="s">
        <x:v>1221</x:v>
      </x:c>
      <x:c r="F1952" s="70" t="s">
        <x:v>1632</x:v>
      </x:c>
      <x:c r="G1952" s="70" t="str">
        <x:v>FCCL-Annual-Report-2025.pdf</x:v>
      </x:c>
      <x:c r="H1952" s="70" t="s">
        <x:v>1215</x:v>
      </x:c>
      <x:c r="I1952" s="70" t="s">
        <x:v>1218</x:v>
      </x:c>
      <x:c r="J1952" s="70" t="n">
        <x:v>285</x:v>
      </x:c>
      <x:c r="K1952" s="70" t="s">
        <x:v>1200</x:v>
      </x:c>
      <x:c r="L1952" s="70"/>
      <x:c r="M1952" s="70" t="s">
        <x:v>498</x:v>
      </x:c>
      <x:c r="N1952" s="70" t="n">
        <x:v>2452.847</x:v>
      </x:c>
      <x:c r="O1952" s="70" t="n">
        <x:f aca="0">N1952</x:f>
        <x:v>2452.847</x:v>
      </x:c>
      <x:c r="P1952" s="72" t="n">
        <x:f aca="0">FCCL!H129</x:f>
        <x:v>2452.847</x:v>
      </x:c>
      <x:c r="Q1952" s="70" t="str">
        <x:f aca="0">IF(ABS(O1952-P1952)&lt;0.000001,"PASS","FAIL")</x:f>
        <x:v>PASS</x:v>
      </x:c>
      <x:c r="R1952" s="70" t="s">
        <x:v>28</x:v>
      </x:c>
      <x:c r="S1952" s="70" t="str">
        <x:v>Verified FY-end share basis; see Share Basis and Corporate Actions for source excerpts and normalization. Original source metadata superseded where the basis changed.</x:v>
      </x:c>
    </x:row>
    <x:row r="1953" ht="15" hidden="0">
      <x:c r="A1953" s="70" t="s">
        <x:v>3393</x:v>
      </x:c>
      <x:c r="B1953" s="70" t="s">
        <x:v>46</x:v>
      </x:c>
      <x:c r="C1953" s="70" t="s">
        <x:v>73</x:v>
      </x:c>
      <x:c r="D1953" s="70" t="str">
        <x:v>Actual FY-end closing price (Rs; unadjusted)</x:v>
      </x:c>
      <x:c r="E1953" s="70" t="s">
        <x:v>1221</x:v>
      </x:c>
      <x:c r="F1953" s="70" t="str">
        <x:v>Official PSX historical CLOSE column</x:v>
      </x:c>
      <x:c r="G1953" s="70" t="str">
        <x:v>PSX historical response; hash and raw row on Price Evidence</x:v>
      </x:c>
      <x:c r="H1953" s="70" t="str">
        <x:v>https://dps.psx.com.pk/historical</x:v>
      </x:c>
      <x:c r="I1953" s="70" t="str">
        <x:v>POST date=2021-06-30</x:v>
      </x:c>
      <x:c r="J1953" s="70"/>
      <x:c r="K1953" s="70"/>
      <x:c r="L1953" s="70"/>
      <x:c r="M1953" s="70" t="s">
        <x:v>158</x:v>
      </x:c>
      <x:c r="N1953" s="70" t="n">
        <x:v>23</x:v>
      </x:c>
      <x:c r="O1953" s="70" t="n">
        <x:f aca="0">N1953</x:f>
        <x:v>23</x:v>
      </x:c>
      <x:c r="P1953" s="74" t="n">
        <x:f aca="0">FCCL!D130</x:f>
        <x:v>23</x:v>
      </x:c>
      <x:c r="Q1953" s="70" t="str">
        <x:f aca="0">IF(ABS(O1953-P1953)&lt;0.000001,"PASS","FAIL")</x:f>
        <x:v>PASS</x:v>
      </x:c>
      <x:c r="R1953" s="70" t="s">
        <x:v>28</x:v>
      </x:c>
      <x:c r="S1953" s="70" t="str">
        <x:v>Unadjusted traded close. No split factor applied to PSX price. Original report figure and date evidence preserved on PSX Prices / Price Evidence.</x:v>
      </x:c>
    </x:row>
    <x:row r="1954" ht="15" hidden="0">
      <x:c r="A1954" s="70" t="s">
        <x:v>3394</x:v>
      </x:c>
      <x:c r="B1954" s="70" t="s">
        <x:v>46</x:v>
      </x:c>
      <x:c r="C1954" s="70" t="s">
        <x:v>74</x:v>
      </x:c>
      <x:c r="D1954" s="70" t="str">
        <x:v>Actual FY-end closing price (Rs; unadjusted)</x:v>
      </x:c>
      <x:c r="E1954" s="70" t="s">
        <x:v>1221</x:v>
      </x:c>
      <x:c r="F1954" s="70" t="str">
        <x:v>Official PSX historical CLOSE column</x:v>
      </x:c>
      <x:c r="G1954" s="70" t="str">
        <x:v>PSX historical response; hash and raw row on Price Evidence</x:v>
      </x:c>
      <x:c r="H1954" s="70" t="str">
        <x:v>https://dps.psx.com.pk/historical</x:v>
      </x:c>
      <x:c r="I1954" s="70" t="str">
        <x:v>POST date=2022-06-30</x:v>
      </x:c>
      <x:c r="J1954" s="70"/>
      <x:c r="K1954" s="70"/>
      <x:c r="L1954" s="70"/>
      <x:c r="M1954" s="70" t="s">
        <x:v>158</x:v>
      </x:c>
      <x:c r="N1954" s="70" t="n">
        <x:v>14.17</x:v>
      </x:c>
      <x:c r="O1954" s="70" t="n">
        <x:f aca="0">N1954</x:f>
        <x:v>14.17</x:v>
      </x:c>
      <x:c r="P1954" s="74" t="n">
        <x:f aca="0">FCCL!E130</x:f>
        <x:v>14.17</x:v>
      </x:c>
      <x:c r="Q1954" s="70" t="str">
        <x:f aca="0">IF(ABS(O1954-P1954)&lt;0.000001,"PASS","FAIL")</x:f>
        <x:v>PASS</x:v>
      </x:c>
      <x:c r="R1954" s="70" t="s">
        <x:v>28</x:v>
      </x:c>
      <x:c r="S1954" s="70" t="str">
        <x:v>Unadjusted traded close. No split factor applied to PSX price. Original report figure and date evidence preserved on PSX Prices / Price Evidence.</x:v>
      </x:c>
    </x:row>
    <x:row r="1955" ht="15" hidden="0">
      <x:c r="A1955" s="70" t="s">
        <x:v>3395</x:v>
      </x:c>
      <x:c r="B1955" s="70" t="s">
        <x:v>46</x:v>
      </x:c>
      <x:c r="C1955" s="70" t="s">
        <x:v>75</x:v>
      </x:c>
      <x:c r="D1955" s="70" t="str">
        <x:v>Actual FY-end closing price (Rs; unadjusted)</x:v>
      </x:c>
      <x:c r="E1955" s="70" t="s">
        <x:v>1221</x:v>
      </x:c>
      <x:c r="F1955" s="70" t="str">
        <x:v>Official PSX historical CLOSE column</x:v>
      </x:c>
      <x:c r="G1955" s="70" t="str">
        <x:v>PSX historical response; hash and raw row on Price Evidence</x:v>
      </x:c>
      <x:c r="H1955" s="70" t="str">
        <x:v>https://dps.psx.com.pk/historical</x:v>
      </x:c>
      <x:c r="I1955" s="70" t="str">
        <x:v>POST date=2023-06-27</x:v>
      </x:c>
      <x:c r="J1955" s="70"/>
      <x:c r="K1955" s="70"/>
      <x:c r="L1955" s="70"/>
      <x:c r="M1955" s="70" t="s">
        <x:v>158</x:v>
      </x:c>
      <x:c r="N1955" s="70" t="n">
        <x:v>11.76</x:v>
      </x:c>
      <x:c r="O1955" s="70" t="n">
        <x:f aca="0">N1955</x:f>
        <x:v>11.76</x:v>
      </x:c>
      <x:c r="P1955" s="74" t="n">
        <x:f aca="0">FCCL!F130</x:f>
        <x:v>11.76</x:v>
      </x:c>
      <x:c r="Q1955" s="70" t="str">
        <x:f aca="0">IF(ABS(O1955-P1955)&lt;0.000001,"PASS","FAIL")</x:f>
        <x:v>PASS</x:v>
      </x:c>
      <x:c r="R1955" s="70" t="s">
        <x:v>28</x:v>
      </x:c>
      <x:c r="S1955" s="70" t="str">
        <x:v>Unadjusted traded close. No split factor applied to PSX price. Original report figure and date evidence preserved on PSX Prices / Price Evidence.</x:v>
      </x:c>
    </x:row>
    <x:row r="1956" ht="15" hidden="0">
      <x:c r="A1956" s="70" t="s">
        <x:v>3396</x:v>
      </x:c>
      <x:c r="B1956" s="70" t="s">
        <x:v>46</x:v>
      </x:c>
      <x:c r="C1956" s="70" t="s">
        <x:v>76</x:v>
      </x:c>
      <x:c r="D1956" s="70" t="str">
        <x:v>Actual FY-end closing price (Rs; unadjusted)</x:v>
      </x:c>
      <x:c r="E1956" s="70" t="s">
        <x:v>1221</x:v>
      </x:c>
      <x:c r="F1956" s="70" t="str">
        <x:v>Official PSX historical CLOSE column</x:v>
      </x:c>
      <x:c r="G1956" s="70" t="str">
        <x:v>PSX historical response; hash and raw row on Price Evidence</x:v>
      </x:c>
      <x:c r="H1956" s="70" t="str">
        <x:v>https://dps.psx.com.pk/historical</x:v>
      </x:c>
      <x:c r="I1956" s="70" t="str">
        <x:v>POST date=2024-06-28</x:v>
      </x:c>
      <x:c r="J1956" s="70"/>
      <x:c r="K1956" s="70"/>
      <x:c r="L1956" s="70"/>
      <x:c r="M1956" s="70" t="s">
        <x:v>158</x:v>
      </x:c>
      <x:c r="N1956" s="70" t="n">
        <x:v>22.91</x:v>
      </x:c>
      <x:c r="O1956" s="70" t="n">
        <x:f aca="0">N1956</x:f>
        <x:v>22.91</x:v>
      </x:c>
      <x:c r="P1956" s="74" t="n">
        <x:f aca="0">FCCL!G130</x:f>
        <x:v>22.91</x:v>
      </x:c>
      <x:c r="Q1956" s="70" t="str">
        <x:f aca="0">IF(ABS(O1956-P1956)&lt;0.000001,"PASS","FAIL")</x:f>
        <x:v>PASS</x:v>
      </x:c>
      <x:c r="R1956" s="70" t="s">
        <x:v>28</x:v>
      </x:c>
      <x:c r="S1956" s="70" t="str">
        <x:v>Unadjusted traded close. No split factor applied to PSX price. Original report figure and date evidence preserved on PSX Prices / Price Evidence.</x:v>
      </x:c>
    </x:row>
    <x:row r="1957" ht="15" hidden="0">
      <x:c r="A1957" s="70" t="s">
        <x:v>3397</x:v>
      </x:c>
      <x:c r="B1957" s="70" t="s">
        <x:v>46</x:v>
      </x:c>
      <x:c r="C1957" s="70" t="s">
        <x:v>77</x:v>
      </x:c>
      <x:c r="D1957" s="70" t="str">
        <x:v>Actual FY-end closing price (Rs; unadjusted)</x:v>
      </x:c>
      <x:c r="E1957" s="70" t="s">
        <x:v>1221</x:v>
      </x:c>
      <x:c r="F1957" s="70" t="str">
        <x:v>Official PSX historical CLOSE column</x:v>
      </x:c>
      <x:c r="G1957" s="70" t="str">
        <x:v>PSX historical response; hash and raw row on Price Evidence</x:v>
      </x:c>
      <x:c r="H1957" s="70" t="str">
        <x:v>https://dps.psx.com.pk/historical</x:v>
      </x:c>
      <x:c r="I1957" s="70" t="str">
        <x:v>POST date=2025-06-30</x:v>
      </x:c>
      <x:c r="J1957" s="70"/>
      <x:c r="K1957" s="70"/>
      <x:c r="L1957" s="70"/>
      <x:c r="M1957" s="70" t="s">
        <x:v>158</x:v>
      </x:c>
      <x:c r="N1957" s="70" t="n">
        <x:v>44.67</x:v>
      </x:c>
      <x:c r="O1957" s="70" t="n">
        <x:f aca="0">N1957</x:f>
        <x:v>44.67</x:v>
      </x:c>
      <x:c r="P1957" s="74" t="n">
        <x:f aca="0">FCCL!H130</x:f>
        <x:v>44.67</x:v>
      </x:c>
      <x:c r="Q1957" s="70" t="str">
        <x:f aca="0">IF(ABS(O1957-P1957)&lt;0.000001,"PASS","FAIL")</x:f>
        <x:v>PASS</x:v>
      </x:c>
      <x:c r="R1957" s="70" t="s">
        <x:v>28</x:v>
      </x:c>
      <x:c r="S1957" s="70" t="str">
        <x:v>Unadjusted traded close. No split factor applied to PSX price. Original report figure and date evidence preserved on PSX Prices / Price Evidence.</x:v>
      </x:c>
    </x:row>
    <x:row r="1958" ht="15" hidden="0">
      <x:c r="A1958" s="70" t="s">
        <x:v>3398</x:v>
      </x:c>
      <x:c r="B1958" s="70" t="s">
        <x:v>46</x:v>
      </x:c>
      <x:c r="C1958" s="70" t="s">
        <x:v>73</x:v>
      </x:c>
      <x:c r="D1958" s="70" t="s">
        <x:v>502</x:v>
      </x:c>
      <x:c r="E1958" s="70" t="s">
        <x:v>1221</x:v>
      </x:c>
      <x:c r="F1958" s="70" t="s">
        <x:v>1643</x:v>
      </x:c>
      <x:c r="G1958" s="70" t="s">
        <x:v>2999</x:v>
      </x:c>
      <x:c r="H1958" s="70" t="s">
        <x:v>1215</x:v>
      </x:c>
      <x:c r="I1958" s="70" t="s">
        <x:v>1199</x:v>
      </x:c>
      <x:c r="J1958" s="70" t="n">
        <x:v>216</x:v>
      </x:c>
      <x:c r="K1958" s="70" t="s">
        <x:v>1200</x:v>
      </x:c>
      <x:c r="L1958" s="70"/>
      <x:c r="M1958" s="70" t="s">
        <x:v>158</x:v>
      </x:c>
      <x:c r="N1958" s="70" t="n">
        <x:v>0</x:v>
      </x:c>
      <x:c r="O1958" s="70" t="n">
        <x:f aca="0">N1958</x:f>
        <x:v>0</x:v>
      </x:c>
      <x:c r="P1958" s="74" t="n">
        <x:f aca="0">FCCL!D131</x:f>
        <x:v>0</x:v>
      </x:c>
      <x:c r="Q1958" s="70" t="str">
        <x:f aca="0">IF(ABS(O1958-P1958)&lt;0.000001,"PASS","FAIL")</x:f>
        <x:v>PASS</x:v>
      </x:c>
      <x:c r="R1958" s="70" t="s">
        <x:v>28</x:v>
      </x:c>
      <x:c r="S1958" s="70" t="str">
        <x:v>Verified FY-end share basis; see Share Basis and Corporate Actions for source excerpts and normalization. Original source metadata superseded where the basis changed.</x:v>
      </x:c>
    </x:row>
    <x:row r="1959" ht="15" hidden="0">
      <x:c r="A1959" s="70" t="s">
        <x:v>3399</x:v>
      </x:c>
      <x:c r="B1959" s="70" t="s">
        <x:v>46</x:v>
      </x:c>
      <x:c r="C1959" s="70" t="s">
        <x:v>74</x:v>
      </x:c>
      <x:c r="D1959" s="70" t="s">
        <x:v>502</x:v>
      </x:c>
      <x:c r="E1959" s="70" t="s">
        <x:v>1221</x:v>
      </x:c>
      <x:c r="F1959" s="70" t="s">
        <x:v>1643</x:v>
      </x:c>
      <x:c r="G1959" s="70" t="s">
        <x:v>2999</x:v>
      </x:c>
      <x:c r="H1959" s="70" t="s">
        <x:v>1215</x:v>
      </x:c>
      <x:c r="I1959" s="70" t="s">
        <x:v>1199</x:v>
      </x:c>
      <x:c r="J1959" s="70" t="n">
        <x:v>216</x:v>
      </x:c>
      <x:c r="K1959" s="70" t="s">
        <x:v>1200</x:v>
      </x:c>
      <x:c r="L1959" s="70"/>
      <x:c r="M1959" s="70" t="s">
        <x:v>158</x:v>
      </x:c>
      <x:c r="N1959" s="70" t="n">
        <x:v>0</x:v>
      </x:c>
      <x:c r="O1959" s="70" t="n">
        <x:f aca="0">N1959</x:f>
        <x:v>0</x:v>
      </x:c>
      <x:c r="P1959" s="74" t="n">
        <x:f aca="0">FCCL!E131</x:f>
        <x:v>0</x:v>
      </x:c>
      <x:c r="Q1959" s="70" t="str">
        <x:f aca="0">IF(ABS(O1959-P1959)&lt;0.000001,"PASS","FAIL")</x:f>
        <x:v>PASS</x:v>
      </x:c>
      <x:c r="R1959" s="70" t="s">
        <x:v>28</x:v>
      </x:c>
      <x:c r="S1959" s="70" t="str">
        <x:v>Verified FY-end share basis; see Share Basis and Corporate Actions for source excerpts and normalization. Original source metadata superseded where the basis changed.</x:v>
      </x:c>
    </x:row>
    <x:row r="1960" ht="15" hidden="0">
      <x:c r="A1960" s="70" t="s">
        <x:v>3400</x:v>
      </x:c>
      <x:c r="B1960" s="70" t="s">
        <x:v>46</x:v>
      </x:c>
      <x:c r="C1960" s="70" t="s">
        <x:v>75</x:v>
      </x:c>
      <x:c r="D1960" s="70" t="s">
        <x:v>502</x:v>
      </x:c>
      <x:c r="E1960" s="70" t="s">
        <x:v>1221</x:v>
      </x:c>
      <x:c r="F1960" s="70" t="s">
        <x:v>1643</x:v>
      </x:c>
      <x:c r="G1960" s="70" t="s">
        <x:v>2999</x:v>
      </x:c>
      <x:c r="H1960" s="70" t="s">
        <x:v>1215</x:v>
      </x:c>
      <x:c r="I1960" s="70" t="s">
        <x:v>1199</x:v>
      </x:c>
      <x:c r="J1960" s="70" t="n">
        <x:v>216</x:v>
      </x:c>
      <x:c r="K1960" s="70" t="s">
        <x:v>1200</x:v>
      </x:c>
      <x:c r="L1960" s="70"/>
      <x:c r="M1960" s="70" t="s">
        <x:v>158</x:v>
      </x:c>
      <x:c r="N1960" s="70" t="n">
        <x:v>0</x:v>
      </x:c>
      <x:c r="O1960" s="70" t="n">
        <x:f aca="0">N1960</x:f>
        <x:v>0</x:v>
      </x:c>
      <x:c r="P1960" s="74" t="n">
        <x:f aca="0">FCCL!F131</x:f>
        <x:v>0</x:v>
      </x:c>
      <x:c r="Q1960" s="70" t="str">
        <x:f aca="0">IF(ABS(O1960-P1960)&lt;0.000001,"PASS","FAIL")</x:f>
        <x:v>PASS</x:v>
      </x:c>
      <x:c r="R1960" s="70" t="s">
        <x:v>28</x:v>
      </x:c>
      <x:c r="S1960" s="70" t="str">
        <x:v>Verified FY-end share basis; see Share Basis and Corporate Actions for source excerpts and normalization. Original source metadata superseded where the basis changed.</x:v>
      </x:c>
    </x:row>
    <x:row r="1961" ht="15" hidden="0">
      <x:c r="A1961" s="70" t="s">
        <x:v>3401</x:v>
      </x:c>
      <x:c r="B1961" s="70" t="s">
        <x:v>46</x:v>
      </x:c>
      <x:c r="C1961" s="70" t="s">
        <x:v>76</x:v>
      </x:c>
      <x:c r="D1961" s="70" t="s">
        <x:v>502</x:v>
      </x:c>
      <x:c r="E1961" s="70" t="s">
        <x:v>1221</x:v>
      </x:c>
      <x:c r="F1961" s="70" t="s">
        <x:v>1643</x:v>
      </x:c>
      <x:c r="G1961" s="70" t="s">
        <x:v>2999</x:v>
      </x:c>
      <x:c r="H1961" s="70" t="s">
        <x:v>1215</x:v>
      </x:c>
      <x:c r="I1961" s="70" t="s">
        <x:v>1199</x:v>
      </x:c>
      <x:c r="J1961" s="70" t="n">
        <x:v>216</x:v>
      </x:c>
      <x:c r="K1961" s="70" t="s">
        <x:v>1200</x:v>
      </x:c>
      <x:c r="L1961" s="70"/>
      <x:c r="M1961" s="70" t="s">
        <x:v>158</x:v>
      </x:c>
      <x:c r="N1961" s="70" t="n">
        <x:v>1</x:v>
      </x:c>
      <x:c r="O1961" s="70" t="n">
        <x:f aca="0">N1961</x:f>
        <x:v>1</x:v>
      </x:c>
      <x:c r="P1961" s="74" t="n">
        <x:f aca="0">FCCL!G131</x:f>
        <x:v>1</x:v>
      </x:c>
      <x:c r="Q1961" s="70" t="str">
        <x:f aca="0">IF(ABS(O1961-P1961)&lt;0.000001,"PASS","FAIL")</x:f>
        <x:v>PASS</x:v>
      </x:c>
      <x:c r="R1961" s="70" t="s">
        <x:v>28</x:v>
      </x:c>
      <x:c r="S1961" s="70" t="str">
        <x:v>Verified FY-end share basis; see Share Basis and Corporate Actions for source excerpts and normalization. Original source metadata superseded where the basis changed.</x:v>
      </x:c>
    </x:row>
    <x:row r="1962" ht="15" hidden="0">
      <x:c r="A1962" s="70" t="s">
        <x:v>3402</x:v>
      </x:c>
      <x:c r="B1962" s="70" t="s">
        <x:v>46</x:v>
      </x:c>
      <x:c r="C1962" s="70" t="s">
        <x:v>77</x:v>
      </x:c>
      <x:c r="D1962" s="70" t="s">
        <x:v>502</x:v>
      </x:c>
      <x:c r="E1962" s="70" t="s">
        <x:v>1221</x:v>
      </x:c>
      <x:c r="F1962" s="70" t="s">
        <x:v>1643</x:v>
      </x:c>
      <x:c r="G1962" s="70" t="s">
        <x:v>2999</x:v>
      </x:c>
      <x:c r="H1962" s="70" t="s">
        <x:v>1215</x:v>
      </x:c>
      <x:c r="I1962" s="70" t="s">
        <x:v>1218</x:v>
      </x:c>
      <x:c r="J1962" s="70" t="n">
        <x:v>216</x:v>
      </x:c>
      <x:c r="K1962" s="70" t="s">
        <x:v>1200</x:v>
      </x:c>
      <x:c r="L1962" s="70"/>
      <x:c r="M1962" s="70" t="s">
        <x:v>158</x:v>
      </x:c>
      <x:c r="N1962" s="70" t="n">
        <x:v>1.25</x:v>
      </x:c>
      <x:c r="O1962" s="70" t="n">
        <x:f aca="0">N1962</x:f>
        <x:v>1.25</x:v>
      </x:c>
      <x:c r="P1962" s="74" t="n">
        <x:f aca="0">FCCL!H131</x:f>
        <x:v>1.25</x:v>
      </x:c>
      <x:c r="Q1962" s="70" t="str">
        <x:f aca="0">IF(ABS(O1962-P1962)&lt;0.000001,"PASS","FAIL")</x:f>
        <x:v>PASS</x:v>
      </x:c>
      <x:c r="R1962" s="70" t="s">
        <x:v>28</x:v>
      </x:c>
      <x:c r="S1962" s="70" t="str">
        <x:v>Verified FY-end share basis; see Share Basis and Corporate Actions for source excerpts and normalization. Original source metadata superseded where the basis changed.</x:v>
      </x:c>
    </x:row>
    <x:row r="1963" ht="15" hidden="0">
      <x:c r="A1963" s="70" t="s">
        <x:v>3403</x:v>
      </x:c>
      <x:c r="B1963" s="70" t="s">
        <x:v>46</x:v>
      </x:c>
      <x:c r="C1963" s="70" t="s">
        <x:v>73</x:v>
      </x:c>
      <x:c r="D1963" s="70" t="s">
        <x:v>1649</x:v>
      </x:c>
      <x:c r="E1963" s="70" t="s">
        <x:v>1472</x:v>
      </x:c>
      <x:c r="F1963" s="70" t="s">
        <x:v>1650</x:v>
      </x:c>
      <x:c r="G1963" s="70" t="str">
        <x:v>FCCL-Annual-Report-2021.pdf</x:v>
      </x:c>
      <x:c r="H1963" s="70" t="s">
        <x:v>1198</x:v>
      </x:c>
      <x:c r="I1963" s="70" t="s">
        <x:v>1218</x:v>
      </x:c>
      <x:c r="J1963" s="70" t="n">
        <x:v>201</x:v>
      </x:c>
      <x:c r="K1963" s="70" t="s">
        <x:v>2091</x:v>
      </x:c>
      <x:c r="L1963" s="70"/>
      <x:c r="M1963" s="70" t="s">
        <x:v>158</x:v>
      </x:c>
      <x:c r="N1963" s="70" t="n">
        <x:v>2.52</x:v>
      </x:c>
      <x:c r="O1963" s="70" t="n">
        <x:f aca="0">N1963</x:f>
        <x:v>2.52</x:v>
      </x:c>
      <x:c r="P1963" s="74" t="n">
        <x:f aca="0">FCCL!D132</x:f>
        <x:v>2.52</x:v>
      </x:c>
      <x:c r="Q1963" s="70" t="str">
        <x:f aca="0">IF(ABS(O1963-P1963)&lt;0.000001,"PASS","FAIL")</x:f>
        <x:v>PASS</x:v>
      </x:c>
      <x:c r="R1963" s="70" t="s">
        <x:v>28</x:v>
      </x:c>
      <x:c r="S1963" s="70" t="str">
        <x:v>Verified FY-end share basis; see Share Basis and Corporate Actions for source excerpts and normalization. Original source metadata superseded where the basis changed.</x:v>
      </x:c>
    </x:row>
    <x:row r="1964" ht="15" hidden="0">
      <x:c r="A1964" s="70" t="s">
        <x:v>3404</x:v>
      </x:c>
      <x:c r="B1964" s="70" t="s">
        <x:v>46</x:v>
      </x:c>
      <x:c r="C1964" s="70" t="s">
        <x:v>74</x:v>
      </x:c>
      <x:c r="D1964" s="70" t="s">
        <x:v>1649</x:v>
      </x:c>
      <x:c r="E1964" s="70" t="s">
        <x:v>1472</x:v>
      </x:c>
      <x:c r="F1964" s="70" t="s">
        <x:v>1650</x:v>
      </x:c>
      <x:c r="G1964" s="70" t="str">
        <x:v>FCCL-Annual-Report-2022.pdf</x:v>
      </x:c>
      <x:c r="H1964" s="70" t="s">
        <x:v>1204</x:v>
      </x:c>
      <x:c r="I1964" s="70" t="s">
        <x:v>1218</x:v>
      </x:c>
      <x:c r="J1964" s="70" t="n">
        <x:v>230</x:v>
      </x:c>
      <x:c r="K1964" s="70" t="s">
        <x:v>2128</x:v>
      </x:c>
      <x:c r="L1964" s="70"/>
      <x:c r="M1964" s="70" t="s">
        <x:v>158</x:v>
      </x:c>
      <x:c r="N1964" s="70" t="n">
        <x:v>3.26</x:v>
      </x:c>
      <x:c r="O1964" s="70" t="n">
        <x:f aca="0">N1964</x:f>
        <x:v>3.26</x:v>
      </x:c>
      <x:c r="P1964" s="74" t="n">
        <x:f aca="0">FCCL!E132</x:f>
        <x:v>3.26</x:v>
      </x:c>
      <x:c r="Q1964" s="70" t="str">
        <x:f aca="0">IF(ABS(O1964-P1964)&lt;0.000001,"PASS","FAIL")</x:f>
        <x:v>PASS</x:v>
      </x:c>
      <x:c r="R1964" s="70" t="s">
        <x:v>28</x:v>
      </x:c>
      <x:c r="S1964" s="70" t="str">
        <x:v>Verified FY-end share basis; see Share Basis and Corporate Actions for source excerpts and normalization. Original source metadata superseded where the basis changed.</x:v>
      </x:c>
    </x:row>
    <x:row r="1965" ht="15" hidden="0">
      <x:c r="A1965" s="70" t="s">
        <x:v>3405</x:v>
      </x:c>
      <x:c r="B1965" s="70" t="s">
        <x:v>46</x:v>
      </x:c>
      <x:c r="C1965" s="70" t="s">
        <x:v>75</x:v>
      </x:c>
      <x:c r="D1965" s="70" t="s">
        <x:v>1649</x:v>
      </x:c>
      <x:c r="E1965" s="70" t="s">
        <x:v>1472</x:v>
      </x:c>
      <x:c r="F1965" s="70" t="s">
        <x:v>1650</x:v>
      </x:c>
      <x:c r="G1965" s="70" t="str">
        <x:v>FCCL-Annual-Report-2023.pdf</x:v>
      </x:c>
      <x:c r="H1965" s="70" t="s">
        <x:v>1208</x:v>
      </x:c>
      <x:c r="I1965" s="70" t="s">
        <x:v>1218</x:v>
      </x:c>
      <x:c r="J1965" s="70" t="n">
        <x:v>251</x:v>
      </x:c>
      <x:c r="K1965" s="70" t="s">
        <x:v>2460</x:v>
      </x:c>
      <x:c r="L1965" s="70"/>
      <x:c r="M1965" s="70" t="s">
        <x:v>158</x:v>
      </x:c>
      <x:c r="N1965" s="70" t="n">
        <x:v>3.16</x:v>
      </x:c>
      <x:c r="O1965" s="70" t="n">
        <x:f aca="0">N1965</x:f>
        <x:v>3.16</x:v>
      </x:c>
      <x:c r="P1965" s="74" t="n">
        <x:f aca="0">FCCL!F132</x:f>
        <x:v>3.16</x:v>
      </x:c>
      <x:c r="Q1965" s="70" t="str">
        <x:f aca="0">IF(ABS(O1965-P1965)&lt;0.000001,"PASS","FAIL")</x:f>
        <x:v>PASS</x:v>
      </x:c>
      <x:c r="R1965" s="70" t="s">
        <x:v>28</x:v>
      </x:c>
      <x:c r="S1965" s="70" t="str">
        <x:v>Verified FY-end share basis; see Share Basis and Corporate Actions for source excerpts and normalization. Original source metadata superseded where the basis changed.</x:v>
      </x:c>
    </x:row>
    <x:row r="1966" ht="15" hidden="0">
      <x:c r="A1966" s="70" t="s">
        <x:v>3406</x:v>
      </x:c>
      <x:c r="B1966" s="70" t="s">
        <x:v>46</x:v>
      </x:c>
      <x:c r="C1966" s="70" t="s">
        <x:v>76</x:v>
      </x:c>
      <x:c r="D1966" s="70" t="s">
        <x:v>1649</x:v>
      </x:c>
      <x:c r="E1966" s="70" t="s">
        <x:v>1472</x:v>
      </x:c>
      <x:c r="F1966" s="70" t="s">
        <x:v>1650</x:v>
      </x:c>
      <x:c r="G1966" s="70" t="str">
        <x:v>FCCL-Annual-Report-2024.pdf</x:v>
      </x:c>
      <x:c r="H1966" s="70" t="s">
        <x:v>1211</x:v>
      </x:c>
      <x:c r="I1966" s="70" t="s">
        <x:v>1218</x:v>
      </x:c>
      <x:c r="J1966" s="70" t="n">
        <x:v>230</x:v>
      </x:c>
      <x:c r="K1966" s="70" t="s">
        <x:v>2813</x:v>
      </x:c>
      <x:c r="L1966" s="70"/>
      <x:c r="M1966" s="70" t="s">
        <x:v>158</x:v>
      </x:c>
      <x:c r="N1966" s="70" t="n">
        <x:v>3.35</x:v>
      </x:c>
      <x:c r="O1966" s="70" t="n">
        <x:f aca="0">N1966</x:f>
        <x:v>3.35</x:v>
      </x:c>
      <x:c r="P1966" s="74" t="n">
        <x:f aca="0">FCCL!G132</x:f>
        <x:v>3.35</x:v>
      </x:c>
      <x:c r="Q1966" s="70" t="str">
        <x:f aca="0">IF(ABS(O1966-P1966)&lt;0.000001,"PASS","FAIL")</x:f>
        <x:v>PASS</x:v>
      </x:c>
      <x:c r="R1966" s="70" t="s">
        <x:v>28</x:v>
      </x:c>
      <x:c r="S1966" s="70" t="str">
        <x:v>Verified FY-end share basis; see Share Basis and Corporate Actions for source excerpts and normalization. Original source metadata superseded where the basis changed.</x:v>
      </x:c>
    </x:row>
    <x:row r="1967" ht="15" hidden="0">
      <x:c r="A1967" s="70" t="s">
        <x:v>3407</x:v>
      </x:c>
      <x:c r="B1967" s="70" t="s">
        <x:v>46</x:v>
      </x:c>
      <x:c r="C1967" s="70" t="s">
        <x:v>77</x:v>
      </x:c>
      <x:c r="D1967" s="70" t="s">
        <x:v>1649</x:v>
      </x:c>
      <x:c r="E1967" s="70" t="s">
        <x:v>1472</x:v>
      </x:c>
      <x:c r="F1967" s="70" t="s">
        <x:v>1650</x:v>
      </x:c>
      <x:c r="G1967" s="70" t="str">
        <x:v>FCCL-Annual-Report-2025.pdf</x:v>
      </x:c>
      <x:c r="H1967" s="70" t="s">
        <x:v>1215</x:v>
      </x:c>
      <x:c r="I1967" s="70" t="s">
        <x:v>1218</x:v>
      </x:c>
      <x:c r="J1967" s="70" t="n">
        <x:v>285</x:v>
      </x:c>
      <x:c r="K1967" s="70" t="s">
        <x:v>1200</x:v>
      </x:c>
      <x:c r="L1967" s="70"/>
      <x:c r="M1967" s="70" t="s">
        <x:v>158</x:v>
      </x:c>
      <x:c r="N1967" s="70" t="n">
        <x:v>5.43</x:v>
      </x:c>
      <x:c r="O1967" s="70" t="n">
        <x:f aca="0">N1967</x:f>
        <x:v>5.43</x:v>
      </x:c>
      <x:c r="P1967" s="74" t="n">
        <x:f aca="0">FCCL!H132</x:f>
        <x:v>5.43</x:v>
      </x:c>
      <x:c r="Q1967" s="70" t="str">
        <x:f aca="0">IF(ABS(O1967-P1967)&lt;0.000001,"PASS","FAIL")</x:f>
        <x:v>PASS</x:v>
      </x:c>
      <x:c r="R1967" s="70" t="s">
        <x:v>28</x:v>
      </x:c>
      <x:c r="S1967" s="70" t="str">
        <x:v>Verified FY-end share basis; see Share Basis and Corporate Actions for source excerpts and normalization. Original source metadata superseded where the basis changed.</x:v>
      </x:c>
    </x:row>
    <x:row r="1968" ht="15" hidden="0">
      <x:c r="A1968" s="70" t="s">
        <x:v>3408</x:v>
      </x:c>
      <x:c r="B1968" s="70" t="s">
        <x:v>46</x:v>
      </x:c>
      <x:c r="C1968" s="70" t="s">
        <x:v>73</x:v>
      </x:c>
      <x:c r="D1968" s="70" t="s">
        <x:v>1656</x:v>
      </x:c>
      <x:c r="E1968" s="70" t="s">
        <x:v>1221</x:v>
      </x:c>
      <x:c r="F1968" s="70" t="s">
        <x:v>1657</x:v>
      </x:c>
      <x:c r="G1968" s="70" t="s">
        <x:v>2999</x:v>
      </x:c>
      <x:c r="H1968" s="70" t="s">
        <x:v>1215</x:v>
      </x:c>
      <x:c r="I1968" s="70" t="s">
        <x:v>1199</x:v>
      </x:c>
      <x:c r="J1968" s="70" t="n">
        <x:v>216</x:v>
      </x:c>
      <x:c r="K1968" s="70" t="s">
        <x:v>1200</x:v>
      </x:c>
      <x:c r="L1968" s="70"/>
      <x:c r="M1968" s="70" t="s">
        <x:v>508</x:v>
      </x:c>
      <x:c r="N1968" s="70" t="n">
        <x:v>1</x:v>
      </x:c>
      <x:c r="O1968" s="70" t="n">
        <x:f aca="0">N1968</x:f>
        <x:v>1</x:v>
      </x:c>
      <x:c r="P1968" s="74" t="n">
        <x:f aca="0">FCCL!D134</x:f>
        <x:v>1</x:v>
      </x:c>
      <x:c r="Q1968" s="70" t="str">
        <x:f aca="0">IF(ABS(O1968-P1968)&lt;0.000001,"PASS","FAIL")</x:f>
        <x:v>PASS</x:v>
      </x:c>
      <x:c r="R1968" s="70" t="s">
        <x:v>28</x:v>
      </x:c>
      <x:c r="S1968" s="70" t="str">
        <x:v>Verified FY-end share basis; see Share Basis and Corporate Actions for source excerpts and normalization. Original source metadata superseded where the basis changed.</x:v>
      </x:c>
    </x:row>
    <x:row r="1969" ht="15" hidden="0">
      <x:c r="A1969" s="70" t="s">
        <x:v>3409</x:v>
      </x:c>
      <x:c r="B1969" s="70" t="s">
        <x:v>46</x:v>
      </x:c>
      <x:c r="C1969" s="70" t="s">
        <x:v>74</x:v>
      </x:c>
      <x:c r="D1969" s="70" t="s">
        <x:v>1656</x:v>
      </x:c>
      <x:c r="E1969" s="70" t="s">
        <x:v>1221</x:v>
      </x:c>
      <x:c r="F1969" s="70" t="s">
        <x:v>1657</x:v>
      </x:c>
      <x:c r="G1969" s="70" t="s">
        <x:v>2999</x:v>
      </x:c>
      <x:c r="H1969" s="70" t="s">
        <x:v>1215</x:v>
      </x:c>
      <x:c r="I1969" s="70" t="s">
        <x:v>1199</x:v>
      </x:c>
      <x:c r="J1969" s="70" t="n">
        <x:v>216</x:v>
      </x:c>
      <x:c r="K1969" s="70" t="s">
        <x:v>1200</x:v>
      </x:c>
      <x:c r="L1969" s="70"/>
      <x:c r="M1969" s="70" t="s">
        <x:v>508</x:v>
      </x:c>
      <x:c r="N1969" s="70" t="n">
        <x:v>1</x:v>
      </x:c>
      <x:c r="O1969" s="70" t="n">
        <x:f aca="0">N1969</x:f>
        <x:v>1</x:v>
      </x:c>
      <x:c r="P1969" s="74" t="n">
        <x:f aca="0">FCCL!E134</x:f>
        <x:v>1</x:v>
      </x:c>
      <x:c r="Q1969" s="70" t="str">
        <x:f aca="0">IF(ABS(O1969-P1969)&lt;0.000001,"PASS","FAIL")</x:f>
        <x:v>PASS</x:v>
      </x:c>
      <x:c r="R1969" s="70" t="s">
        <x:v>28</x:v>
      </x:c>
      <x:c r="S1969" s="70" t="str">
        <x:v>Verified FY-end share basis; see Share Basis and Corporate Actions for source excerpts and normalization. Original source metadata superseded where the basis changed.</x:v>
      </x:c>
    </x:row>
    <x:row r="1970" ht="15" hidden="0">
      <x:c r="A1970" s="70" t="s">
        <x:v>3410</x:v>
      </x:c>
      <x:c r="B1970" s="70" t="s">
        <x:v>46</x:v>
      </x:c>
      <x:c r="C1970" s="70" t="s">
        <x:v>75</x:v>
      </x:c>
      <x:c r="D1970" s="70" t="s">
        <x:v>1656</x:v>
      </x:c>
      <x:c r="E1970" s="70" t="s">
        <x:v>1221</x:v>
      </x:c>
      <x:c r="F1970" s="70" t="s">
        <x:v>1657</x:v>
      </x:c>
      <x:c r="G1970" s="70" t="s">
        <x:v>2999</x:v>
      </x:c>
      <x:c r="H1970" s="70" t="s">
        <x:v>1215</x:v>
      </x:c>
      <x:c r="I1970" s="70" t="s">
        <x:v>1199</x:v>
      </x:c>
      <x:c r="J1970" s="70" t="n">
        <x:v>216</x:v>
      </x:c>
      <x:c r="K1970" s="70" t="s">
        <x:v>1200</x:v>
      </x:c>
      <x:c r="L1970" s="70"/>
      <x:c r="M1970" s="70" t="s">
        <x:v>508</x:v>
      </x:c>
      <x:c r="N1970" s="70" t="n">
        <x:v>1</x:v>
      </x:c>
      <x:c r="O1970" s="70" t="n">
        <x:f aca="0">N1970</x:f>
        <x:v>1</x:v>
      </x:c>
      <x:c r="P1970" s="74" t="n">
        <x:f aca="0">FCCL!F134</x:f>
        <x:v>1</x:v>
      </x:c>
      <x:c r="Q1970" s="70" t="str">
        <x:f aca="0">IF(ABS(O1970-P1970)&lt;0.000001,"PASS","FAIL")</x:f>
        <x:v>PASS</x:v>
      </x:c>
      <x:c r="R1970" s="70" t="s">
        <x:v>28</x:v>
      </x:c>
      <x:c r="S1970" s="70" t="str">
        <x:v>Verified FY-end share basis; see Share Basis and Corporate Actions for source excerpts and normalization. Original source metadata superseded where the basis changed.</x:v>
      </x:c>
    </x:row>
    <x:row r="1971" ht="15" hidden="0">
      <x:c r="A1971" s="70" t="s">
        <x:v>3411</x:v>
      </x:c>
      <x:c r="B1971" s="70" t="s">
        <x:v>46</x:v>
      </x:c>
      <x:c r="C1971" s="70" t="s">
        <x:v>76</x:v>
      </x:c>
      <x:c r="D1971" s="70" t="s">
        <x:v>1656</x:v>
      </x:c>
      <x:c r="E1971" s="70" t="s">
        <x:v>1221</x:v>
      </x:c>
      <x:c r="F1971" s="70" t="s">
        <x:v>1657</x:v>
      </x:c>
      <x:c r="G1971" s="70" t="s">
        <x:v>2999</x:v>
      </x:c>
      <x:c r="H1971" s="70" t="s">
        <x:v>1215</x:v>
      </x:c>
      <x:c r="I1971" s="70" t="s">
        <x:v>1199</x:v>
      </x:c>
      <x:c r="J1971" s="70" t="n">
        <x:v>216</x:v>
      </x:c>
      <x:c r="K1971" s="70" t="s">
        <x:v>1200</x:v>
      </x:c>
      <x:c r="L1971" s="70"/>
      <x:c r="M1971" s="70" t="s">
        <x:v>508</x:v>
      </x:c>
      <x:c r="N1971" s="70" t="n">
        <x:v>1</x:v>
      </x:c>
      <x:c r="O1971" s="70" t="n">
        <x:f aca="0">N1971</x:f>
        <x:v>1</x:v>
      </x:c>
      <x:c r="P1971" s="74" t="n">
        <x:f aca="0">FCCL!G134</x:f>
        <x:v>1</x:v>
      </x:c>
      <x:c r="Q1971" s="70" t="str">
        <x:f aca="0">IF(ABS(O1971-P1971)&lt;0.000001,"PASS","FAIL")</x:f>
        <x:v>PASS</x:v>
      </x:c>
      <x:c r="R1971" s="70" t="s">
        <x:v>28</x:v>
      </x:c>
      <x:c r="S1971" s="70" t="str">
        <x:v>Verified FY-end share basis; see Share Basis and Corporate Actions for source excerpts and normalization. Original source metadata superseded where the basis changed.</x:v>
      </x:c>
    </x:row>
    <x:row r="1972" ht="15" hidden="0">
      <x:c r="A1972" s="70" t="s">
        <x:v>3412</x:v>
      </x:c>
      <x:c r="B1972" s="70" t="s">
        <x:v>46</x:v>
      </x:c>
      <x:c r="C1972" s="70" t="s">
        <x:v>77</x:v>
      </x:c>
      <x:c r="D1972" s="70" t="s">
        <x:v>1656</x:v>
      </x:c>
      <x:c r="E1972" s="70" t="s">
        <x:v>1221</x:v>
      </x:c>
      <x:c r="F1972" s="70" t="s">
        <x:v>1657</x:v>
      </x:c>
      <x:c r="G1972" s="70" t="s">
        <x:v>2999</x:v>
      </x:c>
      <x:c r="H1972" s="70" t="s">
        <x:v>1215</x:v>
      </x:c>
      <x:c r="I1972" s="70" t="s">
        <x:v>1218</x:v>
      </x:c>
      <x:c r="J1972" s="70" t="n">
        <x:v>216</x:v>
      </x:c>
      <x:c r="K1972" s="70" t="s">
        <x:v>1200</x:v>
      </x:c>
      <x:c r="L1972" s="70"/>
      <x:c r="M1972" s="70" t="s">
        <x:v>508</x:v>
      </x:c>
      <x:c r="N1972" s="70" t="n">
        <x:v>1</x:v>
      </x:c>
      <x:c r="O1972" s="70" t="n">
        <x:f aca="0">N1972</x:f>
        <x:v>1</x:v>
      </x:c>
      <x:c r="P1972" s="74" t="n">
        <x:f aca="0">FCCL!H134</x:f>
        <x:v>1</x:v>
      </x:c>
      <x:c r="Q1972" s="70" t="str">
        <x:f aca="0">IF(ABS(O1972-P1972)&lt;0.000001,"PASS","FAIL")</x:f>
        <x:v>PASS</x:v>
      </x:c>
      <x:c r="R1972" s="70" t="s">
        <x:v>28</x:v>
      </x:c>
      <x:c r="S1972" s="70" t="str">
        <x:v>Verified FY-end share basis; see Share Basis and Corporate Actions for source excerpts and normalization. Original source metadata superseded where the basis changed.</x:v>
      </x:c>
    </x:row>
  </x:sheetData>
  <x:mergeCells>
    <x:mergeCell ref="D57:I57"/>
    <x:mergeCell ref="D58:I58"/>
    <x:mergeCell ref="D59:I59"/>
    <x:mergeCell ref="D60:I60"/>
    <x:mergeCell ref="D61:I61"/>
    <x:mergeCell ref="D62:I62"/>
    <x:mergeCell ref="D63:I63"/>
    <x:mergeCell ref="D64:I64"/>
    <x:mergeCell ref="D65:I65"/>
    <x:mergeCell ref="D66:I66"/>
    <x:mergeCell ref="D67:I67"/>
    <x:mergeCell ref="D68:I68"/>
    <x:mergeCell ref="D69:I69"/>
    <x:mergeCell ref="D70:I70"/>
  </x:mergeCells>
  <x:pageMargins left="0.7" right="0.7" top="0.75" bottom="0.75" header="0.3" footer="0.3"/>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1" hidden="0" customWidth="1"/>
    <x:col min="2" max="2" width="11"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31" hidden="0" customWidth="1"/>
    <x:col min="11" max="11" width="56" hidden="0" customWidth="1"/>
    <x:col min="12" max="12" width="17" hidden="0" customWidth="1"/>
    <x:col min="13" max="13" width="17" hidden="0" customWidth="1"/>
    <x:col min="14" max="14" width="17" hidden="0" customWidth="1"/>
    <x:col min="15" max="15" width="17" hidden="0" customWidth="1"/>
  </x:cols>
  <x:sheetData>
    <x:row r="1" ht="24" customHeight="1">
      <x:c r="A1" s="76"/>
      <x:c r="B1" s="76"/>
      <x:c r="C1" s="76"/>
      <x:c r="D1" s="76"/>
      <x:c r="E1" s="76"/>
      <x:c r="F1" s="76"/>
      <x:c r="G1" s="76"/>
      <x:c r="H1" s="76"/>
      <x:c r="I1" s="76"/>
      <x:c r="J1" s="76"/>
      <x:c r="K1" s="76"/>
      <x:c r="L1" s="76"/>
      <x:c r="M1" s="76"/>
      <x:c r="N1" s="76"/>
      <x:c r="O1" s="76"/>
    </x:row>
    <x:row r="2" ht="24" customHeight="1">
      <x:c r="A2" s="77" t="str">
        <x:v>Verified FY-end PSX closing prices</x:v>
      </x:c>
      <x:c r="B2" s="76"/>
      <x:c r="C2" s="76"/>
      <x:c r="D2" s="76"/>
      <x:c r="E2" s="76"/>
      <x:c r="F2" s="76"/>
      <x:c r="G2" s="76"/>
      <x:c r="H2" s="76"/>
      <x:c r="I2" s="76"/>
      <x:c r="J2" s="76"/>
      <x:c r="K2" s="76"/>
      <x:c r="L2" s="76"/>
      <x:c r="M2" s="76"/>
      <x:c r="N2" s="76"/>
      <x:c r="O2" s="76"/>
    </x:row>
    <x:row r="3" ht="24" customHeight="1">
      <x:c r="A3" s="78" t="str">
        <x:v>25 unadjusted CLOSE observations. Report conversion is a cross-check only. The PSX price in column E is the market input. All dates are on or before 30 June.</x:v>
      </x:c>
      <x:c r="B3" s="76"/>
      <x:c r="C3" s="76"/>
      <x:c r="D3" s="76"/>
      <x:c r="E3" s="76"/>
      <x:c r="F3" s="76"/>
      <x:c r="G3" s="76"/>
      <x:c r="H3" s="76"/>
      <x:c r="I3" s="76"/>
      <x:c r="J3" s="76"/>
      <x:c r="K3" s="76"/>
      <x:c r="L3" s="76"/>
      <x:c r="M3" s="76"/>
      <x:c r="N3" s="76"/>
      <x:c r="O3" s="76"/>
    </x:row>
    <x:row r="4" ht="24" customHeight="1">
      <x:c r="A4" s="76"/>
      <x:c r="B4" s="76"/>
      <x:c r="C4" s="76"/>
      <x:c r="D4" s="76"/>
      <x:c r="E4" s="76"/>
      <x:c r="F4" s="76"/>
      <x:c r="G4" s="76"/>
      <x:c r="H4" s="76"/>
      <x:c r="I4" s="76"/>
      <x:c r="J4" s="76"/>
      <x:c r="K4" s="76"/>
      <x:c r="L4" s="76"/>
      <x:c r="M4" s="76"/>
      <x:c r="N4" s="76"/>
      <x:c r="O4" s="76"/>
    </x:row>
    <x:row r="5" ht="44" customHeight="1">
      <x:c r="A5" s="82" t="str">
        <x:v>Company</x:v>
      </x:c>
      <x:c r="B5" s="82" t="str">
        <x:v>FY</x:v>
      </x:c>
      <x:c r="C5" s="82" t="str">
        <x:v>FY-end</x:v>
      </x:c>
      <x:c r="D5" s="82" t="str">
        <x:v>Trading date</x:v>
      </x:c>
      <x:c r="E5" s="82" t="str">
        <x:v>PSX close (Rs)</x:v>
      </x:c>
      <x:c r="F5" s="82" t="str">
        <x:v>Report price (Rs)</x:v>
      </x:c>
      <x:c r="G5" s="82" t="str">
        <x:v>Report-to-date factor</x:v>
      </x:c>
      <x:c r="H5" s="82" t="str">
        <x:v>Report on date basis (Rs)</x:v>
      </x:c>
      <x:c r="I5" s="82" t="str">
        <x:v>PSX less report (Rs)</x:v>
      </x:c>
      <x:c r="J5" s="82" t="str">
        <x:v>Cross-check</x:v>
      </x:c>
      <x:c r="K5" s="82" t="str">
        <x:v>Session selection</x:v>
      </x:c>
      <x:c r="L5" s="82" t="str">
        <x:v>Report EPS (Rs)</x:v>
      </x:c>
      <x:c r="M5" s="82" t="str">
        <x:v>Report BVPS (Rs)</x:v>
      </x:c>
      <x:c r="N5" s="82" t="str">
        <x:v>Report DPS (Rs)</x:v>
      </x:c>
      <x:c r="O5" s="82" t="str">
        <x:v>Report WAVG (m)</x:v>
      </x:c>
    </x:row>
    <x:row r="6" ht="54" customHeight="1">
      <x:c r="A6" s="84" t="str">
        <x:v>KOHC</x:v>
      </x:c>
      <x:c r="B6" s="85" t="n">
        <x:v>2021</x:v>
      </x:c>
      <x:c r="C6" s="86" t="d">
        <x:v>2021-06-30T00:00:00.000Z</x:v>
      </x:c>
      <x:c r="D6" s="86" t="d">
        <x:v>2021-06-30T00:00:00.000Z</x:v>
      </x:c>
      <x:c r="E6" s="90" t="n">
        <x:v>206.49</x:v>
      </x:c>
      <x:c r="F6" s="90" t="n">
        <x:v>41.3</x:v>
      </x:c>
      <x:c r="G6" s="91" t="n">
        <x:v>5</x:v>
      </x:c>
      <x:c r="H6" s="88" t="n">
        <x:f>F6*G6</x:f>
        <x:v>206.5</x:v>
      </x:c>
      <x:c r="I6" s="88" t="n">
        <x:f>E6-H6</x:f>
        <x:v>-0.009999999999990905</x:v>
      </x:c>
      <x:c r="J6" s="98" t="str">
        <x:f>IF(ABS(I6)&lt;=G6*0.005+0.000001,"Agrees within report rounding","PSX / report discrepancy")</x:f>
        <x:v>Agrees within report rounding</x:v>
      </x:c>
      <x:c r="K6" s="98" t="str">
        <x:v>30 June trading session</x:v>
      </x:c>
      <x:c r="L6" s="96" t="n">
        <x:v>3.48</x:v>
      </x:c>
      <x:c r="M6" s="96" t="n">
        <x:v>22.13</x:v>
      </x:c>
      <x:c r="N6" s="96" t="n">
        <x:v>0</x:v>
      </x:c>
      <x:c r="O6" s="96" t="n">
        <x:v>1004.306485</x:v>
      </x:c>
    </x:row>
    <x:row r="7" ht="54" customHeight="1">
      <x:c r="A7" s="76" t="str">
        <x:v>KOHC</x:v>
      </x:c>
      <x:c r="B7" s="83" t="n">
        <x:v>2022</x:v>
      </x:c>
      <x:c r="C7" s="87" t="d">
        <x:v>2022-06-30T00:00:00.000Z</x:v>
      </x:c>
      <x:c r="D7" s="87" t="d">
        <x:v>2022-06-30T00:00:00.000Z</x:v>
      </x:c>
      <x:c r="E7" s="92" t="n">
        <x:v>130.13</x:v>
      </x:c>
      <x:c r="F7" s="92" t="n">
        <x:v>26.03</x:v>
      </x:c>
      <x:c r="G7" s="93" t="n">
        <x:v>5</x:v>
      </x:c>
      <x:c r="H7" s="89" t="n">
        <x:f>F7*G7</x:f>
        <x:v>130.15</x:v>
      </x:c>
      <x:c r="I7" s="89" t="n">
        <x:f>E7-H7</x:f>
        <x:v>-0.020000000000010232</x:v>
      </x:c>
      <x:c r="J7" s="99" t="str">
        <x:f>IF(ABS(I7)&lt;=G7*0.005+0.000001,"Agrees within report rounding","PSX / report discrepancy")</x:f>
        <x:v>Agrees within report rounding</x:v>
      </x:c>
      <x:c r="K7" s="99" t="str">
        <x:v>30 June trading session</x:v>
      </x:c>
      <x:c r="L7" s="97" t="n">
        <x:v>5</x:v>
      </x:c>
      <x:c r="M7" s="97" t="n">
        <x:v>27.13</x:v>
      </x:c>
      <x:c r="N7" s="97" t="n">
        <x:v>0</x:v>
      </x:c>
      <x:c r="O7" s="97" t="n">
        <x:v>1004.306485</x:v>
      </x:c>
    </x:row>
    <x:row r="8" ht="54" customHeight="1">
      <x:c r="A8" s="84" t="str">
        <x:v>KOHC</x:v>
      </x:c>
      <x:c r="B8" s="85" t="n">
        <x:v>2023</x:v>
      </x:c>
      <x:c r="C8" s="86" t="d">
        <x:v>2023-06-30T00:00:00.000Z</x:v>
      </x:c>
      <x:c r="D8" s="86" t="d">
        <x:v>2023-06-27T00:00:00.000Z</x:v>
      </x:c>
      <x:c r="E8" s="90" t="n">
        <x:v>173.47</x:v>
      </x:c>
      <x:c r="F8" s="90" t="n">
        <x:v>34.69</x:v>
      </x:c>
      <x:c r="G8" s="91" t="n">
        <x:v>5</x:v>
      </x:c>
      <x:c r="H8" s="88" t="n">
        <x:f>F8*G8</x:f>
        <x:v>173.45</x:v>
      </x:c>
      <x:c r="I8" s="88" t="n">
        <x:f>E8-H8</x:f>
        <x:v>0.020000000000010232</x:v>
      </x:c>
      <x:c r="J8" s="98" t="str">
        <x:f>IF(ABS(I8)&lt;=G8*0.005+0.000001,"Agrees within report rounding","PSX / report discrepancy")</x:f>
        <x:v>Agrees within report rounding</x:v>
      </x:c>
      <x:c r="K8" s="98" t="str">
        <x:v>No PSX trading records on 28–30 June; June symbol history ends 27 June.</x:v>
      </x:c>
      <x:c r="L8" s="96" t="n">
        <x:v>5.8</x:v>
      </x:c>
      <x:c r="M8" s="96" t="n">
        <x:v>32.47</x:v>
      </x:c>
      <x:c r="N8" s="96" t="n">
        <x:v>0</x:v>
      </x:c>
      <x:c r="O8" s="96" t="n">
        <x:v>1004.306485</x:v>
      </x:c>
    </x:row>
    <x:row r="9" ht="54" customHeight="1">
      <x:c r="A9" s="76" t="str">
        <x:v>KOHC</x:v>
      </x:c>
      <x:c r="B9" s="83" t="n">
        <x:v>2024</x:v>
      </x:c>
      <x:c r="C9" s="87" t="d">
        <x:v>2024-06-30T00:00:00.000Z</x:v>
      </x:c>
      <x:c r="D9" s="87" t="d">
        <x:v>2024-06-28T00:00:00.000Z</x:v>
      </x:c>
      <x:c r="E9" s="92" t="n">
        <x:v>250.43</x:v>
      </x:c>
      <x:c r="F9" s="92" t="n">
        <x:v>49</x:v>
      </x:c>
      <x:c r="G9" s="93" t="n">
        <x:v>5</x:v>
      </x:c>
      <x:c r="H9" s="89" t="n">
        <x:f>F9*G9</x:f>
        <x:v>245</x:v>
      </x:c>
      <x:c r="I9" s="89" t="n">
        <x:f>E9-H9</x:f>
        <x:v>5.430000000000007</x:v>
      </x:c>
      <x:c r="J9" s="99" t="str">
        <x:f>IF(ABS(I9)&lt;=G9*0.005+0.000001,"Agrees within report rounding","PSX / report discrepancy")</x:f>
        <x:v>PSX / report discrepancy</x:v>
      </x:c>
      <x:c r="K9" s="99" t="str">
        <x:v>30 June Sunday; 29 June Saturday. Last session 28 June.</x:v>
      </x:c>
      <x:c r="L9" s="97" t="n">
        <x:v>9.06</x:v>
      </x:c>
      <x:c r="M9" s="97" t="n">
        <x:v>41.84</x:v>
      </x:c>
      <x:c r="N9" s="97" t="n">
        <x:v>0</x:v>
      </x:c>
      <x:c r="O9" s="97" t="n">
        <x:v>982.175335</x:v>
      </x:c>
    </x:row>
    <x:row r="10" ht="54" customHeight="1">
      <x:c r="A10" s="84" t="str">
        <x:v>KOHC</x:v>
      </x:c>
      <x:c r="B10" s="85" t="n">
        <x:v>2025</x:v>
      </x:c>
      <x:c r="C10" s="86" t="d">
        <x:v>2025-06-30T00:00:00.000Z</x:v>
      </x:c>
      <x:c r="D10" s="86" t="d">
        <x:v>2025-06-30T00:00:00.000Z</x:v>
      </x:c>
      <x:c r="E10" s="90" t="n">
        <x:v>379.36</x:v>
      </x:c>
      <x:c r="F10" s="90" t="n">
        <x:v>75.67</x:v>
      </x:c>
      <x:c r="G10" s="91" t="n">
        <x:v>5</x:v>
      </x:c>
      <x:c r="H10" s="88" t="n">
        <x:f>F10*G10</x:f>
        <x:v>378.35</x:v>
      </x:c>
      <x:c r="I10" s="88" t="n">
        <x:f>E10-H10</x:f>
        <x:v>1.009999999999991</x:v>
      </x:c>
      <x:c r="J10" s="98" t="str">
        <x:f>IF(ABS(I10)&lt;=G10*0.005+0.000001,"Agrees within report rounding","PSX / report discrepancy")</x:f>
        <x:v>PSX / report discrepancy</x:v>
      </x:c>
      <x:c r="K10" s="98" t="str">
        <x:v>30 June trading session</x:v>
      </x:c>
      <x:c r="L10" s="96" t="n">
        <x:v>11.97</x:v>
      </x:c>
      <x:c r="M10" s="96" t="n">
        <x:v>49.58</x:v>
      </x:c>
      <x:c r="N10" s="96" t="n">
        <x:v>0</x:v>
      </x:c>
      <x:c r="O10" s="96" t="n">
        <x:v>967.1421</x:v>
      </x:c>
    </x:row>
    <x:row r="11" ht="54" customHeight="1">
      <x:c r="A11" s="76" t="str">
        <x:v>LUCK</x:v>
      </x:c>
      <x:c r="B11" s="83" t="n">
        <x:v>2021</x:v>
      </x:c>
      <x:c r="C11" s="87" t="d">
        <x:v>2021-06-30T00:00:00.000Z</x:v>
      </x:c>
      <x:c r="D11" s="87" t="d">
        <x:v>2021-06-30T00:00:00.000Z</x:v>
      </x:c>
      <x:c r="E11" s="92" t="n">
        <x:v>863.44</x:v>
      </x:c>
      <x:c r="F11" s="92" t="n">
        <x:v>172.69</x:v>
      </x:c>
      <x:c r="G11" s="93" t="n">
        <x:v>5</x:v>
      </x:c>
      <x:c r="H11" s="89" t="n">
        <x:f>F11*G11</x:f>
        <x:v>863.45</x:v>
      </x:c>
      <x:c r="I11" s="89" t="n">
        <x:f>E11-H11</x:f>
        <x:v>-0.009999999999990905</x:v>
      </x:c>
      <x:c r="J11" s="99" t="str">
        <x:f>IF(ABS(I11)&lt;=G11*0.005+0.000001,"Agrees within report rounding","PSX / report discrepancy")</x:f>
        <x:v>Agrees within report rounding</x:v>
      </x:c>
      <x:c r="K11" s="99" t="str">
        <x:v>30 June trading session</x:v>
      </x:c>
      <x:c r="L11" s="97" t="n">
        <x:v>8.7</x:v>
      </x:c>
      <x:c r="M11" s="97" t="n">
        <x:v>70.01</x:v>
      </x:c>
      <x:c r="N11" s="97" t="n">
        <x:v>0</x:v>
      </x:c>
      <x:c r="O11" s="97" t="n">
        <x:v>1616.875</x:v>
      </x:c>
    </x:row>
    <x:row r="12" ht="54" customHeight="1">
      <x:c r="A12" s="84" t="str">
        <x:v>LUCK</x:v>
      </x:c>
      <x:c r="B12" s="85" t="n">
        <x:v>2022</x:v>
      </x:c>
      <x:c r="C12" s="86" t="d">
        <x:v>2022-06-30T00:00:00.000Z</x:v>
      </x:c>
      <x:c r="D12" s="86" t="d">
        <x:v>2022-06-30T00:00:00.000Z</x:v>
      </x:c>
      <x:c r="E12" s="90" t="n">
        <x:v>459.04</x:v>
      </x:c>
      <x:c r="F12" s="90" t="n">
        <x:v>91.81</x:v>
      </x:c>
      <x:c r="G12" s="91" t="n">
        <x:v>5</x:v>
      </x:c>
      <x:c r="H12" s="88" t="n">
        <x:f>F12*G12</x:f>
        <x:v>459.05</x:v>
      </x:c>
      <x:c r="I12" s="88" t="n">
        <x:f>E12-H12</x:f>
        <x:v>-0.009999999999990905</x:v>
      </x:c>
      <x:c r="J12" s="98" t="str">
        <x:f>IF(ABS(I12)&lt;=G12*0.005+0.000001,"Agrees within report rounding","PSX / report discrepancy")</x:f>
        <x:v>Agrees within report rounding</x:v>
      </x:c>
      <x:c r="K12" s="98" t="str">
        <x:v>30 June trading session</x:v>
      </x:c>
      <x:c r="L12" s="96" t="n">
        <x:v>9.46</x:v>
      </x:c>
      <x:c r="M12" s="96" t="n">
        <x:v>79.5</x:v>
      </x:c>
      <x:c r="N12" s="96" t="n">
        <x:v>0</x:v>
      </x:c>
      <x:c r="O12" s="96" t="n">
        <x:v>1616.875</x:v>
      </x:c>
    </x:row>
    <x:row r="13" ht="54" customHeight="1">
      <x:c r="A13" s="76" t="str">
        <x:v>LUCK</x:v>
      </x:c>
      <x:c r="B13" s="83" t="n">
        <x:v>2023</x:v>
      </x:c>
      <x:c r="C13" s="87" t="d">
        <x:v>2023-06-30T00:00:00.000Z</x:v>
      </x:c>
      <x:c r="D13" s="87" t="d">
        <x:v>2023-06-27T00:00:00.000Z</x:v>
      </x:c>
      <x:c r="E13" s="92" t="n">
        <x:v>522.09</x:v>
      </x:c>
      <x:c r="F13" s="92" t="n">
        <x:v>104.42</x:v>
      </x:c>
      <x:c r="G13" s="93" t="n">
        <x:v>5</x:v>
      </x:c>
      <x:c r="H13" s="89" t="n">
        <x:f>F13*G13</x:f>
        <x:v>522.1</x:v>
      </x:c>
      <x:c r="I13" s="89" t="n">
        <x:f>E13-H13</x:f>
        <x:v>-0.009999999999990905</x:v>
      </x:c>
      <x:c r="J13" s="99" t="str">
        <x:f>IF(ABS(I13)&lt;=G13*0.005+0.000001,"Agrees within report rounding","PSX / report discrepancy")</x:f>
        <x:v>Agrees within report rounding</x:v>
      </x:c>
      <x:c r="K13" s="99" t="str">
        <x:v>No PSX trading records on 28–30 June; June symbol history ends 27 June.</x:v>
      </x:c>
      <x:c r="L13" s="97" t="n">
        <x:v>8.49</x:v>
      </x:c>
      <x:c r="M13" s="97" t="n">
        <x:v>87.67</x:v>
      </x:c>
      <x:c r="N13" s="97" t="n">
        <x:v>3.6</x:v>
      </x:c>
      <x:c r="O13" s="97" t="n">
        <x:v>1593.745</x:v>
      </x:c>
    </x:row>
    <x:row r="14" ht="54" customHeight="1">
      <x:c r="A14" s="84" t="str">
        <x:v>LUCK</x:v>
      </x:c>
      <x:c r="B14" s="85" t="n">
        <x:v>2024</x:v>
      </x:c>
      <x:c r="C14" s="86" t="d">
        <x:v>2024-06-30T00:00:00.000Z</x:v>
      </x:c>
      <x:c r="D14" s="86" t="d">
        <x:v>2024-06-28T00:00:00.000Z</x:v>
      </x:c>
      <x:c r="E14" s="90" t="n">
        <x:v>906.73</x:v>
      </x:c>
      <x:c r="F14" s="90" t="n">
        <x:v>181.35</x:v>
      </x:c>
      <x:c r="G14" s="91" t="n">
        <x:v>5</x:v>
      </x:c>
      <x:c r="H14" s="88" t="n">
        <x:f>F14*G14</x:f>
        <x:v>906.75</x:v>
      </x:c>
      <x:c r="I14" s="88" t="n">
        <x:f>E14-H14</x:f>
        <x:v>-0.01999999999998181</x:v>
      </x:c>
      <x:c r="J14" s="98" t="str">
        <x:f>IF(ABS(I14)&lt;=G14*0.005+0.000001,"Agrees within report rounding","PSX / report discrepancy")</x:f>
        <x:v>Agrees within report rounding</x:v>
      </x:c>
      <x:c r="K14" s="98" t="str">
        <x:v>30 June Sunday; 29 June Saturday. Last session 28 June.</x:v>
      </x:c>
      <x:c r="L14" s="96" t="n">
        <x:v>18.91</x:v>
      </x:c>
      <x:c r="M14" s="96" t="n">
        <x:v>100.86</x:v>
      </x:c>
      <x:c r="N14" s="96" t="n">
        <x:v>3</x:v>
      </x:c>
      <x:c r="O14" s="96" t="n">
        <x:v>1486.48</x:v>
      </x:c>
    </x:row>
    <x:row r="15" ht="54" customHeight="1">
      <x:c r="A15" s="76" t="str">
        <x:v>LUCK</x:v>
      </x:c>
      <x:c r="B15" s="83" t="n">
        <x:v>2025</x:v>
      </x:c>
      <x:c r="C15" s="87" t="d">
        <x:v>2025-06-30T00:00:00.000Z</x:v>
      </x:c>
      <x:c r="D15" s="87" t="d">
        <x:v>2025-06-30T00:00:00.000Z</x:v>
      </x:c>
      <x:c r="E15" s="92" t="n">
        <x:v>355.24</x:v>
      </x:c>
      <x:c r="F15" s="92" t="n">
        <x:v>355.24</x:v>
      </x:c>
      <x:c r="G15" s="93" t="n">
        <x:v>1</x:v>
      </x:c>
      <x:c r="H15" s="89" t="n">
        <x:f>F15*G15</x:f>
        <x:v>355.24</x:v>
      </x:c>
      <x:c r="I15" s="89" t="n">
        <x:f>E15-H15</x:f>
        <x:v>0</x:v>
      </x:c>
      <x:c r="J15" s="99" t="str">
        <x:f>IF(ABS(I15)&lt;=G15*0.005+0.000001,"Agrees within report rounding","PSX / report discrepancy")</x:f>
        <x:v>Agrees within report rounding</x:v>
      </x:c>
      <x:c r="K15" s="99" t="str">
        <x:v>30 June trading session</x:v>
      </x:c>
      <x:c r="L15" s="97" t="n">
        <x:v>22.59</x:v>
      </x:c>
      <x:c r="M15" s="97" t="n">
        <x:v>120.08</x:v>
      </x:c>
      <x:c r="N15" s="97" t="n">
        <x:v>4</x:v>
      </x:c>
      <x:c r="O15" s="97" t="n">
        <x:v>1465</x:v>
      </x:c>
    </x:row>
    <x:row r="16" ht="54" customHeight="1">
      <x:c r="A16" s="84" t="str">
        <x:v>DGKC</x:v>
      </x:c>
      <x:c r="B16" s="85" t="n">
        <x:v>2021</x:v>
      </x:c>
      <x:c r="C16" s="86" t="d">
        <x:v>2021-06-30T00:00:00.000Z</x:v>
      </x:c>
      <x:c r="D16" s="86" t="d">
        <x:v>2021-06-30T00:00:00.000Z</x:v>
      </x:c>
      <x:c r="E16" s="90" t="n">
        <x:v>117.92</x:v>
      </x:c>
      <x:c r="F16" s="90" t="n">
        <x:v>117.92</x:v>
      </x:c>
      <x:c r="G16" s="91" t="n">
        <x:v>1</x:v>
      </x:c>
      <x:c r="H16" s="88" t="n">
        <x:f>F16*G16</x:f>
        <x:v>117.92</x:v>
      </x:c>
      <x:c r="I16" s="88" t="n">
        <x:f>E16-H16</x:f>
        <x:v>0</x:v>
      </x:c>
      <x:c r="J16" s="98" t="str">
        <x:f>IF(ABS(I16)&lt;=G16*0.005+0.000001,"Agrees within report rounding","PSX / report discrepancy")</x:f>
        <x:v>Agrees within report rounding</x:v>
      </x:c>
      <x:c r="K16" s="98" t="str">
        <x:v>30 June trading session</x:v>
      </x:c>
      <x:c r="L16" s="96" t="n">
        <x:v>8.49</x:v>
      </x:c>
      <x:c r="M16" s="96" t="n">
        <x:v>167.71</x:v>
      </x:c>
      <x:c r="N16" s="96" t="n">
        <x:v>1</x:v>
      </x:c>
      <x:c r="O16" s="96" t="n">
        <x:v>438.119118</x:v>
      </x:c>
    </x:row>
    <x:row r="17" ht="54" customHeight="1">
      <x:c r="A17" s="76" t="str">
        <x:v>DGKC</x:v>
      </x:c>
      <x:c r="B17" s="83" t="n">
        <x:v>2022</x:v>
      </x:c>
      <x:c r="C17" s="87" t="d">
        <x:v>2022-06-30T00:00:00.000Z</x:v>
      </x:c>
      <x:c r="D17" s="87" t="d">
        <x:v>2022-06-30T00:00:00.000Z</x:v>
      </x:c>
      <x:c r="E17" s="92" t="n">
        <x:v>62.5</x:v>
      </x:c>
      <x:c r="F17" s="92" t="n">
        <x:v>62.5</x:v>
      </x:c>
      <x:c r="G17" s="93" t="n">
        <x:v>1</x:v>
      </x:c>
      <x:c r="H17" s="89" t="n">
        <x:f>F17*G17</x:f>
        <x:v>62.5</x:v>
      </x:c>
      <x:c r="I17" s="89" t="n">
        <x:f>E17-H17</x:f>
        <x:v>0</x:v>
      </x:c>
      <x:c r="J17" s="99" t="str">
        <x:f>IF(ABS(I17)&lt;=G17*0.005+0.000001,"Agrees within report rounding","PSX / report discrepancy")</x:f>
        <x:v>Agrees within report rounding</x:v>
      </x:c>
      <x:c r="K17" s="99" t="str">
        <x:v>30 June trading session</x:v>
      </x:c>
      <x:c r="L17" s="97" t="n">
        <x:v>6.78</x:v>
      </x:c>
      <x:c r="M17" s="97" t="n">
        <x:v>159.59</x:v>
      </x:c>
      <x:c r="N17" s="97" t="n">
        <x:v>1</x:v>
      </x:c>
      <x:c r="O17" s="97" t="n">
        <x:v>438.119118</x:v>
      </x:c>
    </x:row>
    <x:row r="18" ht="54" customHeight="1">
      <x:c r="A18" s="84" t="str">
        <x:v>DGKC</x:v>
      </x:c>
      <x:c r="B18" s="85" t="n">
        <x:v>2023</x:v>
      </x:c>
      <x:c r="C18" s="86" t="d">
        <x:v>2023-06-30T00:00:00.000Z</x:v>
      </x:c>
      <x:c r="D18" s="86" t="d">
        <x:v>2023-06-27T00:00:00.000Z</x:v>
      </x:c>
      <x:c r="E18" s="90" t="n">
        <x:v>51.3</x:v>
      </x:c>
      <x:c r="F18" s="90" t="n">
        <x:v>51.3</x:v>
      </x:c>
      <x:c r="G18" s="91" t="n">
        <x:v>1</x:v>
      </x:c>
      <x:c r="H18" s="88" t="n">
        <x:f>F18*G18</x:f>
        <x:v>51.3</x:v>
      </x:c>
      <x:c r="I18" s="88" t="n">
        <x:f>E18-H18</x:f>
        <x:v>0</x:v>
      </x:c>
      <x:c r="J18" s="98" t="str">
        <x:f>IF(ABS(I18)&lt;=G18*0.005+0.000001,"Agrees within report rounding","PSX / report discrepancy")</x:f>
        <x:v>Agrees within report rounding</x:v>
      </x:c>
      <x:c r="K18" s="98" t="str">
        <x:v>No PSX trading records on 28–30 June; June symbol history ends 27 June.</x:v>
      </x:c>
      <x:c r="L18" s="96" t="n">
        <x:v>-8.3</x:v>
      </x:c>
      <x:c r="M18" s="96" t="n">
        <x:v>146.52</x:v>
      </x:c>
      <x:c r="N18" s="96" t="n">
        <x:v>0</x:v>
      </x:c>
      <x:c r="O18" s="96" t="n">
        <x:v>438.119118</x:v>
      </x:c>
    </x:row>
    <x:row r="19" ht="54" customHeight="1">
      <x:c r="A19" s="76" t="str">
        <x:v>DGKC</x:v>
      </x:c>
      <x:c r="B19" s="83" t="n">
        <x:v>2024</x:v>
      </x:c>
      <x:c r="C19" s="87" t="d">
        <x:v>2024-06-30T00:00:00.000Z</x:v>
      </x:c>
      <x:c r="D19" s="87" t="d">
        <x:v>2024-06-28T00:00:00.000Z</x:v>
      </x:c>
      <x:c r="E19" s="92" t="n">
        <x:v>90.27</x:v>
      </x:c>
      <x:c r="F19" s="92" t="n">
        <x:v>90.27</x:v>
      </x:c>
      <x:c r="G19" s="93" t="n">
        <x:v>1</x:v>
      </x:c>
      <x:c r="H19" s="89" t="n">
        <x:f>F19*G19</x:f>
        <x:v>90.27</x:v>
      </x:c>
      <x:c r="I19" s="89" t="n">
        <x:f>E19-H19</x:f>
        <x:v>0</x:v>
      </x:c>
      <x:c r="J19" s="99" t="str">
        <x:f>IF(ABS(I19)&lt;=G19*0.005+0.000001,"Agrees within report rounding","PSX / report discrepancy")</x:f>
        <x:v>Agrees within report rounding</x:v>
      </x:c>
      <x:c r="K19" s="99" t="str">
        <x:v>30 June Sunday; 29 June Saturday. Last session 28 June.</x:v>
      </x:c>
      <x:c r="L19" s="97" t="n">
        <x:v>1.24</x:v>
      </x:c>
      <x:c r="M19" s="97" t="n">
        <x:v>173.12</x:v>
      </x:c>
      <x:c r="N19" s="97" t="n">
        <x:v>0</x:v>
      </x:c>
      <x:c r="O19" s="97" t="n">
        <x:v>438.119118</x:v>
      </x:c>
    </x:row>
    <x:row r="20" ht="54" customHeight="1">
      <x:c r="A20" s="84" t="str">
        <x:v>DGKC</x:v>
      </x:c>
      <x:c r="B20" s="85" t="n">
        <x:v>2025</x:v>
      </x:c>
      <x:c r="C20" s="86" t="d">
        <x:v>2025-06-30T00:00:00.000Z</x:v>
      </x:c>
      <x:c r="D20" s="86" t="d">
        <x:v>2025-06-30T00:00:00.000Z</x:v>
      </x:c>
      <x:c r="E20" s="90" t="n">
        <x:v>165.56</x:v>
      </x:c>
      <x:c r="F20" s="90" t="n">
        <x:v>165.56</x:v>
      </x:c>
      <x:c r="G20" s="91" t="n">
        <x:v>1</x:v>
      </x:c>
      <x:c r="H20" s="88" t="n">
        <x:f>F20*G20</x:f>
        <x:v>165.56</x:v>
      </x:c>
      <x:c r="I20" s="88" t="n">
        <x:f>E20-H20</x:f>
        <x:v>0</x:v>
      </x:c>
      <x:c r="J20" s="98" t="str">
        <x:f>IF(ABS(I20)&lt;=G20*0.005+0.000001,"Agrees within report rounding","PSX / report discrepancy")</x:f>
        <x:v>Agrees within report rounding</x:v>
      </x:c>
      <x:c r="K20" s="98" t="str">
        <x:v>30 June trading session</x:v>
      </x:c>
      <x:c r="L20" s="96" t="n">
        <x:v>19.8</x:v>
      </x:c>
      <x:c r="M20" s="96" t="n">
        <x:v>216.08</x:v>
      </x:c>
      <x:c r="N20" s="96" t="n">
        <x:v>2</x:v>
      </x:c>
      <x:c r="O20" s="96" t="n">
        <x:v>438.119118</x:v>
      </x:c>
    </x:row>
    <x:row r="21" ht="54" customHeight="1">
      <x:c r="A21" s="76" t="str">
        <x:v>MLCF</x:v>
      </x:c>
      <x:c r="B21" s="83" t="n">
        <x:v>2021</x:v>
      </x:c>
      <x:c r="C21" s="87" t="d">
        <x:v>2021-06-30T00:00:00.000Z</x:v>
      </x:c>
      <x:c r="D21" s="87" t="d">
        <x:v>2021-06-30T00:00:00.000Z</x:v>
      </x:c>
      <x:c r="E21" s="92" t="n">
        <x:v>46.98</x:v>
      </x:c>
      <x:c r="F21" s="92" t="n">
        <x:v>46.98</x:v>
      </x:c>
      <x:c r="G21" s="93" t="n">
        <x:v>1</x:v>
      </x:c>
      <x:c r="H21" s="89" t="n">
        <x:f>F21*G21</x:f>
        <x:v>46.98</x:v>
      </x:c>
      <x:c r="I21" s="89" t="n">
        <x:f>E21-H21</x:f>
        <x:v>0</x:v>
      </x:c>
      <x:c r="J21" s="99" t="str">
        <x:f>IF(ABS(I21)&lt;=G21*0.005+0.000001,"Agrees within report rounding","PSX / report discrepancy")</x:f>
        <x:v>Agrees within report rounding</x:v>
      </x:c>
      <x:c r="K21" s="99" t="str">
        <x:v>30 June trading session</x:v>
      </x:c>
      <x:c r="L21" s="97" t="n">
        <x:v>5.69</x:v>
      </x:c>
      <x:c r="M21" s="97" t="n">
        <x:v>34.18</x:v>
      </x:c>
      <x:c r="N21" s="97" t="n">
        <x:v>0</x:v>
      </x:c>
      <x:c r="O21" s="97" t="n">
        <x:v>1098.346</x:v>
      </x:c>
    </x:row>
    <x:row r="22" ht="54" customHeight="1">
      <x:c r="A22" s="84" t="str">
        <x:v>MLCF</x:v>
      </x:c>
      <x:c r="B22" s="85" t="n">
        <x:v>2022</x:v>
      </x:c>
      <x:c r="C22" s="86" t="d">
        <x:v>2022-06-30T00:00:00.000Z</x:v>
      </x:c>
      <x:c r="D22" s="86" t="d">
        <x:v>2022-06-30T00:00:00.000Z</x:v>
      </x:c>
      <x:c r="E22" s="90" t="n">
        <x:v>27.35</x:v>
      </x:c>
      <x:c r="F22" s="90" t="n">
        <x:v>27.35</x:v>
      </x:c>
      <x:c r="G22" s="91" t="n">
        <x:v>1</x:v>
      </x:c>
      <x:c r="H22" s="88" t="n">
        <x:f>F22*G22</x:f>
        <x:v>27.35</x:v>
      </x:c>
      <x:c r="I22" s="88" t="n">
        <x:f>E22-H22</x:f>
        <x:v>0</x:v>
      </x:c>
      <x:c r="J22" s="98" t="str">
        <x:f>IF(ABS(I22)&lt;=G22*0.005+0.000001,"Agrees within report rounding","PSX / report discrepancy")</x:f>
        <x:v>Agrees within report rounding</x:v>
      </x:c>
      <x:c r="K22" s="98" t="str">
        <x:v>30 June trading session</x:v>
      </x:c>
      <x:c r="L22" s="96" t="n">
        <x:v>3.3</x:v>
      </x:c>
      <x:c r="M22" s="96" t="n">
        <x:v>36.93</x:v>
      </x:c>
      <x:c r="N22" s="96" t="n">
        <x:v>0</x:v>
      </x:c>
      <x:c r="O22" s="96" t="n">
        <x:v>1097.524</x:v>
      </x:c>
    </x:row>
    <x:row r="23" ht="54" customHeight="1">
      <x:c r="A23" s="76" t="str">
        <x:v>MLCF</x:v>
      </x:c>
      <x:c r="B23" s="83" t="n">
        <x:v>2023</x:v>
      </x:c>
      <x:c r="C23" s="87" t="d">
        <x:v>2023-06-30T00:00:00.000Z</x:v>
      </x:c>
      <x:c r="D23" s="87" t="d">
        <x:v>2023-06-27T00:00:00.000Z</x:v>
      </x:c>
      <x:c r="E23" s="92" t="n">
        <x:v>28.33</x:v>
      </x:c>
      <x:c r="F23" s="92" t="n">
        <x:v>28.33</x:v>
      </x:c>
      <x:c r="G23" s="93" t="n">
        <x:v>1</x:v>
      </x:c>
      <x:c r="H23" s="89" t="n">
        <x:f>F23*G23</x:f>
        <x:v>28.33</x:v>
      </x:c>
      <x:c r="I23" s="89" t="n">
        <x:f>E23-H23</x:f>
        <x:v>0</x:v>
      </x:c>
      <x:c r="J23" s="99" t="str">
        <x:f>IF(ABS(I23)&lt;=G23*0.005+0.000001,"Agrees within report rounding","PSX / report discrepancy")</x:f>
        <x:v>Agrees within report rounding</x:v>
      </x:c>
      <x:c r="K23" s="99" t="str">
        <x:v>No PSX trading records on 28–30 June; June symbol history ends 27 June.</x:v>
      </x:c>
      <x:c r="L23" s="97" t="n">
        <x:v>4.18</x:v>
      </x:c>
      <x:c r="M23" s="97" t="n">
        <x:v>41.84</x:v>
      </x:c>
      <x:c r="N23" s="97" t="n">
        <x:v>0</x:v>
      </x:c>
      <x:c r="O23" s="97" t="n">
        <x:v>1073.405</x:v>
      </x:c>
    </x:row>
    <x:row r="24" ht="54" customHeight="1">
      <x:c r="A24" s="84" t="str">
        <x:v>MLCF</x:v>
      </x:c>
      <x:c r="B24" s="85" t="n">
        <x:v>2024</x:v>
      </x:c>
      <x:c r="C24" s="86" t="d">
        <x:v>2024-06-30T00:00:00.000Z</x:v>
      </x:c>
      <x:c r="D24" s="86" t="d">
        <x:v>2024-06-28T00:00:00.000Z</x:v>
      </x:c>
      <x:c r="E24" s="90" t="n">
        <x:v>38</x:v>
      </x:c>
      <x:c r="F24" s="90" t="n">
        <x:v>38</x:v>
      </x:c>
      <x:c r="G24" s="91" t="n">
        <x:v>1</x:v>
      </x:c>
      <x:c r="H24" s="88" t="n">
        <x:f>F24*G24</x:f>
        <x:v>38</x:v>
      </x:c>
      <x:c r="I24" s="88" t="n">
        <x:f>E24-H24</x:f>
        <x:v>0</x:v>
      </x:c>
      <x:c r="J24" s="98" t="str">
        <x:f>IF(ABS(I24)&lt;=G24*0.005+0.000001,"Agrees within report rounding","PSX / report discrepancy")</x:f>
        <x:v>Agrees within report rounding</x:v>
      </x:c>
      <x:c r="K24" s="98" t="str">
        <x:v>30 June Sunday; 29 June Saturday. Last session 28 June.</x:v>
      </x:c>
      <x:c r="L24" s="96" t="n">
        <x:v>4.98</x:v>
      </x:c>
      <x:c r="M24" s="96" t="n">
        <x:v>49.69</x:v>
      </x:c>
      <x:c r="N24" s="96" t="n">
        <x:v>0</x:v>
      </x:c>
      <x:c r="O24" s="96" t="n">
        <x:v>1058.911</x:v>
      </x:c>
    </x:row>
    <x:row r="25" ht="54" customHeight="1">
      <x:c r="A25" s="76" t="str">
        <x:v>MLCF</x:v>
      </x:c>
      <x:c r="B25" s="83" t="n">
        <x:v>2025</x:v>
      </x:c>
      <x:c r="C25" s="87" t="d">
        <x:v>2025-06-30T00:00:00.000Z</x:v>
      </x:c>
      <x:c r="D25" s="87" t="d">
        <x:v>2025-06-30T00:00:00.000Z</x:v>
      </x:c>
      <x:c r="E25" s="92" t="n">
        <x:v>84.28</x:v>
      </x:c>
      <x:c r="F25" s="92" t="n">
        <x:v>84.28</x:v>
      </x:c>
      <x:c r="G25" s="93" t="n">
        <x:v>1</x:v>
      </x:c>
      <x:c r="H25" s="89" t="n">
        <x:f>F25*G25</x:f>
        <x:v>84.28</x:v>
      </x:c>
      <x:c r="I25" s="89" t="n">
        <x:f>E25-H25</x:f>
        <x:v>0</x:v>
      </x:c>
      <x:c r="J25" s="99" t="str">
        <x:f>IF(ABS(I25)&lt;=G25*0.005+0.000001,"Agrees within report rounding","PSX / report discrepancy")</x:f>
        <x:v>Agrees within report rounding</x:v>
      </x:c>
      <x:c r="K25" s="99" t="str">
        <x:v>30 June trading session</x:v>
      </x:c>
      <x:c r="L25" s="97" t="n">
        <x:v>16.26</x:v>
      </x:c>
      <x:c r="M25" s="97" t="n">
        <x:v>68.22</x:v>
      </x:c>
      <x:c r="N25" s="97" t="n">
        <x:v>0</x:v>
      </x:c>
      <x:c r="O25" s="97" t="n">
        <x:v>1047.563</x:v>
      </x:c>
    </x:row>
    <x:row r="26" ht="54" customHeight="1">
      <x:c r="A26" s="84" t="str">
        <x:v>FCCL</x:v>
      </x:c>
      <x:c r="B26" s="85" t="n">
        <x:v>2021</x:v>
      </x:c>
      <x:c r="C26" s="86" t="d">
        <x:v>2021-06-30T00:00:00.000Z</x:v>
      </x:c>
      <x:c r="D26" s="86" t="d">
        <x:v>2021-06-30T00:00:00.000Z</x:v>
      </x:c>
      <x:c r="E26" s="90" t="n">
        <x:v>23</x:v>
      </x:c>
      <x:c r="F26" s="90" t="n">
        <x:v>23</x:v>
      </x:c>
      <x:c r="G26" s="91" t="n">
        <x:v>1</x:v>
      </x:c>
      <x:c r="H26" s="88" t="n">
        <x:f>F26*G26</x:f>
        <x:v>23</x:v>
      </x:c>
      <x:c r="I26" s="88" t="n">
        <x:f>E26-H26</x:f>
        <x:v>0</x:v>
      </x:c>
      <x:c r="J26" s="98" t="str">
        <x:f>IF(ABS(I26)&lt;=G26*0.005+0.000001,"Agrees within report rounding","PSX / report discrepancy")</x:f>
        <x:v>Agrees within report rounding</x:v>
      </x:c>
      <x:c r="K26" s="98" t="str">
        <x:v>30 June trading session</x:v>
      </x:c>
      <x:c r="L26" s="96" t="n">
        <x:v>2.52</x:v>
      </x:c>
      <x:c r="M26" s="96" t="n">
        <x:v>16.87</x:v>
      </x:c>
      <x:c r="N26" s="96" t="n">
        <x:v>0</x:v>
      </x:c>
      <x:c r="O26" s="96" t="n">
        <x:v>1379.815</x:v>
      </x:c>
    </x:row>
    <x:row r="27" ht="54" customHeight="1">
      <x:c r="A27" s="76" t="str">
        <x:v>FCCL</x:v>
      </x:c>
      <x:c r="B27" s="83" t="n">
        <x:v>2022</x:v>
      </x:c>
      <x:c r="C27" s="87" t="d">
        <x:v>2022-06-30T00:00:00.000Z</x:v>
      </x:c>
      <x:c r="D27" s="87" t="d">
        <x:v>2022-06-30T00:00:00.000Z</x:v>
      </x:c>
      <x:c r="E27" s="92" t="n">
        <x:v>14.17</x:v>
      </x:c>
      <x:c r="F27" s="92" t="n">
        <x:v>14.17</x:v>
      </x:c>
      <x:c r="G27" s="93" t="n">
        <x:v>1</x:v>
      </x:c>
      <x:c r="H27" s="89" t="n">
        <x:f>F27*G27</x:f>
        <x:v>14.17</x:v>
      </x:c>
      <x:c r="I27" s="89" t="n">
        <x:f>E27-H27</x:f>
        <x:v>0</x:v>
      </x:c>
      <x:c r="J27" s="99" t="str">
        <x:f>IF(ABS(I27)&lt;=G27*0.005+0.000001,"Agrees within report rounding","PSX / report discrepancy")</x:f>
        <x:v>Agrees within report rounding</x:v>
      </x:c>
      <x:c r="K27" s="99" t="str">
        <x:v>30 June trading session</x:v>
      </x:c>
      <x:c r="L27" s="97" t="n">
        <x:v>3.02</x:v>
      </x:c>
      <x:c r="M27" s="97" t="n">
        <x:v>26.48</x:v>
      </x:c>
      <x:c r="N27" s="97" t="n">
        <x:v>0</x:v>
      </x:c>
      <x:c r="O27" s="97" t="n">
        <x:v>2353.539</x:v>
      </x:c>
    </x:row>
    <x:row r="28" ht="54" customHeight="1">
      <x:c r="A28" s="84" t="str">
        <x:v>FCCL</x:v>
      </x:c>
      <x:c r="B28" s="85" t="n">
        <x:v>2023</x:v>
      </x:c>
      <x:c r="C28" s="86" t="d">
        <x:v>2023-06-30T00:00:00.000Z</x:v>
      </x:c>
      <x:c r="D28" s="86" t="d">
        <x:v>2023-06-27T00:00:00.000Z</x:v>
      </x:c>
      <x:c r="E28" s="90" t="n">
        <x:v>11.76</x:v>
      </x:c>
      <x:c r="F28" s="90" t="n">
        <x:v>11.76</x:v>
      </x:c>
      <x:c r="G28" s="91" t="n">
        <x:v>1</x:v>
      </x:c>
      <x:c r="H28" s="88" t="n">
        <x:f>F28*G28</x:f>
        <x:v>11.76</x:v>
      </x:c>
      <x:c r="I28" s="88" t="n">
        <x:f>E28-H28</x:f>
        <x:v>0</x:v>
      </x:c>
      <x:c r="J28" s="98" t="str">
        <x:f>IF(ABS(I28)&lt;=G28*0.005+0.000001,"Agrees within report rounding","PSX / report discrepancy")</x:f>
        <x:v>Agrees within report rounding</x:v>
      </x:c>
      <x:c r="K28" s="98" t="str">
        <x:v>No PSX trading records on 28–30 June; June symbol history ends 27 June.</x:v>
      </x:c>
      <x:c r="L28" s="96" t="n">
        <x:v>3.16</x:v>
      </x:c>
      <x:c r="M28" s="96" t="n">
        <x:v>26.57</x:v>
      </x:c>
      <x:c r="N28" s="96" t="n">
        <x:v>0</x:v>
      </x:c>
      <x:c r="O28" s="96" t="n">
        <x:v>2353.539</x:v>
      </x:c>
    </x:row>
    <x:row r="29" ht="54" customHeight="1">
      <x:c r="A29" s="76" t="str">
        <x:v>FCCL</x:v>
      </x:c>
      <x:c r="B29" s="83" t="n">
        <x:v>2024</x:v>
      </x:c>
      <x:c r="C29" s="87" t="d">
        <x:v>2024-06-30T00:00:00.000Z</x:v>
      </x:c>
      <x:c r="D29" s="87" t="d">
        <x:v>2024-06-28T00:00:00.000Z</x:v>
      </x:c>
      <x:c r="E29" s="92" t="n">
        <x:v>22.91</x:v>
      </x:c>
      <x:c r="F29" s="92" t="n">
        <x:v>22.91</x:v>
      </x:c>
      <x:c r="G29" s="93" t="n">
        <x:v>1</x:v>
      </x:c>
      <x:c r="H29" s="89" t="n">
        <x:f>F29*G29</x:f>
        <x:v>22.91</x:v>
      </x:c>
      <x:c r="I29" s="89" t="n">
        <x:f>E29-H29</x:f>
        <x:v>0</x:v>
      </x:c>
      <x:c r="J29" s="99" t="str">
        <x:f>IF(ABS(I29)&lt;=G29*0.005+0.000001,"Agrees within report rounding","PSX / report discrepancy")</x:f>
        <x:v>Agrees within report rounding</x:v>
      </x:c>
      <x:c r="K29" s="99" t="str">
        <x:v>30 June Sunday; 29 June Saturday. Last session 28 June.</x:v>
      </x:c>
      <x:c r="L29" s="97" t="n">
        <x:v>3.35</x:v>
      </x:c>
      <x:c r="M29" s="97" t="n">
        <x:v>29.92</x:v>
      </x:c>
      <x:c r="N29" s="97" t="n">
        <x:v>1</x:v>
      </x:c>
      <x:c r="O29" s="97" t="n">
        <x:v>2452.847</x:v>
      </x:c>
    </x:row>
    <x:row r="30" ht="54" customHeight="1">
      <x:c r="A30" s="84" t="str">
        <x:v>FCCL</x:v>
      </x:c>
      <x:c r="B30" s="85" t="n">
        <x:v>2025</x:v>
      </x:c>
      <x:c r="C30" s="86" t="d">
        <x:v>2025-06-30T00:00:00.000Z</x:v>
      </x:c>
      <x:c r="D30" s="86" t="d">
        <x:v>2025-06-30T00:00:00.000Z</x:v>
      </x:c>
      <x:c r="E30" s="90" t="n">
        <x:v>44.67</x:v>
      </x:c>
      <x:c r="F30" s="90" t="n">
        <x:v>44.67</x:v>
      </x:c>
      <x:c r="G30" s="91" t="n">
        <x:v>1</x:v>
      </x:c>
      <x:c r="H30" s="88" t="n">
        <x:f>F30*G30</x:f>
        <x:v>44.67</x:v>
      </x:c>
      <x:c r="I30" s="88" t="n">
        <x:f>E30-H30</x:f>
        <x:v>0</x:v>
      </x:c>
      <x:c r="J30" s="98" t="str">
        <x:f>IF(ABS(I30)&lt;=G30*0.005+0.000001,"Agrees within report rounding","PSX / report discrepancy")</x:f>
        <x:v>Agrees within report rounding</x:v>
      </x:c>
      <x:c r="K30" s="98" t="str">
        <x:v>30 June trading session</x:v>
      </x:c>
      <x:c r="L30" s="96" t="n">
        <x:v>5.43</x:v>
      </x:c>
      <x:c r="M30" s="96" t="n">
        <x:v>34.36</x:v>
      </x:c>
      <x:c r="N30" s="96" t="n">
        <x:v>1.25</x:v>
      </x:c>
      <x:c r="O30" s="96" t="n">
        <x:v>2452.847</x:v>
      </x:c>
    </x:row>
  </x:sheetData>
  <x:conditionalFormatting sqref="I6:I30">
    <x:cfRule type="cellIs" dxfId="0" priority="1" operator="greaterThan">
      <x:formula>0.03</x:formula>
    </x:cfRule>
  </x:conditionalFormatting>
  <x:pageMargins left="0.7" right="0.7" top="0.75" bottom="0.75" header="0.3" footer="0.3"/>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1" hidden="0" customWidth="1"/>
    <x:col min="2" max="2" width="11"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100" hidden="0" customWidth="1"/>
    <x:col min="19" max="19" width="17" hidden="0" customWidth="1"/>
    <x:col min="20" max="20" width="46" hidden="0" customWidth="1"/>
    <x:col min="21" max="21" width="90" hidden="0" customWidth="1"/>
  </x:cols>
  <x:sheetData>
    <x:row r="1" ht="24" customHeight="1">
      <x:c r="A1" s="76"/>
      <x:c r="B1" s="76"/>
      <x:c r="C1" s="76"/>
      <x:c r="D1" s="76"/>
      <x:c r="E1" s="76"/>
      <x:c r="F1" s="76"/>
      <x:c r="G1" s="76"/>
      <x:c r="H1" s="76"/>
      <x:c r="I1" s="76"/>
      <x:c r="J1" s="76"/>
      <x:c r="K1" s="76"/>
      <x:c r="L1" s="76"/>
      <x:c r="M1" s="76"/>
      <x:c r="N1" s="76"/>
      <x:c r="O1" s="76"/>
      <x:c r="P1" s="76"/>
      <x:c r="Q1" s="76"/>
      <x:c r="R1" s="76"/>
      <x:c r="S1" s="76"/>
      <x:c r="T1" s="76"/>
      <x:c r="U1" s="76"/>
    </x:row>
    <x:row r="2" ht="24" customHeight="1">
      <x:c r="A2" s="77" t="str">
        <x:v>Per-share basis and market ratio checks</x:v>
      </x:c>
      <x:c r="B2" s="76"/>
      <x:c r="C2" s="76"/>
      <x:c r="D2" s="76"/>
      <x:c r="E2" s="76"/>
      <x:c r="F2" s="76"/>
      <x:c r="G2" s="76"/>
      <x:c r="H2" s="76"/>
      <x:c r="I2" s="76"/>
      <x:c r="J2" s="76"/>
      <x:c r="K2" s="76"/>
      <x:c r="L2" s="76"/>
      <x:c r="M2" s="76"/>
      <x:c r="N2" s="76"/>
      <x:c r="O2" s="76"/>
      <x:c r="P2" s="76"/>
      <x:c r="Q2" s="76"/>
      <x:c r="R2" s="76"/>
      <x:c r="S2" s="76"/>
      <x:c r="T2" s="76"/>
      <x:c r="U2" s="76"/>
    </x:row>
    <x:row r="3" ht="24" customHeight="1">
      <x:c r="A3" s="78" t="str">
        <x:v>Prices stay on their actual trading basis. Company-published share-count anomalies remain visible. Source page numbers are PDF pages (1-based); EPS-note excerpts are on Price Evidence.</x:v>
      </x:c>
      <x:c r="B3" s="76"/>
      <x:c r="C3" s="76"/>
      <x:c r="D3" s="76"/>
      <x:c r="E3" s="76"/>
      <x:c r="F3" s="76"/>
      <x:c r="G3" s="76"/>
      <x:c r="H3" s="76"/>
      <x:c r="I3" s="76"/>
      <x:c r="J3" s="76"/>
      <x:c r="K3" s="76"/>
      <x:c r="L3" s="76"/>
      <x:c r="M3" s="76"/>
      <x:c r="N3" s="76"/>
      <x:c r="O3" s="76"/>
      <x:c r="P3" s="76"/>
      <x:c r="Q3" s="76"/>
      <x:c r="R3" s="76"/>
      <x:c r="S3" s="76"/>
      <x:c r="T3" s="76"/>
      <x:c r="U3" s="76"/>
    </x:row>
    <x:row r="4" ht="24" customHeight="1">
      <x:c r="A4" s="76"/>
      <x:c r="B4" s="76"/>
      <x:c r="C4" s="76"/>
      <x:c r="D4" s="76"/>
      <x:c r="E4" s="76"/>
      <x:c r="F4" s="76"/>
      <x:c r="G4" s="76"/>
      <x:c r="H4" s="76"/>
      <x:c r="I4" s="76"/>
      <x:c r="J4" s="76"/>
      <x:c r="K4" s="76"/>
      <x:c r="L4" s="76"/>
      <x:c r="M4" s="76"/>
      <x:c r="N4" s="76"/>
      <x:c r="O4" s="76"/>
      <x:c r="P4" s="76"/>
      <x:c r="Q4" s="76"/>
      <x:c r="R4" s="76"/>
      <x:c r="S4" s="76"/>
      <x:c r="T4" s="76"/>
      <x:c r="U4" s="76"/>
    </x:row>
    <x:row r="5" ht="44" customHeight="1">
      <x:c r="A5" s="82" t="str">
        <x:v>Company</x:v>
      </x:c>
      <x:c r="B5" s="82" t="str">
        <x:v>FY</x:v>
      </x:c>
      <x:c r="C5" s="82" t="str">
        <x:v>FY-end par (Rs)</x:v>
      </x:c>
      <x:c r="D5" s="82" t="str">
        <x:v>Report WAVG (m)</x:v>
      </x:c>
      <x:c r="E5" s="82" t="str">
        <x:v>Report share factor</x:v>
      </x:c>
      <x:c r="F5" s="82" t="str">
        <x:v>Applied WAVG (m)</x:v>
      </x:c>
      <x:c r="G5" s="82" t="str">
        <x:v>FY-end outstanding (m)</x:v>
      </x:c>
      <x:c r="H5" s="82" t="str">
        <x:v>Treasury (m)</x:v>
      </x:c>
      <x:c r="I5" s="82" t="str">
        <x:v>DPS on FY basis (Rs)</x:v>
      </x:c>
      <x:c r="J5" s="82" t="str">
        <x:v>Reported EPS (Rs)</x:v>
      </x:c>
      <x:c r="K5" s="82" t="str">
        <x:v>EPS factor to FY basis</x:v>
      </x:c>
      <x:c r="L5" s="82" t="str">
        <x:v>Calculated EPS (Rs)</x:v>
      </x:c>
      <x:c r="M5" s="82" t="str">
        <x:v>Report EPS on FY basis</x:v>
      </x:c>
      <x:c r="N5" s="82" t="str">
        <x:v>EPS difference (Rs)</x:v>
      </x:c>
      <x:c r="O5" s="82" t="str">
        <x:v>P/E</x:v>
      </x:c>
      <x:c r="P5" s="82" t="str">
        <x:v>Market-to-book</x:v>
      </x:c>
      <x:c r="Q5" s="82" t="str">
        <x:v>Dividend yield</x:v>
      </x:c>
      <x:c r="R5" s="82" t="str">
        <x:v>Basis review</x:v>
      </x:c>
      <x:c r="S5" s="82" t="str">
        <x:v>PDF page</x:v>
      </x:c>
      <x:c r="T5" s="82" t="str">
        <x:v>Source file</x:v>
      </x:c>
      <x:c r="U5" s="82" t="str">
        <x:v>Official source / index</x:v>
      </x:c>
    </x:row>
    <x:row r="6" ht="78" customHeight="1">
      <x:c r="A6" s="84" t="str">
        <x:v>KOHC</x:v>
      </x:c>
      <x:c r="B6" s="85" t="n">
        <x:v>2021</x:v>
      </x:c>
      <x:c r="C6" s="106" t="n">
        <x:v>10</x:v>
      </x:c>
      <x:c r="D6" s="102" t="n">
        <x:v>200.861297</x:v>
      </x:c>
      <x:c r="E6" s="85" t="n">
        <x:v>1</x:v>
      </x:c>
      <x:c r="F6" s="103" t="n">
        <x:f>KOHC!D129</x:f>
        <x:v>200.861297</x:v>
      </x:c>
      <x:c r="G6" s="103" t="n">
        <x:f>KOHC!D128</x:f>
        <x:v>200.86129699999998</x:v>
      </x:c>
      <x:c r="H6" s="103" t="n">
        <x:f>KOHC!D135</x:f>
        <x:v>0</x:v>
      </x:c>
      <x:c r="I6" s="108" t="n">
        <x:f>KOHC!D131</x:f>
        <x:v>0</x:v>
      </x:c>
      <x:c r="J6" s="109" t="n">
        <x:v>17.41</x:v>
      </x:c>
      <x:c r="K6" s="109" t="n">
        <x:v>1</x:v>
      </x:c>
      <x:c r="L6" s="108" t="n">
        <x:f>KOHC!D173</x:f>
        <x:v>17.412549352402124</x:v>
      </x:c>
      <x:c r="M6" s="109" t="n">
        <x:f>J6*K6</x:f>
        <x:v>17.41</x:v>
      </x:c>
      <x:c r="N6" s="109" t="n">
        <x:f>L6-M6</x:f>
        <x:v>0.002549352402123617</x:v>
      </x:c>
      <x:c r="O6" s="108" t="n">
        <x:f>KOHC!D174</x:f>
        <x:v>11.858688571154802</x:v>
      </x:c>
      <x:c r="P6" s="108" t="n">
        <x:f>KOHC!D172</x:f>
        <x:v>1.8663025958706099</x:v>
      </x:c>
      <x:c r="Q6" s="112" t="n">
        <x:f>KOHC!D175</x:f>
        <x:v>0</x:v>
      </x:c>
      <x:c r="R6" s="98" t="str">
        <x:v>Verified own-year EPS note. Price and per-share figures use the FY-end share basis.</x:v>
      </x:c>
      <x:c r="S6" s="85" t="n">
        <x:v>86</x:v>
      </x:c>
      <x:c r="T6" s="84" t="str">
        <x:v>KOHC_AR_2021.pdf</x:v>
      </x:c>
      <x:c r="U6" s="84" t="str">
        <x:v>https://www.kohatcement.com/pdf_files/reports/637671305090411851_KOHC_AR_2021.pdf</x:v>
      </x:c>
    </x:row>
    <x:row r="7" ht="78" customHeight="1">
      <x:c r="A7" s="76" t="str">
        <x:v>KOHC</x:v>
      </x:c>
      <x:c r="B7" s="83" t="n">
        <x:v>2022</x:v>
      </x:c>
      <x:c r="C7" s="107" t="n">
        <x:v>10</x:v>
      </x:c>
      <x:c r="D7" s="104" t="n">
        <x:v>200.861297</x:v>
      </x:c>
      <x:c r="E7" s="83" t="n">
        <x:v>1</x:v>
      </x:c>
      <x:c r="F7" s="105" t="n">
        <x:f>KOHC!E129</x:f>
        <x:v>200.861297</x:v>
      </x:c>
      <x:c r="G7" s="105" t="n">
        <x:f>KOHC!E128</x:f>
        <x:v>200.86129699999998</x:v>
      </x:c>
      <x:c r="H7" s="105" t="n">
        <x:f>KOHC!E135</x:f>
        <x:v>0</x:v>
      </x:c>
      <x:c r="I7" s="110" t="n">
        <x:f>KOHC!E131</x:f>
        <x:v>0</x:v>
      </x:c>
      <x:c r="J7" s="111" t="n">
        <x:v>25.01</x:v>
      </x:c>
      <x:c r="K7" s="111" t="n">
        <x:v>1</x:v>
      </x:c>
      <x:c r="L7" s="110" t="n">
        <x:f>KOHC!E173</x:f>
        <x:v>25.013680261160516</x:v>
      </x:c>
      <x:c r="M7" s="111" t="n">
        <x:f>J7*K7</x:f>
        <x:v>25.01</x:v>
      </x:c>
      <x:c r="N7" s="111" t="n">
        <x:f>L7-M7</x:f>
        <x:v>0.003680261160514675</x:v>
      </x:c>
      <x:c r="O7" s="110" t="n">
        <x:f>KOHC!E174</x:f>
        <x:v>5.202353217973155</x:v>
      </x:c>
      <x:c r="P7" s="110" t="n">
        <x:f>KOHC!E172</x:f>
        <x:v>0.959328683281757</x:v>
      </x:c>
      <x:c r="Q7" s="113" t="n">
        <x:f>KOHC!E175</x:f>
        <x:v>0</x:v>
      </x:c>
      <x:c r="R7" s="99" t="str">
        <x:v>Verified own-year EPS note. Price and per-share figures use the FY-end share basis.</x:v>
      </x:c>
      <x:c r="S7" s="83" t="n">
        <x:v>94</x:v>
      </x:c>
      <x:c r="T7" s="76" t="str">
        <x:v>Kohat_Cement_AR_2022.pdf</x:v>
      </x:c>
      <x:c r="U7" s="76" t="str">
        <x:v>https://www.kohatcement.com/pdf_files/reports/638034190382643789_Kohat_Cement_AR_2022.pdf</x:v>
      </x:c>
    </x:row>
    <x:row r="8" ht="78" customHeight="1">
      <x:c r="A8" s="84" t="str">
        <x:v>KOHC</x:v>
      </x:c>
      <x:c r="B8" s="85" t="n">
        <x:v>2023</x:v>
      </x:c>
      <x:c r="C8" s="106" t="n">
        <x:v>10</x:v>
      </x:c>
      <x:c r="D8" s="102" t="n">
        <x:v>200.861297</x:v>
      </x:c>
      <x:c r="E8" s="85" t="n">
        <x:v>1</x:v>
      </x:c>
      <x:c r="F8" s="103" t="n">
        <x:f>KOHC!F129</x:f>
        <x:v>200.861297</x:v>
      </x:c>
      <x:c r="G8" s="103" t="n">
        <x:f>KOHC!F128</x:f>
        <x:v>200.86129699999998</x:v>
      </x:c>
      <x:c r="H8" s="103" t="n">
        <x:f>KOHC!F135</x:f>
        <x:v>0</x:v>
      </x:c>
      <x:c r="I8" s="108" t="n">
        <x:f>KOHC!F131</x:f>
        <x:v>0</x:v>
      </x:c>
      <x:c r="J8" s="109" t="n">
        <x:v>28.98</x:v>
      </x:c>
      <x:c r="K8" s="109" t="n">
        <x:v>1</x:v>
      </x:c>
      <x:c r="L8" s="108" t="n">
        <x:f>KOHC!F173</x:f>
        <x:v>28.978958275869324</x:v>
      </x:c>
      <x:c r="M8" s="109" t="n">
        <x:f>J8*K8</x:f>
        <x:v>28.98</x:v>
      </x:c>
      <x:c r="N8" s="109" t="n">
        <x:f>L8-M8</x:f>
        <x:v>-0.0010417241306761582</x:v>
      </x:c>
      <x:c r="O8" s="108" t="n">
        <x:f>KOHC!F174</x:f>
        <x:v>5.986067488990722</x:v>
      </x:c>
      <x:c r="P8" s="108" t="n">
        <x:f>KOHC!F172</x:f>
        <x:v>1.0684870021034203</x:v>
      </x:c>
      <x:c r="Q8" s="112" t="n">
        <x:f>KOHC!F175</x:f>
        <x:v>0</x:v>
      </x:c>
      <x:c r="R8" s="98" t="str">
        <x:v>Verified own-year EPS note. Price and per-share figures use the FY-end share basis.</x:v>
      </x:c>
      <x:c r="S8" s="85" t="n">
        <x:v>92</x:v>
      </x:c>
      <x:c r="T8" s="84" t="str">
        <x:v>Financial_Statements-30-06-2023.pdf</x:v>
      </x:c>
      <x:c r="U8" s="84" t="str">
        <x:v>https://www.kohatcement.com/pdf_files/reports/638312334941931258_Financial_Statements-30-06-2023.pdf</x:v>
      </x:c>
    </x:row>
    <x:row r="9" ht="78" customHeight="1">
      <x:c r="A9" s="76" t="str">
        <x:v>KOHC</x:v>
      </x:c>
      <x:c r="B9" s="83" t="n">
        <x:v>2024</x:v>
      </x:c>
      <x:c r="C9" s="107" t="n">
        <x:v>10</x:v>
      </x:c>
      <x:c r="D9" s="104" t="n">
        <x:v>196.435067</x:v>
      </x:c>
      <x:c r="E9" s="83" t="n">
        <x:v>1</x:v>
      </x:c>
      <x:c r="F9" s="105" t="n">
        <x:f>KOHC!G129</x:f>
        <x:v>196.435067</x:v>
      </x:c>
      <x:c r="G9" s="105" t="n">
        <x:f>KOHC!G128</x:f>
        <x:v>195.86129699999998</x:v>
      </x:c>
      <x:c r="H9" s="105" t="n">
        <x:f>KOHC!G135</x:f>
        <x:v>0</x:v>
      </x:c>
      <x:c r="I9" s="110" t="n">
        <x:f>KOHC!G131</x:f>
        <x:v>0</x:v>
      </x:c>
      <x:c r="J9" s="111" t="n">
        <x:v>45.27</x:v>
      </x:c>
      <x:c r="K9" s="111" t="n">
        <x:v>1</x:v>
      </x:c>
      <x:c r="L9" s="110" t="n">
        <x:f>KOHC!G173</x:f>
        <x:v>45.27427267861498</x:v>
      </x:c>
      <x:c r="M9" s="111" t="n">
        <x:f>J9*K9</x:f>
        <x:v>45.27</x:v>
      </x:c>
      <x:c r="N9" s="111" t="n">
        <x:f>L9-M9</x:f>
        <x:v>0.004272678614974268</x:v>
      </x:c>
      <x:c r="O9" s="110" t="n">
        <x:f>KOHC!G174</x:f>
        <x:v>5.531397528519306</x:v>
      </x:c>
      <x:c r="P9" s="110" t="n">
        <x:f>KOHC!G172</x:f>
        <x:v>1.1937011482475721</x:v>
      </x:c>
      <x:c r="Q9" s="113" t="n">
        <x:f>KOHC!G175</x:f>
        <x:v>0</x:v>
      </x:c>
      <x:c r="R9" s="99" t="str">
        <x:v>Use own-year note 34.1: 196,435,067 shares. FY2025 comparative note prints conflicting 982,114,704 / 982,183,197 / 196,436,639 counts. Those conflicts are not resolved by an arbitrary adjustment.</x:v>
      </x:c>
      <x:c r="S9" s="83" t="n">
        <x:v>101</x:v>
      </x:c>
      <x:c r="T9" s="76" t="str">
        <x:v>Kohat_Cement_Annual_Report-2024.pdf</x:v>
      </x:c>
      <x:c r="U9" s="76" t="str">
        <x:v>https://www.kohatcement.com/pdf_files/reports/638627682528324242_Kohat_Cement_Annual_Report-2024.pdf</x:v>
      </x:c>
    </x:row>
    <x:row r="10" ht="78" customHeight="1">
      <x:c r="A10" s="84" t="str">
        <x:v>KOHC</x:v>
      </x:c>
      <x:c r="B10" s="85" t="n">
        <x:v>2025</x:v>
      </x:c>
      <x:c r="C10" s="106" t="n">
        <x:v>10</x:v>
      </x:c>
      <x:c r="D10" s="102" t="n">
        <x:v>967.142101</x:v>
      </x:c>
      <x:c r="E10" s="85" t="n">
        <x:v>5</x:v>
      </x:c>
      <x:c r="F10" s="103" t="n">
        <x:f>KOHC!H129</x:f>
        <x:v>193.42842</x:v>
      </x:c>
      <x:c r="G10" s="103" t="n">
        <x:f>KOHC!H128</x:f>
        <x:v>183.86129699999998</x:v>
      </x:c>
      <x:c r="H10" s="103" t="n">
        <x:f>KOHC!H135</x:f>
        <x:v>0</x:v>
      </x:c>
      <x:c r="I10" s="108" t="n">
        <x:f>KOHC!H131</x:f>
        <x:v>0</x:v>
      </x:c>
      <x:c r="J10" s="109" t="n">
        <x:v>11.97</x:v>
      </x:c>
      <x:c r="K10" s="109" t="n">
        <x:v>5</x:v>
      </x:c>
      <x:c r="L10" s="108" t="n">
        <x:f>KOHC!H173</x:f>
        <x:v>59.84205460086993</x:v>
      </x:c>
      <x:c r="M10" s="109" t="n">
        <x:f>J10*K10</x:f>
        <x:v>59.85</x:v>
      </x:c>
      <x:c r="N10" s="109" t="n">
        <x:f>L10-M10</x:f>
        <x:v>-0.007945399130072417</x:v>
      </x:c>
      <x:c r="O10" s="108" t="n">
        <x:f>KOHC!H174</x:f>
        <x:v>6.339354531361382</x:v>
      </x:c>
      <x:c r="P10" s="108" t="n">
        <x:f>KOHC!H172</x:f>
        <x:v>1.4544747850514033</x:v>
      </x:c>
      <x:c r="Q10" s="112" t="n">
        <x:f>KOHC!H175</x:f>
        <x:v>0</x:v>
      </x:c>
      <x:c r="R10" s="98" t="str">
        <x:v>FY2025 audited EPS is retrospectively split-adjusted. Use note 33.1.1 pre-split 193,428,420 weighted shares with the unadjusted June close. Split trading starts 25 August.</x:v>
      </x:c>
      <x:c r="S10" s="85" t="n">
        <x:v>109</x:v>
      </x:c>
      <x:c r="T10" s="84" t="str">
        <x:v>Kohat_Cement_Annual_Report_2025.pdf</x:v>
      </x:c>
      <x:c r="U10" s="84" t="str">
        <x:v>https://www.kohatcement.com/pdf_files/reports/638941365011906568_Kohat_Cement_Annual_Report_2025.pdf</x:v>
      </x:c>
    </x:row>
    <x:row r="11" ht="78" customHeight="1">
      <x:c r="A11" s="76" t="str">
        <x:v>LUCK</x:v>
      </x:c>
      <x:c r="B11" s="83" t="n">
        <x:v>2021</x:v>
      </x:c>
      <x:c r="C11" s="107" t="n">
        <x:v>10</x:v>
      </x:c>
      <x:c r="D11" s="104" t="n">
        <x:v>323.375</x:v>
      </x:c>
      <x:c r="E11" s="83" t="n">
        <x:v>1</x:v>
      </x:c>
      <x:c r="F11" s="105" t="n">
        <x:f>LUCK!D129</x:f>
        <x:v>323.375</x:v>
      </x:c>
      <x:c r="G11" s="105" t="n">
        <x:f>LUCK!D128</x:f>
        <x:v>323.375</x:v>
      </x:c>
      <x:c r="H11" s="105" t="n">
        <x:f>LUCK!D135</x:f>
        <x:v>0</x:v>
      </x:c>
      <x:c r="I11" s="110" t="n">
        <x:f>LUCK!D131</x:f>
        <x:v>0</x:v>
      </x:c>
      <x:c r="J11" s="111" t="n">
        <x:v>43.51</x:v>
      </x:c>
      <x:c r="K11" s="111" t="n">
        <x:v>1</x:v>
      </x:c>
      <x:c r="L11" s="110" t="n">
        <x:f>LUCK!D173</x:f>
        <x:v>43.51044143795904</x:v>
      </x:c>
      <x:c r="M11" s="111" t="n">
        <x:f>J11*K11</x:f>
        <x:v>43.51</x:v>
      </x:c>
      <x:c r="N11" s="111" t="n">
        <x:f>L11-M11</x:f>
        <x:v>0.00044143795904005856</x:v>
      </x:c>
      <x:c r="O11" s="110" t="n">
        <x:f>LUCK!D174</x:f>
        <x:v>19.844432082610968</x:v>
      </x:c>
      <x:c r="P11" s="110" t="n">
        <x:f>LUCK!D172</x:f>
        <x:v>2.4665571875286716</x:v>
      </x:c>
      <x:c r="Q11" s="113" t="n">
        <x:f>LUCK!D175</x:f>
        <x:v>0</x:v>
      </x:c>
      <x:c r="R11" s="99" t="str">
        <x:v>Verified own-year EPS note. Price and per-share figures use the FY-end share basis.</x:v>
      </x:c>
      <x:c r="S11" s="83" t="n">
        <x:v>222</x:v>
      </x:c>
      <x:c r="T11" s="76" t="str">
        <x:v>2021.pdf</x:v>
      </x:c>
      <x:c r="U11" s="76" t="str">
        <x:v>https://www.lucky-cement.com/investor-relations/downloads/financial-reports/</x:v>
      </x:c>
    </x:row>
    <x:row r="12" ht="78" customHeight="1">
      <x:c r="A12" s="84" t="str">
        <x:v>LUCK</x:v>
      </x:c>
      <x:c r="B12" s="85" t="n">
        <x:v>2022</x:v>
      </x:c>
      <x:c r="C12" s="106" t="n">
        <x:v>10</x:v>
      </x:c>
      <x:c r="D12" s="102" t="n">
        <x:v>323.375</x:v>
      </x:c>
      <x:c r="E12" s="85" t="n">
        <x:v>1</x:v>
      </x:c>
      <x:c r="F12" s="103" t="n">
        <x:f>LUCK!E129</x:f>
        <x:v>323.375</x:v>
      </x:c>
      <x:c r="G12" s="103" t="n">
        <x:f>LUCK!E128</x:f>
        <x:v>323.375</x:v>
      </x:c>
      <x:c r="H12" s="103" t="n">
        <x:f>LUCK!E135</x:f>
        <x:v>0</x:v>
      </x:c>
      <x:c r="I12" s="108" t="n">
        <x:f>LUCK!E131</x:f>
        <x:v>0</x:v>
      </x:c>
      <x:c r="J12" s="109" t="n">
        <x:v>47.31</x:v>
      </x:c>
      <x:c r="K12" s="109" t="n">
        <x:v>1</x:v>
      </x:c>
      <x:c r="L12" s="108" t="n">
        <x:f>LUCK!E173</x:f>
        <x:v>47.30921685349824</x:v>
      </x:c>
      <x:c r="M12" s="109" t="n">
        <x:f>J12*K12</x:f>
        <x:v>47.31</x:v>
      </x:c>
      <x:c r="N12" s="109" t="n">
        <x:f>L12-M12</x:f>
        <x:v>-0.0007831465017602568</x:v>
      </x:c>
      <x:c r="O12" s="108" t="n">
        <x:f>LUCK!E174</x:f>
        <x:v>9.702971863210132</x:v>
      </x:c>
      <x:c r="P12" s="108" t="n">
        <x:f>LUCK!E172</x:f>
        <x:v>1.154828736856148</x:v>
      </x:c>
      <x:c r="Q12" s="112" t="n">
        <x:f>LUCK!E175</x:f>
        <x:v>0</x:v>
      </x:c>
      <x:c r="R12" s="98" t="str">
        <x:v>Verified own-year EPS note. Price and per-share figures use the FY-end share basis.</x:v>
      </x:c>
      <x:c r="S12" s="85" t="n">
        <x:v>258</x:v>
      </x:c>
      <x:c r="T12" s="84" t="str">
        <x:v>2022.pdf</x:v>
      </x:c>
      <x:c r="U12" s="84" t="str">
        <x:v>https://www.lucky-cement.com/investor-relations/downloads/financial-reports/</x:v>
      </x:c>
    </x:row>
    <x:row r="13" ht="78" customHeight="1">
      <x:c r="A13" s="76" t="str">
        <x:v>LUCK</x:v>
      </x:c>
      <x:c r="B13" s="83" t="n">
        <x:v>2023</x:v>
      </x:c>
      <x:c r="C13" s="107" t="n">
        <x:v>10</x:v>
      </x:c>
      <x:c r="D13" s="104" t="n">
        <x:v>318.749</x:v>
      </x:c>
      <x:c r="E13" s="83" t="n">
        <x:v>1</x:v>
      </x:c>
      <x:c r="F13" s="105" t="n">
        <x:f>LUCK!F129</x:f>
        <x:v>318.749</x:v>
      </x:c>
      <x:c r="G13" s="105" t="n">
        <x:f>LUCK!F128</x:f>
        <x:v>311.8386</x:v>
      </x:c>
      <x:c r="H13" s="105" t="n">
        <x:f>LUCK!F135</x:f>
        <x:v>0</x:v>
      </x:c>
      <x:c r="I13" s="110" t="n">
        <x:f>LUCK!F131</x:f>
        <x:v>18</x:v>
      </x:c>
      <x:c r="J13" s="111" t="n">
        <x:v>43.06</x:v>
      </x:c>
      <x:c r="K13" s="111" t="n">
        <x:v>1</x:v>
      </x:c>
      <x:c r="L13" s="110" t="n">
        <x:f>LUCK!F173</x:f>
        <x:v>43.06151234984266</x:v>
      </x:c>
      <x:c r="M13" s="111" t="n">
        <x:f>J13*K13</x:f>
        <x:v>43.06</x:v>
      </x:c>
      <x:c r="N13" s="111" t="n">
        <x:f>L13-M13</x:f>
        <x:v>0.0015123498426561355</x:v>
      </x:c>
      <x:c r="O13" s="110" t="n">
        <x:f>LUCK!F174</x:f>
        <x:v>12.124283879265743</x:v>
      </x:c>
      <x:c r="P13" s="110" t="n">
        <x:f>LUCK!F172</x:f>
        <x:v>1.185209064075864</x:v>
      </x:c>
      <x:c r="Q13" s="113" t="n">
        <x:f>LUCK!F175</x:f>
        <x:v>0.034476814342354764</x:v>
      </x:c>
      <x:c r="R13" s="99" t="str">
        <x:v>Own-year note 36: 318.749m weighted shares, EPS 43.06. FY2025 summary prints split-basis EPS 8.49, which differs from 43.06 / 5. Use the audited own-year EPS denominator; summary discrepancy remains unresolved.</x:v>
      </x:c>
      <x:c r="S13" s="83" t="n">
        <x:v>266</x:v>
      </x:c>
      <x:c r="T13" s="76" t="str">
        <x:v>2023.pdf</x:v>
      </x:c>
      <x:c r="U13" s="76" t="str">
        <x:v>https://www.lucky-cement.com/investor-relations/downloads/financial-reports/</x:v>
      </x:c>
    </x:row>
    <x:row r="14" ht="78" customHeight="1">
      <x:c r="A14" s="84" t="str">
        <x:v>LUCK</x:v>
      </x:c>
      <x:c r="B14" s="85" t="n">
        <x:v>2024</x:v>
      </x:c>
      <x:c r="C14" s="106" t="n">
        <x:v>10</x:v>
      </x:c>
      <x:c r="D14" s="102" t="n">
        <x:v>297.296</x:v>
      </x:c>
      <x:c r="E14" s="85" t="n">
        <x:v>1</x:v>
      </x:c>
      <x:c r="F14" s="103" t="n">
        <x:f>LUCK!G129</x:f>
        <x:v>297.296</x:v>
      </x:c>
      <x:c r="G14" s="103" t="n">
        <x:f>LUCK!G128</x:f>
        <x:v>293</x:v>
      </x:c>
      <x:c r="H14" s="103" t="n">
        <x:f>LUCK!G135</x:f>
        <x:v>0</x:v>
      </x:c>
      <x:c r="I14" s="108" t="n">
        <x:f>LUCK!G131</x:f>
        <x:v>15</x:v>
      </x:c>
      <x:c r="J14" s="109" t="n">
        <x:v>94.54</x:v>
      </x:c>
      <x:c r="K14" s="109" t="n">
        <x:v>1</x:v>
      </x:c>
      <x:c r="L14" s="108" t="n">
        <x:f>LUCK!G173</x:f>
        <x:v>94.54058917711643</x:v>
      </x:c>
      <x:c r="M14" s="109" t="n">
        <x:f>J14*K14</x:f>
        <x:v>94.54</x:v>
      </x:c>
      <x:c r="N14" s="109" t="n">
        <x:f>L14-M14</x:f>
        <x:v>0.0005891771164243664</x:v>
      </x:c>
      <x:c r="O14" s="108" t="n">
        <x:f>LUCK!G174</x:f>
        <x:v>9.590907015623658</x:v>
      </x:c>
      <x:c r="P14" s="108" t="n">
        <x:f>LUCK!G172</x:f>
        <x:v>1.7979804681845026</x:v>
      </x:c>
      <x:c r="Q14" s="112" t="n">
        <x:f>LUCK!G175</x:f>
        <x:v>0.016542962072502287</x:v>
      </x:c>
      <x:c r="R14" s="98" t="str">
        <x:v>Verified own-year EPS note. Price and per-share figures use the FY-end share basis.</x:v>
      </x:c>
      <x:c r="S14" s="85" t="n">
        <x:v>271</x:v>
      </x:c>
      <x:c r="T14" s="84" t="str">
        <x:v>2024.pdf</x:v>
      </x:c>
      <x:c r="U14" s="84" t="str">
        <x:v>https://www.lucky-cement.com/investor-relations/downloads/financial-reports/</x:v>
      </x:c>
    </x:row>
    <x:row r="15" ht="78" customHeight="1">
      <x:c r="A15" s="76" t="str">
        <x:v>LUCK</x:v>
      </x:c>
      <x:c r="B15" s="83" t="n">
        <x:v>2025</x:v>
      </x:c>
      <x:c r="C15" s="107" t="n">
        <x:v>2</x:v>
      </x:c>
      <x:c r="D15" s="104" t="n">
        <x:v>1465</x:v>
      </x:c>
      <x:c r="E15" s="83" t="n">
        <x:v>1</x:v>
      </x:c>
      <x:c r="F15" s="105" t="n">
        <x:f>LUCK!H129</x:f>
        <x:v>1465</x:v>
      </x:c>
      <x:c r="G15" s="105" t="n">
        <x:f>LUCK!H128</x:f>
        <x:v>1465</x:v>
      </x:c>
      <x:c r="H15" s="105" t="n">
        <x:f>LUCK!H135</x:f>
        <x:v>0</x:v>
      </x:c>
      <x:c r="I15" s="110" t="n">
        <x:f>LUCK!H131</x:f>
        <x:v>4</x:v>
      </x:c>
      <x:c r="J15" s="111" t="n">
        <x:v>22.59</x:v>
      </x:c>
      <x:c r="K15" s="111" t="n">
        <x:v>1</x:v>
      </x:c>
      <x:c r="L15" s="110" t="n">
        <x:f>LUCK!H173</x:f>
        <x:v>22.58850648464164</x:v>
      </x:c>
      <x:c r="M15" s="111" t="n">
        <x:f>J15*K15</x:f>
        <x:v>22.59</x:v>
      </x:c>
      <x:c r="N15" s="111" t="n">
        <x:f>L15-M15</x:f>
        <x:v>-0.0014935153583586214</x:v>
      </x:c>
      <x:c r="O15" s="110" t="n">
        <x:f>LUCK!H174</x:f>
        <x:v>15.726582022655393</x:v>
      </x:c>
      <x:c r="P15" s="110" t="n">
        <x:f>LUCK!H172</x:f>
        <x:v>2.9584754511387614</x:v>
      </x:c>
      <x:c r="Q15" s="113" t="n">
        <x:f>LUCK!H175</x:f>
        <x:v>0.011259993244004052</x:v>
      </x:c>
      <x:c r="R15" s="99" t="str">
        <x:v>Verified own-year EPS note. Price and per-share figures use the FY-end share basis.</x:v>
      </x:c>
      <x:c r="S15" s="83" t="n">
        <x:v>274</x:v>
      </x:c>
      <x:c r="T15" s="76" t="str">
        <x:v>2025.pdf</x:v>
      </x:c>
      <x:c r="U15" s="76" t="str">
        <x:v>https://www.lucky-cement.com/wp-content/uploads/2025/09/Lucky-Cement-AR-2025_compressed.pdf</x:v>
      </x:c>
    </x:row>
    <x:row r="16" ht="78" customHeight="1">
      <x:c r="A16" s="84" t="str">
        <x:v>DGKC</x:v>
      </x:c>
      <x:c r="B16" s="85" t="n">
        <x:v>2021</x:v>
      </x:c>
      <x:c r="C16" s="106" t="n">
        <x:v>10</x:v>
      </x:c>
      <x:c r="D16" s="102" t="n">
        <x:v>438.119118</x:v>
      </x:c>
      <x:c r="E16" s="85" t="n">
        <x:v>1</x:v>
      </x:c>
      <x:c r="F16" s="103" t="n">
        <x:f>DGKC!D129</x:f>
        <x:v>438.119118</x:v>
      </x:c>
      <x:c r="G16" s="103" t="n">
        <x:f>DGKC!D128</x:f>
        <x:v>438.1191</x:v>
      </x:c>
      <x:c r="H16" s="103" t="n">
        <x:f>DGKC!D135</x:f>
        <x:v>0</x:v>
      </x:c>
      <x:c r="I16" s="108" t="n">
        <x:f>DGKC!D131</x:f>
        <x:v>1</x:v>
      </x:c>
      <x:c r="J16" s="109" t="n">
        <x:v>8.49</x:v>
      </x:c>
      <x:c r="K16" s="109" t="n">
        <x:v>1</x:v>
      </x:c>
      <x:c r="L16" s="108" t="n">
        <x:f>DGKC!D173</x:f>
        <x:v>8.493747127465003</x:v>
      </x:c>
      <x:c r="M16" s="109" t="n">
        <x:f>J16*K16</x:f>
        <x:v>8.49</x:v>
      </x:c>
      <x:c r="N16" s="109" t="n">
        <x:f>L16-M16</x:f>
        <x:v>0.0037471274650027198</x:v>
      </x:c>
      <x:c r="O16" s="108" t="n">
        <x:f>DGKC!D174</x:f>
        <x:v>13.883154069739035</x:v>
      </x:c>
      <x:c r="P16" s="108" t="n">
        <x:f>DGKC!D172</x:f>
        <x:v>0.7031096868032638</x:v>
      </x:c>
      <x:c r="Q16" s="112" t="n">
        <x:f>DGKC!D175</x:f>
        <x:v>0.008480325644504749</x:v>
      </x:c>
      <x:c r="R16" s="98" t="str">
        <x:v>Verified own-year EPS note. Price and per-share figures use the FY-end share basis.</x:v>
      </x:c>
      <x:c r="S16" s="85" t="n">
        <x:v>155</x:v>
      </x:c>
      <x:c r="T16" s="84" t="str">
        <x:v>DG_Annual_Report_2021.pdf</x:v>
      </x:c>
      <x:c r="U16" s="84" t="str">
        <x:v>https://www.dgcement.com/financial-reports/DG_Annual_Report_2021.pdf</x:v>
      </x:c>
    </x:row>
    <x:row r="17" ht="78" customHeight="1">
      <x:c r="A17" s="76" t="str">
        <x:v>DGKC</x:v>
      </x:c>
      <x:c r="B17" s="83" t="n">
        <x:v>2022</x:v>
      </x:c>
      <x:c r="C17" s="107" t="n">
        <x:v>10</x:v>
      </x:c>
      <x:c r="D17" s="104" t="n">
        <x:v>438.119118</x:v>
      </x:c>
      <x:c r="E17" s="83" t="n">
        <x:v>1</x:v>
      </x:c>
      <x:c r="F17" s="105" t="n">
        <x:f>DGKC!E129</x:f>
        <x:v>438.119118</x:v>
      </x:c>
      <x:c r="G17" s="105" t="n">
        <x:f>DGKC!E128</x:f>
        <x:v>438.1191</x:v>
      </x:c>
      <x:c r="H17" s="105" t="n">
        <x:f>DGKC!E135</x:f>
        <x:v>0</x:v>
      </x:c>
      <x:c r="I17" s="110" t="n">
        <x:f>DGKC!E131</x:f>
        <x:v>1</x:v>
      </x:c>
      <x:c r="J17" s="111" t="n">
        <x:v>6.78</x:v>
      </x:c>
      <x:c r="K17" s="111" t="n">
        <x:v>1</x:v>
      </x:c>
      <x:c r="L17" s="110" t="n">
        <x:f>DGKC!E173</x:f>
        <x:v>6.783844570781772</x:v>
      </x:c>
      <x:c r="M17" s="111" t="n">
        <x:f>J17*K17</x:f>
        <x:v>6.78</x:v>
      </x:c>
      <x:c r="N17" s="111" t="n">
        <x:f>L17-M17</x:f>
        <x:v>0.0038445707817720276</x:v>
      </x:c>
      <x:c r="O17" s="110" t="n">
        <x:f>DGKC!E174</x:f>
        <x:v>9.213064855464028</x:v>
      </x:c>
      <x:c r="P17" s="110" t="n">
        <x:f>DGKC!E172</x:f>
        <x:v>0.3916359707533251</x:v>
      </x:c>
      <x:c r="Q17" s="113" t="n">
        <x:f>DGKC!E175</x:f>
        <x:v>0.016</x:v>
      </x:c>
      <x:c r="R17" s="99" t="str">
        <x:v>Verified own-year EPS note. Price and per-share figures use the FY-end share basis.</x:v>
      </x:c>
      <x:c r="S17" s="83" t="n">
        <x:v>177</x:v>
      </x:c>
      <x:c r="T17" s="76" t="str">
        <x:v>DG_Annual_Report_2022.pdf</x:v>
      </x:c>
      <x:c r="U17" s="76" t="str">
        <x:v>https://www.dgcement.com/financial-reports/DG_Annual_Report_2022.pdf</x:v>
      </x:c>
    </x:row>
    <x:row r="18" ht="78" customHeight="1">
      <x:c r="A18" s="84" t="str">
        <x:v>DGKC</x:v>
      </x:c>
      <x:c r="B18" s="85" t="n">
        <x:v>2023</x:v>
      </x:c>
      <x:c r="C18" s="106" t="n">
        <x:v>10</x:v>
      </x:c>
      <x:c r="D18" s="102" t="n">
        <x:v>438.119118</x:v>
      </x:c>
      <x:c r="E18" s="85" t="n">
        <x:v>1</x:v>
      </x:c>
      <x:c r="F18" s="103" t="n">
        <x:f>DGKC!F129</x:f>
        <x:v>438.119118</x:v>
      </x:c>
      <x:c r="G18" s="103" t="n">
        <x:f>DGKC!F128</x:f>
        <x:v>438.1191</x:v>
      </x:c>
      <x:c r="H18" s="103" t="n">
        <x:f>DGKC!F135</x:f>
        <x:v>0</x:v>
      </x:c>
      <x:c r="I18" s="108" t="n">
        <x:f>DGKC!F131</x:f>
        <x:v>0</x:v>
      </x:c>
      <x:c r="J18" s="109" t="n">
        <x:v>-8.3</x:v>
      </x:c>
      <x:c r="K18" s="109" t="n">
        <x:v>1</x:v>
      </x:c>
      <x:c r="L18" s="108" t="n">
        <x:f>DGKC!F173</x:f>
        <x:v>-8.299058065756444</x:v>
      </x:c>
      <x:c r="M18" s="109" t="n">
        <x:f>J18*K18</x:f>
        <x:v>-8.3</x:v>
      </x:c>
      <x:c r="N18" s="109" t="n">
        <x:f>L18-M18</x:f>
        <x:v>0.0009419342435563749</x:v>
      </x:c>
      <x:c r="O18" s="108" t="str">
        <x:f>DGKC!F174</x:f>
        <x:v>n/m</x:v>
      </x:c>
      <x:c r="P18" s="108" t="n">
        <x:f>DGKC!F172</x:f>
        <x:v>0.35012794187063967</x:v>
      </x:c>
      <x:c r="Q18" s="112" t="n">
        <x:f>DGKC!F175</x:f>
        <x:v>0</x:v>
      </x:c>
      <x:c r="R18" s="98" t="str">
        <x:v>Verified own-year EPS note. Price and per-share figures use the FY-end share basis.</x:v>
      </x:c>
      <x:c r="S18" s="85" t="n">
        <x:v>202</x:v>
      </x:c>
      <x:c r="T18" s="84" t="str">
        <x:v>DGAnnual2023.pdf</x:v>
      </x:c>
      <x:c r="U18" s="84" t="str">
        <x:v>https://www.dgcement.com/financial-reports/DGAnnual2023.pdf</x:v>
      </x:c>
    </x:row>
    <x:row r="19" ht="78" customHeight="1">
      <x:c r="A19" s="76" t="str">
        <x:v>DGKC</x:v>
      </x:c>
      <x:c r="B19" s="83" t="n">
        <x:v>2024</x:v>
      </x:c>
      <x:c r="C19" s="107" t="n">
        <x:v>10</x:v>
      </x:c>
      <x:c r="D19" s="104" t="n">
        <x:v>438.119118</x:v>
      </x:c>
      <x:c r="E19" s="83" t="n">
        <x:v>1</x:v>
      </x:c>
      <x:c r="F19" s="105" t="n">
        <x:f>DGKC!G129</x:f>
        <x:v>438.119118</x:v>
      </x:c>
      <x:c r="G19" s="105" t="n">
        <x:f>DGKC!G128</x:f>
        <x:v>438.1191</x:v>
      </x:c>
      <x:c r="H19" s="105" t="n">
        <x:f>DGKC!G135</x:f>
        <x:v>0</x:v>
      </x:c>
      <x:c r="I19" s="110" t="n">
        <x:f>DGKC!G131</x:f>
        <x:v>0</x:v>
      </x:c>
      <x:c r="J19" s="111" t="n">
        <x:v>1.24</x:v>
      </x:c>
      <x:c r="K19" s="111" t="n">
        <x:v>1</x:v>
      </x:c>
      <x:c r="L19" s="110" t="n">
        <x:f>DGKC!G173</x:f>
        <x:v>1.2380103440270365</x:v>
      </x:c>
      <x:c r="M19" s="111" t="n">
        <x:f>J19*K19</x:f>
        <x:v>1.24</x:v>
      </x:c>
      <x:c r="N19" s="111" t="n">
        <x:f>L19-M19</x:f>
        <x:v>-0.001989655972963522</x:v>
      </x:c>
      <x:c r="O19" s="110" t="n">
        <x:f>DGKC!G174</x:f>
        <x:v>72.91538429829842</x:v>
      </x:c>
      <x:c r="P19" s="110" t="n">
        <x:f>DGKC!G172</x:f>
        <x:v>0.5214277509838222</x:v>
      </x:c>
      <x:c r="Q19" s="113" t="n">
        <x:f>DGKC!G175</x:f>
        <x:v>0</x:v>
      </x:c>
      <x:c r="R19" s="99" t="str">
        <x:v>Verified own-year EPS note. Price and per-share figures use the FY-end share basis.</x:v>
      </x:c>
      <x:c r="S19" s="83" t="n">
        <x:v>205</x:v>
      </x:c>
      <x:c r="T19" s="76" t="str">
        <x:v>DGAnnual2024.pdf</x:v>
      </x:c>
      <x:c r="U19" s="76" t="str">
        <x:v>https://www.dgcement.com/financial-reports/DGAnnual2024.pdf</x:v>
      </x:c>
    </x:row>
    <x:row r="20" ht="78" customHeight="1">
      <x:c r="A20" s="84" t="str">
        <x:v>DGKC</x:v>
      </x:c>
      <x:c r="B20" s="85" t="n">
        <x:v>2025</x:v>
      </x:c>
      <x:c r="C20" s="106" t="n">
        <x:v>10</x:v>
      </x:c>
      <x:c r="D20" s="102" t="n">
        <x:v>438.119118</x:v>
      </x:c>
      <x:c r="E20" s="85" t="n">
        <x:v>1</x:v>
      </x:c>
      <x:c r="F20" s="103" t="n">
        <x:f>DGKC!H129</x:f>
        <x:v>438.119118</x:v>
      </x:c>
      <x:c r="G20" s="103" t="n">
        <x:f>DGKC!H128</x:f>
        <x:v>438.1191</x:v>
      </x:c>
      <x:c r="H20" s="103" t="n">
        <x:f>DGKC!H135</x:f>
        <x:v>0</x:v>
      </x:c>
      <x:c r="I20" s="108" t="n">
        <x:f>DGKC!H131</x:f>
        <x:v>2</x:v>
      </x:c>
      <x:c r="J20" s="109" t="n">
        <x:v>19.8</x:v>
      </x:c>
      <x:c r="K20" s="109" t="n">
        <x:v>1</x:v>
      </x:c>
      <x:c r="L20" s="108" t="n">
        <x:f>DGKC!H173</x:f>
        <x:v>19.800685803443983</x:v>
      </x:c>
      <x:c r="M20" s="109" t="n">
        <x:f>J20*K20</x:f>
        <x:v>19.8</x:v>
      </x:c>
      <x:c r="N20" s="109" t="n">
        <x:f>L20-M20</x:f>
        <x:v>0.0006858034439822802</x:v>
      </x:c>
      <x:c r="O20" s="108" t="n">
        <x:f>DGKC!H174</x:f>
        <x:v>8.361326554214791</x:v>
      </x:c>
      <x:c r="P20" s="108" t="n">
        <x:f>DGKC!H172</x:f>
        <x:v>0.7662082029480072</x:v>
      </x:c>
      <x:c r="Q20" s="112" t="n">
        <x:f>DGKC!H175</x:f>
        <x:v>0.012080212611741966</x:v>
      </x:c>
      <x:c r="R20" s="98" t="str">
        <x:v>Verified own-year EPS note. Price and per-share figures use the FY-end share basis.</x:v>
      </x:c>
      <x:c r="S20" s="85" t="n">
        <x:v>210</x:v>
      </x:c>
      <x:c r="T20" s="84" t="str">
        <x:v>DGAnnual2025.pdf</x:v>
      </x:c>
      <x:c r="U20" s="84" t="str">
        <x:v>https://www.dgcement.com/financial-reports/DGAnnual2025.pdf</x:v>
      </x:c>
    </x:row>
    <x:row r="21" ht="78" customHeight="1">
      <x:c r="A21" s="76" t="str">
        <x:v>MLCF</x:v>
      </x:c>
      <x:c r="B21" s="83" t="n">
        <x:v>2021</x:v>
      </x:c>
      <x:c r="C21" s="107" t="n">
        <x:v>10</x:v>
      </x:c>
      <x:c r="D21" s="104" t="n">
        <x:v>1098.346</x:v>
      </x:c>
      <x:c r="E21" s="83" t="n">
        <x:v>1</x:v>
      </x:c>
      <x:c r="F21" s="105" t="n">
        <x:f>MLCF!D129</x:f>
        <x:v>1098.346</x:v>
      </x:c>
      <x:c r="G21" s="105" t="n">
        <x:f>MLCF!D128</x:f>
        <x:v>1098.3462</x:v>
      </x:c>
      <x:c r="H21" s="105" t="n">
        <x:f>MLCF!D135</x:f>
        <x:v>0</x:v>
      </x:c>
      <x:c r="I21" s="110" t="n">
        <x:f>MLCF!D131</x:f>
        <x:v>0</x:v>
      </x:c>
      <x:c r="J21" s="111" t="n">
        <x:v>5.69</x:v>
      </x:c>
      <x:c r="K21" s="111" t="n">
        <x:v>1</x:v>
      </x:c>
      <x:c r="L21" s="110" t="n">
        <x:f>MLCF!D173</x:f>
        <x:v>5.694115515511503</x:v>
      </x:c>
      <x:c r="M21" s="111" t="n">
        <x:f>J21*K21</x:f>
        <x:v>5.69</x:v>
      </x:c>
      <x:c r="N21" s="111" t="n">
        <x:f>L21-M21</x:f>
        <x:v>0.0041155155115024655</x:v>
      </x:c>
      <x:c r="O21" s="110" t="n">
        <x:f>MLCF!D174</x:f>
        <x:v>8.250622923265333</x:v>
      </x:c>
      <x:c r="P21" s="110" t="n">
        <x:f>MLCF!D172</x:f>
        <x:v>1.3744489078669448</x:v>
      </x:c>
      <x:c r="Q21" s="113" t="n">
        <x:f>MLCF!D175</x:f>
        <x:v>0</x:v>
      </x:c>
      <x:c r="R21" s="99" t="str">
        <x:v>Verified own-year EPS note. Price and per-share figures use the FY-end share basis.</x:v>
      </x:c>
      <x:c r="S21" s="83" t="n">
        <x:v>222</x:v>
      </x:c>
      <x:c r="T21" s="76" t="str">
        <x:v>2021.pdf</x:v>
      </x:c>
      <x:c r="U21" s="76" t="str">
        <x:v>https://www.kmlg.com/mlcfl/financials/</x:v>
      </x:c>
    </x:row>
    <x:row r="22" ht="78" customHeight="1">
      <x:c r="A22" s="84" t="str">
        <x:v>MLCF</x:v>
      </x:c>
      <x:c r="B22" s="85" t="n">
        <x:v>2022</x:v>
      </x:c>
      <x:c r="C22" s="106" t="n">
        <x:v>10</x:v>
      </x:c>
      <x:c r="D22" s="102" t="n">
        <x:v>1097.524</x:v>
      </x:c>
      <x:c r="E22" s="85" t="n">
        <x:v>1</x:v>
      </x:c>
      <x:c r="F22" s="103" t="n">
        <x:f>MLCF!E129</x:f>
        <x:v>1097.524</x:v>
      </x:c>
      <x:c r="G22" s="103" t="n">
        <x:f>MLCF!E128</x:f>
        <x:v>1079.8011999999999</x:v>
      </x:c>
      <x:c r="H22" s="103" t="n">
        <x:f>MLCF!E135</x:f>
        <x:v>18.545</x:v>
      </x:c>
      <x:c r="I22" s="108" t="n">
        <x:f>MLCF!E131</x:f>
        <x:v>0</x:v>
      </x:c>
      <x:c r="J22" s="109" t="n">
        <x:v>3.3</x:v>
      </x:c>
      <x:c r="K22" s="109" t="n">
        <x:v>1</x:v>
      </x:c>
      <x:c r="L22" s="108" t="n">
        <x:f>MLCF!E173</x:f>
        <x:v>3.3041099784606085</x:v>
      </x:c>
      <x:c r="M22" s="109" t="n">
        <x:f>J22*K22</x:f>
        <x:v>3.3</x:v>
      </x:c>
      <x:c r="N22" s="109" t="n">
        <x:f>L22-M22</x:f>
        <x:v>0.0041099784606086764</x:v>
      </x:c>
      <x:c r="O22" s="108" t="n">
        <x:f>MLCF!E174</x:f>
        <x:v>8.277569505341472</x:v>
      </x:c>
      <x:c r="P22" s="108" t="n">
        <x:f>MLCF!E172</x:f>
        <x:v>0.7281380679486422</x:v>
      </x:c>
      <x:c r="Q22" s="112" t="n">
        <x:f>MLCF!E175</x:f>
        <x:v>0</x:v>
      </x:c>
      <x:c r="R22" s="98" t="str">
        <x:v>Deduct treasury shares reported as 18.545m in note 6.3 from issued shares for BVPS. Source precision is 0.001m shares. Reported BVPS instead uses issued shares, including treasury stock.</x:v>
      </x:c>
      <x:c r="S22" s="85" t="n">
        <x:v>244</x:v>
      </x:c>
      <x:c r="T22" s="84" t="str">
        <x:v>2022.pdf</x:v>
      </x:c>
      <x:c r="U22" s="84" t="str">
        <x:v>https://www.kmlg.com/mlcfl/wp-content/uploads/2022/10/MLCF_AR_2022.pdf</x:v>
      </x:c>
    </x:row>
    <x:row r="23" ht="78" customHeight="1">
      <x:c r="A23" s="76" t="str">
        <x:v>MLCF</x:v>
      </x:c>
      <x:c r="B23" s="83" t="n">
        <x:v>2023</x:v>
      </x:c>
      <x:c r="C23" s="107" t="n">
        <x:v>10</x:v>
      </x:c>
      <x:c r="D23" s="104" t="n">
        <x:v>1073.405</x:v>
      </x:c>
      <x:c r="E23" s="83" t="n">
        <x:v>1</x:v>
      </x:c>
      <x:c r="F23" s="105" t="n">
        <x:f>MLCF!F129</x:f>
        <x:v>1073.405</x:v>
      </x:c>
      <x:c r="G23" s="105" t="n">
        <x:f>MLCF!F128</x:f>
        <x:v>1073.3462</x:v>
      </x:c>
      <x:c r="H23" s="105" t="n">
        <x:f>MLCF!F135</x:f>
        <x:v>0</x:v>
      </x:c>
      <x:c r="I23" s="110" t="n">
        <x:f>MLCF!F131</x:f>
        <x:v>0</x:v>
      </x:c>
      <x:c r="J23" s="111" t="n">
        <x:v>4.18</x:v>
      </x:c>
      <x:c r="K23" s="111" t="n">
        <x:v>1</x:v>
      </x:c>
      <x:c r="L23" s="110" t="n">
        <x:f>MLCF!F173</x:f>
        <x:v>4.18450538240459</x:v>
      </x:c>
      <x:c r="M23" s="111" t="n">
        <x:f>J23*K23</x:f>
        <x:v>4.18</x:v>
      </x:c>
      <x:c r="N23" s="111" t="n">
        <x:f>L23-M23</x:f>
        <x:v>0.004505382404590641</x:v>
      </x:c>
      <x:c r="O23" s="110" t="n">
        <x:f>MLCF!F174</x:f>
        <x:v>6.770214735324442</x:v>
      </x:c>
      <x:c r="P23" s="110" t="n">
        <x:f>MLCF!F172</x:f>
        <x:v>0.6770382887724061</x:v>
      </x:c>
      <x:c r="Q23" s="113" t="n">
        <x:f>MLCF!F175</x:f>
        <x:v>0</x:v>
      </x:c>
      <x:c r="R23" s="99" t="str">
        <x:v>Verified own-year EPS note. Price and per-share figures use the FY-end share basis.</x:v>
      </x:c>
      <x:c r="S23" s="83" t="n">
        <x:v>129</x:v>
      </x:c>
      <x:c r="T23" s="76" t="str">
        <x:v>2023.pdf</x:v>
      </x:c>
      <x:c r="U23" s="76" t="str">
        <x:v>https://www.kmlg.com/mlcfl/financials/</x:v>
      </x:c>
    </x:row>
    <x:row r="24" ht="78" customHeight="1">
      <x:c r="A24" s="84" t="str">
        <x:v>MLCF</x:v>
      </x:c>
      <x:c r="B24" s="85" t="n">
        <x:v>2024</x:v>
      </x:c>
      <x:c r="C24" s="106" t="n">
        <x:v>10</x:v>
      </x:c>
      <x:c r="D24" s="102" t="n">
        <x:v>1058.911</x:v>
      </x:c>
      <x:c r="E24" s="85" t="n">
        <x:v>1</x:v>
      </x:c>
      <x:c r="F24" s="103" t="n">
        <x:f>MLCF!G129</x:f>
        <x:v>1058.911</x:v>
      </x:c>
      <x:c r="G24" s="103" t="n">
        <x:f>MLCF!G128</x:f>
        <x:v>1047.5626</x:v>
      </x:c>
      <x:c r="H24" s="103" t="n">
        <x:f>MLCF!G135</x:f>
        <x:v>0</x:v>
      </x:c>
      <x:c r="I24" s="108" t="n">
        <x:f>MLCF!G131</x:f>
        <x:v>0</x:v>
      </x:c>
      <x:c r="J24" s="109" t="n">
        <x:v>4.98</x:v>
      </x:c>
      <x:c r="K24" s="109" t="n">
        <x:v>1</x:v>
      </x:c>
      <x:c r="L24" s="108" t="n">
        <x:f>MLCF!G173</x:f>
        <x:v>4.979197496295721</x:v>
      </x:c>
      <x:c r="M24" s="109" t="n">
        <x:f>J24*K24</x:f>
        <x:v>4.98</x:v>
      </x:c>
      <x:c r="N24" s="109" t="n">
        <x:f>L24-M24</x:f>
        <x:v>-0.000802503704279367</x:v>
      </x:c>
      <x:c r="O24" s="108" t="n">
        <x:f>MLCF!G174</x:f>
        <x:v>7.631751909473391</x:v>
      </x:c>
      <x:c r="P24" s="108" t="n">
        <x:f>MLCF!G172</x:f>
        <x:v>0.7565654630534934</x:v>
      </x:c>
      <x:c r="Q24" s="112" t="n">
        <x:f>MLCF!G175</x:f>
        <x:v>0</x:v>
      </x:c>
      <x:c r="R24" s="98" t="str">
        <x:v>Verified own-year EPS note. Price and per-share figures use the FY-end share basis.</x:v>
      </x:c>
      <x:c r="S24" s="85" t="n">
        <x:v>251</x:v>
      </x:c>
      <x:c r="T24" s="84" t="str">
        <x:v>2024.pdf</x:v>
      </x:c>
      <x:c r="U24" s="84" t="str">
        <x:v>https://www.kmlg.com/mlcfl/financials/</x:v>
      </x:c>
    </x:row>
    <x:row r="25" ht="78" customHeight="1">
      <x:c r="A25" s="76" t="str">
        <x:v>MLCF</x:v>
      </x:c>
      <x:c r="B25" s="83" t="n">
        <x:v>2025</x:v>
      </x:c>
      <x:c r="C25" s="107" t="n">
        <x:v>10</x:v>
      </x:c>
      <x:c r="D25" s="104" t="n">
        <x:v>1047.563</x:v>
      </x:c>
      <x:c r="E25" s="83" t="n">
        <x:v>1</x:v>
      </x:c>
      <x:c r="F25" s="105" t="n">
        <x:f>MLCF!H129</x:f>
        <x:v>1047.563</x:v>
      </x:c>
      <x:c r="G25" s="105" t="n">
        <x:f>MLCF!H128</x:f>
        <x:v>1047.5626</x:v>
      </x:c>
      <x:c r="H25" s="105" t="n">
        <x:f>MLCF!H135</x:f>
        <x:v>0</x:v>
      </x:c>
      <x:c r="I25" s="110" t="n">
        <x:f>MLCF!H131</x:f>
        <x:v>0</x:v>
      </x:c>
      <x:c r="J25" s="111" t="n">
        <x:v>16.26</x:v>
      </x:c>
      <x:c r="K25" s="111" t="n">
        <x:v>1</x:v>
      </x:c>
      <x:c r="L25" s="110" t="n">
        <x:f>MLCF!H173</x:f>
        <x:v>16.262863426829693</x:v>
      </x:c>
      <x:c r="M25" s="111" t="n">
        <x:f>J25*K25</x:f>
        <x:v>16.26</x:v>
      </x:c>
      <x:c r="N25" s="111" t="n">
        <x:f>L25-M25</x:f>
        <x:v>0.002863426829691207</x:v>
      </x:c>
      <x:c r="O25" s="110" t="n">
        <x:f>MLCF!H174</x:f>
        <x:v>5.182359206248938</x:v>
      </x:c>
      <x:c r="P25" s="110" t="n">
        <x:f>MLCF!H172</x:f>
        <x:v>1.2354689205356633</x:v>
      </x:c>
      <x:c r="Q25" s="113" t="n">
        <x:f>MLCF!H175</x:f>
        <x:v>0</x:v>
      </x:c>
      <x:c r="R25" s="99" t="str">
        <x:v>Verified own-year EPS note. Price and per-share figures use the FY-end share basis.</x:v>
      </x:c>
      <x:c r="S25" s="83" t="n">
        <x:v>267</x:v>
      </x:c>
      <x:c r="T25" s="76" t="str">
        <x:v>2025.pdf</x:v>
      </x:c>
      <x:c r="U25" s="76" t="str">
        <x:v>https://www.kmlg.com/mlcfl/wp-content/uploads/2025/06/MLCF-AR-2025.pdf</x:v>
      </x:c>
    </x:row>
    <x:row r="26" ht="78" customHeight="1">
      <x:c r="A26" s="84" t="str">
        <x:v>FCCL</x:v>
      </x:c>
      <x:c r="B26" s="85" t="n">
        <x:v>2021</x:v>
      </x:c>
      <x:c r="C26" s="106" t="n">
        <x:v>10</x:v>
      </x:c>
      <x:c r="D26" s="102" t="n">
        <x:v>1379.815</x:v>
      </x:c>
      <x:c r="E26" s="85" t="n">
        <x:v>1</x:v>
      </x:c>
      <x:c r="F26" s="103" t="n">
        <x:f>FCCL!D129</x:f>
        <x:v>1379.815</x:v>
      </x:c>
      <x:c r="G26" s="103" t="n">
        <x:f>FCCL!D128</x:f>
        <x:v>1379.815</x:v>
      </x:c>
      <x:c r="H26" s="103" t="n">
        <x:f>FCCL!D135</x:f>
        <x:v>0</x:v>
      </x:c>
      <x:c r="I26" s="108" t="n">
        <x:f>FCCL!D131</x:f>
        <x:v>0</x:v>
      </x:c>
      <x:c r="J26" s="109" t="n">
        <x:v>2.52</x:v>
      </x:c>
      <x:c r="K26" s="109" t="n">
        <x:v>1</x:v>
      </x:c>
      <x:c r="L26" s="108" t="n">
        <x:f>FCCL!D173</x:f>
        <x:v>2.5158090033808875</x:v>
      </x:c>
      <x:c r="M26" s="109" t="n">
        <x:f>J26*K26</x:f>
        <x:v>2.52</x:v>
      </x:c>
      <x:c r="N26" s="109" t="n">
        <x:f>L26-M26</x:f>
        <x:v>-0.004190996619112486</x:v>
      </x:c>
      <x:c r="O26" s="108" t="n">
        <x:f>FCCL!D174</x:f>
        <x:v>9.14218844478706</x:v>
      </x:c>
      <x:c r="P26" s="108" t="n">
        <x:f>FCCL!D172</x:f>
        <x:v>1.3634728296339984</x:v>
      </x:c>
      <x:c r="Q26" s="112" t="n">
        <x:f>FCCL!D175</x:f>
        <x:v>0</x:v>
      </x:c>
      <x:c r="R26" s="98" t="str">
        <x:v>Verified own-year EPS note. Price and per-share figures use the FY-end share basis.</x:v>
      </x:c>
      <x:c r="S26" s="85" t="n">
        <x:v>201</x:v>
      </x:c>
      <x:c r="T26" s="84" t="str">
        <x:v>FCCL-Annual-Report-2021.pdf</x:v>
      </x:c>
      <x:c r="U26" s="84" t="str">
        <x:v>https://fccl.com.pk/eng/financial-reports/</x:v>
      </x:c>
    </x:row>
    <x:row r="27" ht="78" customHeight="1">
      <x:c r="A27" s="76" t="str">
        <x:v>FCCL</x:v>
      </x:c>
      <x:c r="B27" s="83" t="n">
        <x:v>2022</x:v>
      </x:c>
      <x:c r="C27" s="107" t="n">
        <x:v>10</x:v>
      </x:c>
      <x:c r="D27" s="104" t="n">
        <x:v>2180.309</x:v>
      </x:c>
      <x:c r="E27" s="83" t="n">
        <x:v>1</x:v>
      </x:c>
      <x:c r="F27" s="105" t="n">
        <x:f>FCCL!E129</x:f>
        <x:v>2180.309</x:v>
      </x:c>
      <x:c r="G27" s="105" t="n">
        <x:f>FCCL!E128</x:f>
        <x:v>2180.309</x:v>
      </x:c>
      <x:c r="H27" s="105" t="n">
        <x:f>FCCL!E135</x:f>
        <x:v>0</x:v>
      </x:c>
      <x:c r="I27" s="110" t="n">
        <x:f>FCCL!E131</x:f>
        <x:v>0</x:v>
      </x:c>
      <x:c r="J27" s="111" t="n">
        <x:v>3.26</x:v>
      </x:c>
      <x:c r="K27" s="111" t="n">
        <x:v>1</x:v>
      </x:c>
      <x:c r="L27" s="110" t="n">
        <x:f>FCCL!E173</x:f>
        <x:v>3.2621706372812294</x:v>
      </x:c>
      <x:c r="M27" s="111" t="n">
        <x:f>J27*K27</x:f>
        <x:v>3.26</x:v>
      </x:c>
      <x:c r="N27" s="111" t="n">
        <x:f>L27-M27</x:f>
        <x:v>0.0021706372812295704</x:v>
      </x:c>
      <x:c r="O27" s="110" t="n">
        <x:f>FCCL!E174</x:f>
        <x:v>4.343733536823694</x:v>
      </x:c>
      <x:c r="P27" s="110" t="n">
        <x:f>FCCL!E172</x:f>
        <x:v>0.535107187266134</x:v>
      </x:c>
      <x:c r="Q27" s="113" t="n">
        <x:f>FCCL!E175</x:f>
        <x:v>0</x:v>
      </x:c>
      <x:c r="R27" s="99" t="str">
        <x:v>Verified own-year EPS note. Price and per-share figures use the FY-end share basis.</x:v>
      </x:c>
      <x:c r="S27" s="83" t="n">
        <x:v>230</x:v>
      </x:c>
      <x:c r="T27" s="76" t="str">
        <x:v>FCCL-Annual-Report-2022.pdf</x:v>
      </x:c>
      <x:c r="U27" s="76" t="str">
        <x:v>https://fccl.com.pk/eng/financial-reports/</x:v>
      </x:c>
    </x:row>
    <x:row r="28" ht="78" customHeight="1">
      <x:c r="A28" s="84" t="str">
        <x:v>FCCL</x:v>
      </x:c>
      <x:c r="B28" s="85" t="n">
        <x:v>2023</x:v>
      </x:c>
      <x:c r="C28" s="106" t="n">
        <x:v>10</x:v>
      </x:c>
      <x:c r="D28" s="102" t="n">
        <x:v>2353.539</x:v>
      </x:c>
      <x:c r="E28" s="85" t="n">
        <x:v>1</x:v>
      </x:c>
      <x:c r="F28" s="103" t="n">
        <x:f>FCCL!F129</x:f>
        <x:v>2452.8476</x:v>
      </x:c>
      <x:c r="G28" s="103" t="n">
        <x:f>FCCL!F128</x:f>
        <x:v>2452.8476</x:v>
      </x:c>
      <x:c r="H28" s="103" t="n">
        <x:f>FCCL!F135</x:f>
        <x:v>0</x:v>
      </x:c>
      <x:c r="I28" s="108" t="n">
        <x:f>FCCL!F131</x:f>
        <x:v>0</x:v>
      </x:c>
      <x:c r="J28" s="109" t="n">
        <x:v>3.16</x:v>
      </x:c>
      <x:c r="K28" s="109" t="n">
        <x:v>1</x:v>
      </x:c>
      <x:c r="L28" s="108" t="n">
        <x:f>FCCL!F173</x:f>
        <x:v>3.0330791851886794</x:v>
      </x:c>
      <x:c r="M28" s="109" t="n">
        <x:f>J28*K28</x:f>
        <x:v>3.16</x:v>
      </x:c>
      <x:c r="N28" s="109" t="n">
        <x:f>L28-M28</x:f>
        <x:v>-0.12692081481132078</x:v>
      </x:c>
      <x:c r="O28" s="108" t="n">
        <x:f>FCCL!F174</x:f>
        <x:v>3.877247932539039</x:v>
      </x:c>
      <x:c r="P28" s="108" t="n">
        <x:f>FCCL!F172</x:f>
        <x:v>0.4425801548818697</x:v>
      </x:c>
      <x:c r="Q28" s="112" t="n">
        <x:f>FCCL!F175</x:f>
        <x:v>0</x:v>
      </x:c>
      <x:c r="R28" s="98" t="str">
        <x:v>Standardized denominator applies the 12.5% bonus to the full year (IAS 33.26–28). Opening and closing capital show the bonus was the only share issue. Published 2,353.539m cannot be reconstructed; discrepancy remains flagged.</x:v>
      </x:c>
      <x:c r="S28" s="85" t="n">
        <x:v>251</x:v>
      </x:c>
      <x:c r="T28" s="84" t="str">
        <x:v>FCCL-Annual-Report-2023.pdf</x:v>
      </x:c>
      <x:c r="U28" s="84" t="str">
        <x:v>https://fccl.com.pk/eng/financial-reports/</x:v>
      </x:c>
    </x:row>
    <x:row r="29" ht="78" customHeight="1">
      <x:c r="A29" s="76" t="str">
        <x:v>FCCL</x:v>
      </x:c>
      <x:c r="B29" s="83" t="n">
        <x:v>2024</x:v>
      </x:c>
      <x:c r="C29" s="107" t="n">
        <x:v>10</x:v>
      </x:c>
      <x:c r="D29" s="104" t="n">
        <x:v>2452.847</x:v>
      </x:c>
      <x:c r="E29" s="83" t="n">
        <x:v>1</x:v>
      </x:c>
      <x:c r="F29" s="105" t="n">
        <x:f>FCCL!G129</x:f>
        <x:v>2452.847</x:v>
      </x:c>
      <x:c r="G29" s="105" t="n">
        <x:f>FCCL!G128</x:f>
        <x:v>2452.8476</x:v>
      </x:c>
      <x:c r="H29" s="105" t="n">
        <x:f>FCCL!G135</x:f>
        <x:v>0</x:v>
      </x:c>
      <x:c r="I29" s="110" t="n">
        <x:f>FCCL!G131</x:f>
        <x:v>1</x:v>
      </x:c>
      <x:c r="J29" s="111" t="n">
        <x:v>3.35</x:v>
      </x:c>
      <x:c r="K29" s="111" t="n">
        <x:v>1</x:v>
      </x:c>
      <x:c r="L29" s="110" t="n">
        <x:f>FCCL!G173</x:f>
        <x:v>3.3524781610919856</x:v>
      </x:c>
      <x:c r="M29" s="111" t="n">
        <x:f>J29*K29</x:f>
        <x:v>3.35</x:v>
      </x:c>
      <x:c r="N29" s="111" t="n">
        <x:f>L29-M29</x:f>
        <x:v>0.002478161091985509</x:v>
      </x:c>
      <x:c r="O29" s="110" t="n">
        <x:f>FCCL!G174</x:f>
        <x:v>6.833750705936781</x:v>
      </x:c>
      <x:c r="P29" s="110" t="n">
        <x:f>FCCL!G172</x:f>
        <x:v>0.7656078565151421</x:v>
      </x:c>
      <x:c r="Q29" s="113" t="n">
        <x:f>FCCL!G175</x:f>
        <x:v>0.04364906154517678</x:v>
      </x:c>
      <x:c r="R29" s="99" t="str">
        <x:v>FY2025 EPS note 38 gives 2,452.847m as comparative, correcting the FY2024 report’s 2,452.857m. No split or additional issue.</x:v>
      </x:c>
      <x:c r="S29" s="83" t="n">
        <x:v>230</x:v>
      </x:c>
      <x:c r="T29" s="76" t="str">
        <x:v>FCCL-Annual-Report-2024.pdf</x:v>
      </x:c>
      <x:c r="U29" s="76" t="str">
        <x:v>https://fccl.com.pk/eng/financial-reports/</x:v>
      </x:c>
    </x:row>
    <x:row r="30" ht="78" customHeight="1">
      <x:c r="A30" s="84" t="str">
        <x:v>FCCL</x:v>
      </x:c>
      <x:c r="B30" s="85" t="n">
        <x:v>2025</x:v>
      </x:c>
      <x:c r="C30" s="106" t="n">
        <x:v>10</x:v>
      </x:c>
      <x:c r="D30" s="102" t="n">
        <x:v>2452.847</x:v>
      </x:c>
      <x:c r="E30" s="85" t="n">
        <x:v>1</x:v>
      </x:c>
      <x:c r="F30" s="103" t="n">
        <x:f>FCCL!H129</x:f>
        <x:v>2452.847</x:v>
      </x:c>
      <x:c r="G30" s="103" t="n">
        <x:f>FCCL!H128</x:f>
        <x:v>2452.8476</x:v>
      </x:c>
      <x:c r="H30" s="103" t="n">
        <x:f>FCCL!H135</x:f>
        <x:v>0</x:v>
      </x:c>
      <x:c r="I30" s="108" t="n">
        <x:f>FCCL!H131</x:f>
        <x:v>1.25</x:v>
      </x:c>
      <x:c r="J30" s="109" t="n">
        <x:v>5.43</x:v>
      </x:c>
      <x:c r="K30" s="109" t="n">
        <x:v>1</x:v>
      </x:c>
      <x:c r="L30" s="108" t="n">
        <x:f>FCCL!H173</x:f>
        <x:v>5.432952809531124</x:v>
      </x:c>
      <x:c r="M30" s="109" t="n">
        <x:f>J30*K30</x:f>
        <x:v>5.43</x:v>
      </x:c>
      <x:c r="N30" s="109" t="n">
        <x:f>L30-M30</x:f>
        <x:v>0.002952809531124423</x:v>
      </x:c>
      <x:c r="O30" s="108" t="n">
        <x:f>FCCL!H174</x:f>
        <x:v>8.222048224242743</x:v>
      </x:c>
      <x:c r="P30" s="108" t="n">
        <x:f>FCCL!H172</x:f>
        <x:v>1.3001759998029245</x:v>
      </x:c>
      <x:c r="Q30" s="112" t="n">
        <x:f>FCCL!H175</x:f>
        <x:v>0.027982986344302664</x:v>
      </x:c>
      <x:c r="R30" s="98" t="str">
        <x:v>Verified own-year EPS note. Price and per-share figures use the FY-end share basis.</x:v>
      </x:c>
      <x:c r="S30" s="85" t="n">
        <x:v>285</x:v>
      </x:c>
      <x:c r="T30" s="84" t="str">
        <x:v>FCCL-Annual-Report-2025.pdf</x:v>
      </x:c>
      <x:c r="U30" s="84" t="str">
        <x:v>https://fccl.com.pk/eng/wp-content/uploads/2025/05/FCCL-Annual-Report-2025.pdf</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1" hidden="0" customWidth="1"/>
    <x:col min="2" max="2" width="28" hidden="0" customWidth="1"/>
    <x:col min="3" max="3" width="17" hidden="0" customWidth="1"/>
    <x:col min="4" max="4" width="17" hidden="0" customWidth="1"/>
    <x:col min="5" max="5" width="17" hidden="0" customWidth="1"/>
    <x:col min="6" max="6" width="17" hidden="0" customWidth="1"/>
    <x:col min="7" max="7" width="40" hidden="0" customWidth="1"/>
    <x:col min="8" max="8" width="80" hidden="0" customWidth="1"/>
    <x:col min="9" max="9" width="80" hidden="0" customWidth="1"/>
    <x:col min="10" max="10" width="110" hidden="0" customWidth="1"/>
    <x:col min="11" max="11" width="17" hidden="0" customWidth="1"/>
  </x:cols>
  <x:sheetData>
    <x:row r="1" ht="24" customHeight="1">
      <x:c r="A1" s="76"/>
      <x:c r="B1" s="76"/>
      <x:c r="C1" s="76"/>
      <x:c r="D1" s="76"/>
      <x:c r="E1" s="76"/>
      <x:c r="F1" s="76"/>
      <x:c r="G1" s="76"/>
      <x:c r="H1" s="76"/>
      <x:c r="I1" s="76"/>
      <x:c r="J1" s="76"/>
      <x:c r="K1" s="76"/>
    </x:row>
    <x:row r="2" ht="24" customHeight="1">
      <x:c r="A2" s="77" t="str">
        <x:v>Verified corporate actions and price basis</x:v>
      </x:c>
      <x:c r="B2" s="76"/>
      <x:c r="C2" s="76"/>
      <x:c r="D2" s="76"/>
      <x:c r="E2" s="76"/>
      <x:c r="F2" s="76"/>
      <x:c r="G2" s="76"/>
      <x:c r="H2" s="76"/>
      <x:c r="I2" s="76"/>
      <x:c r="J2" s="76"/>
      <x:c r="K2" s="76"/>
    </x:row>
    <x:row r="3" ht="24" customHeight="1">
      <x:c r="A3" s="78" t="str">
        <x:v>Execution, credit, approval, announcement and first trading dates are distinguished. Blank trading dates are not assumed ex-dates.</x:v>
      </x:c>
      <x:c r="B3" s="76"/>
      <x:c r="C3" s="76"/>
      <x:c r="D3" s="76"/>
      <x:c r="E3" s="76"/>
      <x:c r="F3" s="76"/>
      <x:c r="G3" s="76"/>
      <x:c r="H3" s="76"/>
      <x:c r="I3" s="76"/>
      <x:c r="J3" s="76"/>
      <x:c r="K3" s="76"/>
    </x:row>
    <x:row r="4" ht="24" customHeight="1">
      <x:c r="A4" s="76"/>
      <x:c r="B4" s="76"/>
      <x:c r="C4" s="76"/>
      <x:c r="D4" s="76"/>
      <x:c r="E4" s="76"/>
      <x:c r="F4" s="76"/>
      <x:c r="G4" s="76"/>
      <x:c r="H4" s="76"/>
      <x:c r="I4" s="76"/>
      <x:c r="J4" s="76"/>
      <x:c r="K4" s="76"/>
    </x:row>
    <x:row r="5" ht="44" customHeight="1">
      <x:c r="A5" s="82" t="str">
        <x:v>Company</x:v>
      </x:c>
      <x:c r="B5" s="82" t="str">
        <x:v>Action</x:v>
      </x:c>
      <x:c r="C5" s="82" t="str">
        <x:v>Event date</x:v>
      </x:c>
      <x:c r="D5" s="82" t="str">
        <x:v>First split trading</x:v>
      </x:c>
      <x:c r="E5" s="82" t="str">
        <x:v>Factor</x:v>
      </x:c>
      <x:c r="F5" s="82" t="str">
        <x:v>Par value (Rs)</x:v>
      </x:c>
      <x:c r="G5" s="82" t="str">
        <x:v>Share-count evidence</x:v>
      </x:c>
      <x:c r="H5" s="82" t="str">
        <x:v>Treatment</x:v>
      </x:c>
      <x:c r="I5" s="82" t="str">
        <x:v>Source document</x:v>
      </x:c>
      <x:c r="J5" s="82" t="str">
        <x:v>Official URL</x:v>
      </x:c>
      <x:c r="K5" s="82" t="str">
        <x:v>PDF page</x:v>
      </x:c>
    </x:row>
    <x:row r="6" ht="95" customHeight="1">
      <x:c r="A6" s="98" t="str">
        <x:v>KOHC</x:v>
      </x:c>
      <x:c r="B6" s="114" t="str">
        <x:v>5-for-1 split</x:v>
      </x:c>
      <x:c r="C6" s="115" t="d">
        <x:v>2025-08-23T00:00:00.000Z</x:v>
      </x:c>
      <x:c r="D6" s="115" t="d">
        <x:v>2025-08-25T00:00:00.000Z</x:v>
      </x:c>
      <x:c r="E6" s="118" t="n">
        <x:v>5</x:v>
      </x:c>
      <x:c r="F6" s="98" t="str">
        <x:v>10 to 2</x:v>
      </x:c>
      <x:c r="G6" s="98" t="str">
        <x:v>183,861,297 to 919,306,485</x:v>
      </x:c>
      <x:c r="H6" s="98" t="str">
        <x:v>After all five FY-end observations. Use raw PSX prices and pre-split per-share data through FY2025.</x:v>
      </x:c>
      <x:c r="I6" s="98" t="str">
        <x:v>PSX/N-880 dated 15-Aug-2025</x:v>
      </x:c>
      <x:c r="J6" s="98" t="str">
        <x:v>https://www.psx.com.pk/psx/files/?file=257828-1.pdf</x:v>
      </x:c>
      <x:c r="K6" s="114" t="n">
        <x:v>1</x:v>
      </x:c>
    </x:row>
    <x:row r="7" ht="95" customHeight="1">
      <x:c r="A7" s="99" t="str">
        <x:v>LUCK</x:v>
      </x:c>
      <x:c r="B7" s="116" t="str">
        <x:v>5-for-1 split approval</x:v>
      </x:c>
      <x:c r="C7" s="117" t="d">
        <x:v>2025-03-18T00:00:00.000Z</x:v>
      </x:c>
      <x:c r="D7" s="117" t="d">
        <x:v>2025-04-28T00:00:00.000Z</x:v>
      </x:c>
      <x:c r="E7" s="119" t="n">
        <x:v>5</x:v>
      </x:c>
      <x:c r="F7" s="99" t="str">
        <x:v>10 to 2</x:v>
      </x:c>
      <x:c r="G7" s="99" t="str">
        <x:v>293,000,000 to 1,465,000,000</x:v>
      </x:c>
      <x:c r="H7" s="99" t="str">
        <x:v>Approved 18-Mar-2025 (FY2025 note 18.1); book closure 23–25 April. FY2025 post-split; FY2021–24 pre-split. First split trading date from PSX.</x:v>
      </x:c>
      <x:c r="I7" s="99" t="str">
        <x:v>PSX/N-368 dated 10-Apr-2025; FY2025 note 18.1</x:v>
      </x:c>
      <x:c r="J7" s="99" t="str">
        <x:v>https://www.psx.com.pk/psx/files/?file=250915-1.pdf</x:v>
      </x:c>
      <x:c r="K7" s="116" t="n">
        <x:v>1</x:v>
      </x:c>
    </x:row>
    <x:row r="8" ht="95" customHeight="1">
      <x:c r="A8" s="98" t="str">
        <x:v>FCCL</x:v>
      </x:c>
      <x:c r="B8" s="114" t="str">
        <x:v>12.5% bonus issue</x:v>
      </x:c>
      <x:c r="C8" s="115" t="d">
        <x:v>2022-10-21T00:00:00.000Z</x:v>
      </x:c>
      <x:c r="D8" s="115"/>
      <x:c r="E8" s="118" t="n">
        <x:v>1.125</x:v>
      </x:c>
      <x:c r="F8" s="98" t="str">
        <x:v>10 unchanged</x:v>
      </x:c>
      <x:c r="G8" s="98" t="str">
        <x:v>2,180.309m opening to 2,452.848m closing</x:v>
      </x:c>
      <x:c r="H8" s="98" t="str">
        <x:v>Approval 21-Oct-2022. PSX announcement confirms credit/dispatch by 11-Nov-2022. After FY2022, before FY2023 close. Historical PSX prices are not restated.</x:v>
      </x:c>
      <x:c r="I8" s="98" t="str">
        <x:v>PSX AGM resolutions and credit notice</x:v>
      </x:c>
      <x:c r="J8" s="98" t="str">
        <x:v>https://dps.psx.com.pk/download/document/195610.pdf</x:v>
      </x:c>
      <x:c r="K8" s="114" t="n">
        <x:v>1</x:v>
      </x:c>
    </x:row>
    <x:row r="9" ht="95" customHeight="1">
      <x:c r="A9" s="99" t="str">
        <x:v>FCCL</x:v>
      </x:c>
      <x:c r="B9" s="116" t="str">
        <x:v>Bonus credit notice</x:v>
      </x:c>
      <x:c r="C9" s="117" t="d">
        <x:v>2022-11-11T00:00:00.000Z</x:v>
      </x:c>
      <x:c r="D9" s="117"/>
      <x:c r="E9" s="119" t="n">
        <x:v>1.125</x:v>
      </x:c>
      <x:c r="F9" s="99" t="str">
        <x:v>10 unchanged</x:v>
      </x:c>
      <x:c r="G9" s="99" t="str">
        <x:v>272.539m bonus shares</x:v>
      </x:c>
      <x:c r="H9" s="99" t="str">
        <x:v>This is announcement date, not an assumed ex-date. Full-year FY2023 EPS denominator follows IAS 33.26–28.</x:v>
      </x:c>
      <x:c r="I9" s="99" t="str">
        <x:v>Credit / Dispatch of Bonus Share Certificates</x:v>
      </x:c>
      <x:c r="J9" s="99" t="str">
        <x:v>https://dps.psx.com.pk/download/document/197721.pdf</x:v>
      </x:c>
      <x:c r="K9" s="116" t="n">
        <x:v>1</x:v>
      </x:c>
    </x:row>
    <x:row r="10" ht="95" customHeight="1">
      <x:c r="A10" s="98" t="str">
        <x:v>KOHC</x:v>
      </x:c>
      <x:c r="B10" s="114" t="str">
        <x:v>Buybacks</x:v>
      </x:c>
      <x:c r="C10" s="115"/>
      <x:c r="D10" s="115"/>
      <x:c r="E10" s="118" t="n">
        <x:v>1</x:v>
      </x:c>
      <x:c r="F10" s="98" t="str">
        <x:v>10 before later split</x:v>
      </x:c>
      <x:c r="G10" s="98" t="str">
        <x:v>5m cancelled FY2024; 12m FY2025</x:v>
      </x:c>
      <x:c r="H10" s="98" t="str">
        <x:v>Year-end shares and weighted-average shares differ. Own-year FY2024 note used because FY2025 restated comparative counts conflict.</x:v>
      </x:c>
      <x:c r="I10" s="98" t="str">
        <x:v>FY2024 note 4 and 34.1; FY2025 note 4 and 33.1</x:v>
      </x:c>
      <x:c r="J10" s="98" t="str">
        <x:v>https://www.kohatcement.com/pdf_files/reports/638941365011906568_Kohat_Cement_Annual_Report_2025.pdf</x:v>
      </x:c>
      <x:c r="K10" s="114" t="n">
        <x:v>109</x:v>
      </x:c>
    </x:row>
    <x:row r="11" ht="95" customHeight="1">
      <x:c r="A11" s="99" t="str">
        <x:v>LUCK</x:v>
      </x:c>
      <x:c r="B11" s="116" t="str">
        <x:v>Buybacks</x:v>
      </x:c>
      <x:c r="C11" s="117"/>
      <x:c r="D11" s="117"/>
      <x:c r="E11" s="119" t="n">
        <x:v>1</x:v>
      </x:c>
      <x:c r="F11" s="99" t="str">
        <x:v>10 before April 2025</x:v>
      </x:c>
      <x:c r="G11" s="99" t="str">
        <x:v>FY2023 net 311.8386m; FY2024 293m</x:v>
      </x:c>
      <x:c r="H11" s="99" t="str">
        <x:v>FY2023 net capital already deducts shares held for cancellation. No second deduction. Use own-year audited weighted shares.</x:v>
      </x:c>
      <x:c r="I11" s="99" t="str">
        <x:v>FY2023–25 issued capital and EPS notes</x:v>
      </x:c>
      <x:c r="J11" s="99" t="str">
        <x:v>https://www.lucky-cement.com/wp-content/uploads/2025/09/Lucky-Cement-AR-2025_compressed.pdf</x:v>
      </x:c>
      <x:c r="K11" s="116" t="n">
        <x:v>274</x:v>
      </x:c>
    </x:row>
    <x:row r="12" ht="95" customHeight="1">
      <x:c r="A12" s="98" t="str">
        <x:v>MLCF</x:v>
      </x:c>
      <x:c r="B12" s="114" t="str">
        <x:v>Treasury shares and cancellations</x:v>
      </x:c>
      <x:c r="C12" s="115" t="d">
        <x:v>2022-06-30T00:00:00.000Z</x:v>
      </x:c>
      <x:c r="D12" s="115"/>
      <x:c r="E12" s="118" t="n">
        <x:v>1</x:v>
      </x:c>
      <x:c r="F12" s="98" t="str">
        <x:v>10 unchanged</x:v>
      </x:c>
      <x:c r="G12" s="98" t="str">
        <x:v>18.545m held for cancellation at FY2022</x:v>
      </x:c>
      <x:c r="H12" s="98" t="str">
        <x:v>Deduct reported 18.545m treasury shares for FY2022 outstanding shares. Do not deduct all 25m before subsequent purchases. Precision: 0.001m.</x:v>
      </x:c>
      <x:c r="I12" s="98" t="str">
        <x:v>FY2022 note 6.3</x:v>
      </x:c>
      <x:c r="J12" s="98" t="str">
        <x:v>https://www.kmlg.com/mlcfl/wp-content/uploads/2022/10/MLCF_AR_2022.pdf</x:v>
      </x:c>
      <x:c r="K12" s="114" t="n">
        <x:v>206</x:v>
      </x:c>
    </x:row>
    <x:row r="13" ht="95" customHeight="1">
      <x:c r="A13" s="99" t="str">
        <x:v>MLCF</x:v>
      </x:c>
      <x:c r="B13" s="116" t="str">
        <x:v>Buybacks</x:v>
      </x:c>
      <x:c r="C13" s="117"/>
      <x:c r="D13" s="117"/>
      <x:c r="E13" s="119" t="n">
        <x:v>1</x:v>
      </x:c>
      <x:c r="F13" s="99" t="str">
        <x:v>10 unchanged</x:v>
      </x:c>
      <x:c r="G13" s="99" t="str">
        <x:v>25m cancelled FY2023; 25,783,624 FY2024</x:v>
      </x:c>
      <x:c r="H13" s="99" t="str">
        <x:v>WAVG from own-year EPS notes; closing shares from share capital. No share split in FY2021–25.</x:v>
      </x:c>
      <x:c r="I13" s="99" t="str">
        <x:v>FY2023 note 5; FY2025 note 5.1.4</x:v>
      </x:c>
      <x:c r="J13" s="99" t="str">
        <x:v>https://www.kmlg.com/mlcfl/wp-content/uploads/2025/06/MLCF-AR-2025.pdf</x:v>
      </x:c>
      <x:c r="K13" s="116" t="n">
        <x:v>225</x:v>
      </x:c>
    </x:row>
    <x:row r="14" ht="95" customHeight="1">
      <x:c r="A14" s="98" t="str">
        <x:v>FCCL</x:v>
      </x:c>
      <x:c r="B14" s="114" t="str">
        <x:v>Askari amalgamation</x:v>
      </x:c>
      <x:c r="C14" s="115"/>
      <x:c r="D14" s="115"/>
      <x:c r="E14" s="118" t="n">
        <x:v>1</x:v>
      </x:c>
      <x:c r="F14" s="98" t="str">
        <x:v>10 unchanged</x:v>
      </x:c>
      <x:c r="G14" s="98" t="str">
        <x:v>800.494m merger shares in FY2022</x:v>
      </x:c>
      <x:c r="H14" s="98" t="str">
        <x:v>Use own-year FY2022 weighted shares of 2,180.309m and original EPS 3.26 with the pre-bonus year-end price.</x:v>
      </x:c>
      <x:c r="I14" s="98" t="str">
        <x:v>FY2022 note 4.2; FY2023 note 4.2</x:v>
      </x:c>
      <x:c r="J14" s="98" t="str">
        <x:v>https://fccl.com.pk/eng/financial-reports/</x:v>
      </x:c>
      <x:c r="K14" s="114" t="n">
        <x:v>208</x:v>
      </x:c>
    </x:row>
    <x:row r="15" ht="95" customHeight="1">
      <x:c r="A15" s="99" t="str">
        <x:v>DGKC</x:v>
      </x:c>
      <x:c r="B15" s="116" t="str">
        <x:v>Share capital continuity</x:v>
      </x:c>
      <x:c r="C15" s="117"/>
      <x:c r="D15" s="117"/>
      <x:c r="E15" s="119" t="n">
        <x:v>1</x:v>
      </x:c>
      <x:c r="F15" s="99" t="str">
        <x:v>10 unchanged</x:v>
      </x:c>
      <x:c r="G15" s="99" t="str">
        <x:v>438,119,118 shares throughout FY2021–25</x:v>
      </x:c>
      <x:c r="H15" s="99" t="str">
        <x:v>Own-year capital and EPS notes show constant shares; no split or bonus adjustment required in the analysis period.</x:v>
      </x:c>
      <x:c r="I15" s="99" t="str">
        <x:v>FY2021–25 capital and EPS notes</x:v>
      </x:c>
      <x:c r="J15" s="99" t="str">
        <x:v>https://www.dgcement.com/financial-reports/DGAnnual2025.pdf</x:v>
      </x:c>
      <x:c r="K15" s="116" t="n">
        <x:v>172</x:v>
      </x:c>
    </x:row>
    <x:row r="16" ht="95" customHeight="1">
      <x:c r="A16" s="98" t="str">
        <x:v>All</x:v>
      </x:c>
      <x:c r="B16" s="114" t="str">
        <x:v>EPS bonus/split rule</x:v>
      </x:c>
      <x:c r="C16" s="115"/>
      <x:c r="D16" s="115"/>
      <x:c r="E16" s="118"/>
      <x:c r="F16" s="98"/>
      <x:c r="G16" s="98"/>
      <x:c r="H16" s="98" t="str">
        <x:v>Bonus and split changes apply retrospectively to the EPS denominator. Historical traded prices remain raw; reverse subsequent splits only when matching EPS to the earlier market basis.</x:v>
      </x:c>
      <x:c r="I16" s="98" t="str">
        <x:v>IAS 33 paragraphs 26–28 and 64</x:v>
      </x:c>
      <x:c r="J16" s="98" t="str">
        <x:v>https://www.ifrs.org/content/dam/ifrs/publications/pdf-standards/english/2023/issued/part-a/ias-33-earnings-per-share.pdf?bypass=on</x:v>
      </x:c>
      <x:c r="K16" s="114"/>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1" hidden="0" customWidth="1"/>
    <x:col min="2" max="2" width="11" hidden="0" customWidth="1"/>
    <x:col min="3" max="3" width="48" hidden="0" customWidth="1"/>
    <x:col min="4" max="4" width="26" hidden="0" customWidth="1"/>
    <x:col min="5" max="5" width="90" hidden="0" customWidth="1"/>
    <x:col min="6" max="6" width="90" hidden="0" customWidth="1"/>
    <x:col min="7" max="7" width="70" hidden="0" customWidth="1"/>
    <x:col min="8" max="8" width="17" hidden="0" customWidth="1"/>
    <x:col min="9" max="9" width="50" hidden="0" customWidth="1"/>
    <x:col min="10" max="10" width="17" hidden="0" customWidth="1"/>
    <x:col min="11" max="11" width="140" hidden="0" customWidth="1"/>
    <x:col min="12" max="12" width="140" hidden="0" customWidth="1"/>
    <x:col min="13" max="13" width="140" hidden="0" customWidth="1"/>
  </x:cols>
  <x:sheetData>
    <x:row r="1" ht="24" customHeight="1">
      <x:c r="A1" s="76"/>
      <x:c r="B1" s="76"/>
      <x:c r="C1" s="76"/>
      <x:c r="D1" s="76"/>
      <x:c r="E1" s="76"/>
      <x:c r="F1" s="76"/>
      <x:c r="G1" s="76"/>
      <x:c r="H1" s="76"/>
      <x:c r="I1" s="76"/>
      <x:c r="J1" s="76"/>
      <x:c r="K1" s="76"/>
      <x:c r="L1" s="76"/>
      <x:c r="M1" s="76"/>
    </x:row>
    <x:row r="2" ht="24" customHeight="1">
      <x:c r="A2" s="77" t="str">
        <x:v>Official PSX trading evidence and report cross-checks</x:v>
      </x:c>
      <x:c r="B2" s="76"/>
      <x:c r="C2" s="76"/>
      <x:c r="D2" s="76"/>
      <x:c r="E2" s="76"/>
      <x:c r="F2" s="76"/>
      <x:c r="G2" s="76"/>
      <x:c r="H2" s="76"/>
      <x:c r="I2" s="76"/>
      <x:c r="J2" s="76"/>
      <x:c r="K2" s="76"/>
      <x:c r="L2" s="76"/>
      <x:c r="M2" s="76"/>
    </x:row>
    <x:row r="3" ht="24" customHeight="1">
      <x:c r="A3" s="78" t="str">
        <x:v>Raw regular-market rows and full-response SHA-256 hashes preserve the retrieved evidence. Reproduce via the PSX historical date search using the stated POST date. No third-party price inputs.</x:v>
      </x:c>
      <x:c r="B3" s="76"/>
      <x:c r="C3" s="76"/>
      <x:c r="D3" s="76"/>
      <x:c r="E3" s="76"/>
      <x:c r="F3" s="76"/>
      <x:c r="G3" s="76"/>
      <x:c r="H3" s="76"/>
      <x:c r="I3" s="76"/>
      <x:c r="J3" s="76"/>
      <x:c r="K3" s="76"/>
      <x:c r="L3" s="76"/>
      <x:c r="M3" s="76"/>
    </x:row>
    <x:row r="4" ht="24" customHeight="1">
      <x:c r="A4" s="76"/>
      <x:c r="B4" s="76"/>
      <x:c r="C4" s="76"/>
      <x:c r="D4" s="76"/>
      <x:c r="E4" s="76"/>
      <x:c r="F4" s="76"/>
      <x:c r="G4" s="76"/>
      <x:c r="H4" s="76"/>
      <x:c r="I4" s="76"/>
      <x:c r="J4" s="76"/>
      <x:c r="K4" s="76"/>
      <x:c r="L4" s="76"/>
      <x:c r="M4" s="76"/>
    </x:row>
    <x:row r="5" ht="44" customHeight="1">
      <x:c r="A5" s="82" t="str">
        <x:v>Company</x:v>
      </x:c>
      <x:c r="B5" s="82" t="str">
        <x:v>FY</x:v>
      </x:c>
      <x:c r="C5" s="82" t="str">
        <x:v>Official PSX endpoint</x:v>
      </x:c>
      <x:c r="D5" s="82" t="str">
        <x:v>Request</x:v>
      </x:c>
      <x:c r="E5" s="82" t="str">
        <x:v>PSX column order</x:v>
      </x:c>
      <x:c r="F5" s="82" t="str">
        <x:v>Raw PSX row</x:v>
      </x:c>
      <x:c r="G5" s="82" t="str">
        <x:v>Response SHA-256</x:v>
      </x:c>
      <x:c r="H5" s="82" t="str">
        <x:v>Retrieved (Pakistan date)</x:v>
      </x:c>
      <x:c r="I5" s="82" t="str">
        <x:v>Annual report file</x:v>
      </x:c>
      <x:c r="J5" s="82" t="str">
        <x:v>PDF page</x:v>
      </x:c>
      <x:c r="K5" s="82" t="str">
        <x:v>Official report URL</x:v>
      </x:c>
      <x:c r="L5" s="82" t="str">
        <x:v>Annual-report evidence</x:v>
      </x:c>
      <x:c r="M5" s="82" t="str">
        <x:v>Own-year EPS-note evidence</x:v>
      </x:c>
    </x:row>
    <x:row r="6" ht="140" customHeight="1">
      <x:c r="A6" s="84" t="str">
        <x:v>KOHC</x:v>
      </x:c>
      <x:c r="B6" s="85" t="n">
        <x:v>2021</x:v>
      </x:c>
      <x:c r="C6" s="84" t="str">
        <x:v>https://dps.psx.com.pk/historical</x:v>
      </x:c>
      <x:c r="D6" s="84" t="str">
        <x:v>POST date=2021-06-30</x:v>
      </x:c>
      <x:c r="E6" s="84" t="str">
        <x:v>SYMBOL | LDCP | OPEN | HIGH | LOW | CLOSE | CHANGE | CHANGE (%) | VOLUME</x:v>
      </x:c>
      <x:c r="F6" s="84" t="str">
        <x:v>KOHC | 210.26 | 211.99 | 212.99 | 205.00 | 206.49 | -3.77 | -1.79% | 158,200</x:v>
      </x:c>
      <x:c r="G6" s="84" t="str">
        <x:v>a7533f1ddd4bfe985aaa10fe7de6d004e59ddbe860bc5e861d82357f39639f9f</x:v>
      </x:c>
      <x:c r="H6" s="84" t="str">
        <x:v>2026-10-22</x:v>
      </x:c>
      <x:c r="I6" s="84" t="str">
        <x:v>Kohat_Cement_Annual_Report_2025.pdf</x:v>
      </x:c>
      <x:c r="J6" s="85" t="n">
        <x:v>53</x:v>
      </x:c>
      <x:c r="K6" s="84" t="str">
        <x:v>https://www.kohatcement.com/pdf_files/reports/638941365011906568_Kohat_Cement_Annual_Report_2025.pdf</x:v>
      </x:c>
      <x:c r="L6" s="98" t="str">
        <x:v> – – – – – – Stock Dividend – – – – – – Market Value per Share * - Closing 75.67 49.00 34.69 26.03 41.30 27.49 - High 90.00 51.02 35.76 46.89 52.40 30.40 - Low 46.47 31.70 22.61 25.24 27.30 8.02 Breakup value per share of Rs. 2 each * 49.58 41.84 32.47 27.13 22.13 18.65 Capital Structure Ratios Debt to equity ratio 4:96 5:95 9:91 13:87 21:79 27:73 Interest coverage ratio 51.72 21.34 15.14 17.60 10.45 (0.36) Debt Service Coverage Ratio 13.58 8.86 7.25 5.81 7.08 0.37 Activity/Turnover Ratios Inventory turnover ratio 5.00 5.10 5.08 5.80 5.75 3.46 No. of days in inventory 72.98 71.58 71.</x:v>
      </x:c>
      <x:c r="M6" s="98" t="str">
        <x:v>e - basic and diluted 33.1 Basic Earnings / (loss) per share Profit / (loss) for the year after taxation Rupees 3,497,507,247 (443,735,698) Weighted average number of ordinary shares Numbers 200,861,297 200,861,297 Earnings / (loss) per share Rupees 17.41 (2.21) 33.2 Diluted (loss) / earnings per share There is no dilutive effect on the basic earnings / (loss) per share as the Company does not have any convertible instruments in issue as at 30 June 2021 and 30 June 2020. 82</x:v>
      </x:c>
    </x:row>
    <x:row r="7" ht="140" customHeight="1">
      <x:c r="A7" s="76" t="str">
        <x:v>KOHC</x:v>
      </x:c>
      <x:c r="B7" s="83" t="n">
        <x:v>2022</x:v>
      </x:c>
      <x:c r="C7" s="76" t="str">
        <x:v>https://dps.psx.com.pk/historical</x:v>
      </x:c>
      <x:c r="D7" s="76" t="str">
        <x:v>POST date=2022-06-30</x:v>
      </x:c>
      <x:c r="E7" s="76" t="str">
        <x:v>SYMBOL | LDCP | OPEN | HIGH | LOW | CLOSE | CHANGE | CHANGE (%) | VOLUME</x:v>
      </x:c>
      <x:c r="F7" s="76" t="str">
        <x:v>KOHC | 129.89 | 131.00 | 134.00 | 129.75 | 130.13 | 0.24 | 0.18% | 56,300</x:v>
      </x:c>
      <x:c r="G7" s="76" t="str">
        <x:v>dd7808b40b462c8056eef6b5d6f32228cdb7ebfb8706e2ff6036ed7ae0c134b7</x:v>
      </x:c>
      <x:c r="H7" s="76" t="str">
        <x:v>2026-10-22</x:v>
      </x:c>
      <x:c r="I7" s="76" t="str">
        <x:v>Kohat_Cement_Annual_Report_2025.pdf</x:v>
      </x:c>
      <x:c r="J7" s="83" t="n">
        <x:v>53</x:v>
      </x:c>
      <x:c r="K7" s="76" t="str">
        <x:v>https://www.kohatcement.com/pdf_files/reports/638941365011906568_Kohat_Cement_Annual_Report_2025.pdf</x:v>
      </x:c>
      <x:c r="L7" s="99" t="str">
        <x:v> – – – – – – Stock Dividend – – – – – – Market Value per Share * - Closing 75.67 49.00 34.69 26.03 41.30 27.49 - High 90.00 51.02 35.76 46.89 52.40 30.40 - Low 46.47 31.70 22.61 25.24 27.30 8.02 Breakup value per share of Rs. 2 each * 49.58 41.84 32.47 27.13 22.13 18.65 Capital Structure Ratios Debt to equity ratio 4:96 5:95 9:91 13:87 21:79 27:73 Interest coverage ratio 51.72 21.34 15.14 17.60 10.45 (0.36) Debt Service Coverage Ratio 13.58 8.86 7.25 5.81 7.08 0.37 Activity/Turnover Ratios Inventory turnover ratio 5.00 5.10 5.08 5.80 5.75 3.46 No. of days in inventory 72.98 71.58 71.</x:v>
      </x:c>
      <x:c r="M7" s="99" t="str">
        <x:v> Earnings per share - basic and diluted 34.1 Basic Earnings per share Profit for the year after taxation Rupees 5,024,280,260 3,497,507,247 Weighted average number of ordinary shares Numbers 200,861,297 200,861,297 Earnings per share Rupees 25.01 17.41 92 NOTES TO THE FINANCIAL STATEMENTS For the year ended 30 June 2022</x:v>
      </x:c>
    </x:row>
    <x:row r="8" ht="140" customHeight="1">
      <x:c r="A8" s="84" t="str">
        <x:v>KOHC</x:v>
      </x:c>
      <x:c r="B8" s="85" t="n">
        <x:v>2023</x:v>
      </x:c>
      <x:c r="C8" s="84" t="str">
        <x:v>https://dps.psx.com.pk/historical</x:v>
      </x:c>
      <x:c r="D8" s="84" t="str">
        <x:v>POST date=2023-06-27</x:v>
      </x:c>
      <x:c r="E8" s="84" t="str">
        <x:v>SYMBOL | LDCP | OPEN | HIGH | LOW | CLOSE | CHANGE | CHANGE (%) | VOLUME</x:v>
      </x:c>
      <x:c r="F8" s="84" t="str">
        <x:v>KOHC | 170.20 | 170.01 | 178.80 | 170.00 | 173.47 | 3.27 | 1.92% | 305,724</x:v>
      </x:c>
      <x:c r="G8" s="84" t="str">
        <x:v>2e0eb9557487b380ab4c4b0235b16b477f45778d471df6dfd853dc1e33d23f05</x:v>
      </x:c>
      <x:c r="H8" s="84" t="str">
        <x:v>2026-10-22</x:v>
      </x:c>
      <x:c r="I8" s="84" t="str">
        <x:v>Kohat_Cement_Annual_Report_2025.pdf</x:v>
      </x:c>
      <x:c r="J8" s="85" t="n">
        <x:v>53</x:v>
      </x:c>
      <x:c r="K8" s="84" t="str">
        <x:v>https://www.kohatcement.com/pdf_files/reports/638941365011906568_Kohat_Cement_Annual_Report_2025.pdf</x:v>
      </x:c>
      <x:c r="L8" s="98" t="str">
        <x:v> – – – – – – Stock Dividend – – – – – – Market Value per Share * - Closing 75.67 49.00 34.69 26.03 41.30 27.49 - High 90.00 51.02 35.76 46.89 52.40 30.40 - Low 46.47 31.70 22.61 25.24 27.30 8.02 Breakup value per share of Rs. 2 each * 49.58 41.84 32.47 27.13 22.13 18.65 Capital Structure Ratios Debt to equity ratio 4:96 5:95 9:91 13:87 21:79 27:73 Interest coverage ratio 51.72 21.34 15.14 17.60 10.45 (0.36) Debt Service Coverage Ratio 13.58 8.86 7.25 5.81 7.08 0.37 Activity/Turnover Ratios Inventory turnover ratio 5.00 5.10 5.08 5.80 5.75 3.46 No. of days in inventory 72.98 71.58 71.</x:v>
      </x:c>
      <x:c r="M8" s="98" t="str">
        <x:v> Earnings per share - basic and diluted 34.1 Basic Earnings per share Profit for the year after taxation Rupees 5,820,751,145 5,024,280,260 Weighted average number of ordinary shares Numbers 200,861,297 200,861,297 Earnings per share Rupees 28.98 25.01 90</x:v>
      </x:c>
    </x:row>
    <x:row r="9" ht="140" customHeight="1">
      <x:c r="A9" s="76" t="str">
        <x:v>KOHC</x:v>
      </x:c>
      <x:c r="B9" s="83" t="n">
        <x:v>2024</x:v>
      </x:c>
      <x:c r="C9" s="76" t="str">
        <x:v>https://dps.psx.com.pk/historical</x:v>
      </x:c>
      <x:c r="D9" s="76" t="str">
        <x:v>POST date=2024-06-28</x:v>
      </x:c>
      <x:c r="E9" s="76" t="str">
        <x:v>SYMBOL | LDCP | OPEN | HIGH | LOW | CLOSE | CHANGE | CHANGE (%) | VOLUME</x:v>
      </x:c>
      <x:c r="F9" s="76" t="str">
        <x:v>KOHC | 244.20 | 245.00 | 252.00 | 245.00 | 250.43 | 6.23 | 2.55% | 110,655</x:v>
      </x:c>
      <x:c r="G9" s="76" t="str">
        <x:v>efc8ea2445cacdcf79405956444140d56bf6dde7848de9b27aeb39b75c5cf4ac</x:v>
      </x:c>
      <x:c r="H9" s="76" t="str">
        <x:v>2026-10-22</x:v>
      </x:c>
      <x:c r="I9" s="76" t="str">
        <x:v>Kohat_Cement_Annual_Report_2025.pdf</x:v>
      </x:c>
      <x:c r="J9" s="83" t="n">
        <x:v>53</x:v>
      </x:c>
      <x:c r="K9" s="76" t="str">
        <x:v>https://www.kohatcement.com/pdf_files/reports/638941365011906568_Kohat_Cement_Annual_Report_2025.pdf</x:v>
      </x:c>
      <x:c r="L9" s="99" t="str">
        <x:v> – – – – – – Stock Dividend – – – – – – Market Value per Share * - Closing 75.67 49.00 34.69 26.03 41.30 27.49 - High 90.00 51.02 35.76 46.89 52.40 30.40 - Low 46.47 31.70 22.61 25.24 27.30 8.02 Breakup value per share of Rs. 2 each * 49.58 41.84 32.47 27.13 22.13 18.65 Capital Structure Ratios Debt to equity ratio 4:96 5:95 9:91 13:87 21:79 27:73 Interest coverage ratio 51.72 21.34 15.14 17.60 10.45 (0.36) Debt Service Coverage Ratio 13.58 8.86 7.25 5.81 7.08 0.37 Activity/Turnover Ratios Inventory turnover ratio 5.00 5.10 5.08 5.80 5.75 3.46 No. of days in inventory 72.98 71.58 71.</x:v>
      </x:c>
      <x:c r="M9" s="99" t="str">
        <x:v>hare - basic and diluted 34.1 Basic Earnings per share Unit 2024 2023 Profit for the year after taxation Rupees 8,893,454,788 5,820,751,145 Weighted average number of ordinary shares Numbers 196,435,067 200,861,297 Earnings per share Rupees 45.27 28.98 34.2 Diluted earnings per share There is no dilutive effect on the basic earnings per share as the Company does not have any convertible instruments in issue as at 30 June 2024 and 30 June 2023. 99 Reaching New HEIGHTS Annual Report 2024</x:v>
      </x:c>
    </x:row>
    <x:row r="10" ht="140" customHeight="1">
      <x:c r="A10" s="84" t="str">
        <x:v>KOHC</x:v>
      </x:c>
      <x:c r="B10" s="85" t="n">
        <x:v>2025</x:v>
      </x:c>
      <x:c r="C10" s="84" t="str">
        <x:v>https://dps.psx.com.pk/historical</x:v>
      </x:c>
      <x:c r="D10" s="84" t="str">
        <x:v>POST date=2025-06-30</x:v>
      </x:c>
      <x:c r="E10" s="84" t="str">
        <x:v>SYMBOL | LDCP | OPEN | HIGH | LOW | CLOSE | CHANGE | CHANGE (%) | VOLUME</x:v>
      </x:c>
      <x:c r="F10" s="84" t="str">
        <x:v>KOHC | 385.07 | 386.37 | 389.26 | 378.35 | 379.36 | -5.71 | -1.48% | 47,629</x:v>
      </x:c>
      <x:c r="G10" s="84" t="str">
        <x:v>dc442e1cf6c040e091a7631042e5cafc369e5d192eccdb58b6f105fbb005fee4</x:v>
      </x:c>
      <x:c r="H10" s="84" t="str">
        <x:v>2026-10-22</x:v>
      </x:c>
      <x:c r="I10" s="84" t="str">
        <x:v>Kohat_Cement_Annual_Report_2025.pdf</x:v>
      </x:c>
      <x:c r="J10" s="85" t="n">
        <x:v>53</x:v>
      </x:c>
      <x:c r="K10" s="84" t="str">
        <x:v>https://www.kohatcement.com/pdf_files/reports/638941365011906568_Kohat_Cement_Annual_Report_2025.pdf</x:v>
      </x:c>
      <x:c r="L10" s="98" t="str">
        <x:v> – – – – – – Stock Dividend – – – – – – Market Value per Share * - Closing 75.67 49.00 34.69 26.03 41.30 27.49 - High 90.00 51.02 35.76 46.89 52.40 30.40 - Low 46.47 31.70 22.61 25.24 27.30 8.02 Breakup value per share of Rs. 2 each * 49.58 41.84 32.47 27.13 22.13 18.65 Capital Structure Ratios Debt to equity ratio 4:96 5:95 9:91 13:87 21:79 27:73 Interest coverage ratio 51.72 21.34 15.14 17.60 10.45 (0.36) Debt Service Coverage Ratio 13.58 8.86 7.25 5.81 7.08 0.37 Activity/Turnover Ratios Inventory turnover ratio 5.00 5.10 5.08 5.80 5.75 3.46 No. of days in inventory 72.98 71.58 71.</x:v>
      </x:c>
      <x:c r="M10" s="98" t="str">
        <x:v>are - basic and diluted 33.1 Basic Earnings per share Unit 2025 2024 Profit for the year after taxation Rupees 11,575,154,071 8,893,454,787 Weighted average number of ordinary shares outstanding during the year (note 33.1.1) (2024:Restated) Numbers 967,142,101 982,114,704 Earnings per share (2024:Restated) Rupees 11.97 9.06 2025 2024 Note Numbers Numbers 33.1.1 Weighted average number of ordinary shares Outstanding number of shares before own shares purchased 195,861,297 200,861,297 Less: Own shares purchased during the year adjusted with time-weighting factor 33.1.2 (2,432,877) (4,424,658) Weighted average number of shares outstanding during the year 193,428,420 196,436,639 Weighted average number of shares outstanding during the year with retrospective adjustment of Stock Split in the ratio of 5:1 33.1.3 967,142,101 982,183,197 33.1.2 During the year, The Company cancelled 12 million (2024: 5 million) of its ordinary shares of Rs. 10 each purchased during the period from October 23, 2024 to April 12, 2025. The Purchase was made pursuant to special Resolution passed in the</x:v>
      </x:c>
    </x:row>
    <x:row r="11" ht="140" customHeight="1">
      <x:c r="A11" s="76" t="str">
        <x:v>LUCK</x:v>
      </x:c>
      <x:c r="B11" s="83" t="n">
        <x:v>2021</x:v>
      </x:c>
      <x:c r="C11" s="76" t="str">
        <x:v>https://dps.psx.com.pk/historical</x:v>
      </x:c>
      <x:c r="D11" s="76" t="str">
        <x:v>POST date=2021-06-30</x:v>
      </x:c>
      <x:c r="E11" s="76" t="str">
        <x:v>SYMBOL | LDCP | OPEN | HIGH | LOW | CLOSE | CHANGE | CHANGE (%) | VOLUME</x:v>
      </x:c>
      <x:c r="F11" s="76" t="str">
        <x:v>LUCK | 865.26 | 868.90 | 875.50 | 860.00 | 863.44 | -1.82 | -0.21% | 252,524</x:v>
      </x:c>
      <x:c r="G11" s="76" t="str">
        <x:v>a7533f1ddd4bfe985aaa10fe7de6d004e59ddbe860bc5e861d82357f39639f9f</x:v>
      </x:c>
      <x:c r="H11" s="76" t="str">
        <x:v>2026-10-22</x:v>
      </x:c>
      <x:c r="I11" s="76" t="str">
        <x:v>2025.pdf</x:v>
      </x:c>
      <x:c r="J11" s="83" t="n">
        <x:v>166</x:v>
      </x:c>
      <x:c r="K11" s="76" t="str">
        <x:v>https://www.lucky-cement.com/wp-content/uploads/2025/09/Lucky-Cement-AR-2025_compressed.pdf</x:v>
      </x:c>
      <x:c r="L11" s="99" t="str">
        <x:v>s 61.34 70.01 79.50 87.67 100.86 120.08 Market Value Per Share as on 30th June rupees 92.32 172.69 91.81 104.42 181.35 355.24 Year High Close Rupees 113.29 188.15 182.31 107.40 191.45 358.88 Year Low Close Rupees 62.06 97.79 87.23 76.78 102.87 165.49 Price to Book Ratio percent 1.50 2.47 1.15 1.19 1.80 2.96 Capital Structure Ratios Financial leverage ratio times 0.09 : 1 0.10 : 1 0.14 : 1 0.17 : 1 0.15 : 1 0.11 : 1 Weighted Average Cost of Debt percent 3.11% 3.32% 2.69% 5.72% 6.98% 6.68% Debt to Equity ratio (as per Book Value) times 0.01 : 1 0.04 : 1 0.13 : 1 0.13 : 1 0.11 : 1 0.07 </x:v>
      </x:c>
      <x:c r="M11" s="99" t="str">
        <x:v>ity 212,556 179,743 Exchange loss - net 35.1 (146,668) (104,533) Sale of scrap and others 250,152 41,457 396,226 162,986 Income from financial assets Dividend from subsidiaries 35.2 4,345,673 1,162,684 Dividend from associate 35.2 61,137 122,273 Dividend from a mutual fund 613,816 200,861 Income from deposits with Islamic banks 35.3 429,509 1,537,055 5,450,135 3,022,873 5,846,361 3,185,859 35.1 Represents exchange loss - net arising on revaluation of foreign currency financial assets and liabilities and on transactions in foreign currencies. The realised amount of exchange loss aggregates to PKR 139.835 million. 35.2 Dividend income earned from the subsidiaries and associate has been purified by making charitable donations as more fully explained in note 34.2 to these unconsolidated financial statements. 35.3 Represents profit earned from shariah compliant bank deposits and bank balances. 36. TAXATION 36.1 Relationship between income tax expense and accounting profit: 2021 2020 (PKR in ‘000’) Profit before taxation 16,992,213 3,819,928 T ax at the applicable tax rate of 29% 4,927,742 1,107,779 T ax effect under lower rate of tax (664,526) (195,918) T ax effect of exempt income (1,260,245) (337,178) Others (80,947) (98,688) 2,922,024 475,995 Effective tax rate 17% 12% 37. BASIC AND DIL UTED EARNINGS PER SHARE Profit after taxation (PKR in thousands) 14,070,189 3,343,933 W eighted average number of ordinary shares (in thousands) 323,375 323,375 Basic and diluted earnings per share (PKR) 43.51 10.34 237 ANNUAL REPORT2021 25 YEARS OF EXCELLENCE COMMITTED TO NATIONAL DEVELOPMENT</x:v>
      </x:c>
    </x:row>
    <x:row r="12" ht="140" customHeight="1">
      <x:c r="A12" s="84" t="str">
        <x:v>LUCK</x:v>
      </x:c>
      <x:c r="B12" s="85" t="n">
        <x:v>2022</x:v>
      </x:c>
      <x:c r="C12" s="84" t="str">
        <x:v>https://dps.psx.com.pk/historical</x:v>
      </x:c>
      <x:c r="D12" s="84" t="str">
        <x:v>POST date=2022-06-30</x:v>
      </x:c>
      <x:c r="E12" s="84" t="str">
        <x:v>SYMBOL | LDCP | OPEN | HIGH | LOW | CLOSE | CHANGE | CHANGE (%) | VOLUME</x:v>
      </x:c>
      <x:c r="F12" s="84" t="str">
        <x:v>LUCK | 457.51 | 457.50 | 466.00 | 450.10 | 459.04 | 1.53 | 0.33% | 1,584,750</x:v>
      </x:c>
      <x:c r="G12" s="84" t="str">
        <x:v>dd7808b40b462c8056eef6b5d6f32228cdb7ebfb8706e2ff6036ed7ae0c134b7</x:v>
      </x:c>
      <x:c r="H12" s="84" t="str">
        <x:v>2026-10-22</x:v>
      </x:c>
      <x:c r="I12" s="84" t="str">
        <x:v>2025.pdf</x:v>
      </x:c>
      <x:c r="J12" s="85" t="n">
        <x:v>166</x:v>
      </x:c>
      <x:c r="K12" s="84" t="str">
        <x:v>https://www.lucky-cement.com/wp-content/uploads/2025/09/Lucky-Cement-AR-2025_compressed.pdf</x:v>
      </x:c>
      <x:c r="L12" s="98" t="str">
        <x:v>s 61.34 70.01 79.50 87.67 100.86 120.08 Market Value Per Share as on 30th June rupees 92.32 172.69 91.81 104.42 181.35 355.24 Year High Close Rupees 113.29 188.15 182.31 107.40 191.45 358.88 Year Low Close Rupees 62.06 97.79 87.23 76.78 102.87 165.49 Price to Book Ratio percent 1.50 2.47 1.15 1.19 1.80 2.96 Capital Structure Ratios Financial leverage ratio times 0.09 : 1 0.10 : 1 0.14 : 1 0.17 : 1 0.15 : 1 0.11 : 1 Weighted Average Cost of Debt percent 3.11% 3.32% 2.69% 5.72% 6.98% 6.68% Debt to Equity ratio (as per Book Value) times 0.01 : 1 0.04 : 1 0.13 : 1 0.13 : 1 0.11 : 1 0.07 </x:v>
      </x:c>
      <x:c r="M12" s="98" t="str">
        <x:v>ffective tax rate 29% 17% 2022 2021 36. BASIC AND DILUTED EARNINGS PER SHARE Profit after taxation (PKR in thousands) 15,298,618 14,070,189 Weighted average number of ordinary shares (in thousands) 323,375 323,375 Basic and diluted earnings per share (PKR) 47.31 43.51 Note 2022 2021 (PKR in ‘000’) 37. CASH GENERATED FROM OPERATIONS Profit before taxation 21,421,232 16,992,213 Adjustments for non-cash charges and other items Depreciation 5.2 4,526,876 4,298,760 Amortisation of intangible assets 6.2 885 10,653 Provision for slow moving spares – 248,343 Net (reversal) / creation of provision for doubtful debts 12.3 (12,048) 19,579 Gain on disposal of property, plant and equipment 34 (132,368) (80,186) Income from deposits with Islamic banks 34 (307,059) (429,509) Dividend income from subsidiaries 34 (3,365,414) (4,345,673) Dividend / other income from associate 34 (187,572) (61,137) Dividend income from mutual fund 34 (1,167,048) (613,816) Provision for staff gratuity 24 479,353 388,704 Finance cost 32 394,517 332,905 Profit before working capital changes 21,651,354 16,760,836</x:v>
      </x:c>
    </x:row>
    <x:row r="13" ht="140" customHeight="1">
      <x:c r="A13" s="76" t="str">
        <x:v>LUCK</x:v>
      </x:c>
      <x:c r="B13" s="83" t="n">
        <x:v>2023</x:v>
      </x:c>
      <x:c r="C13" s="76" t="str">
        <x:v>https://dps.psx.com.pk/historical</x:v>
      </x:c>
      <x:c r="D13" s="76" t="str">
        <x:v>POST date=2023-06-27</x:v>
      </x:c>
      <x:c r="E13" s="76" t="str">
        <x:v>SYMBOL | LDCP | OPEN | HIGH | LOW | CLOSE | CHANGE | CHANGE (%) | VOLUME</x:v>
      </x:c>
      <x:c r="F13" s="76" t="str">
        <x:v>LUCK | 525.32 | 524.00 | 526.75 | 519.00 | 522.09 | -3.23 | -0.61% | 650,584</x:v>
      </x:c>
      <x:c r="G13" s="76" t="str">
        <x:v>2e0eb9557487b380ab4c4b0235b16b477f45778d471df6dfd853dc1e33d23f05</x:v>
      </x:c>
      <x:c r="H13" s="76" t="str">
        <x:v>2026-10-22</x:v>
      </x:c>
      <x:c r="I13" s="76" t="str">
        <x:v>2025.pdf</x:v>
      </x:c>
      <x:c r="J13" s="83" t="n">
        <x:v>166</x:v>
      </x:c>
      <x:c r="K13" s="76" t="str">
        <x:v>https://www.lucky-cement.com/wp-content/uploads/2025/09/Lucky-Cement-AR-2025_compressed.pdf</x:v>
      </x:c>
      <x:c r="L13" s="99" t="str">
        <x:v>s 61.34 70.01 79.50 87.67 100.86 120.08 Market Value Per Share as on 30th June rupees 92.32 172.69 91.81 104.42 181.35 355.24 Year High Close Rupees 113.29 188.15 182.31 107.40 191.45 358.88 Year Low Close Rupees 62.06 97.79 87.23 76.78 102.87 165.49 Price to Book Ratio percent 1.50 2.47 1.15 1.19 1.80 2.96 Capital Structure Ratios Financial leverage ratio times 0.09 : 1 0.10 : 1 0.14 : 1 0.17 : 1 0.15 : 1 0.11 : 1 Weighted Average Cost of Debt percent 3.11% 3.32% 2.69% 5.72% 6.98% 6.68% Debt to Equity ratio (as per Book Value) times 0.01 : 1 0.04 : 1 0.13 : 1 0.13 : 1 0.11 : 1 0.07 </x:v>
      </x:c>
      <x:c r="M13" s="99" t="str">
        <x:v> ended June 30, 2023 Note 2023 2022 36. BASIC AND DILUTED EARNINGS PER SHARE Profit after taxation (PKR in thousands) 13,725,814 15,298,618 Weighted average number of ordinary shares (in thousands) 36.1 318,749 323,375 Basic and diluted earnings per share (PKR) 43.06 47.31 36.1 Weighted average number of ordinary shares Outstanding number of shares before own shares purchased 323,375 323,375 Less: Impact of own shares purchased during the year 36.2 &amp; 36.3 (4,626) – 318,749 323,375 36.2 During the year, the Company cancelled 10 million of its own ordinary shares of PKR 10 each purchased during the first buy-back of share for the period from September 29, 2022 to March 17, 2023. The purchase was made pursuant to the special resolution passed in the Extraordinary General Meeting held on September 20, 2022, where the Company was allowed to purchase / buy back its issued ordinary shares up to the maximum of 10 million ordinary shares, through Pakistan Stock Exchange Limited, at spot / current share price prevailing during the period from September 29, 2022 to March 27, 2023 (bot</x:v>
      </x:c>
    </x:row>
    <x:row r="14" ht="140" customHeight="1">
      <x:c r="A14" s="84" t="str">
        <x:v>LUCK</x:v>
      </x:c>
      <x:c r="B14" s="85" t="n">
        <x:v>2024</x:v>
      </x:c>
      <x:c r="C14" s="84" t="str">
        <x:v>https://dps.psx.com.pk/historical</x:v>
      </x:c>
      <x:c r="D14" s="84" t="str">
        <x:v>POST date=2024-06-28</x:v>
      </x:c>
      <x:c r="E14" s="84" t="str">
        <x:v>SYMBOL | LDCP | OPEN | HIGH | LOW | CLOSE | CHANGE | CHANGE (%) | VOLUME</x:v>
      </x:c>
      <x:c r="F14" s="84" t="str">
        <x:v>LUCK | 902.98 | 910.00 | 911.40 | 895.01 | 906.73 | 3.75 | 0.42% | 81,042</x:v>
      </x:c>
      <x:c r="G14" s="84" t="str">
        <x:v>efc8ea2445cacdcf79405956444140d56bf6dde7848de9b27aeb39b75c5cf4ac</x:v>
      </x:c>
      <x:c r="H14" s="84" t="str">
        <x:v>2026-10-22</x:v>
      </x:c>
      <x:c r="I14" s="84" t="str">
        <x:v>2025.pdf</x:v>
      </x:c>
      <x:c r="J14" s="85" t="n">
        <x:v>166</x:v>
      </x:c>
      <x:c r="K14" s="84" t="str">
        <x:v>https://www.lucky-cement.com/wp-content/uploads/2025/09/Lucky-Cement-AR-2025_compressed.pdf</x:v>
      </x:c>
      <x:c r="L14" s="98" t="str">
        <x:v>s 61.34 70.01 79.50 87.67 100.86 120.08 Market Value Per Share as on 30th June rupees 92.32 172.69 91.81 104.42 181.35 355.24 Year High Close Rupees 113.29 188.15 182.31 107.40 191.45 358.88 Year Low Close Rupees 62.06 97.79 87.23 76.78 102.87 165.49 Price to Book Ratio percent 1.50 2.47 1.15 1.19 1.80 2.96 Capital Structure Ratios Financial leverage ratio times 0.09 : 1 0.10 : 1 0.14 : 1 0.17 : 1 0.15 : 1 0.11 : 1 Weighted Average Cost of Debt percent 3.11% 3.32% 2.69% 5.72% 6.98% 6.68% Debt to Equity ratio (as per Book Value) times 0.01 : 1 0.04 : 1 0.13 : 1 0.13 : 1 0.11 : 1 0.07 </x:v>
      </x:c>
      <x:c r="M14" s="98" t="str">
        <x:v>ive tax rate 30% 34% Note 2024 2023 36. BASIC AND DILUTED EARNINGS PER SHARE Profit after taxation (PKR in thousands) 28,106,539 13,725,814 Weighted average number of ordinary shares (in thousands) 36.1 297,296 318,749 Basic and diluted earnings per share (PKR) 94.54 43.06 36.1 Weighted average number of ordinary shares Outstanding number of shares before own shares purchased 311,839 323,375 Less: Impact of own shares purchased during the year 36.2 (14,543) (4,626) 297,296 318,749 36.2 During the year, the Company cancelled 20.375 million of its own ordinary shares of PKR 10 each purchased during the second buy-back of share for the period from June 20, 2023 to November 20, 2023. The purchase was made pursuant to special resolution passed in the Extraordinary General Meeting held on May 24, 2023. 269</x:v>
      </x:c>
    </x:row>
    <x:row r="15" ht="140" customHeight="1">
      <x:c r="A15" s="76" t="str">
        <x:v>LUCK</x:v>
      </x:c>
      <x:c r="B15" s="83" t="n">
        <x:v>2025</x:v>
      </x:c>
      <x:c r="C15" s="76" t="str">
        <x:v>https://dps.psx.com.pk/historical</x:v>
      </x:c>
      <x:c r="D15" s="76" t="str">
        <x:v>POST date=2025-06-30</x:v>
      </x:c>
      <x:c r="E15" s="76" t="str">
        <x:v>SYMBOL | LDCP | OPEN | HIGH | LOW | CLOSE | CHANGE | CHANGE (%) | VOLUME</x:v>
      </x:c>
      <x:c r="F15" s="76" t="str">
        <x:v>LUCK | 355.89 | 357.10 | 359.00 | 353.01 | 355.24 | -0.65 | -0.18% | 1,632,314</x:v>
      </x:c>
      <x:c r="G15" s="76" t="str">
        <x:v>dc442e1cf6c040e091a7631042e5cafc369e5d192eccdb58b6f105fbb005fee4</x:v>
      </x:c>
      <x:c r="H15" s="76" t="str">
        <x:v>2026-10-22</x:v>
      </x:c>
      <x:c r="I15" s="76" t="str">
        <x:v>2025.pdf</x:v>
      </x:c>
      <x:c r="J15" s="83" t="n">
        <x:v>166</x:v>
      </x:c>
      <x:c r="K15" s="76" t="str">
        <x:v>https://www.lucky-cement.com/wp-content/uploads/2025/09/Lucky-Cement-AR-2025_compressed.pdf</x:v>
      </x:c>
      <x:c r="L15" s="99" t="str">
        <x:v>s 61.34 70.01 79.50 87.67 100.86 120.08 Market Value Per Share as on 30th June rupees 92.32 172.69 91.81 104.42 181.35 355.24 Year High Close Rupees 113.29 188.15 182.31 107.40 191.45 358.88 Year Low Close Rupees 62.06 97.79 87.23 76.78 102.87 165.49 Price to Book Ratio percent 1.50 2.47 1.15 1.19 1.80 2.96 Capital Structure Ratios Financial leverage ratio times 0.09 : 1 0.10 : 1 0.14 : 1 0.17 : 1 0.15 : 1 0.11 : 1 Weighted Average Cost of Debt percent 3.11% 3.32% 2.69% 5.72% 6.98% 6.68% Debt to Equity ratio (as per Book Value) times 0.01 : 1 0.04 : 1 0.13 : 1 0.13 : 1 0.11 : 1 0.07 </x:v>
      </x:c>
      <x:c r="M15" s="99" t="str">
        <x:v>fective tax rate 30% 30% 35. BASIC AND DILUTED EARNINGS PER SHARE Profit after taxation (PKR in thousands) 33,092,162 28,106,539 (Restated) Weighted average number of ordinary shares (in thousands) 18.1 &amp; 35.1 1,465,000 1,486,480 Basic and diluted earnings per share (PKR) 22.59 18.91 35.1 Weighted average number of ordinary shares Outstanding number of shares before own shares purchased 1,465,000 1,559,195 Less: Impact of own shares purchased during the year 35.2 – (72,715) 1,465,000 1,486,480 35.2 During the previous year, the Company had cancelled 20.375 million of its own ordinary shares of PKR 10 each, which were purchased under the second buy-back pursuant to the special resolution passed at the Extraordinary General Meeting held on May 24, 2023. 272 ANNUAL REPORT 2025</x:v>
      </x:c>
    </x:row>
    <x:row r="16" ht="140" customHeight="1">
      <x:c r="A16" s="84" t="str">
        <x:v>DGKC</x:v>
      </x:c>
      <x:c r="B16" s="85" t="n">
        <x:v>2021</x:v>
      </x:c>
      <x:c r="C16" s="84" t="str">
        <x:v>https://dps.psx.com.pk/historical</x:v>
      </x:c>
      <x:c r="D16" s="84" t="str">
        <x:v>POST date=2021-06-30</x:v>
      </x:c>
      <x:c r="E16" s="84" t="str">
        <x:v>SYMBOL | LDCP | OPEN | HIGH | LOW | CLOSE | CHANGE | CHANGE (%) | VOLUME</x:v>
      </x:c>
      <x:c r="F16" s="84" t="str">
        <x:v>DGKC | 117.16 | 117.95 | 119.25 | 117.50 | 117.92 | 0.76 | 0.65% | 2,384,678</x:v>
      </x:c>
      <x:c r="G16" s="84" t="str">
        <x:v>a7533f1ddd4bfe985aaa10fe7de6d004e59ddbe860bc5e861d82357f39639f9f</x:v>
      </x:c>
      <x:c r="H16" s="84" t="str">
        <x:v>2026-10-22</x:v>
      </x:c>
      <x:c r="I16" s="84" t="str">
        <x:v>DGAnnual2025.pdf</x:v>
      </x:c>
      <x:c r="J16" s="85" t="n">
        <x:v>108</x:v>
      </x:c>
      <x:c r="K16" s="84" t="str">
        <x:v>https://www.dgcement.com/financial-reports/DGAnnual2025.pdf</x:v>
      </x:c>
      <x:c r="L16" s="98" t="str">
        <x:v>per share Rs/Share 2.00 - - 1.00 1.00 - Market value per share At 30-June Rs/Share 165.56 90.27 51.30 62.50 117.92 85.33 High During the year Rs/Share 168.39 95.32 62.95 120.39 141.48 87.90 Low during the year Rs/Share 73.30 41.54 39.00 52.25 90.45 42.31 Breakup value per share (1) With FV reserves Rs/Share 216.08 173.12 146.52 159.59 167.71 152.11 (2) Without FV reserves (all investments including Related party Rs/Share 138.91 119.05 117.74 127.05 121.38 112.75 Capital Structure Financial leverage ratio % 15.01 24.80 31.57 34.03 31.76 36.65 Weighted average cost of debt (excluding t</x:v>
      </x:c>
      <x:c r="M16" s="98" t="str">
        <x:v>tax rate 22.01 42.53 35. Earnings per share 35.1 Earnings per share - Basic Profit/(loss) for the year Rupees 3,721,273,000 (2,158,661,000) Weighted average number of ordinary shares Number 438,119,118 438,119,118 Earnings/(loss) per share - basic Rupees 8.49 (4.93) 35.2 Earnings per share - Diluted A diluted earnings per share has not been presented as the Company does not have any convertible instruments in issue as at June 30, 2021, and June 30, 2020, which would have any effect on the earnings per share if the option to convert is exercised.</x:v>
      </x:c>
    </x:row>
    <x:row r="17" ht="140" customHeight="1">
      <x:c r="A17" s="76" t="str">
        <x:v>DGKC</x:v>
      </x:c>
      <x:c r="B17" s="83" t="n">
        <x:v>2022</x:v>
      </x:c>
      <x:c r="C17" s="76" t="str">
        <x:v>https://dps.psx.com.pk/historical</x:v>
      </x:c>
      <x:c r="D17" s="76" t="str">
        <x:v>POST date=2022-06-30</x:v>
      </x:c>
      <x:c r="E17" s="76" t="str">
        <x:v>SYMBOL | LDCP | OPEN | HIGH | LOW | CLOSE | CHANGE | CHANGE (%) | VOLUME</x:v>
      </x:c>
      <x:c r="F17" s="76" t="str">
        <x:v>DGKC | 61.03 | 60.90 | 64.00 | 60.50 | 62.50 | 1.47 | 2.41% | 5,120,816</x:v>
      </x:c>
      <x:c r="G17" s="76" t="str">
        <x:v>dd7808b40b462c8056eef6b5d6f32228cdb7ebfb8706e2ff6036ed7ae0c134b7</x:v>
      </x:c>
      <x:c r="H17" s="76" t="str">
        <x:v>2026-10-22</x:v>
      </x:c>
      <x:c r="I17" s="76" t="str">
        <x:v>DGAnnual2025.pdf</x:v>
      </x:c>
      <x:c r="J17" s="83" t="n">
        <x:v>108</x:v>
      </x:c>
      <x:c r="K17" s="76" t="str">
        <x:v>https://www.dgcement.com/financial-reports/DGAnnual2025.pdf</x:v>
      </x:c>
      <x:c r="L17" s="99" t="str">
        <x:v>per share Rs/Share 2.00 - - 1.00 1.00 - Market value per share At 30-June Rs/Share 165.56 90.27 51.30 62.50 117.92 85.33 High During the year Rs/Share 168.39 95.32 62.95 120.39 141.48 87.90 Low during the year Rs/Share 73.30 41.54 39.00 52.25 90.45 42.31 Breakup value per share (1) With FV reserves Rs/Share 216.08 173.12 146.52 159.59 167.71 152.11 (2) Without FV reserves (all investments including Related party Rs/Share 138.91 119.05 117.74 127.05 121.38 112.75 Capital Structure Financial leverage ratio % 15.01 24.80 31.57 34.03 31.76 36.65 Weighted average cost of debt (excluding t</x:v>
      </x:c>
      <x:c r="M17" s="99" t="str">
        <x:v>ffective tax rate 50.63 22.01 36. Earnings per share 36.1 Earnings per share - Basic Profit for the year Rupees 2,972,132,130 3,721,273,000 Weighted average number of ordinary shares Number 438,119,118 438,119,118 Earnings per share - basic Rupees 6.78 8.49 36.2 Earnings per share - Diluted A diluted earnings per share has not been presented as the Company does not have any convertible instruments in issue as at June 30, 2022, and June 30, 2021, which would have any effect on the earnings per share if the option to convert is exercised. 176 ANNUA L REPORT 2022 DGKC</x:v>
      </x:c>
    </x:row>
    <x:row r="18" ht="140" customHeight="1">
      <x:c r="A18" s="84" t="str">
        <x:v>DGKC</x:v>
      </x:c>
      <x:c r="B18" s="85" t="n">
        <x:v>2023</x:v>
      </x:c>
      <x:c r="C18" s="84" t="str">
        <x:v>https://dps.psx.com.pk/historical</x:v>
      </x:c>
      <x:c r="D18" s="84" t="str">
        <x:v>POST date=2023-06-27</x:v>
      </x:c>
      <x:c r="E18" s="84" t="str">
        <x:v>SYMBOL | LDCP | OPEN | HIGH | LOW | CLOSE | CHANGE | CHANGE (%) | VOLUME</x:v>
      </x:c>
      <x:c r="F18" s="84" t="str">
        <x:v>DGKC | 52.16 | 52.00 | 52.20 | 50.70 | 51.30 | -0.86 | -1.65% | 1,249,328</x:v>
      </x:c>
      <x:c r="G18" s="84" t="str">
        <x:v>2e0eb9557487b380ab4c4b0235b16b477f45778d471df6dfd853dc1e33d23f05</x:v>
      </x:c>
      <x:c r="H18" s="84" t="str">
        <x:v>2026-10-22</x:v>
      </x:c>
      <x:c r="I18" s="84" t="str">
        <x:v>DGAnnual2025.pdf</x:v>
      </x:c>
      <x:c r="J18" s="85" t="n">
        <x:v>108</x:v>
      </x:c>
      <x:c r="K18" s="84" t="str">
        <x:v>https://www.dgcement.com/financial-reports/DGAnnual2025.pdf</x:v>
      </x:c>
      <x:c r="L18" s="98" t="str">
        <x:v>per share Rs/Share 2.00 - - 1.00 1.00 - Market value per share At 30-June Rs/Share 165.56 90.27 51.30 62.50 117.92 85.33 High During the year Rs/Share 168.39 95.32 62.95 120.39 141.48 87.90 Low during the year Rs/Share 73.30 41.54 39.00 52.25 90.45 42.31 Breakup value per share (1) With FV reserves Rs/Share 216.08 173.12 146.52 159.59 167.71 152.11 (2) Without FV reserves (all investments including Related party Rs/Share 138.91 119.05 117.74 127.05 121.38 112.75 Capital Structure Financial leverage ratio % 15.01 24.80 31.57 34.03 31.76 36.65 Weighted average cost of debt (excluding t</x:v>
      </x:c>
      <x:c r="M18" s="98" t="str">
        <x:v>ax rate 214.97 50.63 35. Earnings per share 35.1 Earnings per share - Basic (Loss)/profit for the year Rupees (3,635,976,000) 2,972,132,000 Weighted average number of ordinary shares Number 438,119,118 438,119,118 (Loss)/earnings per share - basic Rupees (8.30) 6.78 35.2 Earnings per share - Diluted A diluted earnings per share has not been presented as the Company does not have any convertible instruments in issue as at June 30, 2023, and June 30, 2022, which would have any effect on the earnings per share if the option to convert is exercised.</x:v>
      </x:c>
    </x:row>
    <x:row r="19" ht="140" customHeight="1">
      <x:c r="A19" s="76" t="str">
        <x:v>DGKC</x:v>
      </x:c>
      <x:c r="B19" s="83" t="n">
        <x:v>2024</x:v>
      </x:c>
      <x:c r="C19" s="76" t="str">
        <x:v>https://dps.psx.com.pk/historical</x:v>
      </x:c>
      <x:c r="D19" s="76" t="str">
        <x:v>POST date=2024-06-28</x:v>
      </x:c>
      <x:c r="E19" s="76" t="str">
        <x:v>SYMBOL | LDCP | OPEN | HIGH | LOW | CLOSE | CHANGE | CHANGE (%) | VOLUME</x:v>
      </x:c>
      <x:c r="F19" s="76" t="str">
        <x:v>DGKC | 91.07 | 90.80 | 91.70 | 90.00 | 90.27 | -0.80 | -0.88% | 2,418,251</x:v>
      </x:c>
      <x:c r="G19" s="76" t="str">
        <x:v>efc8ea2445cacdcf79405956444140d56bf6dde7848de9b27aeb39b75c5cf4ac</x:v>
      </x:c>
      <x:c r="H19" s="76" t="str">
        <x:v>2026-10-22</x:v>
      </x:c>
      <x:c r="I19" s="76" t="str">
        <x:v>DGAnnual2025.pdf</x:v>
      </x:c>
      <x:c r="J19" s="83" t="n">
        <x:v>108</x:v>
      </x:c>
      <x:c r="K19" s="76" t="str">
        <x:v>https://www.dgcement.com/financial-reports/DGAnnual2025.pdf</x:v>
      </x:c>
      <x:c r="L19" s="99" t="str">
        <x:v>per share Rs/Share 2.00 - - 1.00 1.00 - Market value per share At 30-June Rs/Share 165.56 90.27 51.30 62.50 117.92 85.33 High During the year Rs/Share 168.39 95.32 62.95 120.39 141.48 87.90 Low during the year Rs/Share 73.30 41.54 39.00 52.25 90.45 42.31 Breakup value per share (1) With FV reserves Rs/Share 216.08 173.12 146.52 159.59 167.71 152.11 (2) Without FV reserves (all investments including Related party Rs/Share 138.91 119.05 117.74 127.05 121.38 112.75 Capital Structure Financial leverage ratio % 15.01 24.80 31.57 34.03 31.76 36.65 Weighted average cost of debt (excluding t</x:v>
      </x:c>
      <x:c r="M19" s="99" t="str">
        <x:v>97 37. Earnings / (loss) per share 37.1 Earnings / (loss) per share - Basic Profit / (loss) for the year Rupees 542,396,000 (3,635,976,000) Weighted average number of ordinary shares Number 438,119,118 438,119,118 Earnings / (loss) per share - basic Rupees 1.24 (8.30) 37.2 Earnings / (loss) per share - Diluted A diluted earnings per share has not been presented as the Company does not have any convertible instruments in issue as at June 30, 2024, and June 30, 2023, which would have any effect on the earnings / (loss) per share if the option to convert is exercised.</x:v>
      </x:c>
    </x:row>
    <x:row r="20" ht="140" customHeight="1">
      <x:c r="A20" s="84" t="str">
        <x:v>DGKC</x:v>
      </x:c>
      <x:c r="B20" s="85" t="n">
        <x:v>2025</x:v>
      </x:c>
      <x:c r="C20" s="84" t="str">
        <x:v>https://dps.psx.com.pk/historical</x:v>
      </x:c>
      <x:c r="D20" s="84" t="str">
        <x:v>POST date=2025-06-30</x:v>
      </x:c>
      <x:c r="E20" s="84" t="str">
        <x:v>SYMBOL | LDCP | OPEN | HIGH | LOW | CLOSE | CHANGE | CHANGE (%) | VOLUME</x:v>
      </x:c>
      <x:c r="F20" s="84" t="str">
        <x:v>DGKC | 167.26 | 167.30 | 168.00 | 164.85 | 165.56 | -1.70 | -1.02% | 1,933,502</x:v>
      </x:c>
      <x:c r="G20" s="84" t="str">
        <x:v>dc442e1cf6c040e091a7631042e5cafc369e5d192eccdb58b6f105fbb005fee4</x:v>
      </x:c>
      <x:c r="H20" s="84" t="str">
        <x:v>2026-10-22</x:v>
      </x:c>
      <x:c r="I20" s="84" t="str">
        <x:v>DGAnnual2025.pdf</x:v>
      </x:c>
      <x:c r="J20" s="85" t="n">
        <x:v>108</x:v>
      </x:c>
      <x:c r="K20" s="84" t="str">
        <x:v>https://www.dgcement.com/financial-reports/DGAnnual2025.pdf</x:v>
      </x:c>
      <x:c r="L20" s="98" t="str">
        <x:v>per share Rs/Share 2.00 - - 1.00 1.00 - Market value per share At 30-June Rs/Share 165.56 90.27 51.30 62.50 117.92 85.33 High During the year Rs/Share 168.39 95.32 62.95 120.39 141.48 87.90 Low during the year Rs/Share 73.30 41.54 39.00 52.25 90.45 42.31 Breakup value per share (1) With FV reserves Rs/Share 216.08 173.12 146.52 159.59 167.71 152.11 (2) Without FV reserves (all investments including Related party Rs/Share 138.91 119.05 117.74 127.05 121.38 112.75 Capital Structure Financial leverage ratio % 15.01 24.80 31.57 34.03 31.76 36.65 Weighted average cost of debt (excluding t</x:v>
      </x:c>
      <x:c r="M20" s="98" t="str">
        <x:v>33.29 80.89 37. Earnings per share - basic and diluted 37.1 Earnings per share - Basic Profit for the year Rupees 8,675,059,000 542,396,000 Weighted average number of ordinary shares Number 438,119,118 438,119,118 Earnings per share - basic Rupees 19.80 1.24 37.2 Earnings per share - Diluted A diluted earnings per share has not been presented as the Company does not have any convertible instruments in issue as at June 30, 2025, and June 30, 2024, which would have any effect on the earnings per share if the option to convert is exercised.</x:v>
      </x:c>
    </x:row>
    <x:row r="21" ht="140" customHeight="1">
      <x:c r="A21" s="76" t="str">
        <x:v>MLCF</x:v>
      </x:c>
      <x:c r="B21" s="83" t="n">
        <x:v>2021</x:v>
      </x:c>
      <x:c r="C21" s="76" t="str">
        <x:v>https://dps.psx.com.pk/historical</x:v>
      </x:c>
      <x:c r="D21" s="76" t="str">
        <x:v>POST date=2021-06-30</x:v>
      </x:c>
      <x:c r="E21" s="76" t="str">
        <x:v>SYMBOL | LDCP | OPEN | HIGH | LOW | CLOSE | CHANGE | CHANGE (%) | VOLUME</x:v>
      </x:c>
      <x:c r="F21" s="76" t="str">
        <x:v>MLCF | 45.99 | 45.80 | 47.40 | 45.80 | 46.98 | 0.99 | 2.15% | 3,861,265</x:v>
      </x:c>
      <x:c r="G21" s="76" t="str">
        <x:v>a7533f1ddd4bfe985aaa10fe7de6d004e59ddbe860bc5e861d82357f39639f9f</x:v>
      </x:c>
      <x:c r="H21" s="76" t="str">
        <x:v>2026-10-22</x:v>
      </x:c>
      <x:c r="I21" s="76" t="str">
        <x:v>2025.pdf</x:v>
      </x:c>
      <x:c r="J21" s="83" t="n">
        <x:v>175</x:v>
      </x:c>
      <x:c r="K21" s="76" t="str">
        <x:v>https://www.kmlg.com/mlcfl/wp-content/uploads/2025/06/MLCF-AR-2025.pdf</x:v>
      </x:c>
      <x:c r="L21" s="99" t="str">
        <x:v>ook ratio 1.24 0.76 0.68 0.74 1.37 0.91 Market value per share Closing 84.28 38.00 28.33 27.35 46.98 25.98 High 91.31 43.30 29.36 47.51 50.90 31.90 Low 31.50 26.52 19.34 23.95 25.85 13.79 Break up value per share / Net assets per share With revaluation surplus 68.22 49.69 41.84 36.93 34.18 28.52 Without revaluation surplus 64.78 45.90 40.10 34.69 31.37 25.22 With revaluation surplus including investment in subsidiary* 78.38 59.34 49.38 43.12 39.54 36.03 Cash Dividend per Share - - - - - 0.27 Dividend Pay out Ratio - - - - - -5.10% Dividend Yield Ratio - - - - - 1.04% Dividend Cover R</x:v>
      </x:c>
      <x:c r="M21" s="99" t="str">
        <x:v>BASIC AND DILUTED Unit 2021 2020 43.1 Basic earnings / (loss) per share Profit / (loss) after taxation Rupees in ‘000 6,254,109 (4,843,265) Weighted average number of ordinary shares No. of shares in ‘000 1,098,346 914,309 Rupees 5.69 (5.30) 43.2 Weighted average number of ordinary shares 2021 2020 (Rupees in thousand) Outstanding number of shares before right issue 1,098,346 593,701 Add: Impact on weighted average number of shares due to right issue during the year - 320,608 1,098,346 914,309 43.3 There is no dilution effect on the basic earnings per share. 2021 2020 Note (Rupees in thousand) 44. CASH AND CASH EQUIVALENTS Short term running finance 18.2 (207,310) (538,000) Temporary bank overdrafts - unsecured 18.3 (3,217) (298,751) Cash and bank 34 490,329 1,046,267 279,802 209,516</x:v>
      </x:c>
    </x:row>
    <x:row r="22" ht="140" customHeight="1">
      <x:c r="A22" s="84" t="str">
        <x:v>MLCF</x:v>
      </x:c>
      <x:c r="B22" s="85" t="n">
        <x:v>2022</x:v>
      </x:c>
      <x:c r="C22" s="84" t="str">
        <x:v>https://dps.psx.com.pk/historical</x:v>
      </x:c>
      <x:c r="D22" s="84" t="str">
        <x:v>POST date=2022-06-30</x:v>
      </x:c>
      <x:c r="E22" s="84" t="str">
        <x:v>SYMBOL | LDCP | OPEN | HIGH | LOW | CLOSE | CHANGE | CHANGE (%) | VOLUME</x:v>
      </x:c>
      <x:c r="F22" s="84" t="str">
        <x:v>MLCF | 26.97 | 27.00 | 27.50 | 26.90 | 27.35 | 0.38 | 1.41% | 3,884,188</x:v>
      </x:c>
      <x:c r="G22" s="84" t="str">
        <x:v>dd7808b40b462c8056eef6b5d6f32228cdb7ebfb8706e2ff6036ed7ae0c134b7</x:v>
      </x:c>
      <x:c r="H22" s="84" t="str">
        <x:v>2026-10-22</x:v>
      </x:c>
      <x:c r="I22" s="84" t="str">
        <x:v>2025.pdf</x:v>
      </x:c>
      <x:c r="J22" s="85" t="n">
        <x:v>175</x:v>
      </x:c>
      <x:c r="K22" s="84" t="str">
        <x:v>https://www.kmlg.com/mlcfl/wp-content/uploads/2025/06/MLCF-AR-2025.pdf</x:v>
      </x:c>
      <x:c r="L22" s="98" t="str">
        <x:v>ook ratio 1.24 0.76 0.68 0.74 1.37 0.91 Market value per share Closing 84.28 38.00 28.33 27.35 46.98 25.98 High 91.31 43.30 29.36 47.51 50.90 31.90 Low 31.50 26.52 19.34 23.95 25.85 13.79 Break up value per share / Net assets per share With revaluation surplus 68.22 49.69 41.84 36.93 34.18 28.52 Without revaluation surplus 64.78 45.90 40.10 34.69 31.37 25.22 With revaluation surplus including investment in subsidiary* 78.38 59.34 49.38 43.12 39.54 36.03 Cash Dividend per Share - - - - - 0.27 Dividend Pay out Ratio - - - - - -5.10% Dividend Yield Ratio - - - - - 1.04% Dividend Cover R</x:v>
      </x:c>
      <x:c r="M22" s="98" t="str">
        <x:v>ARNINGS PER SHARE - BASIC AND DILUTED Unit 2022 2021 43.1 Basic earnings per share Profit after taxation Rupees in ‘000 3,626,340 6,254,109 Weighted average number of ordinary shares No. of shares in ‘000 1,097,524 1,098,346 Rupees 3.30 5.69 43.2 Weighted average number of ordinary shares 2022 2021 (Number of shares in ‘000’) Outstanding number of shares before own shares purchased 1,098,346 1,098,346 Add: Impact of own shares purchased during the year (822) - 1,097,524 1,098,346 43.3 There is no dilution effect on the basic earnings per share. 2022 2021 Note (Rupees in thousand) 44. CASH AND CASH EQUIVALENTS Short term running finance 18.2 (1,396,990) (207,310) Temporary bank overdrafts - unsecured 18.4 (505) (3,217) Cash and bank balances 34 793,576 490,329 (603,919) 279,802</x:v>
      </x:c>
    </x:row>
    <x:row r="23" ht="140" customHeight="1">
      <x:c r="A23" s="76" t="str">
        <x:v>MLCF</x:v>
      </x:c>
      <x:c r="B23" s="83" t="n">
        <x:v>2023</x:v>
      </x:c>
      <x:c r="C23" s="76" t="str">
        <x:v>https://dps.psx.com.pk/historical</x:v>
      </x:c>
      <x:c r="D23" s="76" t="str">
        <x:v>POST date=2023-06-27</x:v>
      </x:c>
      <x:c r="E23" s="76" t="str">
        <x:v>SYMBOL | LDCP | OPEN | HIGH | LOW | CLOSE | CHANGE | CHANGE (%) | VOLUME</x:v>
      </x:c>
      <x:c r="F23" s="76" t="str">
        <x:v>MLCF | 28.66 | 28.29 | 28.60 | 27.90 | 28.33 | -0.33 | -1.15% | 2,063,098</x:v>
      </x:c>
      <x:c r="G23" s="76" t="str">
        <x:v>2e0eb9557487b380ab4c4b0235b16b477f45778d471df6dfd853dc1e33d23f05</x:v>
      </x:c>
      <x:c r="H23" s="76" t="str">
        <x:v>2026-10-22</x:v>
      </x:c>
      <x:c r="I23" s="76" t="str">
        <x:v>2025.pdf</x:v>
      </x:c>
      <x:c r="J23" s="83" t="n">
        <x:v>175</x:v>
      </x:c>
      <x:c r="K23" s="76" t="str">
        <x:v>https://www.kmlg.com/mlcfl/wp-content/uploads/2025/06/MLCF-AR-2025.pdf</x:v>
      </x:c>
      <x:c r="L23" s="99" t="str">
        <x:v>ook ratio 1.24 0.76 0.68 0.74 1.37 0.91 Market value per share Closing 84.28 38.00 28.33 27.35 46.98 25.98 High 91.31 43.30 29.36 47.51 50.90 31.90 Low 31.50 26.52 19.34 23.95 25.85 13.79 Break up value per share / Net assets per share With revaluation surplus 68.22 49.69 41.84 36.93 34.18 28.52 Without revaluation surplus 64.78 45.90 40.10 34.69 31.37 25.22 With revaluation surplus including investment in subsidiary* 78.38 59.34 49.38 43.12 39.54 36.03 Cash Dividend per Share - - - - - 0.27 Dividend Pay out Ratio - - - - - -5.10% Dividend Yield Ratio - - - - - 1.04% Dividend Cover R</x:v>
      </x:c>
      <x:c r="M23" s="99" t="str">
        <x:v>ARNINGS PER SHARE - BASIC AND DILUTED Unit 2023 2022 43.1 Basic earnings per share Profit after taxation Rupees in '000 4,491,669 3,626,340 Weighted average number of ordinary shares No. of shares in '000 1,073,405 1,097,524 Rupees 4.18 3.30 2023 2022 (Rupees in thousand) 43.2 Weighted average number of ordinary shares Outstanding number of shares before right issue 1,097,524 1,098,346 Less: Impact of own shares purchased (24,119) (822) 1,073,405 1,097,524 43.3 There is no dilution effect on the basic earnings per share. 2023 2022 Note (Rupees in thousand) 44. CASH AND CASH EQUIVALENTS Short term running finance 18.2 - (1,396,990) Temporary bank overdrafts - unsecured 18.4 - (505) Cash and bank 34 740,707 793,576 740,707 (603,919)</x:v>
      </x:c>
    </x:row>
    <x:row r="24" ht="140" customHeight="1">
      <x:c r="A24" s="84" t="str">
        <x:v>MLCF</x:v>
      </x:c>
      <x:c r="B24" s="85" t="n">
        <x:v>2024</x:v>
      </x:c>
      <x:c r="C24" s="84" t="str">
        <x:v>https://dps.psx.com.pk/historical</x:v>
      </x:c>
      <x:c r="D24" s="84" t="str">
        <x:v>POST date=2024-06-28</x:v>
      </x:c>
      <x:c r="E24" s="84" t="str">
        <x:v>SYMBOL | LDCP | OPEN | HIGH | LOW | CLOSE | CHANGE | CHANGE (%) | VOLUME</x:v>
      </x:c>
      <x:c r="F24" s="84" t="str">
        <x:v>MLCF | 38.00 | 38.25 | 38.30 | 37.80 | 38.00 | 0.00 | 0.00% | 1,417,089</x:v>
      </x:c>
      <x:c r="G24" s="84" t="str">
        <x:v>efc8ea2445cacdcf79405956444140d56bf6dde7848de9b27aeb39b75c5cf4ac</x:v>
      </x:c>
      <x:c r="H24" s="84" t="str">
        <x:v>2026-10-22</x:v>
      </x:c>
      <x:c r="I24" s="84" t="str">
        <x:v>2025.pdf</x:v>
      </x:c>
      <x:c r="J24" s="85" t="n">
        <x:v>175</x:v>
      </x:c>
      <x:c r="K24" s="84" t="str">
        <x:v>https://www.kmlg.com/mlcfl/wp-content/uploads/2025/06/MLCF-AR-2025.pdf</x:v>
      </x:c>
      <x:c r="L24" s="98" t="str">
        <x:v>ook ratio 1.24 0.76 0.68 0.74 1.37 0.91 Market value per share Closing 84.28 38.00 28.33 27.35 46.98 25.98 High 91.31 43.30 29.36 47.51 50.90 31.90 Low 31.50 26.52 19.34 23.95 25.85 13.79 Break up value per share / Net assets per share With revaluation surplus 68.22 49.69 41.84 36.93 34.18 28.52 Without revaluation surplus 64.78 45.90 40.10 34.69 31.37 25.22 With revaluation surplus including investment in subsidiary* 78.38 59.34 49.38 43.12 39.54 36.03 Cash Dividend per Share - - - - - 0.27 Dividend Pay out Ratio - - - - - -5.10% Dividend Yield Ratio - - - - - 1.04% Dividend Cover R</x:v>
      </x:c>
      <x:c r="M24" s="98" t="str">
        <x:v>8 43. EARNINGS PER SHARE - BASIC AND DILUTED 2024 2023 43.1 Basic earnings per share Profit for the year Rupees in ‘000 5,272,527 4,491,669 Weighted average number of ordinary shares No. of shares in ‘000 1,058,911 1,073,405 Earning per share - basic Rupees 4.98 4.18 2024 2023 (Shares in thousand) 43.2 Weighted average number of ordinary shares Outstanding number of shares before right issue 1,073,405 1,097,524 Impact of own shares purchased (14,494) (24,119) 1,058,911 1,073,405 43.3 A diluted earnings per share has not been presented as the Company does not have any convertible instruments in issue as at June 30, 2024, and June 30, 2023, which would have any effect on the earnings per share if the option to convert is exercised.</x:v>
      </x:c>
    </x:row>
    <x:row r="25" ht="140" customHeight="1">
      <x:c r="A25" s="76" t="str">
        <x:v>MLCF</x:v>
      </x:c>
      <x:c r="B25" s="83" t="n">
        <x:v>2025</x:v>
      </x:c>
      <x:c r="C25" s="76" t="str">
        <x:v>https://dps.psx.com.pk/historical</x:v>
      </x:c>
      <x:c r="D25" s="76" t="str">
        <x:v>POST date=2025-06-30</x:v>
      </x:c>
      <x:c r="E25" s="76" t="str">
        <x:v>SYMBOL | LDCP | OPEN | HIGH | LOW | CLOSE | CHANGE | CHANGE (%) | VOLUME</x:v>
      </x:c>
      <x:c r="F25" s="76" t="str">
        <x:v>MLCF | 85.46 | 85.55 | 86.20 | 83.90 | 84.28 | -1.18 | -1.38% | 4,958,160</x:v>
      </x:c>
      <x:c r="G25" s="76" t="str">
        <x:v>dc442e1cf6c040e091a7631042e5cafc369e5d192eccdb58b6f105fbb005fee4</x:v>
      </x:c>
      <x:c r="H25" s="76" t="str">
        <x:v>2026-10-22</x:v>
      </x:c>
      <x:c r="I25" s="76" t="str">
        <x:v>2025.pdf</x:v>
      </x:c>
      <x:c r="J25" s="83" t="n">
        <x:v>175</x:v>
      </x:c>
      <x:c r="K25" s="76" t="str">
        <x:v>https://www.kmlg.com/mlcfl/wp-content/uploads/2025/06/MLCF-AR-2025.pdf</x:v>
      </x:c>
      <x:c r="L25" s="99" t="str">
        <x:v>ook ratio 1.24 0.76 0.68 0.74 1.37 0.91 Market value per share Closing 84.28 38.00 28.33 27.35 46.98 25.98 High 91.31 43.30 29.36 47.51 50.90 31.90 Low 31.50 26.52 19.34 23.95 25.85 13.79 Break up value per share / Net assets per share With revaluation surplus 68.22 49.69 41.84 36.93 34.18 28.52 Without revaluation surplus 64.78 45.90 40.10 34.69 31.37 25.22 With revaluation surplus including investment in subsidiary* 78.38 59.34 49.38 43.12 39.54 36.03 Cash Dividend per Share - - - - - 0.27 Dividend Pay out Ratio - - - - - -5.10% Dividend Yield Ratio - - - - - 1.04% Dividend Cover R</x:v>
      </x:c>
      <x:c r="M25" s="99" t="str">
        <x:v> 43. EARNINGS PER SHARE - BASIC AND DILUTED 2025 2024 43.1 Basic earnings per share Profit for the year Rupees in ‘000 17,036,374 5,272,527 Weighted average number of ordinary shares No. of shares in ‘000 1,047,563 1,058,911 Earning per share - basic Rupees 16.26 4.98 2025 2024 (Shares in thousand) 43.2 Weighted average number of ordinary shares Outstanding number of shares 1,047,563 1,073,405 Impact of own shares purchased - (14,494) 1,047,563 1,058,911</x:v>
      </x:c>
    </x:row>
    <x:row r="26" ht="140" customHeight="1">
      <x:c r="A26" s="84" t="str">
        <x:v>FCCL</x:v>
      </x:c>
      <x:c r="B26" s="85" t="n">
        <x:v>2021</x:v>
      </x:c>
      <x:c r="C26" s="84" t="str">
        <x:v>https://dps.psx.com.pk/historical</x:v>
      </x:c>
      <x:c r="D26" s="84" t="str">
        <x:v>POST date=2021-06-30</x:v>
      </x:c>
      <x:c r="E26" s="84" t="str">
        <x:v>SYMBOL | LDCP | OPEN | HIGH | LOW | CLOSE | CHANGE | CHANGE (%) | VOLUME</x:v>
      </x:c>
      <x:c r="F26" s="84" t="str">
        <x:v>FCCL | 22.81 | 22.90 | 23.20 | 22.80 | 23.00 | 0.19 | 0.83% | 1,157,000</x:v>
      </x:c>
      <x:c r="G26" s="84" t="str">
        <x:v>a7533f1ddd4bfe985aaa10fe7de6d004e59ddbe860bc5e861d82357f39639f9f</x:v>
      </x:c>
      <x:c r="H26" s="84" t="str">
        <x:v>2026-10-22</x:v>
      </x:c>
      <x:c r="I26" s="84" t="str">
        <x:v>FCCL-Annual-Report-2025.pdf</x:v>
      </x:c>
      <x:c r="J26" s="85" t="n">
        <x:v>216</x:v>
      </x:c>
      <x:c r="K26" s="84" t="str">
        <x:v>https://fccl.com.pk/eng/wp-content/uploads/2025/05/FCCL-Annual-Report-2025.pdf</x:v>
      </x:c>
      <x:c r="L26" s="98" t="str">
        <x:v> Rs 34.36 29.92 26.57 26.48 16.87 14.35 Market value per share - at year end Rs 44.67 22.91 11.76 14.17 23.00 16.88 Highest market value per share during the year Rs 48.54 24.14 16.31 23.26 27.61 22.85 Lowest market value per share during the year Rs 20.01 10.54 10.51 13.99 18.43 11.50 All profitability ratios improved during the year, consequent to high profitability. Highest ever profit in Company’s history re- sulted higher EPS during the year as against the average EPS of Rs. 2.91 of last 6 years. Despite major capital investments, Company was able to declare dividend with payout</x:v>
      </x:c>
      <x:c r="M26" s="98" t="str">
        <x:v>) Profit/ (loss) after tax (Rs. '000) 3,471,351 (59,381) Profit/ (loss) attributable to ordinary shareholders (Rs. '000) 3,471,351 (59,381) Weighted average number of ordinary shares (Numbers '000) 1,379,815 1,379,815 Earnings/ (loss) per share - basic (Rupees) 2.52 (0.04) 35.1 There is no dilution effect on earnings per share of the Company.</x:v>
      </x:c>
    </x:row>
    <x:row r="27" ht="140" customHeight="1">
      <x:c r="A27" s="76" t="str">
        <x:v>FCCL</x:v>
      </x:c>
      <x:c r="B27" s="83" t="n">
        <x:v>2022</x:v>
      </x:c>
      <x:c r="C27" s="76" t="str">
        <x:v>https://dps.psx.com.pk/historical</x:v>
      </x:c>
      <x:c r="D27" s="76" t="str">
        <x:v>POST date=2022-06-30</x:v>
      </x:c>
      <x:c r="E27" s="76" t="str">
        <x:v>SYMBOL | LDCP | OPEN | HIGH | LOW | CLOSE | CHANGE | CHANGE (%) | VOLUME</x:v>
      </x:c>
      <x:c r="F27" s="76" t="str">
        <x:v>FCCL | 14.43 | 14.50 | 14.90 | 13.36 | 14.17 | -0.26 | -1.80% | 13,104,000</x:v>
      </x:c>
      <x:c r="G27" s="76" t="str">
        <x:v>dd7808b40b462c8056eef6b5d6f32228cdb7ebfb8706e2ff6036ed7ae0c134b7</x:v>
      </x:c>
      <x:c r="H27" s="76" t="str">
        <x:v>2026-10-22</x:v>
      </x:c>
      <x:c r="I27" s="76" t="str">
        <x:v>FCCL-Annual-Report-2025.pdf</x:v>
      </x:c>
      <x:c r="J27" s="83" t="n">
        <x:v>216</x:v>
      </x:c>
      <x:c r="K27" s="76" t="str">
        <x:v>https://fccl.com.pk/eng/wp-content/uploads/2025/05/FCCL-Annual-Report-2025.pdf</x:v>
      </x:c>
      <x:c r="L27" s="99" t="str">
        <x:v> Rs 34.36 29.92 26.57 26.48 16.87 14.35 Market value per share - at year end Rs 44.67 22.91 11.76 14.17 23.00 16.88 Highest market value per share during the year Rs 48.54 24.14 16.31 23.26 27.61 22.85 Lowest market value per share during the year Rs 20.01 10.54 10.51 13.99 18.43 11.50 All profitability ratios improved during the year, consequent to high profitability. Highest ever profit in Company’s history re- sulted higher EPS during the year as against the average EPS of Rs. 2.91 of last 6 years. Despite major capital investments, Company was able to declare dividend with payout</x:v>
      </x:c>
      <x:c r="M27" s="99" t="str">
        <x:v>IC AND DILUTED) Profit after tax (Rs. '000) 7,112,540 3,471,351 Profit attributable to ordinary shareholders (Rs. '000) 7,112,540 3,471,351 Weighted average number of ordinary shares (Numbers '000) 2,180,309 1,379,815 Earnings per share - basic (Rupees) 3.26 2.52 40.1 There is no dilution effect on earnings per share of the Company. 41 CASH AND CASH EQUIVALENTS Cash, cash equivalents and short-term borrowings (used for cash management purposes) include the following for the purposes of statement of cash flows. Note 2022 2021 Rupees'000 Rupees'000 Cash and bank balances 30 2,306,633 900,778 Short term borrowings - secured 15 (3,218,249) (1,616,787) (911,616) (716,009) NOTES TO THE FINANCIAL STATEMENTS FAUJI CEMENT COMPANY LIMITED FOR THE YEAR ENDED 30 JUNE 2022 228 Fauji Cement Company Limited</x:v>
      </x:c>
    </x:row>
    <x:row r="28" ht="140" customHeight="1">
      <x:c r="A28" s="84" t="str">
        <x:v>FCCL</x:v>
      </x:c>
      <x:c r="B28" s="85" t="n">
        <x:v>2023</x:v>
      </x:c>
      <x:c r="C28" s="84" t="str">
        <x:v>https://dps.psx.com.pk/historical</x:v>
      </x:c>
      <x:c r="D28" s="84" t="str">
        <x:v>POST date=2023-06-27</x:v>
      </x:c>
      <x:c r="E28" s="84" t="str">
        <x:v>SYMBOL | LDCP | OPEN | HIGH | LOW | CLOSE | CHANGE | CHANGE (%) | VOLUME</x:v>
      </x:c>
      <x:c r="F28" s="84" t="str">
        <x:v>FCCL | 12.23 | 12.05 | 12.11 | 11.68 | 11.76 | -0.47 | -3.84% | 4,486,000</x:v>
      </x:c>
      <x:c r="G28" s="84" t="str">
        <x:v>2e0eb9557487b380ab4c4b0235b16b477f45778d471df6dfd853dc1e33d23f05</x:v>
      </x:c>
      <x:c r="H28" s="84" t="str">
        <x:v>2026-10-22</x:v>
      </x:c>
      <x:c r="I28" s="84" t="str">
        <x:v>FCCL-Annual-Report-2025.pdf</x:v>
      </x:c>
      <x:c r="J28" s="85" t="n">
        <x:v>216</x:v>
      </x:c>
      <x:c r="K28" s="84" t="str">
        <x:v>https://fccl.com.pk/eng/wp-content/uploads/2025/05/FCCL-Annual-Report-2025.pdf</x:v>
      </x:c>
      <x:c r="L28" s="98" t="str">
        <x:v> Rs 34.36 29.92 26.57 26.48 16.87 14.35 Market value per share - at year end Rs 44.67 22.91 11.76 14.17 23.00 16.88 Highest market value per share during the year Rs 48.54 24.14 16.31 23.26 27.61 22.85 Lowest market value per share during the year Rs 20.01 10.54 10.51 13.99 18.43 11.50 All profitability ratios improved during the year, consequent to high profitability. Highest ever profit in Company’s history re- sulted higher EPS during the year as against the average EPS of Rs. 2.91 of last 6 years. Despite major capital investments, Company was able to declare dividend with payout</x:v>
      </x:c>
      <x:c r="M28" s="98" t="str">
        <x:v>IC AND DILUTED) Profit after tax (Rs. ‘000) 7,439,681 7,112,540 Profit attributable to ordinary shareholders (Rs. ‘000) 7,439,681 7,112,540 Weighted average number of ordinary shares (Numbers ‘000) 2,353,539 2,353,539 Earnings per share - basic (Rupees) - Restated 3.16 3.02 37.1 There is no dilution effect on earnings per share of the Company. 37.2 There is no dilution effect on the basic earning per share of the Company as the Company has no convertible potential dilutive instruments outstanding as on June 30, 2023, which would have effect on the basic EPS, if the option to convert would have been exercised.</x:v>
      </x:c>
    </x:row>
    <x:row r="29" ht="140" customHeight="1">
      <x:c r="A29" s="76" t="str">
        <x:v>FCCL</x:v>
      </x:c>
      <x:c r="B29" s="83" t="n">
        <x:v>2024</x:v>
      </x:c>
      <x:c r="C29" s="76" t="str">
        <x:v>https://dps.psx.com.pk/historical</x:v>
      </x:c>
      <x:c r="D29" s="76" t="str">
        <x:v>POST date=2024-06-28</x:v>
      </x:c>
      <x:c r="E29" s="76" t="str">
        <x:v>SYMBOL | LDCP | OPEN | HIGH | LOW | CLOSE | CHANGE | CHANGE (%) | VOLUME</x:v>
      </x:c>
      <x:c r="F29" s="76" t="str">
        <x:v>FCCL | 22.82 | 22.82 | 23.08 | 22.65 | 22.91 | 0.09 | 0.39% | 3,114,681</x:v>
      </x:c>
      <x:c r="G29" s="76" t="str">
        <x:v>efc8ea2445cacdcf79405956444140d56bf6dde7848de9b27aeb39b75c5cf4ac</x:v>
      </x:c>
      <x:c r="H29" s="76" t="str">
        <x:v>2026-10-22</x:v>
      </x:c>
      <x:c r="I29" s="76" t="str">
        <x:v>FCCL-Annual-Report-2025.pdf</x:v>
      </x:c>
      <x:c r="J29" s="83" t="n">
        <x:v>216</x:v>
      </x:c>
      <x:c r="K29" s="76" t="str">
        <x:v>https://fccl.com.pk/eng/wp-content/uploads/2025/05/FCCL-Annual-Report-2025.pdf</x:v>
      </x:c>
      <x:c r="L29" s="99" t="str">
        <x:v> Rs 34.36 29.92 26.57 26.48 16.87 14.35 Market value per share - at year end Rs 44.67 22.91 11.76 14.17 23.00 16.88 Highest market value per share during the year Rs 48.54 24.14 16.31 23.26 27.61 22.85 Lowest market value per share during the year Rs 20.01 10.54 10.51 13.99 18.43 11.50 All profitability ratios improved during the year, consequent to high profitability. Highest ever profit in Company’s history re- sulted higher EPS during the year as against the average EPS of Rs. 2.91 of last 6 years. Despite major capital investments, Company was able to declare dividend with payout</x:v>
      </x:c>
      <x:c r="M29" s="99" t="str">
        <x:v>ND DILUTED) Profit after tax 8,223,116 7,439,681 Profit attributable to ordinary shareholders 8,223,116 7,439,681 Numbers ‘000 Numbers ‘000 Weighted average number of ordinary shares 2,452,857 2,353,539 Rupees Rupees Earnings per share - basic 3.35 3.16 37.1 There is no dilution effect on earnings per share of the Company. 37.2 There is no dilution effect on the basic earning per share of the Company as the Company has no convertible potential dilutive instruments outstanding as on June 30, 2024, which would have effect on the basic EPS, if the option to convert would have been exercised. 38 CASH AND CASH EQUIVALENTS Cash, cash equivalents and short-term borrowings (used for cash management purposes) include the following for the purposes of statement of cash flows. Note 2024 2023 Rupees’000 Rupees’000 Cash and bank balances 26 2,932,984 970,457 Short term running finance - secured 14 (1,450,934) (4,530,981) Bank balances under lien 26.2 (85,500) (89,500) 1,396,550 (3,650,024) 39 REMUNERATION OF CHIEF EXECUTIVE, DIRECTORS AND EXECUTIVES The aggregate amounts recognized duri</x:v>
      </x:c>
    </x:row>
    <x:row r="30" ht="140" customHeight="1">
      <x:c r="A30" s="84" t="str">
        <x:v>FCCL</x:v>
      </x:c>
      <x:c r="B30" s="85" t="n">
        <x:v>2025</x:v>
      </x:c>
      <x:c r="C30" s="84" t="str">
        <x:v>https://dps.psx.com.pk/historical</x:v>
      </x:c>
      <x:c r="D30" s="84" t="str">
        <x:v>POST date=2025-06-30</x:v>
      </x:c>
      <x:c r="E30" s="84" t="str">
        <x:v>SYMBOL | LDCP | OPEN | HIGH | LOW | CLOSE | CHANGE | CHANGE (%) | VOLUME</x:v>
      </x:c>
      <x:c r="F30" s="84" t="str">
        <x:v>FCCL | 45.27 | 45.47 | 45.55 | 44.52 | 44.67 | -0.60 | -1.33% | 3,494,330</x:v>
      </x:c>
      <x:c r="G30" s="84" t="str">
        <x:v>dc442e1cf6c040e091a7631042e5cafc369e5d192eccdb58b6f105fbb005fee4</x:v>
      </x:c>
      <x:c r="H30" s="84" t="str">
        <x:v>2026-10-22</x:v>
      </x:c>
      <x:c r="I30" s="84" t="str">
        <x:v>FCCL-Annual-Report-2025.pdf</x:v>
      </x:c>
      <x:c r="J30" s="85" t="n">
        <x:v>216</x:v>
      </x:c>
      <x:c r="K30" s="84" t="str">
        <x:v>https://fccl.com.pk/eng/wp-content/uploads/2025/05/FCCL-Annual-Report-2025.pdf</x:v>
      </x:c>
      <x:c r="L30" s="98" t="str">
        <x:v> Rs 34.36 29.92 26.57 26.48 16.87 14.35 Market value per share - at year end Rs 44.67 22.91 11.76 14.17 23.00 16.88 Highest market value per share during the year Rs 48.54 24.14 16.31 23.26 27.61 22.85 Lowest market value per share during the year Rs 20.01 10.54 10.51 13.99 18.43 11.50 All profitability ratios improved during the year, consequent to high profitability. Highest ever profit in Company’s history re- sulted higher EPS during the year as against the average EPS of Rs. 2.91 of last 6 years. Despite major capital investments, Company was able to declare dividend with payout</x:v>
      </x:c>
      <x:c r="M30" s="98" t="str">
        <x:v> DILUTED) Profit after tax 13,326,202 8,223,116 Profit attributable to ordinary shareholders 13,326,202 8,223,116 Numbers ‘000 Numbers ‘000 Weighted average number of ordinary shares 2,452,847 2,452,847 Rupees Rupees Earnings per share – basic 5.43 3.35 38.1 There is no dilution effect on the basic earning per share of the Company as the Company has no convertible potential dilutive instruments outstanding as on June 30, 2025, which would have effect on the basic EPS, if the option to convert would have been exercised. 39 CASH AND CASH EQUIVALENTS Cash, cash equivalents and short–term borrowings (used for cash management purposes) include the following for the purposes of statement of cash flows. Note 2025 2024 Rupees’000 Rupees’000 Cash and bank balances 27 2,665,338 2,932,984 Short term running finance – secured 15 (268,462) (850,934) Bank balances under lien 27.3 (85,500) (85,500) 2,311,376 1,996,550 40 REMUNERATION OF CHIEF EXECUTIVE, DIRECTORS AND EXECUTIVES The aggregate amounts recognized during the year on account of remuneration, including benefits and perquisites </x:v>
      </x:c>
    </x:row>
  </x:sheetData>
  <x:pageMargins left="0.7" right="0.7" top="0.75" bottom="0.75" header="0.3" footer="0.3"/>
</x:worksheet>
</file>